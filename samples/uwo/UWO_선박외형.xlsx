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updateLinks="always" codeName="현재_통합_문서" defaultThemeVersion="124226"/>
  <mc:AlternateContent xmlns:mc="http://schemas.openxmlformats.org/markup-compatibility/2006">
    <mc:Choice Requires="x15">
      <x15ac:absPath xmlns:x15ac="http://schemas.microsoft.com/office/spreadsheetml/2010/11/ac" url="C:\work\uwo\game\game\cms\xls\"/>
    </mc:Choice>
  </mc:AlternateContent>
  <xr:revisionPtr revIDLastSave="0" documentId="13_ncr:1_{469DA0F9-E206-4A5C-B385-F704F3000FF9}" xr6:coauthVersionLast="47" xr6:coauthVersionMax="47" xr10:uidLastSave="{00000000-0000-0000-0000-000000000000}"/>
  <bookViews>
    <workbookView xWindow="28875" yWindow="15" windowWidth="27360" windowHeight="15450" tabRatio="924" activeTab="1" xr2:uid="{00000000-000D-0000-FFFF-FFFF00000000}"/>
  </bookViews>
  <sheets>
    <sheet name="ShipBodyShape" sheetId="17" r:id="rId1"/>
    <sheet name="ShipPartShape" sheetId="24" r:id="rId2"/>
    <sheet name="ShipFxShape" sheetId="44" r:id="rId3"/>
    <sheet name="SailPattern" sheetId="36" r:id="rId4"/>
    <sheet name="SailCrest" sheetId="35" r:id="rId5"/>
    <sheet name="SailCrest_BCCN" sheetId="45" r:id="rId6"/>
    <sheet name="SailPatternColor" sheetId="37" r:id="rId7"/>
    <sheet name="ShipBodyFirstColor" sheetId="38" r:id="rId8"/>
    <sheet name="ShipBodySecondColor" sheetId="39" r:id="rId9"/>
    <sheet name="ShipWakeFX" sheetId="40" r:id="rId10"/>
    <sheet name="ShipFigureheadColor" sheetId="43" r:id="rId11"/>
    <sheet name="ShipAnchorColor" sheetId="42" r:id="rId12"/>
    <sheet name="ShipRamColor" sheetId="41" r:id="rId13"/>
    <sheet name="ShipShapeEnum" sheetId="31" r:id="rId14"/>
  </sheets>
  <externalReferences>
    <externalReference r:id="rId15"/>
  </externalReferences>
  <definedNames>
    <definedName name="_xlnm._FilterDatabase" localSheetId="3" hidden="1">SailPattern!$A$8:$AK$80</definedName>
    <definedName name="_xlnm._FilterDatabase" localSheetId="7" hidden="1">ShipBodyFirstColor!$A$7:$X$98</definedName>
    <definedName name="_xlnm._FilterDatabase" localSheetId="0" hidden="1">ShipBodyShape!$A$9:$AW$289</definedName>
    <definedName name="_xlnm._FilterDatabase" localSheetId="2" hidden="1">ShipFxShape!$A$9:$AC$95</definedName>
    <definedName name="_xlnm._FilterDatabase" localSheetId="1" hidden="1">ShipPartShape!$A$9:$AG$837</definedName>
    <definedName name="SailCrest">SailCrest!$A$1:$Y$135</definedName>
    <definedName name="SailCrest_BCCN">SailCrest_BCCN!$A$1:$Y$135</definedName>
    <definedName name="SailPattern">SailPattern!$A$1:$AE$80</definedName>
    <definedName name="SailPatternColor">SailPatternColor!$A$1:$X$129</definedName>
    <definedName name="ShipAnchorColor">ShipAnchorColor!$A$1:$R$99</definedName>
    <definedName name="ShipBodyFirstColor">ShipBodyFirstColor!$A$1:$X$99</definedName>
    <definedName name="ShipBodySecondColor">ShipBodySecondColor!$A$1:$X$99</definedName>
    <definedName name="ShipBodyShape">ShipBodyShape!$A$1:$AX$382</definedName>
    <definedName name="ShipFigureheadColor">ShipFigureheadColor!$A$1:$R$99</definedName>
    <definedName name="ShipFxShape">ShipFxShape!$A$1:$W$94</definedName>
    <definedName name="ShipPartShape" localSheetId="2">ShipFxShape!$A$1:$M$94</definedName>
    <definedName name="ShipPartShape">ShipPartShape!$A$1:$AA$836</definedName>
    <definedName name="ShipRamColor">ShipRamColor!$A$1:$R$99</definedName>
    <definedName name="ShipWakeFX">ShipWakeFX!$A$1:$L$24</definedName>
  </definedNames>
  <calcPr calcId="191029"/>
</workbook>
</file>

<file path=xl/calcChain.xml><?xml version="1.0" encoding="utf-8"?>
<calcChain xmlns="http://schemas.openxmlformats.org/spreadsheetml/2006/main">
  <c r="AI381" i="17" l="1"/>
  <c r="AG381" i="17"/>
  <c r="AE381" i="17"/>
  <c r="AC381" i="17"/>
  <c r="AA381" i="17"/>
  <c r="Y381" i="17"/>
  <c r="W381" i="17"/>
  <c r="U381" i="17"/>
  <c r="S381" i="17"/>
  <c r="Q381" i="17"/>
  <c r="O381" i="17"/>
  <c r="M381" i="17"/>
  <c r="K381" i="17"/>
  <c r="I381" i="17"/>
  <c r="AI380" i="17"/>
  <c r="AG380" i="17"/>
  <c r="AE380" i="17"/>
  <c r="AC380" i="17"/>
  <c r="AA380" i="17"/>
  <c r="Y380" i="17"/>
  <c r="W380" i="17"/>
  <c r="U380" i="17"/>
  <c r="S380" i="17"/>
  <c r="Q380" i="17"/>
  <c r="O380" i="17"/>
  <c r="M380" i="17"/>
  <c r="K380" i="17"/>
  <c r="I380" i="17"/>
  <c r="A380" i="17"/>
  <c r="A381" i="17" s="1"/>
  <c r="D755" i="24"/>
  <c r="G755" i="24"/>
  <c r="N755" i="24"/>
  <c r="Q755" i="24"/>
  <c r="S755" i="24"/>
  <c r="D756" i="24"/>
  <c r="G756" i="24"/>
  <c r="N756" i="24"/>
  <c r="Q756" i="24"/>
  <c r="S756" i="24"/>
  <c r="A755" i="24"/>
  <c r="A756" i="24" s="1"/>
  <c r="D347" i="24"/>
  <c r="G347" i="24"/>
  <c r="N347" i="24"/>
  <c r="Q347" i="24"/>
  <c r="S347" i="24"/>
  <c r="D348" i="24"/>
  <c r="G348" i="24"/>
  <c r="N348" i="24"/>
  <c r="Q348" i="24"/>
  <c r="S348" i="24"/>
  <c r="O378" i="17"/>
  <c r="Q378" i="17"/>
  <c r="S378" i="17"/>
  <c r="U378" i="17"/>
  <c r="W378" i="17"/>
  <c r="Y378" i="17"/>
  <c r="AA378" i="17"/>
  <c r="AC378" i="17"/>
  <c r="AE378" i="17"/>
  <c r="AG378" i="17"/>
  <c r="AI378" i="17"/>
  <c r="O379" i="17"/>
  <c r="Q379" i="17"/>
  <c r="S379" i="17"/>
  <c r="U379" i="17"/>
  <c r="W379" i="17"/>
  <c r="Y379" i="17"/>
  <c r="AA379" i="17"/>
  <c r="AC379" i="17"/>
  <c r="AE379" i="17"/>
  <c r="AG379" i="17"/>
  <c r="AI379" i="17"/>
  <c r="D753" i="24"/>
  <c r="G753" i="24"/>
  <c r="N753" i="24"/>
  <c r="Q753" i="24"/>
  <c r="S753" i="24"/>
  <c r="D754" i="24"/>
  <c r="G754" i="24"/>
  <c r="N754" i="24"/>
  <c r="Q754" i="24"/>
  <c r="S754" i="24"/>
  <c r="D345" i="24"/>
  <c r="G345" i="24"/>
  <c r="N345" i="24"/>
  <c r="Q345" i="24"/>
  <c r="S345" i="24"/>
  <c r="D346" i="24"/>
  <c r="G346" i="24"/>
  <c r="N346" i="24"/>
  <c r="Q346" i="24"/>
  <c r="S346" i="24"/>
  <c r="AI377" i="17"/>
  <c r="AG377" i="17"/>
  <c r="AE377" i="17"/>
  <c r="AC377" i="17"/>
  <c r="AA377" i="17"/>
  <c r="S377" i="17"/>
  <c r="Q377" i="17"/>
  <c r="O377" i="17"/>
  <c r="M377" i="17"/>
  <c r="AI376" i="17"/>
  <c r="AG376" i="17"/>
  <c r="AE376" i="17"/>
  <c r="AC376" i="17"/>
  <c r="AA376" i="17"/>
  <c r="S376" i="17"/>
  <c r="Q376" i="17"/>
  <c r="O376" i="17"/>
  <c r="M376" i="17"/>
  <c r="D343" i="24"/>
  <c r="G343" i="24"/>
  <c r="N343" i="24"/>
  <c r="Q343" i="24"/>
  <c r="S343" i="24"/>
  <c r="D344" i="24"/>
  <c r="G344" i="24"/>
  <c r="N344" i="24"/>
  <c r="Q344" i="24"/>
  <c r="S344" i="24"/>
  <c r="AI375" i="17"/>
  <c r="AG375" i="17"/>
  <c r="AE375" i="17"/>
  <c r="U375" i="17"/>
  <c r="S375" i="17"/>
  <c r="Q375" i="17"/>
  <c r="O375" i="17"/>
  <c r="M375" i="17"/>
  <c r="D342" i="24"/>
  <c r="G342" i="24"/>
  <c r="N342" i="24"/>
  <c r="Q342" i="24"/>
  <c r="S342" i="24"/>
  <c r="D684" i="24"/>
  <c r="G684" i="24"/>
  <c r="N684" i="24"/>
  <c r="Q684" i="24"/>
  <c r="S684" i="24"/>
  <c r="O373" i="17"/>
  <c r="Q373" i="17"/>
  <c r="S373" i="17"/>
  <c r="U373" i="17"/>
  <c r="W373" i="17"/>
  <c r="Y373" i="17"/>
  <c r="AA373" i="17"/>
  <c r="AC373" i="17"/>
  <c r="AE373" i="17"/>
  <c r="AG373" i="17"/>
  <c r="AI373" i="17"/>
  <c r="O374" i="17"/>
  <c r="Q374" i="17"/>
  <c r="S374" i="17"/>
  <c r="U374" i="17"/>
  <c r="W374" i="17"/>
  <c r="Y374" i="17"/>
  <c r="AA374" i="17"/>
  <c r="AC374" i="17"/>
  <c r="AE374" i="17"/>
  <c r="AG374" i="17"/>
  <c r="AI374" i="17"/>
  <c r="D751" i="24"/>
  <c r="G751" i="24"/>
  <c r="N751" i="24"/>
  <c r="Q751" i="24"/>
  <c r="S751" i="24"/>
  <c r="D752" i="24"/>
  <c r="G752" i="24"/>
  <c r="N752" i="24"/>
  <c r="Q752" i="24"/>
  <c r="S752" i="24"/>
  <c r="D341" i="24"/>
  <c r="G341" i="24"/>
  <c r="N341" i="24"/>
  <c r="Q341" i="24"/>
  <c r="S341" i="24"/>
  <c r="D340" i="24"/>
  <c r="G340" i="24"/>
  <c r="N340" i="24"/>
  <c r="Q340" i="24"/>
  <c r="S340" i="24"/>
  <c r="L91" i="44"/>
  <c r="L92" i="44"/>
  <c r="L93" i="44"/>
  <c r="E91" i="44"/>
  <c r="E92" i="44"/>
  <c r="E93" i="44"/>
  <c r="D835" i="24"/>
  <c r="G835" i="24"/>
  <c r="N835" i="24"/>
  <c r="Q835" i="24"/>
  <c r="S835" i="24"/>
  <c r="AI372" i="17"/>
  <c r="AG372" i="17"/>
  <c r="AE372" i="17"/>
  <c r="AC372" i="17"/>
  <c r="AA372" i="17"/>
  <c r="S372" i="17"/>
  <c r="Q372" i="17"/>
  <c r="O372" i="17"/>
  <c r="M372" i="17"/>
  <c r="D339" i="24"/>
  <c r="G339" i="24"/>
  <c r="N339" i="24"/>
  <c r="Q339" i="24"/>
  <c r="S339" i="24"/>
  <c r="D683" i="24"/>
  <c r="G683" i="24"/>
  <c r="N683" i="24"/>
  <c r="Q683" i="24"/>
  <c r="S683" i="24"/>
  <c r="D620" i="24"/>
  <c r="G620" i="24"/>
  <c r="N620" i="24"/>
  <c r="Q620" i="24"/>
  <c r="S620" i="24"/>
  <c r="D531" i="24"/>
  <c r="G531" i="24"/>
  <c r="N531" i="24"/>
  <c r="Q531" i="24"/>
  <c r="S531" i="24"/>
  <c r="AI371" i="17"/>
  <c r="AG371" i="17"/>
  <c r="AE371" i="17"/>
  <c r="AC371" i="17"/>
  <c r="AA371" i="17"/>
  <c r="U371" i="17"/>
  <c r="S371" i="17"/>
  <c r="Q371" i="17"/>
  <c r="O371" i="17"/>
  <c r="M371" i="17"/>
  <c r="AI370" i="17"/>
  <c r="AG370" i="17"/>
  <c r="AE370" i="17"/>
  <c r="AC370" i="17"/>
  <c r="AA370" i="17"/>
  <c r="U370" i="17"/>
  <c r="S370" i="17"/>
  <c r="Q370" i="17"/>
  <c r="O370" i="17"/>
  <c r="M370" i="17"/>
  <c r="D337" i="24"/>
  <c r="G337" i="24"/>
  <c r="N337" i="24"/>
  <c r="Q337" i="24"/>
  <c r="S337" i="24"/>
  <c r="D338" i="24"/>
  <c r="G338" i="24"/>
  <c r="N338" i="24"/>
  <c r="Q338" i="24"/>
  <c r="S338" i="24"/>
  <c r="L90" i="44"/>
  <c r="E90" i="44"/>
  <c r="D619" i="24"/>
  <c r="G619" i="24"/>
  <c r="N619" i="24"/>
  <c r="Q619" i="24"/>
  <c r="S619" i="24"/>
  <c r="D682" i="24"/>
  <c r="G682" i="24"/>
  <c r="N682" i="24"/>
  <c r="Q682" i="24"/>
  <c r="S682" i="24"/>
  <c r="D530" i="24"/>
  <c r="G530" i="24"/>
  <c r="N530" i="24"/>
  <c r="Q530" i="24"/>
  <c r="S530" i="24"/>
  <c r="D618" i="24"/>
  <c r="G618" i="24"/>
  <c r="N618" i="24"/>
  <c r="Q618" i="24"/>
  <c r="S618" i="24"/>
  <c r="D681" i="24"/>
  <c r="G681" i="24"/>
  <c r="N681" i="24"/>
  <c r="Q681" i="24"/>
  <c r="S681" i="24"/>
  <c r="D617" i="24"/>
  <c r="G617" i="24"/>
  <c r="N617" i="24"/>
  <c r="Q617" i="24"/>
  <c r="S617" i="24"/>
  <c r="D680" i="24"/>
  <c r="G680" i="24"/>
  <c r="N680" i="24"/>
  <c r="Q680" i="24"/>
  <c r="S680" i="24"/>
  <c r="M369" i="17"/>
  <c r="Q369" i="17"/>
  <c r="S369" i="17"/>
  <c r="U369" i="17"/>
  <c r="W369" i="17"/>
  <c r="Y369" i="17"/>
  <c r="AA369" i="17"/>
  <c r="AC369" i="17"/>
  <c r="AE369" i="17"/>
  <c r="AG369" i="17"/>
  <c r="AI369" i="17"/>
  <c r="AI368" i="17"/>
  <c r="AG368" i="17"/>
  <c r="AE368" i="17"/>
  <c r="AC368" i="17"/>
  <c r="AA368" i="17"/>
  <c r="Y368" i="17"/>
  <c r="W368" i="17"/>
  <c r="U368" i="17"/>
  <c r="S368" i="17"/>
  <c r="Q368" i="17"/>
  <c r="M368" i="17"/>
  <c r="D750" i="24"/>
  <c r="G750" i="24"/>
  <c r="N750" i="24"/>
  <c r="Q750" i="24"/>
  <c r="S750" i="24"/>
  <c r="D749" i="24"/>
  <c r="G749" i="24"/>
  <c r="N749" i="24"/>
  <c r="Q749" i="24"/>
  <c r="S749" i="24"/>
  <c r="D336" i="24"/>
  <c r="G336" i="24"/>
  <c r="N336" i="24"/>
  <c r="Q336" i="24"/>
  <c r="S336" i="24"/>
  <c r="D335" i="24"/>
  <c r="G335" i="24"/>
  <c r="N335" i="24"/>
  <c r="Q335" i="24"/>
  <c r="S335" i="24"/>
  <c r="AI367" i="17"/>
  <c r="AG367" i="17"/>
  <c r="AE367" i="17"/>
  <c r="AC367" i="17"/>
  <c r="AA367" i="17"/>
  <c r="Y367" i="17"/>
  <c r="W367" i="17"/>
  <c r="U367" i="17"/>
  <c r="S367" i="17"/>
  <c r="Q367" i="17"/>
  <c r="M367" i="17"/>
  <c r="D748" i="24"/>
  <c r="G748" i="24"/>
  <c r="N748" i="24"/>
  <c r="Q748" i="24"/>
  <c r="S748" i="24"/>
  <c r="D334" i="24"/>
  <c r="G334" i="24"/>
  <c r="N334" i="24"/>
  <c r="Q334" i="24"/>
  <c r="S334" i="24"/>
  <c r="L89" i="44"/>
  <c r="L88" i="44"/>
  <c r="L87" i="44"/>
  <c r="E87" i="44"/>
  <c r="E88" i="44"/>
  <c r="E89" i="44"/>
  <c r="AI366" i="17"/>
  <c r="AG366" i="17"/>
  <c r="AE366" i="17"/>
  <c r="AC366" i="17"/>
  <c r="S366" i="17"/>
  <c r="Q366" i="17"/>
  <c r="O366" i="17"/>
  <c r="M366" i="17"/>
  <c r="D333" i="24"/>
  <c r="G333" i="24"/>
  <c r="N333" i="24"/>
  <c r="Q333" i="24"/>
  <c r="S333" i="24"/>
  <c r="AI365" i="17"/>
  <c r="AG365" i="17"/>
  <c r="AE365" i="17"/>
  <c r="AC365" i="17"/>
  <c r="AA365" i="17"/>
  <c r="Y365" i="17"/>
  <c r="W365" i="17"/>
  <c r="U365" i="17"/>
  <c r="S365" i="17"/>
  <c r="Q365" i="17"/>
  <c r="O365" i="17"/>
  <c r="M365" i="17"/>
  <c r="D332" i="24"/>
  <c r="G332" i="24"/>
  <c r="N332" i="24"/>
  <c r="Q332" i="24"/>
  <c r="S332" i="24"/>
  <c r="L86" i="44"/>
  <c r="E86" i="44"/>
  <c r="L83" i="44"/>
  <c r="L84" i="44"/>
  <c r="L85" i="44"/>
  <c r="E81" i="44"/>
  <c r="E82" i="44"/>
  <c r="E83" i="44"/>
  <c r="E84" i="44"/>
  <c r="E85" i="44"/>
  <c r="U134" i="45"/>
  <c r="R134" i="45"/>
  <c r="G134" i="45"/>
  <c r="U134" i="35" l="1"/>
  <c r="R134" i="35"/>
  <c r="G134" i="35"/>
  <c r="D529" i="24"/>
  <c r="G529" i="24"/>
  <c r="N529" i="24"/>
  <c r="Q529" i="24"/>
  <c r="S529" i="24"/>
  <c r="D616" i="24"/>
  <c r="G616" i="24"/>
  <c r="N616" i="24"/>
  <c r="Q616" i="24"/>
  <c r="S616" i="24"/>
  <c r="D679" i="24"/>
  <c r="G679" i="24"/>
  <c r="N679" i="24"/>
  <c r="Q679" i="24"/>
  <c r="S679" i="24"/>
  <c r="S834" i="24"/>
  <c r="Q834" i="24"/>
  <c r="N834" i="24"/>
  <c r="G834" i="24"/>
  <c r="D834" i="24"/>
  <c r="S833" i="24"/>
  <c r="Q833" i="24"/>
  <c r="N833" i="24"/>
  <c r="G833" i="24"/>
  <c r="D833" i="24"/>
  <c r="S832" i="24"/>
  <c r="Q832" i="24"/>
  <c r="N832" i="24"/>
  <c r="G832" i="24"/>
  <c r="D832" i="24"/>
  <c r="L82" i="44"/>
  <c r="M360" i="17"/>
  <c r="O360" i="17"/>
  <c r="Q360" i="17"/>
  <c r="S360" i="17"/>
  <c r="U360" i="17"/>
  <c r="W360" i="17"/>
  <c r="Y360" i="17"/>
  <c r="AA360" i="17"/>
  <c r="AC360" i="17"/>
  <c r="AE360" i="17"/>
  <c r="AG360" i="17"/>
  <c r="AI360" i="17"/>
  <c r="M361" i="17"/>
  <c r="O361" i="17"/>
  <c r="Q361" i="17"/>
  <c r="S361" i="17"/>
  <c r="U361" i="17"/>
  <c r="W361" i="17"/>
  <c r="Y361" i="17"/>
  <c r="AA361" i="17"/>
  <c r="AC361" i="17"/>
  <c r="AE361" i="17"/>
  <c r="AG361" i="17"/>
  <c r="AI361" i="17"/>
  <c r="M362" i="17"/>
  <c r="O362" i="17"/>
  <c r="Q362" i="17"/>
  <c r="S362" i="17"/>
  <c r="U362" i="17"/>
  <c r="W362" i="17"/>
  <c r="Y362" i="17"/>
  <c r="AA362" i="17"/>
  <c r="AC362" i="17"/>
  <c r="AE362" i="17"/>
  <c r="AG362" i="17"/>
  <c r="AI362" i="17"/>
  <c r="M363" i="17"/>
  <c r="O363" i="17"/>
  <c r="Q363" i="17"/>
  <c r="S363" i="17"/>
  <c r="U363" i="17"/>
  <c r="W363" i="17"/>
  <c r="Y363" i="17"/>
  <c r="AA363" i="17"/>
  <c r="AC363" i="17"/>
  <c r="AE363" i="17"/>
  <c r="AG363" i="17"/>
  <c r="AI363" i="17"/>
  <c r="M364" i="17"/>
  <c r="O364" i="17"/>
  <c r="Q364" i="17"/>
  <c r="S364" i="17"/>
  <c r="U364" i="17"/>
  <c r="W364" i="17"/>
  <c r="Y364" i="17"/>
  <c r="AA364" i="17"/>
  <c r="AC364" i="17"/>
  <c r="AE364" i="17"/>
  <c r="AG364" i="17"/>
  <c r="AI364" i="17"/>
  <c r="AI359" i="17"/>
  <c r="AG359" i="17"/>
  <c r="AE359" i="17"/>
  <c r="AC359" i="17"/>
  <c r="AA359" i="17"/>
  <c r="Y359" i="17"/>
  <c r="W359" i="17"/>
  <c r="U359" i="17"/>
  <c r="S359" i="17"/>
  <c r="Q359" i="17"/>
  <c r="O359" i="17"/>
  <c r="M359" i="17"/>
  <c r="D329" i="24"/>
  <c r="G329" i="24"/>
  <c r="N329" i="24"/>
  <c r="Q329" i="24"/>
  <c r="S329" i="24"/>
  <c r="D330" i="24"/>
  <c r="G330" i="24"/>
  <c r="N330" i="24"/>
  <c r="Q330" i="24"/>
  <c r="S330" i="24"/>
  <c r="D331" i="24"/>
  <c r="G331" i="24"/>
  <c r="N331" i="24"/>
  <c r="Q331" i="24"/>
  <c r="S331" i="24"/>
  <c r="AI358" i="17"/>
  <c r="AG358" i="17"/>
  <c r="AE358" i="17"/>
  <c r="S358" i="17"/>
  <c r="Q358" i="17"/>
  <c r="O358" i="17"/>
  <c r="M358" i="17"/>
  <c r="D328" i="24"/>
  <c r="G328" i="24"/>
  <c r="N328" i="24"/>
  <c r="Q328" i="24"/>
  <c r="S328" i="24"/>
  <c r="K357" i="17"/>
  <c r="M357" i="17"/>
  <c r="O357" i="17"/>
  <c r="Q357" i="17"/>
  <c r="S357" i="17"/>
  <c r="U357" i="17"/>
  <c r="W357" i="17"/>
  <c r="Y357" i="17"/>
  <c r="AA357" i="17"/>
  <c r="AC357" i="17"/>
  <c r="AE357" i="17"/>
  <c r="AG357" i="17"/>
  <c r="AI357" i="17"/>
  <c r="D327" i="24"/>
  <c r="G327" i="24"/>
  <c r="N327" i="24"/>
  <c r="Q327" i="24"/>
  <c r="S327" i="24"/>
  <c r="N802" i="24"/>
  <c r="Q802" i="24"/>
  <c r="S802" i="24"/>
  <c r="D802" i="24"/>
  <c r="G802" i="24"/>
  <c r="AI356" i="17"/>
  <c r="AG356" i="17"/>
  <c r="AE356" i="17"/>
  <c r="AC356" i="17"/>
  <c r="AA356" i="17"/>
  <c r="Y356" i="17"/>
  <c r="W356" i="17"/>
  <c r="U356" i="17"/>
  <c r="S356" i="17"/>
  <c r="Q356" i="17"/>
  <c r="O356" i="17"/>
  <c r="M356" i="17"/>
  <c r="K356" i="17"/>
  <c r="L81" i="44"/>
  <c r="L80" i="44"/>
  <c r="E80" i="44"/>
  <c r="L79" i="44"/>
  <c r="E79" i="44"/>
  <c r="L78" i="44"/>
  <c r="E78" i="44"/>
  <c r="AI355" i="17"/>
  <c r="AG355" i="17"/>
  <c r="AE355" i="17"/>
  <c r="AC355" i="17"/>
  <c r="S355" i="17"/>
  <c r="Q355" i="17"/>
  <c r="O355" i="17"/>
  <c r="M355" i="17"/>
  <c r="D326" i="24"/>
  <c r="G326" i="24"/>
  <c r="N326" i="24"/>
  <c r="Q326" i="24"/>
  <c r="S326" i="24"/>
  <c r="AI354" i="17"/>
  <c r="AG354" i="17"/>
  <c r="AE354" i="17"/>
  <c r="AC354" i="17"/>
  <c r="U354" i="17"/>
  <c r="S354" i="17"/>
  <c r="Q354" i="17"/>
  <c r="O354" i="17"/>
  <c r="M354" i="17"/>
  <c r="D325" i="24"/>
  <c r="G325" i="24"/>
  <c r="N325" i="24"/>
  <c r="Q325" i="24"/>
  <c r="S325" i="24"/>
  <c r="AI353" i="17"/>
  <c r="AG353" i="17"/>
  <c r="AE353" i="17"/>
  <c r="S353" i="17"/>
  <c r="Q353" i="17"/>
  <c r="O353" i="17"/>
  <c r="M353" i="17"/>
  <c r="D324" i="24"/>
  <c r="G324" i="24"/>
  <c r="N324" i="24"/>
  <c r="Q324" i="24"/>
  <c r="S324" i="24"/>
  <c r="D678" i="24"/>
  <c r="G678" i="24"/>
  <c r="N678" i="24"/>
  <c r="Q678" i="24"/>
  <c r="S678" i="24"/>
  <c r="M351" i="17"/>
  <c r="O351" i="17"/>
  <c r="Q351" i="17"/>
  <c r="S351" i="17"/>
  <c r="U351" i="17"/>
  <c r="W351" i="17"/>
  <c r="AA351" i="17"/>
  <c r="AC351" i="17"/>
  <c r="AE351" i="17"/>
  <c r="AG351" i="17"/>
  <c r="AI351" i="17"/>
  <c r="M352" i="17"/>
  <c r="O352" i="17"/>
  <c r="Q352" i="17"/>
  <c r="S352" i="17"/>
  <c r="U352" i="17"/>
  <c r="W352" i="17"/>
  <c r="AA352" i="17"/>
  <c r="AC352" i="17"/>
  <c r="AE352" i="17"/>
  <c r="AG352" i="17"/>
  <c r="AI352" i="17"/>
  <c r="D322" i="24"/>
  <c r="G322" i="24"/>
  <c r="N322" i="24"/>
  <c r="Q322" i="24"/>
  <c r="S322" i="24"/>
  <c r="D323" i="24"/>
  <c r="G323" i="24"/>
  <c r="N323" i="24"/>
  <c r="Q323" i="24"/>
  <c r="S323" i="24"/>
  <c r="AI350" i="17"/>
  <c r="AG350" i="17"/>
  <c r="AE350" i="17"/>
  <c r="AC350" i="17"/>
  <c r="AA350" i="17"/>
  <c r="U350" i="17"/>
  <c r="S350" i="17"/>
  <c r="Q350" i="17"/>
  <c r="O350" i="17"/>
  <c r="M350" i="17"/>
  <c r="D321" i="24"/>
  <c r="G321" i="24"/>
  <c r="N321" i="24"/>
  <c r="Q321" i="24"/>
  <c r="S321" i="24"/>
  <c r="D615" i="24"/>
  <c r="G615" i="24"/>
  <c r="N615" i="24"/>
  <c r="Q615" i="24"/>
  <c r="S615" i="24"/>
  <c r="D528" i="24"/>
  <c r="G528" i="24"/>
  <c r="N528" i="24"/>
  <c r="Q528" i="24"/>
  <c r="S528" i="24"/>
  <c r="AI349" i="17"/>
  <c r="AG349" i="17"/>
  <c r="AE349" i="17"/>
  <c r="AC349" i="17"/>
  <c r="AA349" i="17"/>
  <c r="Y349" i="17"/>
  <c r="W349" i="17"/>
  <c r="U349" i="17"/>
  <c r="S349" i="17"/>
  <c r="Q349" i="17"/>
  <c r="M349" i="17"/>
  <c r="D747" i="24"/>
  <c r="G747" i="24"/>
  <c r="N747" i="24"/>
  <c r="Q747" i="24"/>
  <c r="S747" i="24"/>
  <c r="D320" i="24"/>
  <c r="G320" i="24"/>
  <c r="N320" i="24"/>
  <c r="Q320" i="24"/>
  <c r="S320" i="24"/>
  <c r="N829" i="24"/>
  <c r="Q829" i="24"/>
  <c r="S829" i="24"/>
  <c r="N830" i="24"/>
  <c r="Q830" i="24"/>
  <c r="S830" i="24"/>
  <c r="N831" i="24"/>
  <c r="Q831" i="24"/>
  <c r="S831" i="24"/>
  <c r="G829" i="24"/>
  <c r="G830" i="24"/>
  <c r="G831" i="24"/>
  <c r="D829" i="24"/>
  <c r="D830" i="24"/>
  <c r="D831" i="24"/>
  <c r="M348" i="17"/>
  <c r="O348" i="17"/>
  <c r="Q348" i="17"/>
  <c r="S348" i="17"/>
  <c r="U348" i="17"/>
  <c r="W348" i="17"/>
  <c r="Y348" i="17"/>
  <c r="AA348" i="17"/>
  <c r="AC348" i="17"/>
  <c r="AE348" i="17"/>
  <c r="AG348" i="17"/>
  <c r="AI348" i="17"/>
  <c r="D319" i="24"/>
  <c r="G319" i="24"/>
  <c r="N319" i="24"/>
  <c r="Q319" i="24"/>
  <c r="S319" i="24"/>
  <c r="M347" i="17"/>
  <c r="O347" i="17"/>
  <c r="Q347" i="17"/>
  <c r="S347" i="17"/>
  <c r="U347" i="17"/>
  <c r="W347" i="17"/>
  <c r="Y347" i="17"/>
  <c r="AA347" i="17"/>
  <c r="AC347" i="17"/>
  <c r="AE347" i="17"/>
  <c r="AG347" i="17"/>
  <c r="AI347" i="17"/>
  <c r="D318" i="24"/>
  <c r="G318" i="24"/>
  <c r="N318" i="24"/>
  <c r="Q318" i="24"/>
  <c r="S318" i="24"/>
  <c r="M345" i="17"/>
  <c r="O345" i="17"/>
  <c r="Q345" i="17"/>
  <c r="S345" i="17"/>
  <c r="U345" i="17"/>
  <c r="W345" i="17"/>
  <c r="Y345" i="17"/>
  <c r="AA345" i="17"/>
  <c r="AC345" i="17"/>
  <c r="AE345" i="17"/>
  <c r="AG345" i="17"/>
  <c r="AI345" i="17"/>
  <c r="M346" i="17"/>
  <c r="O346" i="17"/>
  <c r="Q346" i="17"/>
  <c r="S346" i="17"/>
  <c r="U346" i="17"/>
  <c r="W346" i="17"/>
  <c r="Y346" i="17"/>
  <c r="AA346" i="17"/>
  <c r="AC346" i="17"/>
  <c r="AE346" i="17"/>
  <c r="AG346" i="17"/>
  <c r="AI346" i="17"/>
  <c r="D316" i="24"/>
  <c r="G316" i="24"/>
  <c r="N316" i="24"/>
  <c r="Q316" i="24"/>
  <c r="S316" i="24"/>
  <c r="D317" i="24"/>
  <c r="G317" i="24"/>
  <c r="N317" i="24"/>
  <c r="Q317" i="24"/>
  <c r="S317" i="24"/>
  <c r="D527" i="24"/>
  <c r="G527" i="24"/>
  <c r="N527" i="24"/>
  <c r="Q527" i="24"/>
  <c r="S527" i="24"/>
  <c r="U133" i="45"/>
  <c r="R133" i="45"/>
  <c r="G133" i="45"/>
  <c r="U132" i="45"/>
  <c r="R132" i="45"/>
  <c r="G132" i="45"/>
  <c r="U131" i="45"/>
  <c r="R131" i="45"/>
  <c r="G131" i="45"/>
  <c r="U130" i="45"/>
  <c r="R130" i="45"/>
  <c r="G130" i="45"/>
  <c r="U129" i="45"/>
  <c r="R129" i="45"/>
  <c r="G129" i="45"/>
  <c r="U128" i="45"/>
  <c r="R128" i="45"/>
  <c r="G128" i="45"/>
  <c r="U127" i="45"/>
  <c r="R127" i="45"/>
  <c r="G127" i="45"/>
  <c r="U126" i="45"/>
  <c r="R126" i="45"/>
  <c r="G126" i="45"/>
  <c r="U125" i="45"/>
  <c r="R125" i="45"/>
  <c r="G125" i="45"/>
  <c r="U124" i="45"/>
  <c r="R124" i="45"/>
  <c r="G124" i="45"/>
  <c r="U123" i="45"/>
  <c r="R123" i="45"/>
  <c r="G123" i="45"/>
  <c r="U122" i="45"/>
  <c r="R122" i="45"/>
  <c r="G122" i="45"/>
  <c r="U121" i="45"/>
  <c r="R121" i="45"/>
  <c r="G121" i="45"/>
  <c r="U120" i="45"/>
  <c r="R120" i="45"/>
  <c r="G120" i="45"/>
  <c r="U119" i="45"/>
  <c r="R119" i="45"/>
  <c r="G119" i="45"/>
  <c r="U118" i="45"/>
  <c r="R118" i="45"/>
  <c r="G118" i="45"/>
  <c r="U117" i="45"/>
  <c r="R117" i="45"/>
  <c r="G117" i="45"/>
  <c r="U116" i="45"/>
  <c r="R116" i="45"/>
  <c r="G116" i="45"/>
  <c r="U115" i="45"/>
  <c r="R115" i="45"/>
  <c r="G115" i="45"/>
  <c r="U114" i="45"/>
  <c r="R114" i="45"/>
  <c r="G114" i="45"/>
  <c r="U113" i="45"/>
  <c r="R113" i="45"/>
  <c r="G113" i="45"/>
  <c r="U112" i="45"/>
  <c r="R112" i="45"/>
  <c r="G112" i="45"/>
  <c r="U111" i="45"/>
  <c r="R111" i="45"/>
  <c r="G111" i="45"/>
  <c r="U110" i="45"/>
  <c r="R110" i="45"/>
  <c r="G110" i="45"/>
  <c r="U109" i="45"/>
  <c r="R109" i="45"/>
  <c r="G109" i="45"/>
  <c r="U108" i="45"/>
  <c r="R108" i="45"/>
  <c r="G108" i="45"/>
  <c r="U107" i="45"/>
  <c r="R107" i="45"/>
  <c r="G107" i="45"/>
  <c r="U106" i="45"/>
  <c r="R106" i="45"/>
  <c r="G106" i="45"/>
  <c r="U105" i="45"/>
  <c r="R105" i="45"/>
  <c r="G105" i="45"/>
  <c r="U104" i="45"/>
  <c r="R104" i="45"/>
  <c r="G104" i="45"/>
  <c r="U103" i="45"/>
  <c r="R103" i="45"/>
  <c r="G103" i="45"/>
  <c r="U102" i="45"/>
  <c r="R102" i="45"/>
  <c r="G102" i="45"/>
  <c r="U101" i="45"/>
  <c r="R101" i="45"/>
  <c r="G101" i="45"/>
  <c r="U100" i="45"/>
  <c r="R100" i="45"/>
  <c r="G100" i="45"/>
  <c r="U99" i="45"/>
  <c r="R99" i="45"/>
  <c r="G99" i="45"/>
  <c r="U98" i="45"/>
  <c r="R98" i="45"/>
  <c r="G98" i="45"/>
  <c r="U97" i="45"/>
  <c r="R97" i="45"/>
  <c r="G97" i="45"/>
  <c r="U96" i="45"/>
  <c r="R96" i="45"/>
  <c r="G96" i="45"/>
  <c r="U95" i="45"/>
  <c r="R95" i="45"/>
  <c r="G95" i="45"/>
  <c r="U94" i="45"/>
  <c r="R94" i="45"/>
  <c r="G94" i="45"/>
  <c r="U93" i="45"/>
  <c r="R93" i="45"/>
  <c r="G93" i="45"/>
  <c r="U92" i="45"/>
  <c r="R92" i="45"/>
  <c r="G92" i="45"/>
  <c r="U91" i="45"/>
  <c r="R91" i="45"/>
  <c r="G91" i="45"/>
  <c r="U90" i="45"/>
  <c r="R90" i="45"/>
  <c r="G90" i="45"/>
  <c r="U89" i="45"/>
  <c r="R89" i="45"/>
  <c r="G89" i="45"/>
  <c r="U88" i="45"/>
  <c r="R88" i="45"/>
  <c r="G88" i="45"/>
  <c r="U87" i="45"/>
  <c r="R87" i="45"/>
  <c r="G87" i="45"/>
  <c r="U86" i="45"/>
  <c r="R86" i="45"/>
  <c r="G86" i="45"/>
  <c r="U85" i="45"/>
  <c r="R85" i="45"/>
  <c r="G85" i="45"/>
  <c r="U84" i="45"/>
  <c r="R84" i="45"/>
  <c r="G84" i="45"/>
  <c r="U83" i="45"/>
  <c r="R83" i="45"/>
  <c r="G83" i="45"/>
  <c r="U82" i="45"/>
  <c r="R82" i="45"/>
  <c r="G82" i="45"/>
  <c r="U81" i="45"/>
  <c r="R81" i="45"/>
  <c r="G81" i="45"/>
  <c r="U80" i="45"/>
  <c r="R80" i="45"/>
  <c r="G80" i="45"/>
  <c r="U79" i="45"/>
  <c r="R79" i="45"/>
  <c r="G79" i="45"/>
  <c r="U78" i="45"/>
  <c r="R78" i="45"/>
  <c r="G78" i="45"/>
  <c r="U77" i="45"/>
  <c r="R77" i="45"/>
  <c r="G77" i="45"/>
  <c r="U76" i="45"/>
  <c r="R76" i="45"/>
  <c r="G76" i="45"/>
  <c r="U75" i="45"/>
  <c r="R75" i="45"/>
  <c r="G75" i="45"/>
  <c r="U74" i="45"/>
  <c r="R74" i="45"/>
  <c r="G74" i="45"/>
  <c r="U73" i="45"/>
  <c r="R73" i="45"/>
  <c r="G73" i="45"/>
  <c r="U72" i="45"/>
  <c r="R72" i="45"/>
  <c r="G72" i="45"/>
  <c r="U71" i="45"/>
  <c r="R71" i="45"/>
  <c r="G71" i="45"/>
  <c r="U70" i="45"/>
  <c r="R70" i="45"/>
  <c r="G70" i="45"/>
  <c r="U69" i="45"/>
  <c r="R69" i="45"/>
  <c r="G69" i="45"/>
  <c r="U68" i="45"/>
  <c r="R68" i="45"/>
  <c r="G68" i="45"/>
  <c r="U67" i="45"/>
  <c r="R67" i="45"/>
  <c r="G67" i="45"/>
  <c r="U66" i="45"/>
  <c r="R66" i="45"/>
  <c r="G66" i="45"/>
  <c r="U65" i="45"/>
  <c r="R65" i="45"/>
  <c r="G65" i="45"/>
  <c r="U64" i="45"/>
  <c r="R64" i="45"/>
  <c r="G64" i="45"/>
  <c r="U63" i="45"/>
  <c r="R63" i="45"/>
  <c r="G63" i="45"/>
  <c r="U62" i="45"/>
  <c r="R62" i="45"/>
  <c r="G62" i="45"/>
  <c r="U61" i="45"/>
  <c r="R61" i="45"/>
  <c r="G61" i="45"/>
  <c r="U60" i="45"/>
  <c r="R60" i="45"/>
  <c r="G60" i="45"/>
  <c r="U59" i="45"/>
  <c r="R59" i="45"/>
  <c r="G59" i="45"/>
  <c r="U58" i="45"/>
  <c r="R58" i="45"/>
  <c r="G58" i="45"/>
  <c r="U57" i="45"/>
  <c r="R57" i="45"/>
  <c r="G57" i="45"/>
  <c r="U56" i="45"/>
  <c r="R56" i="45"/>
  <c r="G56" i="45"/>
  <c r="U55" i="45"/>
  <c r="R55" i="45"/>
  <c r="G55" i="45"/>
  <c r="U54" i="45"/>
  <c r="R54" i="45"/>
  <c r="G54" i="45"/>
  <c r="U53" i="45"/>
  <c r="R53" i="45"/>
  <c r="G53" i="45"/>
  <c r="U52" i="45"/>
  <c r="R52" i="45"/>
  <c r="G52" i="45"/>
  <c r="U51" i="45"/>
  <c r="R51" i="45"/>
  <c r="G51" i="45"/>
  <c r="U50" i="45"/>
  <c r="R50" i="45"/>
  <c r="G50" i="45"/>
  <c r="U49" i="45"/>
  <c r="R49" i="45"/>
  <c r="G49" i="45"/>
  <c r="U48" i="45"/>
  <c r="R48" i="45"/>
  <c r="G48" i="45"/>
  <c r="U47" i="45"/>
  <c r="R47" i="45"/>
  <c r="G47" i="45"/>
  <c r="U46" i="45"/>
  <c r="R46" i="45"/>
  <c r="G46" i="45"/>
  <c r="U45" i="45"/>
  <c r="R45" i="45"/>
  <c r="G45" i="45"/>
  <c r="U44" i="45"/>
  <c r="R44" i="45"/>
  <c r="G44" i="45"/>
  <c r="U43" i="45"/>
  <c r="R43" i="45"/>
  <c r="G43" i="45"/>
  <c r="U42" i="45"/>
  <c r="R42" i="45"/>
  <c r="G42" i="45"/>
  <c r="U41" i="45"/>
  <c r="R41" i="45"/>
  <c r="G41" i="45"/>
  <c r="U40" i="45"/>
  <c r="R40" i="45"/>
  <c r="G40" i="45"/>
  <c r="U39" i="45"/>
  <c r="R39" i="45"/>
  <c r="G39" i="45"/>
  <c r="U38" i="45"/>
  <c r="R38" i="45"/>
  <c r="G38" i="45"/>
  <c r="U37" i="45"/>
  <c r="R37" i="45"/>
  <c r="G37" i="45"/>
  <c r="U36" i="45"/>
  <c r="R36" i="45"/>
  <c r="G36" i="45"/>
  <c r="U35" i="45"/>
  <c r="R35" i="45"/>
  <c r="G35" i="45"/>
  <c r="U34" i="45"/>
  <c r="R34" i="45"/>
  <c r="G34" i="45"/>
  <c r="U33" i="45"/>
  <c r="R33" i="45"/>
  <c r="G33" i="45"/>
  <c r="U32" i="45"/>
  <c r="R32" i="45"/>
  <c r="G32" i="45"/>
  <c r="U31" i="45"/>
  <c r="R31" i="45"/>
  <c r="G31" i="45"/>
  <c r="U30" i="45"/>
  <c r="R30" i="45"/>
  <c r="G30" i="45"/>
  <c r="U29" i="45"/>
  <c r="R29" i="45"/>
  <c r="G29" i="45"/>
  <c r="U28" i="45"/>
  <c r="R28" i="45"/>
  <c r="G28" i="45"/>
  <c r="U27" i="45"/>
  <c r="R27" i="45"/>
  <c r="G27" i="45"/>
  <c r="U26" i="45"/>
  <c r="R26" i="45"/>
  <c r="G26" i="45"/>
  <c r="U25" i="45"/>
  <c r="R25" i="45"/>
  <c r="G25" i="45"/>
  <c r="U24" i="45"/>
  <c r="R24" i="45"/>
  <c r="G24" i="45"/>
  <c r="U23" i="45"/>
  <c r="R23" i="45"/>
  <c r="G23" i="45"/>
  <c r="U22" i="45"/>
  <c r="R22" i="45"/>
  <c r="G22" i="45"/>
  <c r="U21" i="45"/>
  <c r="R21" i="45"/>
  <c r="G21" i="45"/>
  <c r="U20" i="45"/>
  <c r="R20" i="45"/>
  <c r="G20" i="45"/>
  <c r="U19" i="45"/>
  <c r="R19" i="45"/>
  <c r="G19" i="45"/>
  <c r="U18" i="45"/>
  <c r="R18" i="45"/>
  <c r="G18" i="45"/>
  <c r="U17" i="45"/>
  <c r="R17" i="45"/>
  <c r="G17" i="45"/>
  <c r="U16" i="45"/>
  <c r="R16" i="45"/>
  <c r="G16" i="45"/>
  <c r="U15" i="45"/>
  <c r="R15" i="45"/>
  <c r="G15" i="45"/>
  <c r="U14" i="45"/>
  <c r="R14" i="45"/>
  <c r="G14" i="45"/>
  <c r="U13" i="45"/>
  <c r="R13" i="45"/>
  <c r="G13" i="45"/>
  <c r="U12" i="45"/>
  <c r="R12" i="45"/>
  <c r="G12" i="45"/>
  <c r="U11" i="45"/>
  <c r="R11" i="45"/>
  <c r="G11" i="45"/>
  <c r="U10" i="45"/>
  <c r="R10" i="45"/>
  <c r="G10" i="45"/>
  <c r="U9" i="45"/>
  <c r="R9" i="45"/>
  <c r="G9" i="45"/>
  <c r="AI344" i="17"/>
  <c r="AG344" i="17"/>
  <c r="AE344" i="17"/>
  <c r="AC344" i="17"/>
  <c r="AA344" i="17"/>
  <c r="Y344" i="17"/>
  <c r="W344" i="17"/>
  <c r="U344" i="17"/>
  <c r="S344" i="17"/>
  <c r="Q344" i="17"/>
  <c r="O344" i="17"/>
  <c r="M344" i="17"/>
  <c r="K344" i="17"/>
  <c r="D315" i="24"/>
  <c r="G315" i="24"/>
  <c r="N315" i="24"/>
  <c r="Q315" i="24"/>
  <c r="S315" i="24"/>
  <c r="D828" i="24"/>
  <c r="G828" i="24"/>
  <c r="N828" i="24"/>
  <c r="Q828" i="24"/>
  <c r="S828" i="24"/>
  <c r="D677" i="24"/>
  <c r="G677" i="24"/>
  <c r="N677" i="24"/>
  <c r="Q677" i="24"/>
  <c r="S677" i="24"/>
  <c r="S827" i="24"/>
  <c r="Q827" i="24"/>
  <c r="N827" i="24"/>
  <c r="G827" i="24"/>
  <c r="D827" i="24"/>
  <c r="L77" i="44"/>
  <c r="E77" i="44"/>
  <c r="AI343" i="17"/>
  <c r="AG343" i="17"/>
  <c r="U343" i="17"/>
  <c r="S343" i="17"/>
  <c r="Q343" i="17"/>
  <c r="O343" i="17"/>
  <c r="M343" i="17"/>
  <c r="D314" i="24"/>
  <c r="G314" i="24"/>
  <c r="N314" i="24"/>
  <c r="Q314" i="24"/>
  <c r="S314" i="24"/>
  <c r="AI342" i="17"/>
  <c r="AG342" i="17"/>
  <c r="AE342" i="17"/>
  <c r="AC342" i="17"/>
  <c r="AA342" i="17"/>
  <c r="S342" i="17"/>
  <c r="Q342" i="17"/>
  <c r="O342" i="17"/>
  <c r="M342" i="17"/>
  <c r="AI341" i="17"/>
  <c r="AG341" i="17"/>
  <c r="AE341" i="17"/>
  <c r="AC341" i="17"/>
  <c r="AA341" i="17"/>
  <c r="S341" i="17"/>
  <c r="Q341" i="17"/>
  <c r="O341" i="17"/>
  <c r="M341" i="17"/>
  <c r="AI340" i="17"/>
  <c r="AG340" i="17"/>
  <c r="AE340" i="17"/>
  <c r="AC340" i="17"/>
  <c r="AA340" i="17"/>
  <c r="S340" i="17"/>
  <c r="Q340" i="17"/>
  <c r="O340" i="17"/>
  <c r="M340" i="17"/>
  <c r="AI339" i="17"/>
  <c r="AG339" i="17"/>
  <c r="AE339" i="17"/>
  <c r="AC339" i="17"/>
  <c r="AA339" i="17"/>
  <c r="S339" i="17"/>
  <c r="Q339" i="17"/>
  <c r="O339" i="17"/>
  <c r="M339" i="17"/>
  <c r="AI338" i="17"/>
  <c r="AG338" i="17"/>
  <c r="AE338" i="17"/>
  <c r="AC338" i="17"/>
  <c r="AA338" i="17"/>
  <c r="S338" i="17"/>
  <c r="Q338" i="17"/>
  <c r="O338" i="17"/>
  <c r="M338" i="17"/>
  <c r="AI337" i="17"/>
  <c r="AG337" i="17"/>
  <c r="AE337" i="17"/>
  <c r="AC337" i="17"/>
  <c r="AA337" i="17"/>
  <c r="S337" i="17"/>
  <c r="Q337" i="17"/>
  <c r="O337" i="17"/>
  <c r="M337" i="17"/>
  <c r="G311" i="24"/>
  <c r="N311" i="24"/>
  <c r="Q311" i="24"/>
  <c r="S311" i="24"/>
  <c r="G312" i="24"/>
  <c r="N312" i="24"/>
  <c r="Q312" i="24"/>
  <c r="S312" i="24"/>
  <c r="G313" i="24"/>
  <c r="N313" i="24"/>
  <c r="Q313" i="24"/>
  <c r="S313" i="24"/>
  <c r="D311" i="24"/>
  <c r="D312" i="24"/>
  <c r="D313" i="24"/>
  <c r="AI336" i="17"/>
  <c r="AG336" i="17"/>
  <c r="AE336" i="17"/>
  <c r="AC336" i="17"/>
  <c r="AA336" i="17"/>
  <c r="Y336" i="17"/>
  <c r="W336" i="17"/>
  <c r="U336" i="17"/>
  <c r="S336" i="17"/>
  <c r="Q336" i="17"/>
  <c r="O336" i="17"/>
  <c r="M336" i="17"/>
  <c r="AI335" i="17"/>
  <c r="AG335" i="17"/>
  <c r="AE335" i="17"/>
  <c r="AC335" i="17"/>
  <c r="AA335" i="17"/>
  <c r="Y335" i="17"/>
  <c r="U335" i="17"/>
  <c r="S335" i="17"/>
  <c r="Q335" i="17"/>
  <c r="O335" i="17"/>
  <c r="M335" i="17"/>
  <c r="D310" i="24"/>
  <c r="G310" i="24"/>
  <c r="N310" i="24"/>
  <c r="Q310" i="24"/>
  <c r="S310" i="24"/>
  <c r="D309" i="24"/>
  <c r="G309" i="24"/>
  <c r="N309" i="24"/>
  <c r="Q309" i="24"/>
  <c r="S309" i="24"/>
  <c r="E76" i="44"/>
  <c r="L76" i="44"/>
  <c r="G676" i="24"/>
  <c r="N676" i="24"/>
  <c r="Q676" i="24"/>
  <c r="S676" i="24"/>
  <c r="D676" i="24"/>
  <c r="D824" i="24"/>
  <c r="G824" i="24"/>
  <c r="N824" i="24"/>
  <c r="Q824" i="24"/>
  <c r="S824" i="24"/>
  <c r="D825" i="24"/>
  <c r="G825" i="24"/>
  <c r="N825" i="24"/>
  <c r="Q825" i="24"/>
  <c r="S825" i="24"/>
  <c r="D826" i="24"/>
  <c r="G826" i="24"/>
  <c r="N826" i="24"/>
  <c r="Q826" i="24"/>
  <c r="S826" i="24"/>
  <c r="D614" i="24"/>
  <c r="G614" i="24"/>
  <c r="N614" i="24"/>
  <c r="Q614" i="24"/>
  <c r="S614" i="24"/>
  <c r="D526" i="24"/>
  <c r="G526" i="24"/>
  <c r="N526" i="24"/>
  <c r="Q526" i="24"/>
  <c r="S526" i="24"/>
  <c r="AI334" i="17"/>
  <c r="AG334" i="17"/>
  <c r="AE334" i="17"/>
  <c r="AC334" i="17"/>
  <c r="AA334" i="17"/>
  <c r="Y334" i="17"/>
  <c r="W334" i="17"/>
  <c r="U334" i="17"/>
  <c r="S334" i="17"/>
  <c r="Q334" i="17"/>
  <c r="O334" i="17"/>
  <c r="M334" i="17"/>
  <c r="D308" i="24"/>
  <c r="G308" i="24"/>
  <c r="N308" i="24"/>
  <c r="Q308" i="24"/>
  <c r="S308" i="24"/>
  <c r="AI333" i="17"/>
  <c r="AG333" i="17"/>
  <c r="AE333" i="17"/>
  <c r="AC333" i="17"/>
  <c r="S333" i="17"/>
  <c r="Q333" i="17"/>
  <c r="O333" i="17"/>
  <c r="M333" i="17"/>
  <c r="D307" i="24"/>
  <c r="G307" i="24"/>
  <c r="N307" i="24"/>
  <c r="Q307" i="24"/>
  <c r="S307" i="24"/>
  <c r="M330" i="17"/>
  <c r="O330" i="17"/>
  <c r="Q330" i="17"/>
  <c r="S330" i="17"/>
  <c r="U330" i="17"/>
  <c r="W330" i="17"/>
  <c r="Y330" i="17"/>
  <c r="AA330" i="17"/>
  <c r="AC330" i="17"/>
  <c r="AE330" i="17"/>
  <c r="AG330" i="17"/>
  <c r="AI330" i="17"/>
  <c r="M331" i="17"/>
  <c r="O331" i="17"/>
  <c r="Q331" i="17"/>
  <c r="S331" i="17"/>
  <c r="U331" i="17"/>
  <c r="W331" i="17"/>
  <c r="Y331" i="17"/>
  <c r="AA331" i="17"/>
  <c r="AC331" i="17"/>
  <c r="AE331" i="17"/>
  <c r="AG331" i="17"/>
  <c r="AI331" i="17"/>
  <c r="M332" i="17"/>
  <c r="O332" i="17"/>
  <c r="Q332" i="17"/>
  <c r="S332" i="17"/>
  <c r="U332" i="17"/>
  <c r="W332" i="17"/>
  <c r="Y332" i="17"/>
  <c r="AA332" i="17"/>
  <c r="AC332" i="17"/>
  <c r="AE332" i="17"/>
  <c r="AG332" i="17"/>
  <c r="AI332" i="17"/>
  <c r="D304" i="24"/>
  <c r="G304" i="24"/>
  <c r="N304" i="24"/>
  <c r="Q304" i="24"/>
  <c r="S304" i="24"/>
  <c r="D305" i="24"/>
  <c r="G305" i="24"/>
  <c r="N305" i="24"/>
  <c r="Q305" i="24"/>
  <c r="S305" i="24"/>
  <c r="D306" i="24"/>
  <c r="G306" i="24"/>
  <c r="N306" i="24"/>
  <c r="Q306" i="24"/>
  <c r="S306" i="24"/>
  <c r="AI329" i="17"/>
  <c r="AG329" i="17"/>
  <c r="AE329" i="17"/>
  <c r="AC329" i="17"/>
  <c r="AA329" i="17"/>
  <c r="U329" i="17"/>
  <c r="S329" i="17"/>
  <c r="Q329" i="17"/>
  <c r="M329" i="17"/>
  <c r="D746" i="24"/>
  <c r="G746" i="24"/>
  <c r="N746" i="24"/>
  <c r="Q746" i="24"/>
  <c r="S746" i="24"/>
  <c r="D303" i="24"/>
  <c r="G303" i="24"/>
  <c r="N303" i="24"/>
  <c r="Q303" i="24"/>
  <c r="S303" i="24"/>
  <c r="E75" i="44"/>
  <c r="L75" i="44"/>
  <c r="L74" i="44"/>
  <c r="E74" i="44"/>
  <c r="AI328" i="17"/>
  <c r="AG328" i="17"/>
  <c r="AE328" i="17"/>
  <c r="AC328" i="17"/>
  <c r="AA328" i="17"/>
  <c r="Y328" i="17"/>
  <c r="W328" i="17"/>
  <c r="U328" i="17"/>
  <c r="S328" i="17"/>
  <c r="Q328" i="17"/>
  <c r="O328" i="17"/>
  <c r="M328" i="17"/>
  <c r="D302" i="24"/>
  <c r="G302" i="24"/>
  <c r="N302" i="24"/>
  <c r="Q302" i="24"/>
  <c r="S302" i="24"/>
  <c r="E73" i="44"/>
  <c r="L73" i="44"/>
  <c r="L72" i="44"/>
  <c r="E72" i="44"/>
  <c r="AI327" i="17"/>
  <c r="AG327" i="17"/>
  <c r="AE327" i="17"/>
  <c r="AC327" i="17"/>
  <c r="AA327" i="17"/>
  <c r="Y327" i="17"/>
  <c r="W327" i="17"/>
  <c r="U327" i="17"/>
  <c r="S327" i="17"/>
  <c r="Q327" i="17"/>
  <c r="O327" i="17"/>
  <c r="M327" i="17"/>
  <c r="D301" i="24"/>
  <c r="G301" i="24"/>
  <c r="N301" i="24"/>
  <c r="Q301" i="24"/>
  <c r="S301" i="24"/>
  <c r="AI326" i="17"/>
  <c r="AG326" i="17"/>
  <c r="AE326" i="17"/>
  <c r="AC326" i="17"/>
  <c r="AA326" i="17"/>
  <c r="Y326" i="17"/>
  <c r="W326" i="17"/>
  <c r="U326" i="17"/>
  <c r="S326" i="17"/>
  <c r="Q326" i="17"/>
  <c r="O326" i="17"/>
  <c r="M326" i="17"/>
  <c r="K326" i="17"/>
  <c r="M325" i="17"/>
  <c r="O325" i="17"/>
  <c r="Q325" i="17"/>
  <c r="S325" i="17"/>
  <c r="U325" i="17"/>
  <c r="W325" i="17"/>
  <c r="Y325" i="17"/>
  <c r="AA325" i="17"/>
  <c r="AC325" i="17"/>
  <c r="AE325" i="17"/>
  <c r="AG325" i="17"/>
  <c r="AI325" i="17"/>
  <c r="AI324" i="17"/>
  <c r="AG324" i="17"/>
  <c r="AE324" i="17"/>
  <c r="AC324" i="17"/>
  <c r="AA324" i="17"/>
  <c r="Y324" i="17"/>
  <c r="W324" i="17"/>
  <c r="U324" i="17"/>
  <c r="S324" i="17"/>
  <c r="Q324" i="17"/>
  <c r="O324" i="17"/>
  <c r="M324" i="17"/>
  <c r="D298" i="24"/>
  <c r="G298" i="24"/>
  <c r="N298" i="24"/>
  <c r="Q298" i="24"/>
  <c r="S298" i="24"/>
  <c r="D299" i="24"/>
  <c r="G299" i="24"/>
  <c r="N299" i="24"/>
  <c r="Q299" i="24"/>
  <c r="S299" i="24"/>
  <c r="D300" i="24"/>
  <c r="G300" i="24"/>
  <c r="N300" i="24"/>
  <c r="Q300" i="24"/>
  <c r="S300" i="24"/>
  <c r="D613" i="24"/>
  <c r="G613" i="24"/>
  <c r="N613" i="24"/>
  <c r="Q613" i="24"/>
  <c r="S613" i="24"/>
  <c r="AI323" i="17"/>
  <c r="AG323" i="17"/>
  <c r="AE323" i="17"/>
  <c r="AC323" i="17"/>
  <c r="S323" i="17"/>
  <c r="Q323" i="17"/>
  <c r="O323" i="17"/>
  <c r="M323" i="17"/>
  <c r="D297" i="24"/>
  <c r="G297" i="24"/>
  <c r="N297" i="24"/>
  <c r="Q297" i="24"/>
  <c r="S297" i="24"/>
  <c r="AI322" i="17"/>
  <c r="AG322" i="17"/>
  <c r="AE322" i="17"/>
  <c r="AC322" i="17"/>
  <c r="S322" i="17"/>
  <c r="Q322" i="17"/>
  <c r="M322" i="17"/>
  <c r="D745" i="24"/>
  <c r="G745" i="24"/>
  <c r="N745" i="24"/>
  <c r="Q745" i="24"/>
  <c r="S745" i="24"/>
  <c r="D296" i="24"/>
  <c r="G296" i="24"/>
  <c r="N296" i="24"/>
  <c r="Q296" i="24"/>
  <c r="S296" i="24"/>
  <c r="D821" i="24"/>
  <c r="G821" i="24"/>
  <c r="N821" i="24"/>
  <c r="Q821" i="24"/>
  <c r="S821" i="24"/>
  <c r="D822" i="24"/>
  <c r="G822" i="24"/>
  <c r="N822" i="24"/>
  <c r="Q822" i="24"/>
  <c r="S822" i="24"/>
  <c r="D823" i="24"/>
  <c r="G823" i="24"/>
  <c r="N823" i="24"/>
  <c r="Q823" i="24"/>
  <c r="S823" i="24"/>
  <c r="AI321" i="17"/>
  <c r="AG321" i="17"/>
  <c r="AE321" i="17"/>
  <c r="AC321" i="17"/>
  <c r="AA321" i="17"/>
  <c r="S321" i="17"/>
  <c r="Q321" i="17"/>
  <c r="O321" i="17"/>
  <c r="M321" i="17"/>
  <c r="D295" i="24"/>
  <c r="G295" i="24"/>
  <c r="N295" i="24"/>
  <c r="Q295" i="24"/>
  <c r="S295" i="24"/>
  <c r="D524" i="24"/>
  <c r="G524" i="24"/>
  <c r="N524" i="24"/>
  <c r="Q524" i="24"/>
  <c r="S524" i="24"/>
  <c r="D525" i="24"/>
  <c r="G525" i="24"/>
  <c r="N525" i="24"/>
  <c r="Q525" i="24"/>
  <c r="S525" i="24"/>
  <c r="D675" i="24"/>
  <c r="G675" i="24"/>
  <c r="N675" i="24"/>
  <c r="Q675" i="24"/>
  <c r="S675" i="24"/>
  <c r="D611" i="24"/>
  <c r="G611" i="24"/>
  <c r="N611" i="24"/>
  <c r="Q611" i="24"/>
  <c r="S611" i="24"/>
  <c r="D612" i="24"/>
  <c r="G612" i="24"/>
  <c r="N612" i="24"/>
  <c r="Q612" i="24"/>
  <c r="S612" i="24"/>
  <c r="M315" i="17"/>
  <c r="O315" i="17"/>
  <c r="Q315" i="17"/>
  <c r="S315" i="17"/>
  <c r="U315" i="17"/>
  <c r="W315" i="17"/>
  <c r="Y315" i="17"/>
  <c r="AA315" i="17"/>
  <c r="AC315" i="17"/>
  <c r="AE315" i="17"/>
  <c r="AG315" i="17"/>
  <c r="AI315" i="17"/>
  <c r="M316" i="17"/>
  <c r="O316" i="17"/>
  <c r="Q316" i="17"/>
  <c r="S316" i="17"/>
  <c r="U316" i="17"/>
  <c r="W316" i="17"/>
  <c r="Y316" i="17"/>
  <c r="AA316" i="17"/>
  <c r="AC316" i="17"/>
  <c r="AE316" i="17"/>
  <c r="AG316" i="17"/>
  <c r="AI316" i="17"/>
  <c r="M317" i="17"/>
  <c r="O317" i="17"/>
  <c r="Q317" i="17"/>
  <c r="S317" i="17"/>
  <c r="U317" i="17"/>
  <c r="W317" i="17"/>
  <c r="Y317" i="17"/>
  <c r="AA317" i="17"/>
  <c r="AC317" i="17"/>
  <c r="AE317" i="17"/>
  <c r="AG317" i="17"/>
  <c r="AI317" i="17"/>
  <c r="M318" i="17"/>
  <c r="O318" i="17"/>
  <c r="Q318" i="17"/>
  <c r="S318" i="17"/>
  <c r="U318" i="17"/>
  <c r="W318" i="17"/>
  <c r="Y318" i="17"/>
  <c r="AA318" i="17"/>
  <c r="AC318" i="17"/>
  <c r="AE318" i="17"/>
  <c r="AG318" i="17"/>
  <c r="AI318" i="17"/>
  <c r="M319" i="17"/>
  <c r="O319" i="17"/>
  <c r="Q319" i="17"/>
  <c r="S319" i="17"/>
  <c r="U319" i="17"/>
  <c r="W319" i="17"/>
  <c r="Y319" i="17"/>
  <c r="AA319" i="17"/>
  <c r="AC319" i="17"/>
  <c r="AE319" i="17"/>
  <c r="AG319" i="17"/>
  <c r="AI319" i="17"/>
  <c r="M320" i="17"/>
  <c r="O320" i="17"/>
  <c r="Q320" i="17"/>
  <c r="S320" i="17"/>
  <c r="U320" i="17"/>
  <c r="W320" i="17"/>
  <c r="Y320" i="17"/>
  <c r="AA320" i="17"/>
  <c r="AC320" i="17"/>
  <c r="AE320" i="17"/>
  <c r="AG320" i="17"/>
  <c r="AI320" i="17"/>
  <c r="D292" i="24"/>
  <c r="G292" i="24"/>
  <c r="N292" i="24"/>
  <c r="Q292" i="24"/>
  <c r="S292" i="24"/>
  <c r="D293" i="24"/>
  <c r="G293" i="24"/>
  <c r="N293" i="24"/>
  <c r="Q293" i="24"/>
  <c r="S293" i="24"/>
  <c r="D294" i="24"/>
  <c r="G294" i="24"/>
  <c r="N294" i="24"/>
  <c r="Q294" i="24"/>
  <c r="S294" i="24"/>
  <c r="D289" i="24"/>
  <c r="G289" i="24"/>
  <c r="N289" i="24"/>
  <c r="Q289" i="24"/>
  <c r="S289" i="24"/>
  <c r="D290" i="24"/>
  <c r="G290" i="24"/>
  <c r="N290" i="24"/>
  <c r="Q290" i="24"/>
  <c r="S290" i="24"/>
  <c r="D291" i="24"/>
  <c r="G291" i="24"/>
  <c r="N291" i="24"/>
  <c r="Q291" i="24"/>
  <c r="S291" i="24"/>
  <c r="L71" i="44"/>
  <c r="E71" i="44"/>
  <c r="E69" i="44"/>
  <c r="L69" i="44"/>
  <c r="E70" i="44"/>
  <c r="L70" i="44"/>
  <c r="AI314" i="17"/>
  <c r="AG314" i="17"/>
  <c r="AE314" i="17"/>
  <c r="AC314" i="17"/>
  <c r="AA314" i="17"/>
  <c r="W314" i="17"/>
  <c r="U314" i="17"/>
  <c r="S314" i="17"/>
  <c r="Q314" i="17"/>
  <c r="M314" i="17"/>
  <c r="AI313" i="17"/>
  <c r="AG313" i="17"/>
  <c r="AE313" i="17"/>
  <c r="AC313" i="17"/>
  <c r="AA313" i="17"/>
  <c r="Y313" i="17"/>
  <c r="W313" i="17"/>
  <c r="U313" i="17"/>
  <c r="S313" i="17"/>
  <c r="Q313" i="17"/>
  <c r="M313" i="17"/>
  <c r="D743" i="24"/>
  <c r="G743" i="24"/>
  <c r="N743" i="24"/>
  <c r="Q743" i="24"/>
  <c r="S743" i="24"/>
  <c r="D744" i="24"/>
  <c r="G744" i="24"/>
  <c r="N744" i="24"/>
  <c r="Q744" i="24"/>
  <c r="S744" i="24"/>
  <c r="D287" i="24"/>
  <c r="G287" i="24"/>
  <c r="N287" i="24"/>
  <c r="Q287" i="24"/>
  <c r="S287" i="24"/>
  <c r="D288" i="24"/>
  <c r="G288" i="24"/>
  <c r="N288" i="24"/>
  <c r="Q288" i="24"/>
  <c r="S288" i="24"/>
  <c r="E68" i="44"/>
  <c r="L68" i="44"/>
  <c r="E67" i="44"/>
  <c r="L67" i="44"/>
  <c r="E65" i="44"/>
  <c r="L65" i="44"/>
  <c r="E66" i="44"/>
  <c r="L66" i="44"/>
  <c r="L64" i="44"/>
  <c r="E64" i="44"/>
  <c r="D523" i="24"/>
  <c r="G523" i="24"/>
  <c r="N523" i="24"/>
  <c r="Q523" i="24"/>
  <c r="S523" i="24"/>
  <c r="M312" i="17"/>
  <c r="Q312" i="17"/>
  <c r="S312" i="17"/>
  <c r="U312" i="17"/>
  <c r="W312" i="17"/>
  <c r="Y312" i="17"/>
  <c r="AA312" i="17"/>
  <c r="AC312" i="17"/>
  <c r="AE312" i="17"/>
  <c r="AG312" i="17"/>
  <c r="AI312" i="17"/>
  <c r="D742" i="24"/>
  <c r="G742" i="24"/>
  <c r="N742" i="24"/>
  <c r="Q742" i="24"/>
  <c r="S742" i="24"/>
  <c r="D286" i="24"/>
  <c r="G286" i="24"/>
  <c r="N286" i="24"/>
  <c r="Q286" i="24"/>
  <c r="S286" i="24"/>
  <c r="S820" i="24"/>
  <c r="Q820" i="24"/>
  <c r="N820" i="24"/>
  <c r="G820" i="24"/>
  <c r="D820" i="24"/>
  <c r="S819" i="24"/>
  <c r="Q819" i="24"/>
  <c r="N819" i="24"/>
  <c r="G819" i="24"/>
  <c r="D819" i="24"/>
  <c r="AI311" i="17"/>
  <c r="AG311" i="17"/>
  <c r="AE311" i="17"/>
  <c r="AC311" i="17"/>
  <c r="AA311" i="17"/>
  <c r="Y311" i="17"/>
  <c r="W311" i="17"/>
  <c r="U311" i="17"/>
  <c r="S311" i="17"/>
  <c r="Q311" i="17"/>
  <c r="M311" i="17"/>
  <c r="D741" i="24"/>
  <c r="G741" i="24"/>
  <c r="N741" i="24"/>
  <c r="Q741" i="24"/>
  <c r="S741" i="24"/>
  <c r="D285" i="24"/>
  <c r="G285" i="24"/>
  <c r="N285" i="24"/>
  <c r="Q285" i="24"/>
  <c r="S285" i="24"/>
  <c r="AI310" i="17"/>
  <c r="AG310" i="17"/>
  <c r="AE310" i="17"/>
  <c r="AC310" i="17"/>
  <c r="AA310" i="17"/>
  <c r="Y310" i="17"/>
  <c r="W310" i="17"/>
  <c r="U310" i="17"/>
  <c r="S310" i="17"/>
  <c r="Q310" i="17"/>
  <c r="O310" i="17"/>
  <c r="M310" i="17"/>
  <c r="D284" i="24"/>
  <c r="G284" i="24"/>
  <c r="N284" i="24"/>
  <c r="Q284" i="24"/>
  <c r="S284" i="24"/>
  <c r="D815" i="24"/>
  <c r="G815" i="24"/>
  <c r="N815" i="24"/>
  <c r="Q815" i="24"/>
  <c r="S815" i="24"/>
  <c r="D816" i="24"/>
  <c r="G816" i="24"/>
  <c r="N816" i="24"/>
  <c r="Q816" i="24"/>
  <c r="S816" i="24"/>
  <c r="D817" i="24"/>
  <c r="G817" i="24"/>
  <c r="N817" i="24"/>
  <c r="Q817" i="24"/>
  <c r="S817" i="24"/>
  <c r="D818" i="24"/>
  <c r="G818" i="24"/>
  <c r="N818" i="24"/>
  <c r="Q818" i="24"/>
  <c r="S818" i="24"/>
  <c r="G804" i="24"/>
  <c r="N804" i="24"/>
  <c r="Q804" i="24"/>
  <c r="S804" i="24"/>
  <c r="G805" i="24"/>
  <c r="N805" i="24"/>
  <c r="Q805" i="24"/>
  <c r="S805" i="24"/>
  <c r="G806" i="24"/>
  <c r="N806" i="24"/>
  <c r="Q806" i="24"/>
  <c r="S806" i="24"/>
  <c r="G807" i="24"/>
  <c r="N807" i="24"/>
  <c r="Q807" i="24"/>
  <c r="S807" i="24"/>
  <c r="G808" i="24"/>
  <c r="N808" i="24"/>
  <c r="Q808" i="24"/>
  <c r="S808" i="24"/>
  <c r="G809" i="24"/>
  <c r="N809" i="24"/>
  <c r="Q809" i="24"/>
  <c r="S809" i="24"/>
  <c r="G810" i="24"/>
  <c r="N810" i="24"/>
  <c r="Q810" i="24"/>
  <c r="S810" i="24"/>
  <c r="G811" i="24"/>
  <c r="N811" i="24"/>
  <c r="Q811" i="24"/>
  <c r="S811" i="24"/>
  <c r="G812" i="24"/>
  <c r="N812" i="24"/>
  <c r="Q812" i="24"/>
  <c r="S812" i="24"/>
  <c r="G813" i="24"/>
  <c r="N813" i="24"/>
  <c r="Q813" i="24"/>
  <c r="S813" i="24"/>
  <c r="G814" i="24"/>
  <c r="N814" i="24"/>
  <c r="Q814" i="24"/>
  <c r="S814" i="24"/>
  <c r="D804" i="24"/>
  <c r="D805" i="24"/>
  <c r="D806" i="24"/>
  <c r="D807" i="24"/>
  <c r="D808" i="24"/>
  <c r="D809" i="24"/>
  <c r="D810" i="24"/>
  <c r="D811" i="24"/>
  <c r="D812" i="24"/>
  <c r="D813" i="24"/>
  <c r="D814" i="24"/>
  <c r="E61" i="44"/>
  <c r="L61" i="44"/>
  <c r="E62" i="44"/>
  <c r="L62" i="44"/>
  <c r="E63" i="44"/>
  <c r="L63" i="44"/>
  <c r="AI309" i="17"/>
  <c r="AG309" i="17"/>
  <c r="AE309" i="17"/>
  <c r="AC309" i="17"/>
  <c r="AA309" i="17"/>
  <c r="Y309" i="17"/>
  <c r="S309" i="17"/>
  <c r="Q309" i="17"/>
  <c r="O309" i="17"/>
  <c r="M309" i="17"/>
  <c r="D801" i="24"/>
  <c r="G801" i="24"/>
  <c r="N801" i="24"/>
  <c r="Q801" i="24"/>
  <c r="S801" i="24"/>
  <c r="D803" i="24"/>
  <c r="G803" i="24"/>
  <c r="N803" i="24"/>
  <c r="Q803" i="24"/>
  <c r="S803" i="24"/>
  <c r="D521" i="24"/>
  <c r="G521" i="24"/>
  <c r="N521" i="24"/>
  <c r="Q521" i="24"/>
  <c r="S521" i="24"/>
  <c r="D522" i="24"/>
  <c r="G522" i="24"/>
  <c r="N522" i="24"/>
  <c r="Q522" i="24"/>
  <c r="S522" i="24"/>
  <c r="D609" i="24"/>
  <c r="G609" i="24"/>
  <c r="N609" i="24"/>
  <c r="Q609" i="24"/>
  <c r="S609" i="24"/>
  <c r="D610" i="24"/>
  <c r="G610" i="24"/>
  <c r="N610" i="24"/>
  <c r="Q610" i="24"/>
  <c r="S610" i="24"/>
  <c r="D674" i="24"/>
  <c r="G674" i="24"/>
  <c r="N674" i="24"/>
  <c r="Q674" i="24"/>
  <c r="S674" i="24"/>
  <c r="AI308" i="17"/>
  <c r="AG308" i="17"/>
  <c r="AE308" i="17"/>
  <c r="AC308" i="17"/>
  <c r="AA308" i="17"/>
  <c r="U308" i="17"/>
  <c r="S308" i="17"/>
  <c r="Q308" i="17"/>
  <c r="O308" i="17"/>
  <c r="M308" i="17"/>
  <c r="D283" i="24"/>
  <c r="G283" i="24"/>
  <c r="N283" i="24"/>
  <c r="Q283" i="24"/>
  <c r="S283" i="24"/>
  <c r="AI307" i="17"/>
  <c r="AG307" i="17"/>
  <c r="AE307" i="17"/>
  <c r="AC307" i="17"/>
  <c r="S307" i="17"/>
  <c r="Q307" i="17"/>
  <c r="O307" i="17"/>
  <c r="M307" i="17"/>
  <c r="D282" i="24"/>
  <c r="G282" i="24"/>
  <c r="N282" i="24"/>
  <c r="Q282" i="24"/>
  <c r="S282" i="24"/>
  <c r="AI306" i="17"/>
  <c r="AG306" i="17"/>
  <c r="AE306" i="17"/>
  <c r="AC306" i="17"/>
  <c r="AA306" i="17"/>
  <c r="S306" i="17"/>
  <c r="Q306" i="17"/>
  <c r="O306" i="17"/>
  <c r="M306" i="17"/>
  <c r="D281" i="24"/>
  <c r="G281" i="24"/>
  <c r="N281" i="24"/>
  <c r="Q281" i="24"/>
  <c r="S281" i="24"/>
  <c r="AI305" i="17"/>
  <c r="AG305" i="17"/>
  <c r="AE305" i="17"/>
  <c r="AC305" i="17"/>
  <c r="AA305" i="17"/>
  <c r="Y305" i="17"/>
  <c r="W305" i="17"/>
  <c r="U305" i="17"/>
  <c r="S305" i="17"/>
  <c r="Q305" i="17"/>
  <c r="M305" i="17"/>
  <c r="D280" i="24"/>
  <c r="G280" i="24"/>
  <c r="N280" i="24"/>
  <c r="Q280" i="24"/>
  <c r="S280" i="24"/>
  <c r="D739" i="24"/>
  <c r="G739" i="24"/>
  <c r="N739" i="24"/>
  <c r="Q739" i="24"/>
  <c r="S739" i="24"/>
  <c r="D740" i="24"/>
  <c r="G740" i="24"/>
  <c r="N740" i="24"/>
  <c r="Q740" i="24"/>
  <c r="S740" i="24"/>
  <c r="AI304" i="17"/>
  <c r="AG304" i="17"/>
  <c r="AE304" i="17"/>
  <c r="AC304" i="17"/>
  <c r="AA304" i="17"/>
  <c r="Y304" i="17"/>
  <c r="W304" i="17"/>
  <c r="U304" i="17"/>
  <c r="S304" i="17"/>
  <c r="Q304" i="17"/>
  <c r="O304" i="17"/>
  <c r="M304" i="17"/>
  <c r="D279" i="24"/>
  <c r="G279" i="24"/>
  <c r="N279" i="24"/>
  <c r="Q279" i="24"/>
  <c r="S279" i="24"/>
  <c r="E60" i="44"/>
  <c r="L60" i="44"/>
  <c r="E59" i="44"/>
  <c r="L59" i="44"/>
  <c r="E58" i="44"/>
  <c r="L58" i="44"/>
  <c r="U133" i="35"/>
  <c r="R133" i="35"/>
  <c r="G133" i="35"/>
  <c r="D608" i="24"/>
  <c r="G608" i="24"/>
  <c r="N608" i="24"/>
  <c r="Q608" i="24"/>
  <c r="S608" i="24"/>
  <c r="AG303" i="17"/>
  <c r="AE303" i="17"/>
  <c r="AC303" i="17"/>
  <c r="AA303" i="17"/>
  <c r="Y303" i="17"/>
  <c r="S303" i="17"/>
  <c r="Q303" i="17"/>
  <c r="O303" i="17"/>
  <c r="M303" i="17"/>
  <c r="AI303" i="17"/>
  <c r="D278" i="24"/>
  <c r="G278" i="24"/>
  <c r="N278" i="24"/>
  <c r="Q278" i="24"/>
  <c r="S278" i="24"/>
  <c r="D673" i="24"/>
  <c r="G673" i="24"/>
  <c r="N673" i="24"/>
  <c r="Q673" i="24"/>
  <c r="S673" i="24"/>
  <c r="D520" i="24"/>
  <c r="G520" i="24"/>
  <c r="N520" i="24"/>
  <c r="Q520" i="24"/>
  <c r="S520" i="24"/>
  <c r="AI302" i="17"/>
  <c r="AG302" i="17"/>
  <c r="AE302" i="17"/>
  <c r="AC302" i="17"/>
  <c r="AA302" i="17"/>
  <c r="Y302" i="17"/>
  <c r="W302" i="17"/>
  <c r="U302" i="17"/>
  <c r="S302" i="17"/>
  <c r="Q302" i="17"/>
  <c r="M302" i="17"/>
  <c r="D738" i="24"/>
  <c r="G738" i="24"/>
  <c r="N738" i="24"/>
  <c r="Q738" i="24"/>
  <c r="S738" i="24"/>
  <c r="D277" i="24"/>
  <c r="G277" i="24"/>
  <c r="N277" i="24"/>
  <c r="Q277" i="24"/>
  <c r="S277" i="24"/>
  <c r="D607" i="24"/>
  <c r="G607" i="24"/>
  <c r="N607" i="24"/>
  <c r="Q607" i="24"/>
  <c r="S607" i="24"/>
  <c r="E57" i="44"/>
  <c r="L57" i="44"/>
  <c r="D519" i="24"/>
  <c r="G519" i="24"/>
  <c r="N519" i="24"/>
  <c r="Q519" i="24"/>
  <c r="S519" i="24"/>
  <c r="AI301" i="17"/>
  <c r="AG301" i="17"/>
  <c r="AE301" i="17"/>
  <c r="U301" i="17"/>
  <c r="S301" i="17"/>
  <c r="Q301" i="17"/>
  <c r="M301" i="17"/>
  <c r="D737" i="24"/>
  <c r="G737" i="24"/>
  <c r="N737" i="24"/>
  <c r="Q737" i="24"/>
  <c r="S737" i="24"/>
  <c r="D276" i="24"/>
  <c r="G276" i="24"/>
  <c r="N276" i="24"/>
  <c r="Q276" i="24"/>
  <c r="S276" i="24"/>
  <c r="D672" i="24"/>
  <c r="G672" i="24"/>
  <c r="N672" i="24"/>
  <c r="Q672" i="24"/>
  <c r="S672" i="24"/>
  <c r="D606" i="24"/>
  <c r="G606" i="24"/>
  <c r="N606" i="24"/>
  <c r="Q606" i="24"/>
  <c r="S606" i="24"/>
  <c r="D518" i="24"/>
  <c r="G518" i="24"/>
  <c r="N518" i="24"/>
  <c r="Q518" i="24"/>
  <c r="S518" i="24"/>
  <c r="E56" i="44"/>
  <c r="L56" i="44"/>
  <c r="AI300" i="17"/>
  <c r="AG300" i="17"/>
  <c r="AE300" i="17"/>
  <c r="AC300" i="17"/>
  <c r="AA300" i="17"/>
  <c r="S300" i="17"/>
  <c r="Q300" i="17"/>
  <c r="O300" i="17"/>
  <c r="M300" i="17"/>
  <c r="D275" i="24"/>
  <c r="G275" i="24"/>
  <c r="N275" i="24"/>
  <c r="Q275" i="24"/>
  <c r="S275" i="24"/>
  <c r="AI299" i="17"/>
  <c r="AG299" i="17"/>
  <c r="AE299" i="17"/>
  <c r="AC299" i="17"/>
  <c r="U299" i="17"/>
  <c r="S299" i="17"/>
  <c r="Q299" i="17"/>
  <c r="O299" i="17"/>
  <c r="M299" i="17"/>
  <c r="D274" i="24"/>
  <c r="G274" i="24"/>
  <c r="N274" i="24"/>
  <c r="Q274" i="24"/>
  <c r="S274" i="24"/>
  <c r="AI298" i="17"/>
  <c r="AG298" i="17"/>
  <c r="AE298" i="17"/>
  <c r="AC298" i="17"/>
  <c r="W298" i="17"/>
  <c r="U298" i="17"/>
  <c r="S298" i="17"/>
  <c r="Q298" i="17"/>
  <c r="O298" i="17"/>
  <c r="D736" i="24"/>
  <c r="G736" i="24"/>
  <c r="N736" i="24"/>
  <c r="Q736" i="24"/>
  <c r="S736" i="24"/>
  <c r="D273" i="24"/>
  <c r="G273" i="24"/>
  <c r="N273" i="24"/>
  <c r="Q273" i="24"/>
  <c r="S273" i="24"/>
  <c r="D800" i="24"/>
  <c r="G800" i="24"/>
  <c r="N800" i="24"/>
  <c r="Q800" i="24"/>
  <c r="S800" i="24"/>
  <c r="AI297" i="17"/>
  <c r="AG297" i="17"/>
  <c r="AE297" i="17"/>
  <c r="AC297" i="17"/>
  <c r="AA297" i="17"/>
  <c r="S297" i="17"/>
  <c r="Q297" i="17"/>
  <c r="O297" i="17"/>
  <c r="M297" i="17"/>
  <c r="AI296" i="17"/>
  <c r="AG296" i="17"/>
  <c r="AE296" i="17"/>
  <c r="AC296" i="17"/>
  <c r="AA296" i="17"/>
  <c r="Y296" i="17"/>
  <c r="W296" i="17"/>
  <c r="U296" i="17"/>
  <c r="S296" i="17"/>
  <c r="Q296" i="17"/>
  <c r="D735" i="24"/>
  <c r="G735" i="24"/>
  <c r="N735" i="24"/>
  <c r="Q735" i="24"/>
  <c r="S735" i="24"/>
  <c r="D271" i="24"/>
  <c r="G271" i="24"/>
  <c r="N271" i="24"/>
  <c r="Q271" i="24"/>
  <c r="S271" i="24"/>
  <c r="D272" i="24"/>
  <c r="G272" i="24"/>
  <c r="N272" i="24"/>
  <c r="Q272" i="24"/>
  <c r="S272" i="24"/>
  <c r="AI295" i="17"/>
  <c r="AG295" i="17"/>
  <c r="AE295" i="17"/>
  <c r="AC295" i="17"/>
  <c r="AA295" i="17"/>
  <c r="Y295" i="17"/>
  <c r="W295" i="17"/>
  <c r="U295" i="17"/>
  <c r="S295" i="17"/>
  <c r="Q295" i="17"/>
  <c r="O295" i="17"/>
  <c r="M295" i="17"/>
  <c r="D270" i="24"/>
  <c r="G270" i="24"/>
  <c r="N270" i="24"/>
  <c r="Q270" i="24"/>
  <c r="S270" i="24"/>
  <c r="D517" i="24"/>
  <c r="G517" i="24"/>
  <c r="N517" i="24"/>
  <c r="Q517" i="24"/>
  <c r="S517" i="24"/>
  <c r="G671" i="24"/>
  <c r="N671" i="24"/>
  <c r="Q671" i="24"/>
  <c r="S671" i="24"/>
  <c r="D671" i="24"/>
  <c r="G605" i="24"/>
  <c r="N605" i="24"/>
  <c r="Q605" i="24"/>
  <c r="S605" i="24"/>
  <c r="D605" i="24"/>
  <c r="I293" i="17"/>
  <c r="K293" i="17"/>
  <c r="M293" i="17"/>
  <c r="O293" i="17"/>
  <c r="Q293" i="17"/>
  <c r="S293" i="17"/>
  <c r="U293" i="17"/>
  <c r="W293" i="17"/>
  <c r="Y293" i="17"/>
  <c r="AA293" i="17"/>
  <c r="AC293" i="17"/>
  <c r="AE293" i="17"/>
  <c r="AG293" i="17"/>
  <c r="AI293" i="17"/>
  <c r="I294" i="17"/>
  <c r="K294" i="17"/>
  <c r="M294" i="17"/>
  <c r="O294" i="17"/>
  <c r="Q294" i="17"/>
  <c r="S294" i="17"/>
  <c r="U294" i="17"/>
  <c r="W294" i="17"/>
  <c r="Y294" i="17"/>
  <c r="AA294" i="17"/>
  <c r="AC294" i="17"/>
  <c r="AE294" i="17"/>
  <c r="AG294" i="17"/>
  <c r="AI294" i="17"/>
  <c r="D670" i="24"/>
  <c r="G670" i="24"/>
  <c r="N670" i="24"/>
  <c r="Q670" i="24"/>
  <c r="S670" i="24"/>
  <c r="D603" i="24"/>
  <c r="G603" i="24"/>
  <c r="N603" i="24"/>
  <c r="Q603" i="24"/>
  <c r="S603" i="24"/>
  <c r="D604" i="24"/>
  <c r="G604" i="24"/>
  <c r="N604" i="24"/>
  <c r="Q604" i="24"/>
  <c r="S604" i="24"/>
  <c r="D515" i="24"/>
  <c r="G515" i="24"/>
  <c r="N515" i="24"/>
  <c r="Q515" i="24"/>
  <c r="S515" i="24"/>
  <c r="D516" i="24"/>
  <c r="G516" i="24"/>
  <c r="N516" i="24"/>
  <c r="Q516" i="24"/>
  <c r="S516" i="24"/>
  <c r="D514" i="24"/>
  <c r="G514" i="24"/>
  <c r="N514" i="24"/>
  <c r="Q514" i="24"/>
  <c r="S514" i="24"/>
  <c r="D669" i="24"/>
  <c r="G669" i="24"/>
  <c r="N669" i="24"/>
  <c r="Q669" i="24"/>
  <c r="S669" i="24"/>
  <c r="E55" i="44"/>
  <c r="L55" i="44"/>
  <c r="E54" i="44"/>
  <c r="L54" i="44"/>
  <c r="I292" i="17"/>
  <c r="K292" i="17"/>
  <c r="M292" i="17"/>
  <c r="O292" i="17"/>
  <c r="Q292" i="17"/>
  <c r="S292" i="17"/>
  <c r="U292" i="17"/>
  <c r="W292" i="17"/>
  <c r="Y292" i="17"/>
  <c r="AA292" i="17"/>
  <c r="AC292" i="17"/>
  <c r="AE292" i="17"/>
  <c r="AG292" i="17"/>
  <c r="AI292" i="17"/>
  <c r="AI291" i="17"/>
  <c r="AG291" i="17"/>
  <c r="AE291" i="17"/>
  <c r="AC291" i="17"/>
  <c r="AA291" i="17"/>
  <c r="Y291" i="17"/>
  <c r="W291" i="17"/>
  <c r="U291" i="17"/>
  <c r="S291" i="17"/>
  <c r="Q291" i="17"/>
  <c r="O291" i="17"/>
  <c r="M291" i="17"/>
  <c r="K291" i="17"/>
  <c r="I291" i="17"/>
  <c r="E53" i="44"/>
  <c r="L53" i="44"/>
  <c r="O290" i="17"/>
  <c r="Q290" i="17"/>
  <c r="S290" i="17"/>
  <c r="U290" i="17"/>
  <c r="W290" i="17"/>
  <c r="Y290" i="17"/>
  <c r="AA290" i="17"/>
  <c r="AC290" i="17"/>
  <c r="AE290" i="17"/>
  <c r="AG290" i="17"/>
  <c r="AI290" i="17"/>
  <c r="D734" i="24"/>
  <c r="G734" i="24"/>
  <c r="N734" i="24"/>
  <c r="Q734" i="24"/>
  <c r="S734" i="24"/>
  <c r="D269" i="24"/>
  <c r="G269" i="24"/>
  <c r="N269" i="24"/>
  <c r="Q269" i="24"/>
  <c r="S269" i="24"/>
  <c r="M289" i="17"/>
  <c r="O289" i="17"/>
  <c r="Q289" i="17"/>
  <c r="S289" i="17"/>
  <c r="U289" i="17"/>
  <c r="W289" i="17"/>
  <c r="Y289" i="17"/>
  <c r="AA289" i="17"/>
  <c r="AC289" i="17"/>
  <c r="AE289" i="17"/>
  <c r="AG289" i="17"/>
  <c r="AI289" i="17"/>
  <c r="M288" i="17"/>
  <c r="O288" i="17"/>
  <c r="Q288" i="17"/>
  <c r="S288" i="17"/>
  <c r="U288" i="17"/>
  <c r="W288" i="17"/>
  <c r="Y288" i="17"/>
  <c r="AA288" i="17"/>
  <c r="AC288" i="17"/>
  <c r="AE288" i="17"/>
  <c r="AG288" i="17"/>
  <c r="AI288" i="17"/>
  <c r="D267" i="24"/>
  <c r="G267" i="24"/>
  <c r="N267" i="24"/>
  <c r="Q267" i="24"/>
  <c r="S267" i="24"/>
  <c r="D268" i="24"/>
  <c r="G268" i="24"/>
  <c r="N268" i="24"/>
  <c r="Q268" i="24"/>
  <c r="S268" i="24"/>
  <c r="L52" i="44"/>
  <c r="E52" i="44"/>
  <c r="M287" i="17"/>
  <c r="O287" i="17"/>
  <c r="Q287" i="17"/>
  <c r="S287" i="17"/>
  <c r="U287" i="17"/>
  <c r="W287" i="17"/>
  <c r="Y287" i="17"/>
  <c r="AA287" i="17"/>
  <c r="AC287" i="17"/>
  <c r="AE287" i="17"/>
  <c r="AG287" i="17"/>
  <c r="AI287" i="17"/>
  <c r="D266" i="24"/>
  <c r="G266" i="24"/>
  <c r="N266" i="24"/>
  <c r="Q266" i="24"/>
  <c r="S266" i="24"/>
  <c r="K286" i="17"/>
  <c r="M286" i="17"/>
  <c r="O286" i="17"/>
  <c r="Q286" i="17"/>
  <c r="S286" i="17"/>
  <c r="U286" i="17"/>
  <c r="W286" i="17"/>
  <c r="Y286" i="17"/>
  <c r="AA286" i="17"/>
  <c r="AC286" i="17"/>
  <c r="AE286" i="17"/>
  <c r="AG286" i="17"/>
  <c r="AI286" i="17"/>
  <c r="K285" i="17"/>
  <c r="M285" i="17"/>
  <c r="O285" i="17"/>
  <c r="Q285" i="17"/>
  <c r="S285" i="17"/>
  <c r="U285" i="17"/>
  <c r="W285" i="17"/>
  <c r="Y285" i="17"/>
  <c r="AA285" i="17"/>
  <c r="AC285" i="17"/>
  <c r="AE285" i="17"/>
  <c r="AG285" i="17"/>
  <c r="AI285" i="17"/>
  <c r="K284" i="17"/>
  <c r="M284" i="17"/>
  <c r="O284" i="17"/>
  <c r="Q284" i="17"/>
  <c r="S284" i="17"/>
  <c r="U284" i="17"/>
  <c r="W284" i="17"/>
  <c r="Y284" i="17"/>
  <c r="AA284" i="17"/>
  <c r="AC284" i="17"/>
  <c r="AE284" i="17"/>
  <c r="AG284" i="17"/>
  <c r="AI284" i="17"/>
  <c r="G265" i="24"/>
  <c r="N265" i="24"/>
  <c r="Q265" i="24"/>
  <c r="S265" i="24"/>
  <c r="D265" i="24"/>
  <c r="D264" i="24"/>
  <c r="G264" i="24"/>
  <c r="N264" i="24"/>
  <c r="Q264" i="24"/>
  <c r="S264" i="24"/>
  <c r="D263" i="24"/>
  <c r="G263" i="24"/>
  <c r="N263" i="24"/>
  <c r="Q263" i="24"/>
  <c r="S263" i="24"/>
  <c r="AI283" i="17"/>
  <c r="AG283" i="17"/>
  <c r="AE283" i="17"/>
  <c r="AC283" i="17"/>
  <c r="AA283" i="17"/>
  <c r="Y283" i="17"/>
  <c r="W283" i="17"/>
  <c r="U283" i="17"/>
  <c r="S283" i="17"/>
  <c r="Q283" i="17"/>
  <c r="M283" i="17"/>
  <c r="M282" i="17"/>
  <c r="O282" i="17"/>
  <c r="Q282" i="17"/>
  <c r="S282" i="17"/>
  <c r="U282" i="17"/>
  <c r="W282" i="17"/>
  <c r="Y282" i="17"/>
  <c r="AA282" i="17"/>
  <c r="AC282" i="17"/>
  <c r="AE282" i="17"/>
  <c r="AG282" i="17"/>
  <c r="AI282" i="17"/>
  <c r="AI281" i="17"/>
  <c r="AG281" i="17"/>
  <c r="AE281" i="17"/>
  <c r="AC281" i="17"/>
  <c r="AA281" i="17"/>
  <c r="Y281" i="17"/>
  <c r="W281" i="17"/>
  <c r="U281" i="17"/>
  <c r="S281" i="17"/>
  <c r="Q281" i="17"/>
  <c r="O281" i="17"/>
  <c r="M281" i="17"/>
  <c r="D262" i="24"/>
  <c r="G262" i="24"/>
  <c r="N262" i="24"/>
  <c r="Q262" i="24"/>
  <c r="S262" i="24"/>
  <c r="D261" i="24"/>
  <c r="G261" i="24"/>
  <c r="N261" i="24"/>
  <c r="Q261" i="24"/>
  <c r="S261" i="24"/>
  <c r="AI280" i="17"/>
  <c r="AG280" i="17"/>
  <c r="AE280" i="17"/>
  <c r="AC280" i="17"/>
  <c r="AA280" i="17"/>
  <c r="Y280" i="17"/>
  <c r="W280" i="17"/>
  <c r="U280" i="17"/>
  <c r="S280" i="17"/>
  <c r="Q280" i="17"/>
  <c r="O280" i="17"/>
  <c r="M280" i="17"/>
  <c r="K280" i="17"/>
  <c r="I280" i="17"/>
  <c r="E51" i="44"/>
  <c r="L51" i="44"/>
  <c r="D668" i="24"/>
  <c r="G668" i="24"/>
  <c r="N668" i="24"/>
  <c r="Q668" i="24"/>
  <c r="S668" i="24"/>
  <c r="G601" i="24"/>
  <c r="N601" i="24"/>
  <c r="Q601" i="24"/>
  <c r="S601" i="24"/>
  <c r="G602" i="24"/>
  <c r="N602" i="24"/>
  <c r="Q602" i="24"/>
  <c r="S602" i="24"/>
  <c r="D601" i="24"/>
  <c r="D602" i="24"/>
  <c r="N512" i="24"/>
  <c r="Q512" i="24"/>
  <c r="S512" i="24"/>
  <c r="N513" i="24"/>
  <c r="Q513" i="24"/>
  <c r="S513" i="24"/>
  <c r="G512" i="24"/>
  <c r="G513" i="24"/>
  <c r="D512" i="24"/>
  <c r="D513" i="24"/>
  <c r="U132" i="35"/>
  <c r="R132" i="35"/>
  <c r="G132" i="35"/>
  <c r="L48" i="44"/>
  <c r="E48" i="44"/>
  <c r="L47" i="44"/>
  <c r="E47" i="44"/>
  <c r="L49" i="44"/>
  <c r="L50" i="44"/>
  <c r="E49" i="44"/>
  <c r="E50" i="44"/>
  <c r="M279" i="17"/>
  <c r="O279" i="17"/>
  <c r="Q279" i="17"/>
  <c r="S279" i="17"/>
  <c r="U279" i="17"/>
  <c r="W279" i="17"/>
  <c r="Y279" i="17"/>
  <c r="AA279" i="17"/>
  <c r="AC279" i="17"/>
  <c r="AE279" i="17"/>
  <c r="AG279" i="17"/>
  <c r="AI279" i="17"/>
  <c r="D260" i="24"/>
  <c r="G260" i="24"/>
  <c r="N260" i="24"/>
  <c r="Q260" i="24"/>
  <c r="S260" i="24"/>
  <c r="M278" i="17"/>
  <c r="O278" i="17"/>
  <c r="Q278" i="17"/>
  <c r="S278" i="17"/>
  <c r="U278" i="17"/>
  <c r="W278" i="17"/>
  <c r="Y278" i="17"/>
  <c r="AA278" i="17"/>
  <c r="AC278" i="17"/>
  <c r="AE278" i="17"/>
  <c r="AG278" i="17"/>
  <c r="AI278" i="17"/>
  <c r="D259" i="24"/>
  <c r="G259" i="24"/>
  <c r="N259" i="24"/>
  <c r="Q259" i="24"/>
  <c r="S259" i="24"/>
  <c r="U131" i="35"/>
  <c r="R131" i="35"/>
  <c r="G131" i="35"/>
  <c r="O296" i="17" l="1"/>
  <c r="L46" i="44"/>
  <c r="E46" i="44"/>
  <c r="M277" i="17"/>
  <c r="O277" i="17"/>
  <c r="Q277" i="17"/>
  <c r="S277" i="17"/>
  <c r="U277" i="17"/>
  <c r="W277" i="17"/>
  <c r="Y277" i="17"/>
  <c r="AA277" i="17"/>
  <c r="AC277" i="17"/>
  <c r="AE277" i="17"/>
  <c r="AG277" i="17"/>
  <c r="AI277" i="17"/>
  <c r="D258" i="24"/>
  <c r="G258" i="24"/>
  <c r="N258" i="24"/>
  <c r="Q258" i="24"/>
  <c r="S258" i="24"/>
  <c r="M276" i="17"/>
  <c r="O276" i="17"/>
  <c r="Q276" i="17"/>
  <c r="S276" i="17"/>
  <c r="U276" i="17"/>
  <c r="W276" i="17"/>
  <c r="Y276" i="17"/>
  <c r="AA276" i="17"/>
  <c r="AC276" i="17"/>
  <c r="AE276" i="17"/>
  <c r="AG276" i="17"/>
  <c r="AI276" i="17"/>
  <c r="D257" i="24"/>
  <c r="G257" i="24"/>
  <c r="N257" i="24"/>
  <c r="Q257" i="24"/>
  <c r="S257" i="24"/>
  <c r="U130" i="35"/>
  <c r="R130" i="35"/>
  <c r="G130" i="35"/>
  <c r="G799" i="24"/>
  <c r="N799" i="24"/>
  <c r="Q799" i="24"/>
  <c r="S799" i="24"/>
  <c r="D799" i="24"/>
  <c r="U129" i="35"/>
  <c r="R129" i="35"/>
  <c r="G129" i="35"/>
  <c r="D600" i="24" l="1"/>
  <c r="G600" i="24"/>
  <c r="N600" i="24"/>
  <c r="Q600" i="24"/>
  <c r="S600" i="24"/>
  <c r="AI275" i="17"/>
  <c r="AG275" i="17"/>
  <c r="AE275" i="17"/>
  <c r="AC275" i="17"/>
  <c r="AA275" i="17"/>
  <c r="Y275" i="17"/>
  <c r="W275" i="17"/>
  <c r="U275" i="17"/>
  <c r="S275" i="17"/>
  <c r="Q275" i="17"/>
  <c r="O275" i="17"/>
  <c r="D733" i="24"/>
  <c r="G733" i="24"/>
  <c r="N733" i="24"/>
  <c r="Q733" i="24"/>
  <c r="S733" i="24"/>
  <c r="D256" i="24"/>
  <c r="G256" i="24"/>
  <c r="N256" i="24"/>
  <c r="Q256" i="24"/>
  <c r="S256" i="24"/>
  <c r="AI274" i="17"/>
  <c r="AG274" i="17"/>
  <c r="AE274" i="17"/>
  <c r="AC274" i="17"/>
  <c r="AA274" i="17"/>
  <c r="Y274" i="17"/>
  <c r="U274" i="17"/>
  <c r="S274" i="17"/>
  <c r="Q274" i="17"/>
  <c r="O274" i="17"/>
  <c r="M274" i="17"/>
  <c r="D255" i="24"/>
  <c r="G255" i="24"/>
  <c r="N255" i="24"/>
  <c r="Q255" i="24"/>
  <c r="S255" i="24"/>
  <c r="U273" i="17"/>
  <c r="S273" i="17"/>
  <c r="Q273" i="17"/>
  <c r="O273" i="17"/>
  <c r="AI273" i="17"/>
  <c r="AG273" i="17"/>
  <c r="AE273" i="17"/>
  <c r="AC273" i="17"/>
  <c r="AA273" i="17"/>
  <c r="Y273" i="17"/>
  <c r="W273" i="17"/>
  <c r="D732" i="24"/>
  <c r="G732" i="24"/>
  <c r="N732" i="24"/>
  <c r="Q732" i="24"/>
  <c r="S732" i="24"/>
  <c r="D254" i="24"/>
  <c r="G254" i="24"/>
  <c r="N254" i="24"/>
  <c r="Q254" i="24"/>
  <c r="S254" i="24"/>
  <c r="D667" i="24"/>
  <c r="G667" i="24"/>
  <c r="N667" i="24"/>
  <c r="Q667" i="24"/>
  <c r="S667" i="24"/>
  <c r="M272" i="17"/>
  <c r="O272" i="17"/>
  <c r="Q272" i="17"/>
  <c r="S272" i="17"/>
  <c r="U272" i="17"/>
  <c r="W272" i="17"/>
  <c r="Y272" i="17"/>
  <c r="AA272" i="17"/>
  <c r="AC272" i="17"/>
  <c r="AE272" i="17"/>
  <c r="AG272" i="17"/>
  <c r="AI272" i="17"/>
  <c r="K272" i="17"/>
  <c r="D666" i="24"/>
  <c r="G666" i="24"/>
  <c r="N666" i="24"/>
  <c r="Q666" i="24"/>
  <c r="S666" i="24"/>
  <c r="D598" i="24"/>
  <c r="G598" i="24"/>
  <c r="N598" i="24"/>
  <c r="Q598" i="24"/>
  <c r="S598" i="24"/>
  <c r="D599" i="24"/>
  <c r="G599" i="24"/>
  <c r="N599" i="24"/>
  <c r="Q599" i="24"/>
  <c r="S599" i="24"/>
  <c r="D510" i="24"/>
  <c r="G510" i="24"/>
  <c r="N510" i="24"/>
  <c r="Q510" i="24"/>
  <c r="S510" i="24"/>
  <c r="D511" i="24"/>
  <c r="G511" i="24"/>
  <c r="N511" i="24"/>
  <c r="Q511" i="24"/>
  <c r="S511" i="24"/>
  <c r="M271" i="17"/>
  <c r="O271" i="17"/>
  <c r="Q271" i="17"/>
  <c r="S271" i="17"/>
  <c r="U271" i="17"/>
  <c r="W271" i="17"/>
  <c r="Y271" i="17"/>
  <c r="AA271" i="17"/>
  <c r="AC271" i="17"/>
  <c r="AE271" i="17"/>
  <c r="AG271" i="17"/>
  <c r="AI271" i="17"/>
  <c r="D253" i="24"/>
  <c r="G253" i="24"/>
  <c r="N253" i="24"/>
  <c r="Q253" i="24"/>
  <c r="S253" i="24"/>
  <c r="M270" i="17"/>
  <c r="O270" i="17"/>
  <c r="Q270" i="17"/>
  <c r="S270" i="17"/>
  <c r="U270" i="17"/>
  <c r="W270" i="17"/>
  <c r="Y270" i="17"/>
  <c r="AA270" i="17"/>
  <c r="AC270" i="17"/>
  <c r="AE270" i="17"/>
  <c r="AG270" i="17"/>
  <c r="AI270" i="17"/>
  <c r="D252" i="24"/>
  <c r="G252" i="24"/>
  <c r="N252" i="24"/>
  <c r="Q252" i="24"/>
  <c r="S252" i="24"/>
  <c r="O269" i="17"/>
  <c r="Q269" i="17"/>
  <c r="S269" i="17"/>
  <c r="U269" i="17"/>
  <c r="W269" i="17"/>
  <c r="Y269" i="17"/>
  <c r="AA269" i="17"/>
  <c r="AC269" i="17"/>
  <c r="AE269" i="17"/>
  <c r="AG269" i="17"/>
  <c r="AI269" i="17"/>
  <c r="D731" i="24"/>
  <c r="G731" i="24"/>
  <c r="N731" i="24"/>
  <c r="Q731" i="24"/>
  <c r="S731" i="24"/>
  <c r="D251" i="24"/>
  <c r="G251" i="24"/>
  <c r="N251" i="24"/>
  <c r="Q251" i="24"/>
  <c r="S251" i="24"/>
  <c r="D596" i="24"/>
  <c r="G596" i="24"/>
  <c r="N596" i="24"/>
  <c r="Q596" i="24"/>
  <c r="S596" i="24"/>
  <c r="D597" i="24"/>
  <c r="G597" i="24"/>
  <c r="N597" i="24"/>
  <c r="Q597" i="24"/>
  <c r="S597" i="24"/>
  <c r="D508" i="24"/>
  <c r="G508" i="24"/>
  <c r="N508" i="24"/>
  <c r="Q508" i="24"/>
  <c r="S508" i="24"/>
  <c r="D509" i="24"/>
  <c r="G509" i="24"/>
  <c r="N509" i="24"/>
  <c r="Q509" i="24"/>
  <c r="S509" i="24"/>
  <c r="G665" i="24"/>
  <c r="N665" i="24"/>
  <c r="Q665" i="24"/>
  <c r="S665" i="24"/>
  <c r="D665" i="24"/>
  <c r="U128" i="35"/>
  <c r="R128" i="35"/>
  <c r="G128" i="35"/>
  <c r="D595" i="24"/>
  <c r="G595" i="24"/>
  <c r="N595" i="24"/>
  <c r="Q595" i="24"/>
  <c r="S595" i="24"/>
  <c r="D664" i="24"/>
  <c r="G664" i="24"/>
  <c r="N664" i="24"/>
  <c r="Q664" i="24"/>
  <c r="S664" i="24"/>
  <c r="AI268" i="17"/>
  <c r="AG268" i="17"/>
  <c r="AE268" i="17"/>
  <c r="AC268" i="17"/>
  <c r="S268" i="17"/>
  <c r="Q268" i="17"/>
  <c r="O268" i="17"/>
  <c r="M268" i="17"/>
  <c r="S250" i="24"/>
  <c r="Q250" i="24"/>
  <c r="N250" i="24"/>
  <c r="G250" i="24"/>
  <c r="D250" i="24"/>
  <c r="M267" i="17"/>
  <c r="O267" i="17"/>
  <c r="Q267" i="17"/>
  <c r="S267" i="17"/>
  <c r="U267" i="17"/>
  <c r="W267" i="17"/>
  <c r="Y267" i="17"/>
  <c r="AA267" i="17"/>
  <c r="AC267" i="17"/>
  <c r="AE267" i="17"/>
  <c r="AG267" i="17"/>
  <c r="AI267" i="17"/>
  <c r="D249" i="24"/>
  <c r="G249" i="24"/>
  <c r="N249" i="24"/>
  <c r="Q249" i="24"/>
  <c r="S249" i="24"/>
  <c r="O266" i="17"/>
  <c r="Q266" i="17"/>
  <c r="S266" i="17"/>
  <c r="U266" i="17"/>
  <c r="W266" i="17"/>
  <c r="Y266" i="17"/>
  <c r="AA266" i="17"/>
  <c r="AC266" i="17"/>
  <c r="AE266" i="17"/>
  <c r="AG266" i="17"/>
  <c r="AI266" i="17"/>
  <c r="D730" i="24"/>
  <c r="G730" i="24"/>
  <c r="N730" i="24"/>
  <c r="Q730" i="24"/>
  <c r="S730" i="24"/>
  <c r="D248" i="24"/>
  <c r="G248" i="24"/>
  <c r="N248" i="24"/>
  <c r="Q248" i="24"/>
  <c r="S248" i="24"/>
  <c r="M265" i="17"/>
  <c r="O265" i="17"/>
  <c r="Q265" i="17"/>
  <c r="S265" i="17"/>
  <c r="U265" i="17"/>
  <c r="W265" i="17"/>
  <c r="Y265" i="17"/>
  <c r="AA265" i="17"/>
  <c r="AC265" i="17"/>
  <c r="AE265" i="17"/>
  <c r="AG265" i="17"/>
  <c r="AI265" i="17"/>
  <c r="G247" i="24"/>
  <c r="N247" i="24"/>
  <c r="Q247" i="24"/>
  <c r="S247" i="24"/>
  <c r="D247" i="24"/>
  <c r="D663" i="24"/>
  <c r="G663" i="24"/>
  <c r="N663" i="24"/>
  <c r="Q663" i="24"/>
  <c r="S663" i="24"/>
  <c r="D507" i="24"/>
  <c r="G507" i="24"/>
  <c r="N507" i="24"/>
  <c r="Q507" i="24"/>
  <c r="S507" i="24"/>
  <c r="E45" i="44"/>
  <c r="L45" i="44"/>
  <c r="E44" i="44"/>
  <c r="L44" i="44"/>
  <c r="M264" i="17"/>
  <c r="O264" i="17"/>
  <c r="Q264" i="17"/>
  <c r="S264" i="17"/>
  <c r="U264" i="17"/>
  <c r="W264" i="17"/>
  <c r="Y264" i="17"/>
  <c r="AA264" i="17"/>
  <c r="AC264" i="17"/>
  <c r="AE264" i="17"/>
  <c r="AG264" i="17"/>
  <c r="AI264" i="17"/>
  <c r="D246" i="24"/>
  <c r="G246" i="24"/>
  <c r="N246" i="24"/>
  <c r="Q246" i="24"/>
  <c r="S246" i="24"/>
  <c r="E43" i="44"/>
  <c r="L43" i="44"/>
  <c r="M263" i="17"/>
  <c r="O263" i="17"/>
  <c r="Q263" i="17"/>
  <c r="S263" i="17"/>
  <c r="U263" i="17"/>
  <c r="W263" i="17"/>
  <c r="Y263" i="17"/>
  <c r="AA263" i="17"/>
  <c r="AC263" i="17"/>
  <c r="AE263" i="17"/>
  <c r="AG263" i="17"/>
  <c r="AI263" i="17"/>
  <c r="D245" i="24"/>
  <c r="G245" i="24"/>
  <c r="N245" i="24"/>
  <c r="Q245" i="24"/>
  <c r="S245" i="24"/>
  <c r="M260" i="17"/>
  <c r="O260" i="17"/>
  <c r="Q260" i="17"/>
  <c r="S260" i="17"/>
  <c r="U260" i="17"/>
  <c r="W260" i="17"/>
  <c r="Y260" i="17"/>
  <c r="AA260" i="17"/>
  <c r="AC260" i="17"/>
  <c r="AE260" i="17"/>
  <c r="AG260" i="17"/>
  <c r="AI260" i="17"/>
  <c r="M261" i="17"/>
  <c r="O261" i="17"/>
  <c r="Q261" i="17"/>
  <c r="S261" i="17"/>
  <c r="U261" i="17"/>
  <c r="W261" i="17"/>
  <c r="Y261" i="17"/>
  <c r="AA261" i="17"/>
  <c r="AC261" i="17"/>
  <c r="AE261" i="17"/>
  <c r="AG261" i="17"/>
  <c r="AI261" i="17"/>
  <c r="M262" i="17"/>
  <c r="O262" i="17"/>
  <c r="Q262" i="17"/>
  <c r="S262" i="17"/>
  <c r="U262" i="17"/>
  <c r="W262" i="17"/>
  <c r="Y262" i="17"/>
  <c r="AA262" i="17"/>
  <c r="AC262" i="17"/>
  <c r="AE262" i="17"/>
  <c r="AG262" i="17"/>
  <c r="AI262" i="17"/>
  <c r="D242" i="24"/>
  <c r="G242" i="24"/>
  <c r="N242" i="24"/>
  <c r="Q242" i="24"/>
  <c r="S242" i="24"/>
  <c r="D243" i="24"/>
  <c r="G243" i="24"/>
  <c r="N243" i="24"/>
  <c r="Q243" i="24"/>
  <c r="S243" i="24"/>
  <c r="D244" i="24"/>
  <c r="G244" i="24"/>
  <c r="N244" i="24"/>
  <c r="Q244" i="24"/>
  <c r="S244" i="24"/>
  <c r="O259" i="17"/>
  <c r="Q259" i="17"/>
  <c r="S259" i="17"/>
  <c r="U259" i="17"/>
  <c r="W259" i="17"/>
  <c r="Y259" i="17"/>
  <c r="AA259" i="17"/>
  <c r="AC259" i="17"/>
  <c r="AE259" i="17"/>
  <c r="AG259" i="17"/>
  <c r="AI259" i="17"/>
  <c r="D729" i="24"/>
  <c r="G729" i="24"/>
  <c r="N729" i="24"/>
  <c r="Q729" i="24"/>
  <c r="S729" i="24"/>
  <c r="D241" i="24"/>
  <c r="G241" i="24"/>
  <c r="N241" i="24"/>
  <c r="Q241" i="24"/>
  <c r="S241" i="24"/>
  <c r="E42" i="44"/>
  <c r="L42" i="44"/>
  <c r="E35" i="44"/>
  <c r="L35" i="44"/>
  <c r="E36" i="44"/>
  <c r="L36" i="44"/>
  <c r="E37" i="44"/>
  <c r="L37" i="44"/>
  <c r="E38" i="44"/>
  <c r="L38" i="44"/>
  <c r="E39" i="44"/>
  <c r="L39" i="44"/>
  <c r="E40" i="44"/>
  <c r="L40" i="44"/>
  <c r="E41" i="44"/>
  <c r="L41" i="44"/>
  <c r="G127" i="35"/>
  <c r="U127" i="35"/>
  <c r="R127" i="35"/>
  <c r="D506" i="24"/>
  <c r="G506" i="24"/>
  <c r="N506" i="24"/>
  <c r="Q506" i="24"/>
  <c r="S506" i="24"/>
  <c r="M258" i="17"/>
  <c r="O258" i="17"/>
  <c r="Q258" i="17"/>
  <c r="S258" i="17"/>
  <c r="U258" i="17"/>
  <c r="W258" i="17"/>
  <c r="Y258" i="17"/>
  <c r="AA258" i="17"/>
  <c r="AC258" i="17"/>
  <c r="AE258" i="17"/>
  <c r="AG258" i="17"/>
  <c r="AI258" i="17"/>
  <c r="D240" i="24"/>
  <c r="G240" i="24"/>
  <c r="N240" i="24"/>
  <c r="Q240" i="24"/>
  <c r="S240" i="24"/>
  <c r="M257" i="17"/>
  <c r="O257" i="17"/>
  <c r="Q257" i="17"/>
  <c r="S257" i="17"/>
  <c r="U257" i="17"/>
  <c r="W257" i="17"/>
  <c r="Y257" i="17"/>
  <c r="AA257" i="17"/>
  <c r="AC257" i="17"/>
  <c r="AE257" i="17"/>
  <c r="AG257" i="17"/>
  <c r="AI257" i="17"/>
  <c r="D239" i="24"/>
  <c r="G239" i="24"/>
  <c r="N239" i="24"/>
  <c r="Q239" i="24"/>
  <c r="S239" i="24"/>
  <c r="D795" i="24"/>
  <c r="D796" i="24"/>
  <c r="D797" i="24"/>
  <c r="D798" i="24"/>
  <c r="G798" i="24"/>
  <c r="N798" i="24"/>
  <c r="Q798" i="24"/>
  <c r="S798" i="24"/>
  <c r="M256" i="17"/>
  <c r="Q256" i="17"/>
  <c r="S256" i="17"/>
  <c r="U256" i="17"/>
  <c r="W256" i="17"/>
  <c r="Y256" i="17"/>
  <c r="AA256" i="17"/>
  <c r="AC256" i="17"/>
  <c r="AE256" i="17"/>
  <c r="AG256" i="17"/>
  <c r="AI256" i="17"/>
  <c r="D728" i="24"/>
  <c r="G728" i="24"/>
  <c r="N728" i="24"/>
  <c r="Q728" i="24"/>
  <c r="S728" i="24"/>
  <c r="D238" i="24"/>
  <c r="G238" i="24"/>
  <c r="N238" i="24"/>
  <c r="Q238" i="24"/>
  <c r="S238" i="24"/>
  <c r="M255" i="17"/>
  <c r="O255" i="17"/>
  <c r="Q255" i="17"/>
  <c r="S255" i="17"/>
  <c r="U255" i="17"/>
  <c r="W255" i="17"/>
  <c r="Y255" i="17"/>
  <c r="AA255" i="17"/>
  <c r="AC255" i="17"/>
  <c r="AE255" i="17"/>
  <c r="AG255" i="17"/>
  <c r="AI255" i="17"/>
  <c r="N794" i="24"/>
  <c r="Q794" i="24"/>
  <c r="S794" i="24"/>
  <c r="G794" i="24"/>
  <c r="D794" i="24"/>
  <c r="D237" i="24"/>
  <c r="G237" i="24"/>
  <c r="N237" i="24"/>
  <c r="Q237" i="24"/>
  <c r="S237" i="24"/>
  <c r="M254" i="17"/>
  <c r="O254" i="17"/>
  <c r="Q254" i="17"/>
  <c r="S254" i="17"/>
  <c r="U254" i="17"/>
  <c r="W254" i="17"/>
  <c r="Y254" i="17"/>
  <c r="AA254" i="17"/>
  <c r="AC254" i="17"/>
  <c r="AE254" i="17"/>
  <c r="AG254" i="17"/>
  <c r="AI254" i="17"/>
  <c r="D727" i="24"/>
  <c r="G727" i="24"/>
  <c r="N727" i="24"/>
  <c r="Q727" i="24"/>
  <c r="S727" i="24"/>
  <c r="D236" i="24"/>
  <c r="G236" i="24"/>
  <c r="N236" i="24"/>
  <c r="Q236" i="24"/>
  <c r="S236" i="24"/>
  <c r="D594" i="24"/>
  <c r="G594" i="24"/>
  <c r="N594" i="24"/>
  <c r="Q594" i="24"/>
  <c r="S594" i="24"/>
  <c r="S662" i="24"/>
  <c r="Q662" i="24"/>
  <c r="N662" i="24"/>
  <c r="G662" i="24"/>
  <c r="D662" i="24"/>
  <c r="S661" i="24"/>
  <c r="Q661" i="24"/>
  <c r="N661" i="24"/>
  <c r="G661" i="24"/>
  <c r="D661" i="24"/>
  <c r="S505" i="24"/>
  <c r="Q505" i="24"/>
  <c r="N505" i="24"/>
  <c r="G505" i="24"/>
  <c r="D505" i="24"/>
  <c r="G126" i="35"/>
  <c r="U126" i="35"/>
  <c r="R126" i="35"/>
  <c r="D660" i="24"/>
  <c r="G660" i="24"/>
  <c r="N660" i="24"/>
  <c r="Q660" i="24"/>
  <c r="S660" i="24"/>
  <c r="D504" i="24"/>
  <c r="G504" i="24"/>
  <c r="N504" i="24"/>
  <c r="Q504" i="24"/>
  <c r="S504" i="24"/>
  <c r="AI253" i="17"/>
  <c r="AG253" i="17"/>
  <c r="AE253" i="17"/>
  <c r="AC253" i="17"/>
  <c r="S253" i="17"/>
  <c r="Q253" i="17"/>
  <c r="O253" i="17"/>
  <c r="M253" i="17"/>
  <c r="D235" i="24"/>
  <c r="G235" i="24"/>
  <c r="N235" i="24"/>
  <c r="Q235" i="24"/>
  <c r="S235" i="24"/>
  <c r="E34" i="44"/>
  <c r="L34" i="44"/>
  <c r="E32" i="44"/>
  <c r="L32" i="44"/>
  <c r="E33" i="44"/>
  <c r="L33" i="44"/>
  <c r="E31" i="44"/>
  <c r="L31" i="44"/>
  <c r="D234" i="24"/>
  <c r="G234" i="24"/>
  <c r="N234" i="24"/>
  <c r="Q234" i="24"/>
  <c r="S234" i="24"/>
  <c r="K252" i="17"/>
  <c r="M252" i="17"/>
  <c r="O252" i="17"/>
  <c r="Q252" i="17"/>
  <c r="S252" i="17"/>
  <c r="U252" i="17"/>
  <c r="W252" i="17"/>
  <c r="Y252" i="17"/>
  <c r="AA252" i="17"/>
  <c r="AC252" i="17"/>
  <c r="AE252" i="17"/>
  <c r="AG252" i="17"/>
  <c r="AI252" i="17"/>
  <c r="E24" i="44"/>
  <c r="E25" i="44"/>
  <c r="E26" i="44"/>
  <c r="E27" i="44"/>
  <c r="E28" i="44"/>
  <c r="E29" i="44"/>
  <c r="E30" i="44"/>
  <c r="L24" i="44"/>
  <c r="L25" i="44"/>
  <c r="L26" i="44"/>
  <c r="L27" i="44"/>
  <c r="L28" i="44"/>
  <c r="L29" i="44"/>
  <c r="L30" i="44"/>
  <c r="L23" i="44"/>
  <c r="E23" i="44"/>
  <c r="L22" i="44"/>
  <c r="E22" i="44"/>
  <c r="G125" i="35"/>
  <c r="R125" i="35" l="1"/>
  <c r="U125" i="35"/>
  <c r="E21" i="44"/>
  <c r="L21" i="44"/>
  <c r="AI251" i="17"/>
  <c r="AG251" i="17"/>
  <c r="AE251" i="17"/>
  <c r="AC251" i="17"/>
  <c r="AA251" i="17"/>
  <c r="Y251" i="17"/>
  <c r="W251" i="17"/>
  <c r="U251" i="17"/>
  <c r="S251" i="17"/>
  <c r="Q251" i="17"/>
  <c r="O251" i="17"/>
  <c r="M251" i="17"/>
  <c r="K251" i="17"/>
  <c r="D233" i="24"/>
  <c r="G233" i="24"/>
  <c r="N233" i="24"/>
  <c r="Q233" i="24"/>
  <c r="S233" i="24"/>
  <c r="G797" i="24"/>
  <c r="N797" i="24"/>
  <c r="Q797" i="24"/>
  <c r="S797" i="24"/>
  <c r="L20" i="44"/>
  <c r="E20" i="44"/>
  <c r="U124" i="35" l="1"/>
  <c r="R124" i="35"/>
  <c r="G124" i="35"/>
  <c r="L19" i="44"/>
  <c r="E19" i="44"/>
  <c r="D231" i="24"/>
  <c r="G231" i="24"/>
  <c r="N231" i="24"/>
  <c r="Q231" i="24"/>
  <c r="S231" i="24"/>
  <c r="D232" i="24"/>
  <c r="G232" i="24"/>
  <c r="N232" i="24"/>
  <c r="Q232" i="24"/>
  <c r="S232" i="24"/>
  <c r="M249" i="17"/>
  <c r="O249" i="17"/>
  <c r="Q249" i="17"/>
  <c r="S249" i="17"/>
  <c r="U249" i="17"/>
  <c r="W249" i="17"/>
  <c r="Y249" i="17"/>
  <c r="AA249" i="17"/>
  <c r="AC249" i="17"/>
  <c r="AE249" i="17"/>
  <c r="AG249" i="17"/>
  <c r="AI249" i="17"/>
  <c r="M250" i="17"/>
  <c r="O250" i="17"/>
  <c r="Q250" i="17"/>
  <c r="S250" i="17"/>
  <c r="U250" i="17"/>
  <c r="W250" i="17"/>
  <c r="Y250" i="17"/>
  <c r="AA250" i="17"/>
  <c r="AC250" i="17"/>
  <c r="AE250" i="17"/>
  <c r="AG250" i="17"/>
  <c r="AI250" i="17"/>
  <c r="G503" i="24"/>
  <c r="N503" i="24"/>
  <c r="Q503" i="24"/>
  <c r="S503" i="24"/>
  <c r="D503" i="24"/>
  <c r="G659" i="24"/>
  <c r="N659" i="24"/>
  <c r="Q659" i="24"/>
  <c r="S659" i="24"/>
  <c r="D659" i="24"/>
  <c r="M245" i="17"/>
  <c r="Q245" i="17"/>
  <c r="S245" i="17"/>
  <c r="U245" i="17"/>
  <c r="AA245" i="17"/>
  <c r="AC245" i="17"/>
  <c r="AE245" i="17"/>
  <c r="AG245" i="17"/>
  <c r="AI245" i="17"/>
  <c r="M246" i="17"/>
  <c r="Q246" i="17"/>
  <c r="S246" i="17"/>
  <c r="U246" i="17"/>
  <c r="W246" i="17"/>
  <c r="AA246" i="17"/>
  <c r="AC246" i="17"/>
  <c r="AE246" i="17"/>
  <c r="AG246" i="17"/>
  <c r="AI246" i="17"/>
  <c r="M247" i="17"/>
  <c r="O247" i="17"/>
  <c r="Q247" i="17"/>
  <c r="S247" i="17"/>
  <c r="U247" i="17"/>
  <c r="AE247" i="17"/>
  <c r="AG247" i="17"/>
  <c r="AI247" i="17"/>
  <c r="M248" i="17"/>
  <c r="O248" i="17"/>
  <c r="Q248" i="17"/>
  <c r="S248" i="17"/>
  <c r="W248" i="17"/>
  <c r="Y248" i="17"/>
  <c r="AA248" i="17"/>
  <c r="AC248" i="17"/>
  <c r="AE248" i="17"/>
  <c r="AG248" i="17"/>
  <c r="AI248" i="17"/>
  <c r="D725" i="24"/>
  <c r="G725" i="24"/>
  <c r="N725" i="24"/>
  <c r="Q725" i="24"/>
  <c r="S725" i="24"/>
  <c r="D726" i="24"/>
  <c r="G726" i="24"/>
  <c r="N726" i="24"/>
  <c r="Q726" i="24"/>
  <c r="S726" i="24"/>
  <c r="D227" i="24"/>
  <c r="G227" i="24"/>
  <c r="N227" i="24"/>
  <c r="Q227" i="24"/>
  <c r="S227" i="24"/>
  <c r="D228" i="24"/>
  <c r="G228" i="24"/>
  <c r="N228" i="24"/>
  <c r="Q228" i="24"/>
  <c r="S228" i="24"/>
  <c r="D229" i="24"/>
  <c r="G229" i="24"/>
  <c r="N229" i="24"/>
  <c r="Q229" i="24"/>
  <c r="S229" i="24"/>
  <c r="D230" i="24"/>
  <c r="G230" i="24"/>
  <c r="N230" i="24"/>
  <c r="Q230" i="24"/>
  <c r="S230" i="24"/>
  <c r="U123" i="35"/>
  <c r="R123" i="35"/>
  <c r="G123" i="35"/>
  <c r="L17" i="44"/>
  <c r="E17" i="44"/>
  <c r="L16" i="44"/>
  <c r="E16" i="44"/>
  <c r="L15" i="44"/>
  <c r="E15" i="44"/>
  <c r="M244" i="17"/>
  <c r="Q244" i="17"/>
  <c r="S244" i="17"/>
  <c r="U244" i="17"/>
  <c r="W244" i="17"/>
  <c r="Y244" i="17"/>
  <c r="AA244" i="17"/>
  <c r="AC244" i="17"/>
  <c r="AE244" i="17"/>
  <c r="AG244" i="17"/>
  <c r="AI244" i="17"/>
  <c r="D724" i="24"/>
  <c r="G724" i="24"/>
  <c r="N724" i="24"/>
  <c r="Q724" i="24"/>
  <c r="S724" i="24"/>
  <c r="D226" i="24"/>
  <c r="G226" i="24"/>
  <c r="N226" i="24"/>
  <c r="Q226" i="24"/>
  <c r="S226" i="24"/>
  <c r="U243" i="17"/>
  <c r="S243" i="17"/>
  <c r="Q243" i="17"/>
  <c r="M243" i="17"/>
  <c r="W243" i="17"/>
  <c r="Y243" i="17"/>
  <c r="AA243" i="17"/>
  <c r="AC243" i="17"/>
  <c r="AE243" i="17"/>
  <c r="AG243" i="17"/>
  <c r="AI243" i="17"/>
  <c r="D225" i="24"/>
  <c r="G225" i="24"/>
  <c r="N225" i="24"/>
  <c r="Q225" i="24"/>
  <c r="S225" i="24"/>
  <c r="D723" i="24"/>
  <c r="G723" i="24"/>
  <c r="N723" i="24"/>
  <c r="Q723" i="24"/>
  <c r="S723" i="24"/>
  <c r="D658" i="24"/>
  <c r="G658" i="24"/>
  <c r="N658" i="24"/>
  <c r="Q658" i="24"/>
  <c r="S658" i="24"/>
  <c r="D593" i="24"/>
  <c r="G593" i="24"/>
  <c r="N593" i="24"/>
  <c r="Q593" i="24"/>
  <c r="S593" i="24"/>
  <c r="G502" i="24"/>
  <c r="N502" i="24"/>
  <c r="Q502" i="24"/>
  <c r="S502" i="24"/>
  <c r="D502" i="24"/>
  <c r="U122" i="35"/>
  <c r="R122" i="35"/>
  <c r="G122" i="35"/>
  <c r="M242" i="17"/>
  <c r="O242" i="17"/>
  <c r="Q242" i="17"/>
  <c r="S242" i="17"/>
  <c r="U242" i="17"/>
  <c r="AC242" i="17"/>
  <c r="AE242" i="17"/>
  <c r="AG242" i="17"/>
  <c r="AI242" i="17"/>
  <c r="D224" i="24"/>
  <c r="G224" i="24"/>
  <c r="N224" i="24"/>
  <c r="Q224" i="24"/>
  <c r="S224" i="24"/>
  <c r="M241" i="17"/>
  <c r="O241" i="17"/>
  <c r="Q241" i="17"/>
  <c r="S241" i="17"/>
  <c r="W241" i="17"/>
  <c r="Y241" i="17"/>
  <c r="AA241" i="17"/>
  <c r="AC241" i="17"/>
  <c r="AE241" i="17"/>
  <c r="AG241" i="17"/>
  <c r="AI241" i="17"/>
  <c r="D223" i="24"/>
  <c r="G223" i="24"/>
  <c r="N223" i="24"/>
  <c r="Q223" i="24"/>
  <c r="S223" i="24"/>
  <c r="AI240" i="17"/>
  <c r="AG240" i="17"/>
  <c r="AE240" i="17"/>
  <c r="AC240" i="17"/>
  <c r="AA240" i="17"/>
  <c r="S240" i="17"/>
  <c r="Q240" i="17"/>
  <c r="O240" i="17"/>
  <c r="M240" i="17"/>
  <c r="D222" i="24"/>
  <c r="G222" i="24"/>
  <c r="N222" i="24"/>
  <c r="Q222" i="24"/>
  <c r="S222" i="24"/>
  <c r="L18" i="44"/>
  <c r="L14" i="44"/>
  <c r="E18" i="44"/>
  <c r="E14" i="44"/>
  <c r="D592" i="24"/>
  <c r="G592" i="24"/>
  <c r="N592" i="24"/>
  <c r="Q592" i="24"/>
  <c r="S592" i="24"/>
  <c r="L10" i="44"/>
  <c r="L11" i="44"/>
  <c r="L12" i="44"/>
  <c r="L13" i="44"/>
  <c r="E10" i="44"/>
  <c r="E11" i="44"/>
  <c r="E12" i="44"/>
  <c r="E13" i="44"/>
  <c r="M239" i="17"/>
  <c r="O239" i="17"/>
  <c r="Q239" i="17"/>
  <c r="S239" i="17"/>
  <c r="U239" i="17"/>
  <c r="W239" i="17"/>
  <c r="Y239" i="17"/>
  <c r="AA239" i="17"/>
  <c r="AC239" i="17"/>
  <c r="AE239" i="17"/>
  <c r="AG239" i="17"/>
  <c r="AI239" i="17"/>
  <c r="D221" i="24"/>
  <c r="G221" i="24"/>
  <c r="N221" i="24"/>
  <c r="Q221" i="24"/>
  <c r="S221" i="24"/>
  <c r="U121" i="35"/>
  <c r="R121" i="35"/>
  <c r="G121" i="35"/>
  <c r="K238" i="17"/>
  <c r="M238" i="17"/>
  <c r="O238" i="17"/>
  <c r="Q238" i="17"/>
  <c r="S238" i="17"/>
  <c r="U238" i="17"/>
  <c r="W238" i="17"/>
  <c r="Y238" i="17"/>
  <c r="AA238" i="17"/>
  <c r="AC238" i="17"/>
  <c r="AE238" i="17"/>
  <c r="AG238" i="17"/>
  <c r="AI238" i="17"/>
  <c r="N220" i="24"/>
  <c r="Q220" i="24"/>
  <c r="S220" i="24"/>
  <c r="G220" i="24"/>
  <c r="D220" i="24"/>
  <c r="AI237" i="17"/>
  <c r="AG237" i="17"/>
  <c r="AE237" i="17"/>
  <c r="AC237" i="17"/>
  <c r="AA237" i="17"/>
  <c r="Y237" i="17"/>
  <c r="S237" i="17"/>
  <c r="Q237" i="17"/>
  <c r="O237" i="17"/>
  <c r="M237" i="17"/>
  <c r="G219" i="24"/>
  <c r="N219" i="24"/>
  <c r="Q219" i="24"/>
  <c r="S219" i="24"/>
  <c r="D219" i="24"/>
  <c r="G657" i="24"/>
  <c r="N657" i="24"/>
  <c r="Q657" i="24"/>
  <c r="S657" i="24"/>
  <c r="D657" i="24"/>
  <c r="D501" i="24"/>
  <c r="G501" i="24"/>
  <c r="N501" i="24"/>
  <c r="Q501" i="24"/>
  <c r="S501" i="24"/>
  <c r="G796" i="24"/>
  <c r="N796" i="24"/>
  <c r="Q796" i="24"/>
  <c r="S796" i="24"/>
  <c r="U120" i="35"/>
  <c r="R120" i="35"/>
  <c r="G120" i="35"/>
  <c r="AI233" i="17"/>
  <c r="AG233" i="17"/>
  <c r="AE233" i="17"/>
  <c r="U233" i="17"/>
  <c r="S233" i="17"/>
  <c r="Q233" i="17"/>
  <c r="O233" i="17"/>
  <c r="M233" i="17"/>
  <c r="AI236" i="17"/>
  <c r="AG236" i="17"/>
  <c r="AE236" i="17"/>
  <c r="AC236" i="17"/>
  <c r="AA236" i="17"/>
  <c r="Y236" i="17"/>
  <c r="W236" i="17"/>
  <c r="U236" i="17"/>
  <c r="S236" i="17"/>
  <c r="Q236" i="17"/>
  <c r="O236" i="17"/>
  <c r="M236" i="17"/>
  <c r="AI235" i="17"/>
  <c r="AG235" i="17"/>
  <c r="AE235" i="17"/>
  <c r="AC235" i="17"/>
  <c r="U235" i="17"/>
  <c r="S235" i="17"/>
  <c r="Q235" i="17"/>
  <c r="O235" i="17"/>
  <c r="M235" i="17"/>
  <c r="AI234" i="17"/>
  <c r="AG234" i="17"/>
  <c r="AE234" i="17"/>
  <c r="AC234" i="17"/>
  <c r="S234" i="17"/>
  <c r="Q234" i="17"/>
  <c r="O234" i="17"/>
  <c r="M234" i="17"/>
  <c r="K234" i="17"/>
  <c r="Q795" i="24"/>
  <c r="S795" i="24"/>
  <c r="N795" i="24"/>
  <c r="G795" i="24"/>
  <c r="D656" i="24"/>
  <c r="G656" i="24"/>
  <c r="N656" i="24"/>
  <c r="Q656" i="24"/>
  <c r="S656" i="24"/>
  <c r="D589" i="24"/>
  <c r="G589" i="24"/>
  <c r="N589" i="24"/>
  <c r="Q589" i="24"/>
  <c r="S589" i="24"/>
  <c r="D590" i="24"/>
  <c r="G590" i="24"/>
  <c r="N590" i="24"/>
  <c r="Q590" i="24"/>
  <c r="S590" i="24"/>
  <c r="D591" i="24"/>
  <c r="G591" i="24"/>
  <c r="N591" i="24"/>
  <c r="Q591" i="24"/>
  <c r="S591" i="24"/>
  <c r="D498" i="24"/>
  <c r="G498" i="24"/>
  <c r="N498" i="24"/>
  <c r="Q498" i="24"/>
  <c r="S498" i="24"/>
  <c r="D499" i="24"/>
  <c r="G499" i="24"/>
  <c r="N499" i="24"/>
  <c r="Q499" i="24"/>
  <c r="S499" i="24"/>
  <c r="D500" i="24"/>
  <c r="G500" i="24"/>
  <c r="N500" i="24"/>
  <c r="Q500" i="24"/>
  <c r="S500" i="24"/>
  <c r="G655" i="24"/>
  <c r="N655" i="24"/>
  <c r="Q655" i="24"/>
  <c r="S655" i="24"/>
  <c r="D655" i="24"/>
  <c r="N587" i="24"/>
  <c r="Q587" i="24"/>
  <c r="S587" i="24"/>
  <c r="N588" i="24"/>
  <c r="Q588" i="24"/>
  <c r="S588" i="24"/>
  <c r="G587" i="24"/>
  <c r="G588" i="24"/>
  <c r="D587" i="24"/>
  <c r="D588" i="24"/>
  <c r="N495" i="24"/>
  <c r="Q495" i="24"/>
  <c r="S495" i="24"/>
  <c r="N496" i="24"/>
  <c r="Q496" i="24"/>
  <c r="S496" i="24"/>
  <c r="N497" i="24"/>
  <c r="Q497" i="24"/>
  <c r="S497" i="24"/>
  <c r="N494" i="24"/>
  <c r="Q494" i="24"/>
  <c r="S494" i="24"/>
  <c r="G494" i="24"/>
  <c r="G495" i="24"/>
  <c r="G496" i="24"/>
  <c r="G497" i="24"/>
  <c r="D494" i="24"/>
  <c r="D495" i="24"/>
  <c r="D496" i="24"/>
  <c r="D497" i="24"/>
  <c r="S232" i="17"/>
  <c r="Q232" i="17"/>
  <c r="O232" i="17"/>
  <c r="M232" i="17"/>
  <c r="U232" i="17"/>
  <c r="AA232" i="17"/>
  <c r="AC232" i="17"/>
  <c r="AE232" i="17"/>
  <c r="AG232" i="17"/>
  <c r="AI232" i="17"/>
  <c r="G218" i="24"/>
  <c r="N218" i="24"/>
  <c r="Q218" i="24"/>
  <c r="S218" i="24"/>
  <c r="D218" i="24"/>
  <c r="G654" i="24"/>
  <c r="N654" i="24"/>
  <c r="Q654" i="24"/>
  <c r="S654" i="24"/>
  <c r="D654" i="24"/>
  <c r="G586" i="24"/>
  <c r="N586" i="24"/>
  <c r="Q586" i="24"/>
  <c r="S586" i="24"/>
  <c r="D586" i="24"/>
  <c r="G493" i="24"/>
  <c r="N493" i="24"/>
  <c r="Q493" i="24"/>
  <c r="S493" i="24"/>
  <c r="D493" i="24"/>
  <c r="G585" i="24"/>
  <c r="N585" i="24"/>
  <c r="Q585" i="24"/>
  <c r="S585" i="24"/>
  <c r="D585" i="24"/>
  <c r="G653" i="24"/>
  <c r="N653" i="24"/>
  <c r="Q653" i="24"/>
  <c r="S653" i="24"/>
  <c r="D653" i="24"/>
  <c r="Q231" i="17"/>
  <c r="O231" i="17"/>
  <c r="M231" i="17"/>
  <c r="S231" i="17"/>
  <c r="Y231" i="17"/>
  <c r="AA231" i="17"/>
  <c r="AC231" i="17"/>
  <c r="AE231" i="17"/>
  <c r="AG231" i="17"/>
  <c r="AI231" i="17"/>
  <c r="G217" i="24"/>
  <c r="N217" i="24"/>
  <c r="Q217" i="24"/>
  <c r="S217" i="24"/>
  <c r="D217" i="24"/>
  <c r="Q78" i="37" l="1"/>
  <c r="Q61" i="37"/>
  <c r="AI230" i="17"/>
  <c r="AG230" i="17"/>
  <c r="AE230" i="17"/>
  <c r="AC230" i="17"/>
  <c r="S230" i="17"/>
  <c r="Q230" i="17"/>
  <c r="O230" i="17"/>
  <c r="M230" i="17"/>
  <c r="K230" i="17"/>
  <c r="E53" i="37"/>
  <c r="R56" i="36"/>
  <c r="R55" i="36"/>
  <c r="R119" i="35"/>
  <c r="U119" i="35" l="1"/>
  <c r="G119" i="35"/>
  <c r="Q128" i="37" l="1"/>
  <c r="Q127" i="37"/>
  <c r="Q126" i="37"/>
  <c r="Q125" i="37"/>
  <c r="Q124" i="37"/>
  <c r="Q123" i="37"/>
  <c r="Q122" i="37"/>
  <c r="Q121" i="37"/>
  <c r="Q120" i="37"/>
  <c r="Q119" i="37"/>
  <c r="Q118" i="37"/>
  <c r="Q117" i="37"/>
  <c r="Q116" i="37"/>
  <c r="Q115" i="37"/>
  <c r="Q114" i="37"/>
  <c r="Q113" i="37"/>
  <c r="Q112" i="37"/>
  <c r="Q111" i="37"/>
  <c r="Q110" i="37"/>
  <c r="Q109" i="37"/>
  <c r="Q108" i="37"/>
  <c r="Q107" i="37"/>
  <c r="Q106" i="37"/>
  <c r="Q105" i="37"/>
  <c r="Q104" i="37"/>
  <c r="Q103" i="37"/>
  <c r="Q102" i="37"/>
  <c r="Q101" i="37"/>
  <c r="Q100" i="37"/>
  <c r="Q99" i="37"/>
  <c r="Q98" i="37"/>
  <c r="Q97" i="37"/>
  <c r="Q96" i="37"/>
  <c r="Q95" i="37"/>
  <c r="Q94" i="37"/>
  <c r="Q93" i="37"/>
  <c r="Q92" i="37"/>
  <c r="Q91" i="37"/>
  <c r="Q90" i="37"/>
  <c r="Q89" i="37"/>
  <c r="Q88" i="37"/>
  <c r="Q87" i="37"/>
  <c r="Q86" i="37"/>
  <c r="Q85" i="37"/>
  <c r="Q84" i="37"/>
  <c r="Q83" i="37"/>
  <c r="Q82" i="37"/>
  <c r="Q81" i="37"/>
  <c r="Q80" i="37"/>
  <c r="Q79" i="37"/>
  <c r="Q77" i="37"/>
  <c r="Q76" i="37"/>
  <c r="Q75" i="37"/>
  <c r="Q74" i="37"/>
  <c r="Q73" i="37"/>
  <c r="Q72" i="37"/>
  <c r="Q71" i="37"/>
  <c r="Q70" i="37"/>
  <c r="Q69" i="37"/>
  <c r="Q68" i="37"/>
  <c r="Q67" i="37"/>
  <c r="Q66" i="37"/>
  <c r="Q65" i="37"/>
  <c r="Q64" i="37"/>
  <c r="Q63" i="37"/>
  <c r="Q62" i="37"/>
  <c r="Q60" i="37"/>
  <c r="Q59" i="37"/>
  <c r="Q58" i="37"/>
  <c r="Q57" i="37"/>
  <c r="Q56" i="37"/>
  <c r="Q55" i="37"/>
  <c r="Q54" i="37"/>
  <c r="Q53" i="37"/>
  <c r="Q52" i="37"/>
  <c r="Q51" i="37"/>
  <c r="Q50" i="37"/>
  <c r="Q49" i="37"/>
  <c r="Q48" i="37"/>
  <c r="Q47" i="37"/>
  <c r="Q46" i="37"/>
  <c r="Q45" i="37"/>
  <c r="Q44" i="37"/>
  <c r="Q43" i="37"/>
  <c r="Q42" i="37"/>
  <c r="Q41" i="37"/>
  <c r="Q40" i="37"/>
  <c r="Q39" i="37"/>
  <c r="Q38" i="37"/>
  <c r="Q37" i="37"/>
  <c r="Q36" i="37"/>
  <c r="Q35" i="37"/>
  <c r="Q34" i="37"/>
  <c r="Q33" i="37"/>
  <c r="Q32" i="37"/>
  <c r="Q31" i="37"/>
  <c r="Q30" i="37"/>
  <c r="Q29" i="37"/>
  <c r="Q28" i="37"/>
  <c r="Q27" i="37"/>
  <c r="Q26" i="37"/>
  <c r="Q25" i="37"/>
  <c r="Q24" i="37"/>
  <c r="Q23" i="37"/>
  <c r="Q22" i="37"/>
  <c r="Q21" i="37"/>
  <c r="Q20" i="37"/>
  <c r="Q19" i="37"/>
  <c r="Q18" i="37"/>
  <c r="Q17" i="37"/>
  <c r="Q16" i="37"/>
  <c r="Q15" i="37"/>
  <c r="Q14" i="37"/>
  <c r="Q13" i="37"/>
  <c r="Q12" i="37"/>
  <c r="Q11" i="37"/>
  <c r="Q10" i="37"/>
  <c r="Q9" i="37"/>
  <c r="Q8" i="37"/>
  <c r="U79" i="36"/>
  <c r="U78" i="36"/>
  <c r="U77" i="36"/>
  <c r="U76" i="36"/>
  <c r="U75" i="36"/>
  <c r="U74" i="36"/>
  <c r="U73" i="36"/>
  <c r="U72" i="36"/>
  <c r="U71" i="36"/>
  <c r="U70" i="36"/>
  <c r="U69" i="36"/>
  <c r="U68" i="36"/>
  <c r="U67" i="36"/>
  <c r="U66" i="36"/>
  <c r="U65" i="36"/>
  <c r="U64" i="36"/>
  <c r="U63" i="36"/>
  <c r="U62" i="36"/>
  <c r="U61" i="36"/>
  <c r="U60" i="36"/>
  <c r="U59" i="36"/>
  <c r="U58" i="36"/>
  <c r="U57" i="36"/>
  <c r="U56" i="36"/>
  <c r="U55" i="36"/>
  <c r="U54" i="36"/>
  <c r="U53" i="36"/>
  <c r="U52" i="36"/>
  <c r="U51" i="36"/>
  <c r="U50" i="36"/>
  <c r="U49" i="36"/>
  <c r="U48" i="36"/>
  <c r="U47" i="36"/>
  <c r="U46" i="36"/>
  <c r="U45" i="36"/>
  <c r="U44" i="36"/>
  <c r="U43" i="36"/>
  <c r="U42" i="36"/>
  <c r="U41" i="36"/>
  <c r="U40" i="36"/>
  <c r="U39" i="36"/>
  <c r="U38" i="36"/>
  <c r="U37" i="36"/>
  <c r="U36" i="36"/>
  <c r="U35" i="36"/>
  <c r="U34" i="36"/>
  <c r="U33" i="36"/>
  <c r="U32" i="36"/>
  <c r="U31" i="36"/>
  <c r="U30" i="36"/>
  <c r="U29" i="36"/>
  <c r="U28" i="36"/>
  <c r="U27" i="36"/>
  <c r="U26" i="36"/>
  <c r="U25" i="36"/>
  <c r="U24" i="36"/>
  <c r="U23" i="36"/>
  <c r="U22" i="36"/>
  <c r="U21" i="36"/>
  <c r="U20" i="36"/>
  <c r="U19" i="36"/>
  <c r="U18" i="36"/>
  <c r="U17" i="36"/>
  <c r="U16" i="36"/>
  <c r="U15" i="36"/>
  <c r="U14" i="36"/>
  <c r="U13" i="36"/>
  <c r="U12" i="36"/>
  <c r="U11" i="36"/>
  <c r="U9" i="36"/>
  <c r="U10" i="36"/>
  <c r="R79" i="36"/>
  <c r="R78" i="36"/>
  <c r="R77" i="36"/>
  <c r="R76" i="36"/>
  <c r="R75" i="36"/>
  <c r="R74" i="36"/>
  <c r="R73" i="36"/>
  <c r="R72" i="36"/>
  <c r="R71" i="36"/>
  <c r="R70" i="36"/>
  <c r="R69" i="36"/>
  <c r="R68" i="36"/>
  <c r="R67" i="36"/>
  <c r="R66" i="36"/>
  <c r="R65" i="36"/>
  <c r="R64" i="36"/>
  <c r="R63" i="36"/>
  <c r="R62" i="36"/>
  <c r="R61" i="36"/>
  <c r="R60" i="36"/>
  <c r="R59" i="36"/>
  <c r="R58" i="36"/>
  <c r="R57" i="36"/>
  <c r="R54" i="36"/>
  <c r="R53" i="36"/>
  <c r="R52" i="36"/>
  <c r="R51" i="36"/>
  <c r="R50" i="36"/>
  <c r="R49" i="36"/>
  <c r="R48" i="36"/>
  <c r="R47" i="36"/>
  <c r="R46" i="36"/>
  <c r="R45" i="36"/>
  <c r="R44" i="36"/>
  <c r="R43" i="36"/>
  <c r="R42" i="36"/>
  <c r="R41" i="36"/>
  <c r="R40" i="36"/>
  <c r="R39" i="36"/>
  <c r="R38" i="36"/>
  <c r="R37" i="36"/>
  <c r="R36" i="36"/>
  <c r="R35" i="36"/>
  <c r="R34" i="36"/>
  <c r="R33" i="36"/>
  <c r="R32" i="36"/>
  <c r="R31" i="36"/>
  <c r="R30" i="36"/>
  <c r="R29" i="36"/>
  <c r="R28" i="36"/>
  <c r="R27" i="36"/>
  <c r="R26" i="36"/>
  <c r="R25" i="36"/>
  <c r="R24" i="36"/>
  <c r="R23" i="36"/>
  <c r="R22" i="36"/>
  <c r="R21" i="36"/>
  <c r="R20" i="36"/>
  <c r="R19" i="36"/>
  <c r="R18" i="36"/>
  <c r="R17" i="36"/>
  <c r="R16" i="36"/>
  <c r="R15" i="36"/>
  <c r="R14" i="36"/>
  <c r="R13" i="36"/>
  <c r="R12" i="36"/>
  <c r="R11" i="36"/>
  <c r="R10" i="36"/>
  <c r="R9" i="36"/>
  <c r="U118" i="35"/>
  <c r="U117" i="35"/>
  <c r="U116" i="35"/>
  <c r="U115" i="35"/>
  <c r="U114" i="35"/>
  <c r="U113" i="35"/>
  <c r="U112" i="35"/>
  <c r="U111" i="35"/>
  <c r="U110" i="35"/>
  <c r="U109" i="35"/>
  <c r="U108" i="35"/>
  <c r="U107" i="35"/>
  <c r="U106" i="35"/>
  <c r="U105" i="35"/>
  <c r="U104" i="35"/>
  <c r="U103" i="35"/>
  <c r="U102" i="35"/>
  <c r="U101" i="35"/>
  <c r="U100" i="35"/>
  <c r="U99" i="35"/>
  <c r="U98" i="35"/>
  <c r="U97" i="35"/>
  <c r="U96" i="35"/>
  <c r="U95" i="35"/>
  <c r="U94" i="35"/>
  <c r="U93" i="35"/>
  <c r="U92" i="35"/>
  <c r="U91" i="35"/>
  <c r="U90" i="35"/>
  <c r="U89" i="35"/>
  <c r="U88" i="35"/>
  <c r="U87" i="35"/>
  <c r="U86" i="35"/>
  <c r="U85" i="35"/>
  <c r="U84" i="35"/>
  <c r="U83" i="35"/>
  <c r="U82" i="35"/>
  <c r="U81" i="35"/>
  <c r="U80" i="35"/>
  <c r="U79" i="35"/>
  <c r="U78" i="35"/>
  <c r="U77" i="35"/>
  <c r="U76" i="35"/>
  <c r="U75" i="35"/>
  <c r="U74" i="35"/>
  <c r="U73" i="35"/>
  <c r="U72" i="35"/>
  <c r="U71" i="35"/>
  <c r="U70" i="35"/>
  <c r="U69" i="35"/>
  <c r="U68" i="35"/>
  <c r="U67" i="35"/>
  <c r="U66" i="35"/>
  <c r="U65" i="35"/>
  <c r="U64" i="35"/>
  <c r="U63" i="35"/>
  <c r="U62" i="35"/>
  <c r="U61" i="35"/>
  <c r="U60" i="35"/>
  <c r="U59" i="35"/>
  <c r="U58" i="35"/>
  <c r="U57" i="35"/>
  <c r="U56" i="35"/>
  <c r="U55" i="35"/>
  <c r="U54" i="35"/>
  <c r="U53" i="35"/>
  <c r="U52" i="35"/>
  <c r="U51" i="35"/>
  <c r="U50" i="35"/>
  <c r="U49" i="35"/>
  <c r="U48" i="35"/>
  <c r="U47" i="35"/>
  <c r="U46" i="35"/>
  <c r="U45" i="35"/>
  <c r="U44" i="35"/>
  <c r="U43" i="35"/>
  <c r="U42" i="35"/>
  <c r="U41" i="35"/>
  <c r="U40" i="35"/>
  <c r="U39" i="35"/>
  <c r="U38" i="35"/>
  <c r="U37" i="35"/>
  <c r="U36" i="35"/>
  <c r="U35" i="35"/>
  <c r="U34" i="35"/>
  <c r="U33" i="35"/>
  <c r="U32" i="35"/>
  <c r="U31" i="35"/>
  <c r="U30" i="35"/>
  <c r="U29" i="35"/>
  <c r="U28" i="35"/>
  <c r="U27" i="35"/>
  <c r="U26" i="35"/>
  <c r="U25" i="35"/>
  <c r="U24" i="35"/>
  <c r="U23" i="35"/>
  <c r="U22" i="35"/>
  <c r="U21" i="35"/>
  <c r="U20" i="35"/>
  <c r="U19" i="35"/>
  <c r="U18" i="35"/>
  <c r="U17" i="35"/>
  <c r="U16" i="35"/>
  <c r="U15" i="35"/>
  <c r="U14" i="35"/>
  <c r="U13" i="35"/>
  <c r="U12" i="35"/>
  <c r="U11" i="35"/>
  <c r="U10" i="35"/>
  <c r="U9" i="35"/>
  <c r="R118" i="35"/>
  <c r="R117" i="35"/>
  <c r="R116" i="35"/>
  <c r="R115" i="35"/>
  <c r="R114" i="35"/>
  <c r="R113" i="35"/>
  <c r="R112" i="35"/>
  <c r="R111" i="35"/>
  <c r="R110" i="35"/>
  <c r="R109" i="35"/>
  <c r="R108" i="35"/>
  <c r="R107" i="35"/>
  <c r="R106" i="35"/>
  <c r="R105" i="35"/>
  <c r="R104" i="35"/>
  <c r="R103" i="35"/>
  <c r="R102" i="35"/>
  <c r="R101" i="35"/>
  <c r="R100" i="35"/>
  <c r="R99" i="35"/>
  <c r="R98" i="35"/>
  <c r="R97" i="35"/>
  <c r="R96" i="35"/>
  <c r="R95" i="35"/>
  <c r="R94" i="35"/>
  <c r="R93" i="35"/>
  <c r="R92" i="35"/>
  <c r="R91" i="35"/>
  <c r="R90" i="35"/>
  <c r="R89" i="35"/>
  <c r="R88" i="35"/>
  <c r="R87" i="35"/>
  <c r="R86" i="35"/>
  <c r="R85" i="35"/>
  <c r="R84" i="35"/>
  <c r="R83" i="35"/>
  <c r="R82" i="35"/>
  <c r="R81" i="35"/>
  <c r="R80" i="35"/>
  <c r="R79" i="35"/>
  <c r="R78" i="35"/>
  <c r="R77" i="35"/>
  <c r="R76" i="35"/>
  <c r="R75" i="35"/>
  <c r="R74" i="35"/>
  <c r="R73" i="35"/>
  <c r="R72" i="35"/>
  <c r="R71" i="35"/>
  <c r="R70" i="35"/>
  <c r="R69" i="35"/>
  <c r="R68" i="35"/>
  <c r="R67" i="35"/>
  <c r="R66" i="35"/>
  <c r="R65" i="35"/>
  <c r="R64" i="35"/>
  <c r="R63" i="35"/>
  <c r="R62" i="35"/>
  <c r="R61" i="35"/>
  <c r="R60" i="35"/>
  <c r="R59" i="35"/>
  <c r="R58" i="35"/>
  <c r="R57" i="35"/>
  <c r="R56" i="35"/>
  <c r="R55" i="35"/>
  <c r="R54" i="35"/>
  <c r="R53" i="35"/>
  <c r="R52" i="35"/>
  <c r="R51" i="35"/>
  <c r="R50" i="35"/>
  <c r="R49" i="35"/>
  <c r="R48" i="35"/>
  <c r="R47" i="35"/>
  <c r="R46" i="35"/>
  <c r="R45" i="35"/>
  <c r="R44" i="35"/>
  <c r="R43" i="35"/>
  <c r="R42" i="35"/>
  <c r="R41" i="35"/>
  <c r="R40" i="35"/>
  <c r="R39" i="35"/>
  <c r="R38" i="35"/>
  <c r="R37" i="35"/>
  <c r="R36" i="35"/>
  <c r="R35" i="35"/>
  <c r="R34" i="35"/>
  <c r="R33" i="35"/>
  <c r="R32" i="35"/>
  <c r="R31" i="35"/>
  <c r="R30" i="35"/>
  <c r="R29" i="35"/>
  <c r="R28" i="35"/>
  <c r="R27" i="35"/>
  <c r="R26" i="35"/>
  <c r="R25" i="35"/>
  <c r="R24" i="35"/>
  <c r="R23" i="35"/>
  <c r="R22" i="35"/>
  <c r="R21" i="35"/>
  <c r="R20" i="35"/>
  <c r="R19" i="35"/>
  <c r="R18" i="35"/>
  <c r="R17" i="35"/>
  <c r="R16" i="35"/>
  <c r="R15" i="35"/>
  <c r="R14" i="35"/>
  <c r="R13" i="35"/>
  <c r="R12" i="35"/>
  <c r="R11" i="35"/>
  <c r="R10" i="35"/>
  <c r="R9" i="35"/>
  <c r="Q229" i="17" l="1"/>
  <c r="M229" i="17"/>
  <c r="S229" i="17"/>
  <c r="U229" i="17"/>
  <c r="W229" i="17"/>
  <c r="Y229" i="17"/>
  <c r="AA229" i="17"/>
  <c r="AC229" i="17"/>
  <c r="AE229" i="17"/>
  <c r="AG229" i="17"/>
  <c r="AI229" i="17"/>
  <c r="G722" i="24"/>
  <c r="N722" i="24"/>
  <c r="Q722" i="24"/>
  <c r="S722" i="24"/>
  <c r="D722" i="24"/>
  <c r="G216" i="24"/>
  <c r="N216" i="24"/>
  <c r="Q216" i="24"/>
  <c r="S216" i="24"/>
  <c r="D216" i="24"/>
  <c r="S228" i="17"/>
  <c r="Q228" i="17"/>
  <c r="O228" i="17"/>
  <c r="M228" i="17"/>
  <c r="AA228" i="17"/>
  <c r="AC228" i="17"/>
  <c r="AE228" i="17"/>
  <c r="AG228" i="17"/>
  <c r="AI228" i="17"/>
  <c r="D215" i="24"/>
  <c r="G215" i="24"/>
  <c r="N215" i="24"/>
  <c r="Q215" i="24"/>
  <c r="S215" i="24"/>
  <c r="M227" i="17"/>
  <c r="Q227" i="17"/>
  <c r="S227" i="17"/>
  <c r="U227" i="17"/>
  <c r="AA227" i="17"/>
  <c r="AC227" i="17"/>
  <c r="AE227" i="17"/>
  <c r="AG227" i="17"/>
  <c r="AI227" i="17"/>
  <c r="G721" i="24"/>
  <c r="N721" i="24"/>
  <c r="Q721" i="24"/>
  <c r="S721" i="24"/>
  <c r="D721" i="24"/>
  <c r="G214" i="24"/>
  <c r="N214" i="24"/>
  <c r="Q214" i="24"/>
  <c r="S214" i="24"/>
  <c r="D214" i="24"/>
  <c r="Y226" i="17"/>
  <c r="Q226" i="17"/>
  <c r="S226" i="17"/>
  <c r="AA226" i="17"/>
  <c r="D720" i="24"/>
  <c r="G720" i="24"/>
  <c r="N720" i="24"/>
  <c r="Q720" i="24"/>
  <c r="S720" i="24"/>
  <c r="M226" i="17"/>
  <c r="AC226" i="17"/>
  <c r="AE226" i="17"/>
  <c r="AG226" i="17"/>
  <c r="AI226" i="17"/>
  <c r="D213" i="24"/>
  <c r="G213" i="24"/>
  <c r="N213" i="24"/>
  <c r="Q213" i="24"/>
  <c r="S213" i="24"/>
  <c r="M225" i="17"/>
  <c r="Q225" i="17"/>
  <c r="S225" i="17"/>
  <c r="U225" i="17"/>
  <c r="AC225" i="17"/>
  <c r="AE225" i="17"/>
  <c r="AG225" i="17"/>
  <c r="AI225" i="17"/>
  <c r="G719" i="24"/>
  <c r="N719" i="24"/>
  <c r="Q719" i="24"/>
  <c r="S719" i="24"/>
  <c r="D719" i="24"/>
  <c r="G212" i="24"/>
  <c r="N212" i="24"/>
  <c r="Q212" i="24"/>
  <c r="S212" i="24"/>
  <c r="D212" i="24"/>
  <c r="U224" i="17"/>
  <c r="O224" i="17"/>
  <c r="Q224" i="17"/>
  <c r="S224" i="17"/>
  <c r="Y224" i="17"/>
  <c r="AA224" i="17"/>
  <c r="AC224" i="17"/>
  <c r="AE224" i="17"/>
  <c r="AG224" i="17"/>
  <c r="AI224" i="17"/>
  <c r="D211" i="24"/>
  <c r="G211" i="24"/>
  <c r="N211" i="24"/>
  <c r="Q211" i="24"/>
  <c r="S211" i="24"/>
  <c r="M223" i="17"/>
  <c r="O223" i="17"/>
  <c r="Q223" i="17"/>
  <c r="S223" i="17"/>
  <c r="U223" i="17"/>
  <c r="W223" i="17"/>
  <c r="Y223" i="17"/>
  <c r="AA223" i="17"/>
  <c r="AC223" i="17"/>
  <c r="AE223" i="17"/>
  <c r="AG223" i="17"/>
  <c r="AI223" i="17"/>
  <c r="G210" i="24"/>
  <c r="N210" i="24"/>
  <c r="Q210" i="24"/>
  <c r="S210" i="24"/>
  <c r="D210" i="24"/>
  <c r="M222" i="17"/>
  <c r="Q222" i="17"/>
  <c r="S222" i="17"/>
  <c r="U222" i="17"/>
  <c r="W222" i="17"/>
  <c r="AC222" i="17"/>
  <c r="AE222" i="17"/>
  <c r="AG222" i="17"/>
  <c r="AI222" i="17"/>
  <c r="G718" i="24"/>
  <c r="N718" i="24"/>
  <c r="Q718" i="24"/>
  <c r="S718" i="24"/>
  <c r="D718" i="24"/>
  <c r="G209" i="24"/>
  <c r="N209" i="24"/>
  <c r="Q209" i="24"/>
  <c r="S209" i="24"/>
  <c r="D209" i="24"/>
  <c r="M221" i="17"/>
  <c r="Q221" i="17"/>
  <c r="S221" i="17"/>
  <c r="D717" i="24"/>
  <c r="G717" i="24"/>
  <c r="N717" i="24"/>
  <c r="Q717" i="24"/>
  <c r="S717" i="24"/>
  <c r="U221" i="17"/>
  <c r="W221" i="17"/>
  <c r="Y221" i="17"/>
  <c r="AA221" i="17"/>
  <c r="AC221" i="17"/>
  <c r="AE221" i="17"/>
  <c r="AG221" i="17"/>
  <c r="AI221" i="17"/>
  <c r="D208" i="24"/>
  <c r="G208" i="24"/>
  <c r="N208" i="24"/>
  <c r="Q208" i="24"/>
  <c r="S208" i="24"/>
  <c r="O220" i="17"/>
  <c r="Q220" i="17"/>
  <c r="S220" i="17"/>
  <c r="Y220" i="17"/>
  <c r="W220" i="17"/>
  <c r="U220" i="17"/>
  <c r="M220" i="17"/>
  <c r="AA220" i="17"/>
  <c r="AC220" i="17"/>
  <c r="AE220" i="17"/>
  <c r="AG220" i="17"/>
  <c r="AI220" i="17"/>
  <c r="D207" i="24"/>
  <c r="G207" i="24"/>
  <c r="N207" i="24"/>
  <c r="Q207" i="24"/>
  <c r="S207" i="24"/>
  <c r="M219" i="17"/>
  <c r="O219" i="17"/>
  <c r="Q219" i="17"/>
  <c r="S219" i="17"/>
  <c r="AA219" i="17"/>
  <c r="AC219" i="17"/>
  <c r="AE219" i="17"/>
  <c r="AG219" i="17"/>
  <c r="AI219" i="17"/>
  <c r="G206" i="24"/>
  <c r="N206" i="24"/>
  <c r="Q206" i="24"/>
  <c r="S206" i="24"/>
  <c r="D206" i="24"/>
  <c r="D23" i="40"/>
  <c r="D22" i="40"/>
  <c r="D21" i="40"/>
  <c r="D20" i="40"/>
  <c r="D19" i="40"/>
  <c r="D18" i="40" l="1"/>
  <c r="D17" i="40"/>
  <c r="D16" i="40"/>
  <c r="D15" i="40"/>
  <c r="O218" i="17"/>
  <c r="Q218" i="17"/>
  <c r="S218" i="17"/>
  <c r="AA218" i="17"/>
  <c r="AC218" i="17"/>
  <c r="AE218" i="17"/>
  <c r="AG218" i="17"/>
  <c r="AI218" i="17"/>
  <c r="U218" i="17"/>
  <c r="M218" i="17"/>
  <c r="D205" i="24"/>
  <c r="G205" i="24"/>
  <c r="N205" i="24"/>
  <c r="Q205" i="24"/>
  <c r="S205" i="24"/>
  <c r="AI217" i="17"/>
  <c r="AG217" i="17"/>
  <c r="AE217" i="17"/>
  <c r="AC217" i="17"/>
  <c r="U217" i="17"/>
  <c r="S217" i="17"/>
  <c r="Q217" i="17"/>
  <c r="O217" i="17"/>
  <c r="M217" i="17"/>
  <c r="S200" i="24"/>
  <c r="S201" i="24"/>
  <c r="S202" i="24"/>
  <c r="S203" i="24"/>
  <c r="S204" i="24"/>
  <c r="Q204" i="24"/>
  <c r="N204" i="24"/>
  <c r="G204" i="24"/>
  <c r="D204" i="24"/>
  <c r="N491" i="24"/>
  <c r="Q491" i="24"/>
  <c r="S491" i="24"/>
  <c r="N492" i="24"/>
  <c r="Q492" i="24"/>
  <c r="S492" i="24"/>
  <c r="G491" i="24"/>
  <c r="G492" i="24"/>
  <c r="D491" i="24"/>
  <c r="D492" i="24"/>
  <c r="G60" i="36"/>
  <c r="G59" i="36"/>
  <c r="G58" i="36"/>
  <c r="G57" i="36"/>
  <c r="G56" i="36"/>
  <c r="G55" i="36"/>
  <c r="G54" i="36"/>
  <c r="G53" i="36"/>
  <c r="G52" i="36"/>
  <c r="G51" i="36"/>
  <c r="G50" i="36"/>
  <c r="G49" i="36"/>
  <c r="G48" i="36"/>
  <c r="G47" i="36"/>
  <c r="G46" i="36"/>
  <c r="G45" i="36"/>
  <c r="G44" i="36"/>
  <c r="G43" i="36"/>
  <c r="G42" i="36"/>
  <c r="G41" i="36"/>
  <c r="G40" i="36"/>
  <c r="G39" i="36"/>
  <c r="G38" i="36"/>
  <c r="G37" i="36"/>
  <c r="G36" i="36"/>
  <c r="G35" i="36"/>
  <c r="G34" i="36"/>
  <c r="G33" i="36"/>
  <c r="G32" i="36"/>
  <c r="G31" i="36"/>
  <c r="G30" i="36"/>
  <c r="G29" i="36"/>
  <c r="G28" i="36"/>
  <c r="G27" i="36"/>
  <c r="G26" i="36"/>
  <c r="G25" i="36"/>
  <c r="G24" i="36"/>
  <c r="G23" i="36"/>
  <c r="G22" i="36"/>
  <c r="G21" i="36"/>
  <c r="G20" i="36"/>
  <c r="G19" i="36"/>
  <c r="G18" i="36"/>
  <c r="G17" i="36"/>
  <c r="G16" i="36"/>
  <c r="G15" i="36"/>
  <c r="G14" i="36"/>
  <c r="G13" i="36"/>
  <c r="G12" i="36"/>
  <c r="G11" i="36"/>
  <c r="G10" i="36"/>
  <c r="G9" i="36"/>
  <c r="G118" i="35"/>
  <c r="G117" i="35"/>
  <c r="G116" i="35"/>
  <c r="G115" i="35"/>
  <c r="G114" i="35"/>
  <c r="G113" i="35"/>
  <c r="G112" i="35"/>
  <c r="G111" i="35"/>
  <c r="G110" i="35"/>
  <c r="G109" i="35"/>
  <c r="G108" i="35"/>
  <c r="G107" i="35"/>
  <c r="G106" i="35"/>
  <c r="G105" i="35"/>
  <c r="G104" i="35"/>
  <c r="G103" i="35"/>
  <c r="G102" i="35"/>
  <c r="G101" i="35"/>
  <c r="G100" i="35"/>
  <c r="G99" i="35"/>
  <c r="G98" i="35"/>
  <c r="G97" i="35"/>
  <c r="G96" i="35"/>
  <c r="G95" i="35"/>
  <c r="G94" i="35"/>
  <c r="G93" i="35"/>
  <c r="G92" i="35"/>
  <c r="G91" i="35"/>
  <c r="G90" i="35"/>
  <c r="G89" i="35"/>
  <c r="G88" i="35"/>
  <c r="G87" i="35"/>
  <c r="G86" i="35"/>
  <c r="G85" i="35"/>
  <c r="G84" i="35"/>
  <c r="G83" i="35"/>
  <c r="G82" i="35"/>
  <c r="G81" i="35"/>
  <c r="G80" i="35"/>
  <c r="G79" i="35"/>
  <c r="G78" i="35"/>
  <c r="G77" i="35"/>
  <c r="G76" i="35"/>
  <c r="G75" i="35"/>
  <c r="G74" i="35"/>
  <c r="G73" i="35"/>
  <c r="G72" i="35"/>
  <c r="G71" i="35"/>
  <c r="G70" i="35"/>
  <c r="G69" i="35"/>
  <c r="G68" i="35"/>
  <c r="G67" i="35"/>
  <c r="G66" i="35"/>
  <c r="G65" i="35"/>
  <c r="G64" i="35"/>
  <c r="G63" i="35"/>
  <c r="G62" i="35"/>
  <c r="G61" i="35"/>
  <c r="G60" i="35"/>
  <c r="G59" i="35"/>
  <c r="G58" i="35"/>
  <c r="G57" i="35"/>
  <c r="G56" i="35"/>
  <c r="G55" i="35"/>
  <c r="G54" i="35"/>
  <c r="G53" i="35"/>
  <c r="G52" i="35"/>
  <c r="G51" i="35"/>
  <c r="G50" i="35"/>
  <c r="G49" i="35"/>
  <c r="G48" i="35"/>
  <c r="G47" i="35"/>
  <c r="G46" i="35"/>
  <c r="G45" i="35"/>
  <c r="G44" i="35"/>
  <c r="G43" i="35"/>
  <c r="G42" i="35"/>
  <c r="G41" i="35"/>
  <c r="G40" i="35"/>
  <c r="G39" i="35"/>
  <c r="G38" i="35"/>
  <c r="G37" i="35"/>
  <c r="G36" i="35"/>
  <c r="G35" i="35"/>
  <c r="G34" i="35"/>
  <c r="G33" i="35"/>
  <c r="G32" i="35"/>
  <c r="G31" i="35"/>
  <c r="G30" i="35"/>
  <c r="G29" i="35"/>
  <c r="G28" i="35"/>
  <c r="G27" i="35"/>
  <c r="G26" i="35"/>
  <c r="G25" i="35"/>
  <c r="G24" i="35"/>
  <c r="G23" i="35"/>
  <c r="G22" i="35"/>
  <c r="G21" i="35"/>
  <c r="G20" i="35"/>
  <c r="G19" i="35"/>
  <c r="G18" i="35"/>
  <c r="G17" i="35"/>
  <c r="G16" i="35"/>
  <c r="G15" i="35"/>
  <c r="G14" i="35"/>
  <c r="G13" i="35"/>
  <c r="G12" i="35"/>
  <c r="G11" i="35"/>
  <c r="G10" i="35"/>
  <c r="G9" i="35"/>
  <c r="F98" i="39"/>
  <c r="F97" i="39"/>
  <c r="F96" i="39"/>
  <c r="F95" i="39"/>
  <c r="F94" i="39"/>
  <c r="F93" i="39"/>
  <c r="F92" i="39"/>
  <c r="F91" i="39"/>
  <c r="F90" i="39"/>
  <c r="F89" i="39"/>
  <c r="F88" i="39"/>
  <c r="F87" i="39"/>
  <c r="F86" i="39"/>
  <c r="F85" i="39"/>
  <c r="F84" i="39"/>
  <c r="F83" i="39"/>
  <c r="F82" i="39"/>
  <c r="F81" i="39"/>
  <c r="F80" i="39"/>
  <c r="F79" i="39"/>
  <c r="F78" i="39"/>
  <c r="F77" i="39"/>
  <c r="F76" i="39"/>
  <c r="F75" i="39"/>
  <c r="F74" i="39"/>
  <c r="F73" i="39"/>
  <c r="F72" i="39"/>
  <c r="F71" i="39"/>
  <c r="F70" i="39"/>
  <c r="F69" i="39"/>
  <c r="F68" i="39"/>
  <c r="F67" i="39"/>
  <c r="F66" i="39"/>
  <c r="F65" i="39"/>
  <c r="F64" i="39"/>
  <c r="F63" i="39"/>
  <c r="F62" i="39"/>
  <c r="F61" i="39"/>
  <c r="F60" i="39"/>
  <c r="F59" i="39"/>
  <c r="F58" i="39"/>
  <c r="F57" i="39"/>
  <c r="F56" i="39"/>
  <c r="F55" i="39"/>
  <c r="F54" i="39"/>
  <c r="F53" i="39"/>
  <c r="F52" i="39"/>
  <c r="F51" i="39"/>
  <c r="F50" i="39"/>
  <c r="F49" i="39"/>
  <c r="F48" i="39"/>
  <c r="F47" i="39"/>
  <c r="F46" i="39"/>
  <c r="F45" i="39"/>
  <c r="F44" i="39"/>
  <c r="F43" i="39"/>
  <c r="F42" i="39"/>
  <c r="F41" i="39"/>
  <c r="F40" i="39"/>
  <c r="F39" i="39"/>
  <c r="F38" i="39"/>
  <c r="F37" i="39"/>
  <c r="F36" i="39"/>
  <c r="F35" i="39"/>
  <c r="F34" i="39"/>
  <c r="F33" i="39"/>
  <c r="F32" i="39"/>
  <c r="F31" i="39"/>
  <c r="F30" i="39"/>
  <c r="F29" i="39"/>
  <c r="F28" i="39"/>
  <c r="F27" i="39"/>
  <c r="F26" i="39"/>
  <c r="F25" i="39"/>
  <c r="F24" i="39"/>
  <c r="F23" i="39"/>
  <c r="F22" i="39"/>
  <c r="F21" i="39"/>
  <c r="F20" i="39"/>
  <c r="F19" i="39"/>
  <c r="F18" i="39"/>
  <c r="F17" i="39"/>
  <c r="F16" i="39"/>
  <c r="F15" i="39"/>
  <c r="F14" i="39"/>
  <c r="F13" i="39"/>
  <c r="F12" i="39"/>
  <c r="F11" i="39"/>
  <c r="F10" i="39"/>
  <c r="F9" i="39"/>
  <c r="F8" i="39"/>
  <c r="E110" i="37"/>
  <c r="E109" i="37"/>
  <c r="E108" i="37"/>
  <c r="E107" i="37"/>
  <c r="E106" i="37"/>
  <c r="E105" i="37"/>
  <c r="E104" i="37"/>
  <c r="E103" i="37"/>
  <c r="E102" i="37"/>
  <c r="E101" i="37"/>
  <c r="E100" i="37"/>
  <c r="E99" i="37"/>
  <c r="E98" i="37"/>
  <c r="E97" i="37"/>
  <c r="E96" i="37"/>
  <c r="E95" i="37"/>
  <c r="E94" i="37"/>
  <c r="E93" i="37"/>
  <c r="E92" i="37"/>
  <c r="E91" i="37"/>
  <c r="E90" i="37"/>
  <c r="E89" i="37"/>
  <c r="E88" i="37"/>
  <c r="E87" i="37"/>
  <c r="E86" i="37"/>
  <c r="E85" i="37"/>
  <c r="E84" i="37"/>
  <c r="E83" i="37"/>
  <c r="E82" i="37"/>
  <c r="E81" i="37"/>
  <c r="E80" i="37"/>
  <c r="E79" i="37"/>
  <c r="E78" i="37"/>
  <c r="E77" i="37"/>
  <c r="E76" i="37"/>
  <c r="E75" i="37"/>
  <c r="E74" i="37"/>
  <c r="E73" i="37"/>
  <c r="E72" i="37"/>
  <c r="E71" i="37"/>
  <c r="E70" i="37"/>
  <c r="E69" i="37"/>
  <c r="E68" i="37"/>
  <c r="E67" i="37"/>
  <c r="E66" i="37"/>
  <c r="E65" i="37"/>
  <c r="E64" i="37"/>
  <c r="E63" i="37"/>
  <c r="E62" i="37"/>
  <c r="E61" i="37"/>
  <c r="E60" i="37"/>
  <c r="E59" i="37"/>
  <c r="E58" i="37"/>
  <c r="E57" i="37"/>
  <c r="E56" i="37"/>
  <c r="E55" i="37"/>
  <c r="E54" i="37"/>
  <c r="F48" i="38"/>
  <c r="F47" i="38"/>
  <c r="F46" i="38"/>
  <c r="F45" i="38"/>
  <c r="F44" i="38"/>
  <c r="F43" i="38"/>
  <c r="F42" i="38"/>
  <c r="F41" i="38"/>
  <c r="F40" i="38"/>
  <c r="F39" i="38"/>
  <c r="F38" i="38"/>
  <c r="F37" i="38"/>
  <c r="F36" i="38"/>
  <c r="F35" i="38"/>
  <c r="F34" i="38"/>
  <c r="F33" i="38"/>
  <c r="F32" i="38"/>
  <c r="F31" i="38"/>
  <c r="F30" i="38"/>
  <c r="F29" i="38"/>
  <c r="F28" i="38"/>
  <c r="F27" i="38"/>
  <c r="F26" i="38"/>
  <c r="F25" i="38"/>
  <c r="F24" i="38"/>
  <c r="F23" i="38"/>
  <c r="F22" i="38"/>
  <c r="F21" i="38"/>
  <c r="F20" i="38"/>
  <c r="F19" i="38"/>
  <c r="F18" i="38"/>
  <c r="F17" i="38"/>
  <c r="F16" i="38"/>
  <c r="F15" i="38"/>
  <c r="F14" i="38"/>
  <c r="F13" i="38"/>
  <c r="F12" i="38"/>
  <c r="F11" i="38"/>
  <c r="F10" i="38"/>
  <c r="F9" i="38"/>
  <c r="F8" i="38"/>
  <c r="F98" i="38"/>
  <c r="F97" i="38"/>
  <c r="F96" i="38"/>
  <c r="F95" i="38"/>
  <c r="F94" i="38"/>
  <c r="F93" i="38"/>
  <c r="F92" i="38"/>
  <c r="F91" i="38"/>
  <c r="F90" i="38"/>
  <c r="F89" i="38"/>
  <c r="F88" i="38"/>
  <c r="F87" i="38"/>
  <c r="F86" i="38"/>
  <c r="F85" i="38"/>
  <c r="F84" i="38"/>
  <c r="F83" i="38"/>
  <c r="F82" i="38"/>
  <c r="F81" i="38"/>
  <c r="F80" i="38"/>
  <c r="F79" i="38"/>
  <c r="F78" i="38"/>
  <c r="F77" i="38"/>
  <c r="F76" i="38"/>
  <c r="F75" i="38"/>
  <c r="F74" i="38"/>
  <c r="F73" i="38"/>
  <c r="F72" i="38"/>
  <c r="F71" i="38"/>
  <c r="F70" i="38"/>
  <c r="F69" i="38"/>
  <c r="F68" i="38"/>
  <c r="F67" i="38"/>
  <c r="F66" i="38"/>
  <c r="F65" i="38"/>
  <c r="F64" i="38"/>
  <c r="F63" i="38"/>
  <c r="F62" i="38"/>
  <c r="F61" i="38"/>
  <c r="F60" i="38"/>
  <c r="F59" i="38"/>
  <c r="F58" i="38"/>
  <c r="F57" i="38"/>
  <c r="F56" i="38"/>
  <c r="F55" i="38"/>
  <c r="F54" i="38"/>
  <c r="F53" i="38"/>
  <c r="F52" i="38"/>
  <c r="F51" i="38"/>
  <c r="F50" i="38"/>
  <c r="F49" i="38"/>
  <c r="E52" i="37"/>
  <c r="E51" i="37"/>
  <c r="E50" i="37"/>
  <c r="E49" i="37"/>
  <c r="E48" i="37"/>
  <c r="E47" i="37"/>
  <c r="E46" i="37"/>
  <c r="E45" i="37"/>
  <c r="E44" i="37"/>
  <c r="E43" i="37"/>
  <c r="E42" i="37"/>
  <c r="E41" i="37"/>
  <c r="E40" i="37"/>
  <c r="E39" i="37"/>
  <c r="E38" i="37"/>
  <c r="E37" i="37"/>
  <c r="E36" i="37"/>
  <c r="E35" i="37"/>
  <c r="E34" i="37"/>
  <c r="E33" i="37"/>
  <c r="E32" i="37"/>
  <c r="E31" i="37"/>
  <c r="E30" i="37"/>
  <c r="E29" i="37"/>
  <c r="E28" i="37"/>
  <c r="E27" i="37"/>
  <c r="E26" i="37"/>
  <c r="E25" i="37"/>
  <c r="E24" i="37"/>
  <c r="E23" i="37"/>
  <c r="E22" i="37"/>
  <c r="E21" i="37"/>
  <c r="E20" i="37"/>
  <c r="E19" i="37"/>
  <c r="E18" i="37"/>
  <c r="E17" i="37"/>
  <c r="E16" i="37"/>
  <c r="E15" i="37"/>
  <c r="E14" i="37"/>
  <c r="E13" i="37"/>
  <c r="E12" i="37"/>
  <c r="E11" i="37"/>
  <c r="E10" i="37"/>
  <c r="E9" i="37"/>
  <c r="E8" i="37"/>
  <c r="N486" i="24"/>
  <c r="Q486" i="24"/>
  <c r="S486" i="24"/>
  <c r="N487" i="24"/>
  <c r="Q487" i="24"/>
  <c r="S487" i="24"/>
  <c r="N488" i="24"/>
  <c r="Q488" i="24"/>
  <c r="S488" i="24"/>
  <c r="N489" i="24"/>
  <c r="Q489" i="24"/>
  <c r="S489" i="24"/>
  <c r="N490" i="24"/>
  <c r="Q490" i="24"/>
  <c r="S490" i="24"/>
  <c r="G486" i="24"/>
  <c r="G487" i="24"/>
  <c r="G488" i="24"/>
  <c r="G489" i="24"/>
  <c r="G490" i="24"/>
  <c r="D486" i="24"/>
  <c r="D487" i="24"/>
  <c r="D488" i="24"/>
  <c r="D489" i="24"/>
  <c r="D490" i="24"/>
  <c r="AA174" i="17"/>
  <c r="U182" i="17"/>
  <c r="AC142" i="17"/>
  <c r="AA170" i="17"/>
  <c r="U167" i="17"/>
  <c r="U207" i="17"/>
  <c r="U160" i="17"/>
  <c r="U156" i="17"/>
  <c r="U200" i="17"/>
  <c r="W158" i="17"/>
  <c r="Y152" i="17"/>
  <c r="U162" i="17"/>
  <c r="U208" i="17"/>
  <c r="Q478" i="24"/>
  <c r="S478" i="24"/>
  <c r="Q479" i="24"/>
  <c r="S479" i="24"/>
  <c r="Q480" i="24"/>
  <c r="S480" i="24"/>
  <c r="Q481" i="24"/>
  <c r="S481" i="24"/>
  <c r="Q482" i="24"/>
  <c r="S482" i="24"/>
  <c r="Q483" i="24"/>
  <c r="S483" i="24"/>
  <c r="Q484" i="24"/>
  <c r="S484" i="24"/>
  <c r="Q485" i="24"/>
  <c r="S485" i="24"/>
  <c r="N478" i="24"/>
  <c r="N479" i="24"/>
  <c r="N480" i="24"/>
  <c r="N481" i="24"/>
  <c r="N482" i="24"/>
  <c r="N483" i="24"/>
  <c r="N484" i="24"/>
  <c r="N485" i="24"/>
  <c r="G478" i="24"/>
  <c r="G479" i="24"/>
  <c r="G480" i="24"/>
  <c r="G481" i="24"/>
  <c r="G482" i="24"/>
  <c r="G483" i="24"/>
  <c r="G484" i="24"/>
  <c r="G485" i="24"/>
  <c r="D478" i="24"/>
  <c r="D479" i="24"/>
  <c r="D480" i="24"/>
  <c r="D481" i="24"/>
  <c r="D482" i="24"/>
  <c r="D484" i="24"/>
  <c r="D485" i="24"/>
  <c r="S216" i="17"/>
  <c r="Q216" i="17"/>
  <c r="O216" i="17"/>
  <c r="M216" i="17"/>
  <c r="K216" i="17"/>
  <c r="U216" i="17"/>
  <c r="W216" i="17"/>
  <c r="Y216" i="17"/>
  <c r="AA216" i="17"/>
  <c r="AC216" i="17"/>
  <c r="AE216" i="17"/>
  <c r="AG216" i="17"/>
  <c r="AI216" i="17"/>
  <c r="D203" i="24"/>
  <c r="G203" i="24"/>
  <c r="N203" i="24"/>
  <c r="Q203" i="24"/>
  <c r="Q215" i="17"/>
  <c r="S215" i="17"/>
  <c r="U215" i="17"/>
  <c r="M215" i="17"/>
  <c r="W215" i="17"/>
  <c r="Y215" i="17"/>
  <c r="AA215" i="17"/>
  <c r="AC215" i="17"/>
  <c r="AE215" i="17"/>
  <c r="AG215" i="17"/>
  <c r="AI215" i="17"/>
  <c r="D716" i="24"/>
  <c r="G716" i="24"/>
  <c r="N716" i="24"/>
  <c r="Q716" i="24"/>
  <c r="S716" i="24"/>
  <c r="D202" i="24"/>
  <c r="G202" i="24"/>
  <c r="N202" i="24"/>
  <c r="Q202" i="24"/>
  <c r="K214" i="17"/>
  <c r="M214" i="17"/>
  <c r="O214" i="17"/>
  <c r="Q214" i="17"/>
  <c r="S214" i="17"/>
  <c r="U214" i="17"/>
  <c r="W214" i="17"/>
  <c r="Y214" i="17"/>
  <c r="AA214" i="17"/>
  <c r="AC214" i="17"/>
  <c r="AE214" i="17"/>
  <c r="AG214" i="17"/>
  <c r="AI214" i="17"/>
  <c r="G197" i="24"/>
  <c r="G198" i="24"/>
  <c r="G199" i="24"/>
  <c r="G200" i="24"/>
  <c r="G201" i="24"/>
  <c r="D201" i="24"/>
  <c r="N201" i="24"/>
  <c r="Q201" i="24"/>
  <c r="AI213" i="17"/>
  <c r="AG213" i="17"/>
  <c r="AE213" i="17"/>
  <c r="AC213" i="17"/>
  <c r="AA213" i="17"/>
  <c r="Y213" i="17"/>
  <c r="W213" i="17"/>
  <c r="U213" i="17"/>
  <c r="S213" i="17"/>
  <c r="Q213" i="17"/>
  <c r="M213" i="17"/>
  <c r="K213" i="17"/>
  <c r="AI212" i="17"/>
  <c r="AG212" i="17"/>
  <c r="AE212" i="17"/>
  <c r="AC212" i="17"/>
  <c r="AA212" i="17"/>
  <c r="Y212" i="17"/>
  <c r="W212" i="17"/>
  <c r="U212" i="17"/>
  <c r="S212" i="17"/>
  <c r="Q212" i="17"/>
  <c r="M212" i="17"/>
  <c r="K212" i="17"/>
  <c r="Q200" i="24"/>
  <c r="N200" i="24"/>
  <c r="D200" i="24"/>
  <c r="S199" i="24"/>
  <c r="Q199" i="24"/>
  <c r="N199" i="24"/>
  <c r="D199" i="24"/>
  <c r="S198" i="24"/>
  <c r="Q198" i="24"/>
  <c r="N198" i="24"/>
  <c r="D198" i="24"/>
  <c r="AI211" i="17"/>
  <c r="AG211" i="17"/>
  <c r="AE211" i="17"/>
  <c r="AC211" i="17"/>
  <c r="AA211" i="17"/>
  <c r="Y211" i="17"/>
  <c r="W211" i="17"/>
  <c r="U211" i="17"/>
  <c r="S211" i="17"/>
  <c r="Q211" i="17"/>
  <c r="K211" i="17"/>
  <c r="U210" i="17" l="1"/>
  <c r="S197" i="24" l="1"/>
  <c r="Q197" i="24"/>
  <c r="N197" i="24"/>
  <c r="D197" i="24"/>
  <c r="AI210" i="17"/>
  <c r="AG210" i="17"/>
  <c r="M210" i="17"/>
  <c r="M209" i="17"/>
  <c r="Q209" i="17"/>
  <c r="S209" i="17"/>
  <c r="U209" i="17"/>
  <c r="W209" i="17"/>
  <c r="Y209" i="17"/>
  <c r="AA209" i="17"/>
  <c r="AC209" i="17"/>
  <c r="AE209" i="17"/>
  <c r="AG209" i="17"/>
  <c r="AI209" i="17"/>
  <c r="D196" i="24"/>
  <c r="G196" i="24"/>
  <c r="N196" i="24"/>
  <c r="Q196" i="24"/>
  <c r="S196" i="24"/>
  <c r="O208" i="17"/>
  <c r="Q208" i="17"/>
  <c r="S208" i="17"/>
  <c r="M208" i="17"/>
  <c r="AE208" i="17"/>
  <c r="AG208" i="17"/>
  <c r="AI208" i="17"/>
  <c r="D195" i="24"/>
  <c r="G195" i="24"/>
  <c r="N195" i="24"/>
  <c r="Q195" i="24"/>
  <c r="S195" i="24"/>
  <c r="S207" i="17"/>
  <c r="Q207" i="17"/>
  <c r="O207" i="17"/>
  <c r="M207" i="17"/>
  <c r="AC207" i="17"/>
  <c r="AE207" i="17"/>
  <c r="AG207" i="17"/>
  <c r="AI207" i="17"/>
  <c r="D194" i="24"/>
  <c r="G194" i="24"/>
  <c r="N194" i="24"/>
  <c r="Q194" i="24"/>
  <c r="S194" i="24"/>
  <c r="D451" i="24"/>
  <c r="G451" i="24"/>
  <c r="N451" i="24"/>
  <c r="Q451" i="24"/>
  <c r="S451" i="24"/>
  <c r="D452" i="24"/>
  <c r="G452" i="24"/>
  <c r="N452" i="24"/>
  <c r="Q452" i="24"/>
  <c r="S452" i="24"/>
  <c r="D453" i="24"/>
  <c r="G453" i="24"/>
  <c r="N453" i="24"/>
  <c r="Q453" i="24"/>
  <c r="S453" i="24"/>
  <c r="D454" i="24"/>
  <c r="G454" i="24"/>
  <c r="N454" i="24"/>
  <c r="Q454" i="24"/>
  <c r="S454" i="24"/>
  <c r="D455" i="24"/>
  <c r="G455" i="24"/>
  <c r="N455" i="24"/>
  <c r="Q455" i="24"/>
  <c r="S455" i="24"/>
  <c r="D456" i="24"/>
  <c r="G456" i="24"/>
  <c r="N456" i="24"/>
  <c r="Q456" i="24"/>
  <c r="S456" i="24"/>
  <c r="D457" i="24"/>
  <c r="G457" i="24"/>
  <c r="N457" i="24"/>
  <c r="Q457" i="24"/>
  <c r="S457" i="24"/>
  <c r="D458" i="24"/>
  <c r="G458" i="24"/>
  <c r="N458" i="24"/>
  <c r="Q458" i="24"/>
  <c r="S458" i="24"/>
  <c r="D459" i="24"/>
  <c r="G459" i="24"/>
  <c r="N459" i="24"/>
  <c r="Q459" i="24"/>
  <c r="S459" i="24"/>
  <c r="D460" i="24"/>
  <c r="G460" i="24"/>
  <c r="N460" i="24"/>
  <c r="Q460" i="24"/>
  <c r="S460" i="24"/>
  <c r="D461" i="24"/>
  <c r="G461" i="24"/>
  <c r="N461" i="24"/>
  <c r="Q461" i="24"/>
  <c r="S461" i="24"/>
  <c r="D462" i="24"/>
  <c r="G462" i="24"/>
  <c r="N462" i="24"/>
  <c r="Q462" i="24"/>
  <c r="S462" i="24"/>
  <c r="D463" i="24"/>
  <c r="G463" i="24"/>
  <c r="N463" i="24"/>
  <c r="Q463" i="24"/>
  <c r="S463" i="24"/>
  <c r="D464" i="24"/>
  <c r="G464" i="24"/>
  <c r="N464" i="24"/>
  <c r="Q464" i="24"/>
  <c r="S464" i="24"/>
  <c r="D465" i="24"/>
  <c r="G465" i="24"/>
  <c r="N465" i="24"/>
  <c r="Q465" i="24"/>
  <c r="S465" i="24"/>
  <c r="D466" i="24"/>
  <c r="G466" i="24"/>
  <c r="N466" i="24"/>
  <c r="Q466" i="24"/>
  <c r="S466" i="24"/>
  <c r="D467" i="24"/>
  <c r="G467" i="24"/>
  <c r="N467" i="24"/>
  <c r="Q467" i="24"/>
  <c r="S467" i="24"/>
  <c r="D468" i="24"/>
  <c r="G468" i="24"/>
  <c r="N468" i="24"/>
  <c r="Q468" i="24"/>
  <c r="S468" i="24"/>
  <c r="D469" i="24"/>
  <c r="G469" i="24"/>
  <c r="N469" i="24"/>
  <c r="Q469" i="24"/>
  <c r="S469" i="24"/>
  <c r="D470" i="24"/>
  <c r="G470" i="24"/>
  <c r="N470" i="24"/>
  <c r="Q470" i="24"/>
  <c r="S470" i="24"/>
  <c r="D471" i="24"/>
  <c r="G471" i="24"/>
  <c r="N471" i="24"/>
  <c r="Q471" i="24"/>
  <c r="S471" i="24"/>
  <c r="D472" i="24"/>
  <c r="G472" i="24"/>
  <c r="N472" i="24"/>
  <c r="Q472" i="24"/>
  <c r="S472" i="24"/>
  <c r="D473" i="24"/>
  <c r="G473" i="24"/>
  <c r="N473" i="24"/>
  <c r="Q473" i="24"/>
  <c r="S473" i="24"/>
  <c r="D474" i="24"/>
  <c r="G474" i="24"/>
  <c r="N474" i="24"/>
  <c r="Q474" i="24"/>
  <c r="S474" i="24"/>
  <c r="D475" i="24"/>
  <c r="G475" i="24"/>
  <c r="N475" i="24"/>
  <c r="Q475" i="24"/>
  <c r="S475" i="24"/>
  <c r="D476" i="24"/>
  <c r="G476" i="24"/>
  <c r="N476" i="24"/>
  <c r="Q476" i="24"/>
  <c r="S476" i="24"/>
  <c r="D477" i="24"/>
  <c r="G477" i="24"/>
  <c r="N477" i="24"/>
  <c r="Q477" i="24"/>
  <c r="S477" i="24"/>
  <c r="M206" i="17"/>
  <c r="O206" i="17"/>
  <c r="Q206" i="17"/>
  <c r="S206" i="17"/>
  <c r="U206" i="17"/>
  <c r="W206" i="17"/>
  <c r="Y206" i="17"/>
  <c r="AA206" i="17"/>
  <c r="AC206" i="17"/>
  <c r="AE206" i="17"/>
  <c r="AG206" i="17"/>
  <c r="AI206" i="17"/>
  <c r="D193" i="24"/>
  <c r="G193" i="24"/>
  <c r="N193" i="24"/>
  <c r="Q193" i="24"/>
  <c r="S193" i="24"/>
  <c r="D14" i="40"/>
  <c r="D13" i="40"/>
  <c r="D12" i="40"/>
  <c r="D11" i="40"/>
  <c r="D10" i="40"/>
  <c r="D9" i="40"/>
  <c r="M205" i="17" l="1"/>
  <c r="O205" i="17"/>
  <c r="Q205" i="17"/>
  <c r="S205" i="17"/>
  <c r="AA205" i="17"/>
  <c r="AC205" i="17"/>
  <c r="AE205" i="17"/>
  <c r="AG205" i="17"/>
  <c r="AI205" i="17"/>
  <c r="D192" i="24"/>
  <c r="G192" i="24"/>
  <c r="N192" i="24"/>
  <c r="Q192" i="24"/>
  <c r="S192" i="24"/>
  <c r="M204" i="17"/>
  <c r="Q204" i="17"/>
  <c r="S204" i="17"/>
  <c r="U204" i="17"/>
  <c r="AE204" i="17"/>
  <c r="AG204" i="17"/>
  <c r="AI204" i="17"/>
  <c r="D715" i="24"/>
  <c r="G715" i="24"/>
  <c r="N715" i="24"/>
  <c r="Q715" i="24"/>
  <c r="S715" i="24"/>
  <c r="D191" i="24"/>
  <c r="G191" i="24"/>
  <c r="N191" i="24"/>
  <c r="Q191" i="24"/>
  <c r="S191" i="24"/>
  <c r="O203" i="17"/>
  <c r="Q203" i="17"/>
  <c r="S203" i="17"/>
  <c r="M203" i="17"/>
  <c r="AA203" i="17"/>
  <c r="AC203" i="17"/>
  <c r="AE203" i="17"/>
  <c r="AG203" i="17"/>
  <c r="AI203" i="17"/>
  <c r="D190" i="24"/>
  <c r="G190" i="24"/>
  <c r="N190" i="24"/>
  <c r="Q190" i="24"/>
  <c r="S190" i="24"/>
  <c r="M202" i="17"/>
  <c r="O202" i="17"/>
  <c r="Q202" i="17"/>
  <c r="S202" i="17"/>
  <c r="AE202" i="17"/>
  <c r="AG202" i="17"/>
  <c r="AI202" i="17"/>
  <c r="D189" i="24"/>
  <c r="G189" i="24"/>
  <c r="N189" i="24"/>
  <c r="Q189" i="24"/>
  <c r="S189" i="24"/>
  <c r="Q201" i="17"/>
  <c r="S201" i="17"/>
  <c r="M201" i="17"/>
  <c r="U201" i="17"/>
  <c r="W201" i="17"/>
  <c r="Y201" i="17"/>
  <c r="AA201" i="17"/>
  <c r="AC201" i="17"/>
  <c r="AE201" i="17"/>
  <c r="AG201" i="17"/>
  <c r="AI201" i="17"/>
  <c r="D714" i="24"/>
  <c r="G714" i="24"/>
  <c r="N714" i="24"/>
  <c r="Q714" i="24"/>
  <c r="S714" i="24"/>
  <c r="D188" i="24"/>
  <c r="G188" i="24"/>
  <c r="N188" i="24"/>
  <c r="Q188" i="24"/>
  <c r="S188" i="24"/>
  <c r="O200" i="17"/>
  <c r="Q200" i="17"/>
  <c r="S200" i="17"/>
  <c r="M200" i="17"/>
  <c r="AA200" i="17"/>
  <c r="AC200" i="17"/>
  <c r="AE200" i="17"/>
  <c r="AG200" i="17"/>
  <c r="AI200" i="17"/>
  <c r="D187" i="24"/>
  <c r="G187" i="24"/>
  <c r="N187" i="24"/>
  <c r="Q187" i="24"/>
  <c r="S187" i="24"/>
  <c r="M199" i="17"/>
  <c r="O199" i="17"/>
  <c r="Q199" i="17"/>
  <c r="S199" i="17"/>
  <c r="U199" i="17"/>
  <c r="AG199" i="17"/>
  <c r="AI199" i="17"/>
  <c r="G186" i="24"/>
  <c r="N186" i="24"/>
  <c r="Q186" i="24"/>
  <c r="S186" i="24"/>
  <c r="D186" i="24"/>
  <c r="O198" i="17"/>
  <c r="Q198" i="17"/>
  <c r="S198" i="17"/>
  <c r="M198" i="17"/>
  <c r="AE198" i="17"/>
  <c r="AG198" i="17"/>
  <c r="AI198" i="17"/>
  <c r="D185" i="24"/>
  <c r="G185" i="24"/>
  <c r="N185" i="24"/>
  <c r="Q185" i="24"/>
  <c r="S185" i="24"/>
  <c r="M197" i="17"/>
  <c r="O197" i="17"/>
  <c r="Q197" i="17"/>
  <c r="S197" i="17"/>
  <c r="AE197" i="17"/>
  <c r="AG197" i="17"/>
  <c r="AI197" i="17"/>
  <c r="G184" i="24"/>
  <c r="N184" i="24"/>
  <c r="Q184" i="24"/>
  <c r="S184" i="24"/>
  <c r="D184" i="24"/>
  <c r="AE70" i="36"/>
  <c r="AE71" i="36"/>
  <c r="AE72" i="36"/>
  <c r="AE73" i="36"/>
  <c r="AE74" i="36"/>
  <c r="AE75" i="36"/>
  <c r="AE76" i="36"/>
  <c r="AE77" i="36"/>
  <c r="AE78" i="36"/>
  <c r="AE79" i="36"/>
  <c r="AC70" i="36"/>
  <c r="AC71" i="36"/>
  <c r="AC72" i="36"/>
  <c r="AC73" i="36"/>
  <c r="AC74" i="36"/>
  <c r="AC75" i="36"/>
  <c r="AC76" i="36"/>
  <c r="AC77" i="36"/>
  <c r="AC78" i="36"/>
  <c r="AC79" i="36"/>
  <c r="AA70" i="36"/>
  <c r="AA71" i="36"/>
  <c r="AA72" i="36"/>
  <c r="AA73" i="36"/>
  <c r="AA74" i="36"/>
  <c r="AA75" i="36"/>
  <c r="AA76" i="36"/>
  <c r="AA77" i="36"/>
  <c r="AA78" i="36"/>
  <c r="AA79" i="36"/>
  <c r="D177" i="24"/>
  <c r="G177" i="24"/>
  <c r="N177" i="24"/>
  <c r="Q177" i="24"/>
  <c r="S177" i="24"/>
  <c r="S180" i="24"/>
  <c r="S181" i="24"/>
  <c r="S183" i="24"/>
  <c r="S179" i="24"/>
  <c r="S182" i="24"/>
  <c r="N174" i="24"/>
  <c r="Q174" i="24"/>
  <c r="S174" i="24"/>
  <c r="N175" i="24"/>
  <c r="Q175" i="24"/>
  <c r="N176" i="24"/>
  <c r="Q176" i="24"/>
  <c r="N178" i="24"/>
  <c r="Q178" i="24"/>
  <c r="S178" i="24"/>
  <c r="N179" i="24"/>
  <c r="Q179" i="24"/>
  <c r="N180" i="24"/>
  <c r="Q180" i="24"/>
  <c r="N181" i="24"/>
  <c r="Q181" i="24"/>
  <c r="N182" i="24"/>
  <c r="Q182" i="24"/>
  <c r="N183" i="24"/>
  <c r="Q183" i="24"/>
  <c r="G174" i="24"/>
  <c r="G175" i="24"/>
  <c r="G176" i="24"/>
  <c r="G178" i="24"/>
  <c r="G179" i="24"/>
  <c r="G180" i="24"/>
  <c r="G181" i="24"/>
  <c r="G182" i="24"/>
  <c r="G183" i="24"/>
  <c r="D174" i="24"/>
  <c r="D175" i="24"/>
  <c r="D176" i="24"/>
  <c r="D178" i="24"/>
  <c r="D179" i="24"/>
  <c r="D180" i="24"/>
  <c r="D181" i="24"/>
  <c r="D182" i="24"/>
  <c r="D183" i="24"/>
  <c r="AG194" i="17"/>
  <c r="AG188" i="17"/>
  <c r="AE192" i="17"/>
  <c r="AC196" i="17"/>
  <c r="AC190" i="17"/>
  <c r="AA188" i="17"/>
  <c r="W196" i="17"/>
  <c r="W190" i="17"/>
  <c r="U194" i="17"/>
  <c r="U188" i="17"/>
  <c r="S187" i="17"/>
  <c r="S188" i="17"/>
  <c r="S189" i="17"/>
  <c r="S190" i="17"/>
  <c r="S191" i="17"/>
  <c r="S192" i="17"/>
  <c r="S193" i="17"/>
  <c r="S194" i="17"/>
  <c r="S195" i="17"/>
  <c r="S196" i="17"/>
  <c r="Q187" i="17"/>
  <c r="Q188" i="17"/>
  <c r="Q189" i="17"/>
  <c r="Q190" i="17"/>
  <c r="Q191" i="17"/>
  <c r="Q192" i="17"/>
  <c r="Q193" i="17"/>
  <c r="Q194" i="17"/>
  <c r="Q195" i="17"/>
  <c r="Q196" i="17"/>
  <c r="O187" i="17"/>
  <c r="O188" i="17"/>
  <c r="O189" i="17"/>
  <c r="O191" i="17"/>
  <c r="O192" i="17"/>
  <c r="O193" i="17"/>
  <c r="O194" i="17"/>
  <c r="O196" i="17"/>
  <c r="M187" i="17"/>
  <c r="M188" i="17"/>
  <c r="M189" i="17"/>
  <c r="M190" i="17"/>
  <c r="M191" i="17"/>
  <c r="M192" i="17"/>
  <c r="M193" i="17"/>
  <c r="M195" i="17"/>
  <c r="M196" i="17"/>
  <c r="AI192" i="17"/>
  <c r="AI193" i="17"/>
  <c r="AI11" i="17"/>
  <c r="AI12" i="17"/>
  <c r="AI13" i="17"/>
  <c r="AI14" i="17"/>
  <c r="AI15" i="17"/>
  <c r="AI16" i="17"/>
  <c r="AI17" i="17"/>
  <c r="AI18" i="17"/>
  <c r="AI19" i="17"/>
  <c r="AI20" i="17"/>
  <c r="AI21" i="17"/>
  <c r="AI22" i="17"/>
  <c r="AI23" i="17"/>
  <c r="AI24" i="17"/>
  <c r="AI25" i="17"/>
  <c r="AI26" i="17"/>
  <c r="AI27" i="17"/>
  <c r="AI28" i="17"/>
  <c r="AI29" i="17"/>
  <c r="AI30" i="17"/>
  <c r="AI31" i="17"/>
  <c r="AI32" i="17"/>
  <c r="AI33" i="17"/>
  <c r="AI34" i="17"/>
  <c r="AI35" i="17"/>
  <c r="AI36" i="17"/>
  <c r="AI37" i="17"/>
  <c r="AI38" i="17"/>
  <c r="AI39" i="17"/>
  <c r="AI40" i="17"/>
  <c r="AI41" i="17"/>
  <c r="AI42" i="17"/>
  <c r="AI43" i="17"/>
  <c r="AI44" i="17"/>
  <c r="AI45" i="17"/>
  <c r="AI46" i="17"/>
  <c r="AI47" i="17"/>
  <c r="AI48" i="17"/>
  <c r="AI49" i="17"/>
  <c r="AI50" i="17"/>
  <c r="AI51" i="17"/>
  <c r="AI52" i="17"/>
  <c r="AI53" i="17"/>
  <c r="AI54" i="17"/>
  <c r="AI55" i="17"/>
  <c r="AI56" i="17"/>
  <c r="AI57" i="17"/>
  <c r="AI58" i="17"/>
  <c r="AI59" i="17"/>
  <c r="AI60" i="17"/>
  <c r="AI61" i="17"/>
  <c r="AI62" i="17"/>
  <c r="AI63" i="17"/>
  <c r="AI64" i="17"/>
  <c r="AI65" i="17"/>
  <c r="AI66" i="17"/>
  <c r="AI67" i="17"/>
  <c r="AI68" i="17"/>
  <c r="AI69" i="17"/>
  <c r="AI70" i="17"/>
  <c r="AI71" i="17"/>
  <c r="AI72" i="17"/>
  <c r="AI73" i="17"/>
  <c r="AI74" i="17"/>
  <c r="AI75" i="17"/>
  <c r="AI76" i="17"/>
  <c r="AI77" i="17"/>
  <c r="AI78" i="17"/>
  <c r="AI79" i="17"/>
  <c r="AI80" i="17"/>
  <c r="AI81" i="17"/>
  <c r="AI82" i="17"/>
  <c r="AI83" i="17"/>
  <c r="AI84" i="17"/>
  <c r="AI85" i="17"/>
  <c r="AI86" i="17"/>
  <c r="AI87" i="17"/>
  <c r="AI88" i="17"/>
  <c r="AI89" i="17"/>
  <c r="AI90" i="17"/>
  <c r="AI91" i="17"/>
  <c r="AI92" i="17"/>
  <c r="AI93" i="17"/>
  <c r="AI94" i="17"/>
  <c r="AI95" i="17"/>
  <c r="AI96" i="17"/>
  <c r="AI97" i="17"/>
  <c r="AI98" i="17"/>
  <c r="AI99" i="17"/>
  <c r="AI100" i="17"/>
  <c r="AI101" i="17"/>
  <c r="AI102" i="17"/>
  <c r="AI103" i="17"/>
  <c r="AI104" i="17"/>
  <c r="AI105" i="17"/>
  <c r="AI106" i="17"/>
  <c r="AI107" i="17"/>
  <c r="AI108" i="17"/>
  <c r="AI109" i="17"/>
  <c r="AI110" i="17"/>
  <c r="AI111" i="17"/>
  <c r="AI112" i="17"/>
  <c r="AI113" i="17"/>
  <c r="AI114" i="17"/>
  <c r="AI115" i="17"/>
  <c r="AI116" i="17"/>
  <c r="AI117" i="17"/>
  <c r="AI118" i="17"/>
  <c r="AI119" i="17"/>
  <c r="AI120" i="17"/>
  <c r="AI121" i="17"/>
  <c r="AI122" i="17"/>
  <c r="AI123" i="17"/>
  <c r="AI124" i="17"/>
  <c r="AI125" i="17"/>
  <c r="AI126" i="17"/>
  <c r="AI127" i="17"/>
  <c r="AI128" i="17"/>
  <c r="AI129" i="17"/>
  <c r="AI130" i="17"/>
  <c r="AI131" i="17"/>
  <c r="AI132" i="17"/>
  <c r="AI133" i="17"/>
  <c r="AI134" i="17"/>
  <c r="AI135" i="17"/>
  <c r="AI136" i="17"/>
  <c r="AI137" i="17"/>
  <c r="AI138" i="17"/>
  <c r="AI139" i="17"/>
  <c r="AI140" i="17"/>
  <c r="AI141" i="17"/>
  <c r="AI142" i="17"/>
  <c r="AI143" i="17"/>
  <c r="AI144" i="17"/>
  <c r="AI145" i="17"/>
  <c r="AI146" i="17"/>
  <c r="AI147" i="17"/>
  <c r="AI148" i="17"/>
  <c r="AI149" i="17"/>
  <c r="AI150" i="17"/>
  <c r="AI151" i="17"/>
  <c r="AI152" i="17"/>
  <c r="AI153" i="17"/>
  <c r="AI154" i="17"/>
  <c r="AI155" i="17"/>
  <c r="AI156" i="17"/>
  <c r="AI157" i="17"/>
  <c r="AI158" i="17"/>
  <c r="AI159" i="17"/>
  <c r="AI160" i="17"/>
  <c r="AI161" i="17"/>
  <c r="AI162" i="17"/>
  <c r="AI163" i="17"/>
  <c r="AI164" i="17"/>
  <c r="AI165" i="17"/>
  <c r="AI166" i="17"/>
  <c r="AI167" i="17"/>
  <c r="AI168" i="17"/>
  <c r="AI169" i="17"/>
  <c r="AI170" i="17"/>
  <c r="AI171" i="17"/>
  <c r="AI172" i="17"/>
  <c r="AI173" i="17"/>
  <c r="AI174" i="17"/>
  <c r="AI175" i="17"/>
  <c r="AI176" i="17"/>
  <c r="AI177" i="17"/>
  <c r="AI178" i="17"/>
  <c r="AI179" i="17"/>
  <c r="AI180" i="17"/>
  <c r="AI181" i="17"/>
  <c r="AI182" i="17"/>
  <c r="AI183" i="17"/>
  <c r="AI184" i="17"/>
  <c r="AI185" i="17"/>
  <c r="AI186" i="17"/>
  <c r="AI196" i="17"/>
  <c r="AI195" i="17"/>
  <c r="AI194" i="17"/>
  <c r="AI191" i="17"/>
  <c r="AI190" i="17"/>
  <c r="AI189" i="17"/>
  <c r="AI188" i="17"/>
  <c r="AI187" i="17"/>
  <c r="AG196" i="17"/>
  <c r="AG195" i="17"/>
  <c r="AG193" i="17"/>
  <c r="AG192" i="17"/>
  <c r="AG191" i="17"/>
  <c r="AG190" i="17"/>
  <c r="AG189" i="17"/>
  <c r="AG187" i="17"/>
  <c r="AE196" i="17"/>
  <c r="AE195" i="17"/>
  <c r="AE194" i="17"/>
  <c r="AE193" i="17"/>
  <c r="AE191" i="17"/>
  <c r="AE190" i="17"/>
  <c r="AE189" i="17"/>
  <c r="AE188" i="17"/>
  <c r="AE187" i="17"/>
  <c r="AC195" i="17"/>
  <c r="AC194" i="17"/>
  <c r="AC193" i="17"/>
  <c r="AC192" i="17"/>
  <c r="AC191" i="17"/>
  <c r="AC189" i="17"/>
  <c r="AC188" i="17"/>
  <c r="AC187" i="17"/>
  <c r="AA196" i="17"/>
  <c r="AA195" i="17"/>
  <c r="AA193" i="17"/>
  <c r="AA191" i="17"/>
  <c r="AA190" i="17"/>
  <c r="AA189" i="17"/>
  <c r="AA187" i="17"/>
  <c r="Y196" i="17"/>
  <c r="Y195" i="17"/>
  <c r="Y193" i="17"/>
  <c r="Y190" i="17"/>
  <c r="Y189" i="17"/>
  <c r="Y188" i="17"/>
  <c r="W195" i="17"/>
  <c r="W194" i="17"/>
  <c r="W189" i="17"/>
  <c r="W188" i="17"/>
  <c r="U196" i="17"/>
  <c r="U195" i="17"/>
  <c r="U191" i="17"/>
  <c r="U190" i="17"/>
  <c r="U189" i="17"/>
  <c r="U187" i="17"/>
  <c r="S176" i="24" l="1"/>
  <c r="S175" i="24"/>
  <c r="M186" i="17"/>
  <c r="O186" i="17"/>
  <c r="Q186" i="17"/>
  <c r="S186" i="17"/>
  <c r="AC186" i="17"/>
  <c r="AE186" i="17"/>
  <c r="AG186" i="17"/>
  <c r="D173" i="24"/>
  <c r="G173" i="24"/>
  <c r="N173" i="24"/>
  <c r="Q173" i="24"/>
  <c r="S173" i="24"/>
  <c r="M185" i="17"/>
  <c r="AC185" i="17"/>
  <c r="AE185" i="17"/>
  <c r="AG185" i="17"/>
  <c r="D713" i="24"/>
  <c r="G713" i="24"/>
  <c r="N713" i="24"/>
  <c r="Q713" i="24"/>
  <c r="S713" i="24"/>
  <c r="D172" i="24"/>
  <c r="G172" i="24"/>
  <c r="N172" i="24"/>
  <c r="Q172" i="24"/>
  <c r="S172" i="24"/>
  <c r="M184" i="17"/>
  <c r="O184" i="17"/>
  <c r="Q184" i="17"/>
  <c r="S184" i="17"/>
  <c r="U184" i="17"/>
  <c r="AA184" i="17"/>
  <c r="AC184" i="17"/>
  <c r="AE184" i="17"/>
  <c r="AG184" i="17"/>
  <c r="G171" i="24"/>
  <c r="N171" i="24"/>
  <c r="Q171" i="24"/>
  <c r="S171" i="24"/>
  <c r="D171" i="24"/>
  <c r="O183" i="17"/>
  <c r="Q183" i="17"/>
  <c r="S183" i="17"/>
  <c r="M183" i="17"/>
  <c r="Y183" i="17"/>
  <c r="AA183" i="17"/>
  <c r="AC183" i="17"/>
  <c r="AE183" i="17"/>
  <c r="AG183" i="17"/>
  <c r="D170" i="24"/>
  <c r="G170" i="24"/>
  <c r="N170" i="24"/>
  <c r="Q170" i="24"/>
  <c r="S170" i="24"/>
  <c r="O182" i="17"/>
  <c r="Q182" i="17"/>
  <c r="S182" i="17"/>
  <c r="M182" i="17"/>
  <c r="AC182" i="17"/>
  <c r="AE182" i="17"/>
  <c r="AG182" i="17"/>
  <c r="D169" i="24"/>
  <c r="G169" i="24"/>
  <c r="N169" i="24"/>
  <c r="Q169" i="24"/>
  <c r="S169" i="24"/>
  <c r="M181" i="17"/>
  <c r="O181" i="17"/>
  <c r="Q181" i="17"/>
  <c r="S181" i="17"/>
  <c r="U181" i="17"/>
  <c r="AA181" i="17"/>
  <c r="AC181" i="17"/>
  <c r="AE181" i="17"/>
  <c r="AG181" i="17"/>
  <c r="G168" i="24"/>
  <c r="N168" i="24"/>
  <c r="Q168" i="24"/>
  <c r="S168" i="24"/>
  <c r="D168" i="24"/>
  <c r="O180" i="17"/>
  <c r="Q180" i="17"/>
  <c r="S180" i="17"/>
  <c r="M180" i="17"/>
  <c r="Y180" i="17"/>
  <c r="AA180" i="17"/>
  <c r="AC180" i="17"/>
  <c r="AE180" i="17"/>
  <c r="AG180" i="17"/>
  <c r="D167" i="24"/>
  <c r="G167" i="24"/>
  <c r="N167" i="24"/>
  <c r="Q167" i="24"/>
  <c r="S167" i="24"/>
  <c r="Q179" i="17"/>
  <c r="S179" i="17"/>
  <c r="O179" i="17"/>
  <c r="M179" i="17"/>
  <c r="Y179" i="17"/>
  <c r="AA179" i="17"/>
  <c r="AC179" i="17"/>
  <c r="AE179" i="17"/>
  <c r="AG179" i="17"/>
  <c r="D166" i="24"/>
  <c r="G166" i="24"/>
  <c r="N166" i="24"/>
  <c r="Q166" i="24"/>
  <c r="S166" i="24"/>
  <c r="M178" i="17"/>
  <c r="O178" i="17"/>
  <c r="Q178" i="17"/>
  <c r="S178" i="17"/>
  <c r="U178" i="17"/>
  <c r="W178" i="17"/>
  <c r="Y178" i="17"/>
  <c r="AA178" i="17"/>
  <c r="AC178" i="17"/>
  <c r="AE178" i="17"/>
  <c r="AG178" i="17"/>
  <c r="D165" i="24"/>
  <c r="G165" i="24"/>
  <c r="N165" i="24"/>
  <c r="Q165" i="24"/>
  <c r="S165" i="24"/>
  <c r="Q177" i="17"/>
  <c r="S177" i="17"/>
  <c r="Y177" i="17"/>
  <c r="U177" i="17"/>
  <c r="O177" i="17"/>
  <c r="AA177" i="17"/>
  <c r="AC177" i="17"/>
  <c r="AE177" i="17"/>
  <c r="AG177" i="17"/>
  <c r="D712" i="24"/>
  <c r="G712" i="24"/>
  <c r="N712" i="24"/>
  <c r="Q712" i="24"/>
  <c r="S712" i="24"/>
  <c r="D164" i="24"/>
  <c r="G164" i="24"/>
  <c r="N164" i="24"/>
  <c r="Q164" i="24"/>
  <c r="S164" i="24"/>
  <c r="O176" i="17"/>
  <c r="Q176" i="17"/>
  <c r="S176" i="17"/>
  <c r="U176" i="17"/>
  <c r="W176" i="17"/>
  <c r="AE176" i="17"/>
  <c r="AG176" i="17"/>
  <c r="G711" i="24"/>
  <c r="N711" i="24"/>
  <c r="Q711" i="24"/>
  <c r="S711" i="24"/>
  <c r="D711" i="24"/>
  <c r="G163" i="24"/>
  <c r="N163" i="24"/>
  <c r="Q163" i="24"/>
  <c r="S163" i="24"/>
  <c r="D163" i="24"/>
  <c r="Q175" i="17"/>
  <c r="S175" i="17"/>
  <c r="O175" i="17"/>
  <c r="AA175" i="17"/>
  <c r="M175" i="17"/>
  <c r="AC175" i="17"/>
  <c r="AE175" i="17"/>
  <c r="AG175" i="17"/>
  <c r="D162" i="24"/>
  <c r="G162" i="24"/>
  <c r="N162" i="24"/>
  <c r="Q162" i="24"/>
  <c r="S162" i="24"/>
  <c r="Q174" i="17"/>
  <c r="S174" i="17"/>
  <c r="O174" i="17"/>
  <c r="M174" i="17"/>
  <c r="AC174" i="17"/>
  <c r="AE174" i="17"/>
  <c r="AG174" i="17"/>
  <c r="D161" i="24"/>
  <c r="G161" i="24"/>
  <c r="N161" i="24"/>
  <c r="Q161" i="24"/>
  <c r="S161" i="24"/>
  <c r="M173" i="17"/>
  <c r="O173" i="17"/>
  <c r="Q173" i="17"/>
  <c r="S173" i="17"/>
  <c r="AC173" i="17"/>
  <c r="AE173" i="17"/>
  <c r="AG173" i="17"/>
  <c r="G160" i="24"/>
  <c r="N160" i="24"/>
  <c r="Q160" i="24"/>
  <c r="S160" i="24"/>
  <c r="D160" i="24"/>
  <c r="N450" i="24"/>
  <c r="Q450" i="24"/>
  <c r="S450" i="24"/>
  <c r="G450" i="24"/>
  <c r="D450" i="24"/>
  <c r="Q172" i="17"/>
  <c r="S172" i="17"/>
  <c r="U172" i="17"/>
  <c r="M172" i="17"/>
  <c r="O172" i="17"/>
  <c r="AA172" i="17"/>
  <c r="AC172" i="17"/>
  <c r="AE172" i="17"/>
  <c r="AG172" i="17"/>
  <c r="D159" i="24"/>
  <c r="G159" i="24"/>
  <c r="N159" i="24"/>
  <c r="Q159" i="24"/>
  <c r="S159" i="24"/>
  <c r="M171" i="17"/>
  <c r="O171" i="17"/>
  <c r="Q171" i="17"/>
  <c r="S171" i="17"/>
  <c r="AA171" i="17"/>
  <c r="AC171" i="17"/>
  <c r="AE171" i="17"/>
  <c r="AG171" i="17"/>
  <c r="G158" i="24"/>
  <c r="N158" i="24"/>
  <c r="Q158" i="24"/>
  <c r="S158" i="24"/>
  <c r="D158" i="24"/>
  <c r="D446" i="24"/>
  <c r="G446" i="24"/>
  <c r="N446" i="24"/>
  <c r="Q446" i="24"/>
  <c r="S446" i="24"/>
  <c r="N442" i="24"/>
  <c r="Q442" i="24"/>
  <c r="S442" i="24"/>
  <c r="N443" i="24"/>
  <c r="Q443" i="24"/>
  <c r="S443" i="24"/>
  <c r="N444" i="24"/>
  <c r="Q444" i="24"/>
  <c r="S444" i="24"/>
  <c r="N445" i="24"/>
  <c r="Q445" i="24"/>
  <c r="S445" i="24"/>
  <c r="N447" i="24"/>
  <c r="Q447" i="24"/>
  <c r="S447" i="24"/>
  <c r="N448" i="24"/>
  <c r="Q448" i="24"/>
  <c r="S448" i="24"/>
  <c r="N449" i="24"/>
  <c r="Q449" i="24"/>
  <c r="S449" i="24"/>
  <c r="G442" i="24"/>
  <c r="G443" i="24"/>
  <c r="G444" i="24"/>
  <c r="G445" i="24"/>
  <c r="G447" i="24"/>
  <c r="G448" i="24"/>
  <c r="G449" i="24"/>
  <c r="D442" i="24"/>
  <c r="D443" i="24"/>
  <c r="D444" i="24"/>
  <c r="D445" i="24"/>
  <c r="D447" i="24"/>
  <c r="D448" i="24"/>
  <c r="D449" i="24"/>
  <c r="S170" i="17"/>
  <c r="Q170" i="17"/>
  <c r="O170" i="17"/>
  <c r="M170" i="17"/>
  <c r="AC170" i="17"/>
  <c r="AE170" i="17"/>
  <c r="AG170" i="17"/>
  <c r="D157" i="24"/>
  <c r="G157" i="24"/>
  <c r="N157" i="24"/>
  <c r="Q157" i="24"/>
  <c r="S157" i="24"/>
  <c r="M169" i="17"/>
  <c r="O169" i="17"/>
  <c r="Q169" i="17"/>
  <c r="S169" i="17"/>
  <c r="AA169" i="17"/>
  <c r="AC169" i="17"/>
  <c r="AE169" i="17"/>
  <c r="AG169" i="17"/>
  <c r="D156" i="24"/>
  <c r="Q151" i="24"/>
  <c r="Q152" i="24"/>
  <c r="Q153" i="24"/>
  <c r="Q154" i="24"/>
  <c r="Q155" i="24"/>
  <c r="Q156" i="24"/>
  <c r="G156" i="24"/>
  <c r="N156" i="24"/>
  <c r="S156" i="24"/>
  <c r="Q111" i="17"/>
  <c r="N409" i="24"/>
  <c r="Q409" i="24"/>
  <c r="S409" i="24"/>
  <c r="N410" i="24"/>
  <c r="Q410" i="24"/>
  <c r="S410" i="24"/>
  <c r="N411" i="24"/>
  <c r="Q411" i="24"/>
  <c r="S411" i="24"/>
  <c r="N412" i="24"/>
  <c r="Q412" i="24"/>
  <c r="S412" i="24"/>
  <c r="N413" i="24"/>
  <c r="Q413" i="24"/>
  <c r="S413" i="24"/>
  <c r="N414" i="24"/>
  <c r="Q414" i="24"/>
  <c r="S414" i="24"/>
  <c r="N415" i="24"/>
  <c r="Q415" i="24"/>
  <c r="S415" i="24"/>
  <c r="N416" i="24"/>
  <c r="Q416" i="24"/>
  <c r="S416" i="24"/>
  <c r="N417" i="24"/>
  <c r="Q417" i="24"/>
  <c r="S417" i="24"/>
  <c r="N418" i="24"/>
  <c r="Q418" i="24"/>
  <c r="S418" i="24"/>
  <c r="N419" i="24"/>
  <c r="Q419" i="24"/>
  <c r="S419" i="24"/>
  <c r="N420" i="24"/>
  <c r="Q420" i="24"/>
  <c r="S420" i="24"/>
  <c r="N421" i="24"/>
  <c r="Q421" i="24"/>
  <c r="S421" i="24"/>
  <c r="N422" i="24"/>
  <c r="Q422" i="24"/>
  <c r="S422" i="24"/>
  <c r="N423" i="24"/>
  <c r="Q423" i="24"/>
  <c r="S423" i="24"/>
  <c r="N424" i="24"/>
  <c r="Q424" i="24"/>
  <c r="S424" i="24"/>
  <c r="N425" i="24"/>
  <c r="Q425" i="24"/>
  <c r="S425" i="24"/>
  <c r="N426" i="24"/>
  <c r="Q426" i="24"/>
  <c r="S426" i="24"/>
  <c r="N427" i="24"/>
  <c r="Q427" i="24"/>
  <c r="S427" i="24"/>
  <c r="N428" i="24"/>
  <c r="Q428" i="24"/>
  <c r="S428" i="24"/>
  <c r="N429" i="24"/>
  <c r="Q429" i="24"/>
  <c r="S429" i="24"/>
  <c r="N430" i="24"/>
  <c r="Q430" i="24"/>
  <c r="S430" i="24"/>
  <c r="N431" i="24"/>
  <c r="Q431" i="24"/>
  <c r="S431" i="24"/>
  <c r="N432" i="24"/>
  <c r="Q432" i="24"/>
  <c r="S432" i="24"/>
  <c r="N433" i="24"/>
  <c r="Q433" i="24"/>
  <c r="S433" i="24"/>
  <c r="N434" i="24"/>
  <c r="Q434" i="24"/>
  <c r="S434" i="24"/>
  <c r="N435" i="24"/>
  <c r="Q435" i="24"/>
  <c r="S435" i="24"/>
  <c r="N436" i="24"/>
  <c r="Q436" i="24"/>
  <c r="S436" i="24"/>
  <c r="N437" i="24"/>
  <c r="Q437" i="24"/>
  <c r="S437" i="24"/>
  <c r="N438" i="24"/>
  <c r="Q438" i="24"/>
  <c r="S438" i="24"/>
  <c r="N439" i="24"/>
  <c r="Q439" i="24"/>
  <c r="S439" i="24"/>
  <c r="N440" i="24"/>
  <c r="Q440" i="24"/>
  <c r="S440" i="24"/>
  <c r="N441" i="24"/>
  <c r="Q441" i="24"/>
  <c r="S441" i="24"/>
  <c r="G409" i="24"/>
  <c r="G410" i="24"/>
  <c r="G411" i="24"/>
  <c r="G412" i="24"/>
  <c r="G413" i="24"/>
  <c r="G414" i="24"/>
  <c r="G415" i="24"/>
  <c r="G416" i="24"/>
  <c r="G417" i="24"/>
  <c r="G418" i="24"/>
  <c r="G419" i="24"/>
  <c r="G420" i="24"/>
  <c r="G421" i="24"/>
  <c r="G422" i="24"/>
  <c r="G423" i="24"/>
  <c r="G424" i="24"/>
  <c r="G425" i="24"/>
  <c r="G426" i="24"/>
  <c r="G427" i="24"/>
  <c r="G428" i="24"/>
  <c r="G429" i="24"/>
  <c r="G430" i="24"/>
  <c r="G431" i="24"/>
  <c r="G432" i="24"/>
  <c r="G433" i="24"/>
  <c r="G434" i="24"/>
  <c r="G435" i="24"/>
  <c r="G436" i="24"/>
  <c r="G437" i="24"/>
  <c r="G438" i="24"/>
  <c r="G439" i="24"/>
  <c r="G440" i="24"/>
  <c r="G441" i="24"/>
  <c r="D409" i="24"/>
  <c r="D410" i="24"/>
  <c r="D411" i="24"/>
  <c r="D412" i="24"/>
  <c r="D413" i="24"/>
  <c r="D414" i="24"/>
  <c r="D415" i="24"/>
  <c r="D416" i="24"/>
  <c r="D417" i="24"/>
  <c r="D418" i="24"/>
  <c r="D419" i="24"/>
  <c r="D420" i="24"/>
  <c r="D421" i="24"/>
  <c r="D422" i="24"/>
  <c r="D423" i="24"/>
  <c r="D424" i="24"/>
  <c r="D425" i="24"/>
  <c r="D426" i="24"/>
  <c r="D427" i="24"/>
  <c r="D428" i="24"/>
  <c r="D429" i="24"/>
  <c r="D430" i="24"/>
  <c r="D431" i="24"/>
  <c r="D432" i="24"/>
  <c r="D433" i="24"/>
  <c r="D434" i="24"/>
  <c r="D435" i="24"/>
  <c r="D436" i="24"/>
  <c r="D437" i="24"/>
  <c r="D438" i="24"/>
  <c r="D439" i="24"/>
  <c r="D440" i="24"/>
  <c r="D441" i="24"/>
  <c r="S168" i="17"/>
  <c r="Q168" i="17"/>
  <c r="M168" i="17"/>
  <c r="Y168" i="17"/>
  <c r="AA168" i="17"/>
  <c r="AC168" i="17"/>
  <c r="AE168" i="17"/>
  <c r="AG168" i="17"/>
  <c r="D710" i="24"/>
  <c r="G710" i="24"/>
  <c r="N710" i="24"/>
  <c r="Q710" i="24"/>
  <c r="S710" i="24"/>
  <c r="D155" i="24"/>
  <c r="G155" i="24"/>
  <c r="N155" i="24"/>
  <c r="S155" i="24"/>
  <c r="M167" i="17"/>
  <c r="Q167" i="17"/>
  <c r="S167" i="17"/>
  <c r="AA167" i="17"/>
  <c r="AC167" i="17"/>
  <c r="AE167" i="17"/>
  <c r="AG167" i="17"/>
  <c r="D709" i="24"/>
  <c r="G709" i="24"/>
  <c r="N709" i="24"/>
  <c r="Q709" i="24"/>
  <c r="S709" i="24"/>
  <c r="D154" i="24"/>
  <c r="G154" i="24"/>
  <c r="N154" i="24"/>
  <c r="S154" i="24"/>
  <c r="S166" i="17"/>
  <c r="Q166" i="17"/>
  <c r="O166" i="17"/>
  <c r="M166" i="17"/>
  <c r="AA166" i="17"/>
  <c r="AC166" i="17"/>
  <c r="AE166" i="17"/>
  <c r="AG166" i="17"/>
  <c r="D153" i="24"/>
  <c r="G153" i="24"/>
  <c r="N153" i="24"/>
  <c r="S153" i="24"/>
  <c r="S165" i="17"/>
  <c r="Q165" i="17"/>
  <c r="O165" i="17"/>
  <c r="M165" i="17"/>
  <c r="U165" i="17"/>
  <c r="AA165" i="17"/>
  <c r="AC165" i="17"/>
  <c r="AE165" i="17"/>
  <c r="AG165" i="17"/>
  <c r="D152" i="24"/>
  <c r="G152" i="24"/>
  <c r="N152" i="24"/>
  <c r="S152" i="24"/>
  <c r="M164" i="17"/>
  <c r="O164" i="17"/>
  <c r="Q164" i="17"/>
  <c r="S164" i="17"/>
  <c r="U164" i="17"/>
  <c r="W164" i="17"/>
  <c r="Y164" i="17"/>
  <c r="AA164" i="17"/>
  <c r="AC164" i="17"/>
  <c r="AE164" i="17"/>
  <c r="AG164" i="17"/>
  <c r="S151" i="24"/>
  <c r="N151" i="24"/>
  <c r="G151" i="24"/>
  <c r="D151" i="24"/>
  <c r="W163" i="17"/>
  <c r="Q163" i="17"/>
  <c r="S163" i="17"/>
  <c r="M163" i="17"/>
  <c r="U163" i="17"/>
  <c r="Y163" i="17"/>
  <c r="AA163" i="17"/>
  <c r="AC163" i="17"/>
  <c r="AE163" i="17"/>
  <c r="AG163" i="17"/>
  <c r="D708" i="24"/>
  <c r="G708" i="24"/>
  <c r="N708" i="24"/>
  <c r="Q708" i="24"/>
  <c r="S708" i="24"/>
  <c r="D150" i="24"/>
  <c r="G150" i="24"/>
  <c r="N150" i="24"/>
  <c r="Q150" i="24"/>
  <c r="S150" i="24"/>
  <c r="Q162" i="17"/>
  <c r="S162" i="17"/>
  <c r="O162" i="17"/>
  <c r="M162" i="17"/>
  <c r="AA162" i="17"/>
  <c r="AC162" i="17"/>
  <c r="AE162" i="17"/>
  <c r="AG162" i="17"/>
  <c r="D149" i="24"/>
  <c r="G149" i="24"/>
  <c r="N149" i="24"/>
  <c r="Q149" i="24"/>
  <c r="S149" i="24"/>
  <c r="S161" i="17"/>
  <c r="Q161" i="17"/>
  <c r="O161" i="17"/>
  <c r="M161" i="17"/>
  <c r="AA161" i="17"/>
  <c r="AC161" i="17"/>
  <c r="AE161" i="17"/>
  <c r="AG161" i="17"/>
  <c r="D148" i="24"/>
  <c r="G148" i="24"/>
  <c r="N148" i="24"/>
  <c r="Q148" i="24"/>
  <c r="S148" i="24"/>
  <c r="S160" i="17"/>
  <c r="Q160" i="17"/>
  <c r="O160" i="17"/>
  <c r="M160" i="17"/>
  <c r="AC160" i="17"/>
  <c r="AE160" i="17"/>
  <c r="AG160" i="17"/>
  <c r="D147" i="24"/>
  <c r="G147" i="24"/>
  <c r="N147" i="24"/>
  <c r="Q147" i="24"/>
  <c r="S147" i="24"/>
  <c r="Q159" i="17"/>
  <c r="O159" i="17"/>
  <c r="M159" i="17"/>
  <c r="S159" i="17"/>
  <c r="AA159" i="17"/>
  <c r="AC159" i="17"/>
  <c r="AE159" i="17"/>
  <c r="AG159" i="17"/>
  <c r="D146" i="24"/>
  <c r="G146" i="24"/>
  <c r="N146" i="24"/>
  <c r="Q146" i="24"/>
  <c r="S146" i="24"/>
  <c r="Q158" i="17"/>
  <c r="S158" i="17"/>
  <c r="M158" i="17"/>
  <c r="O158" i="17"/>
  <c r="AC158" i="17"/>
  <c r="AE158" i="17"/>
  <c r="AG158" i="17"/>
  <c r="D145" i="24"/>
  <c r="G145" i="24"/>
  <c r="N145" i="24"/>
  <c r="Q145" i="24"/>
  <c r="S145" i="24"/>
  <c r="S157" i="17"/>
  <c r="Q157" i="17"/>
  <c r="O157" i="17"/>
  <c r="M157" i="17"/>
  <c r="AC157" i="17"/>
  <c r="AE157" i="17"/>
  <c r="AG157" i="17"/>
  <c r="D144" i="24"/>
  <c r="G144" i="24"/>
  <c r="N144" i="24"/>
  <c r="Q144" i="24"/>
  <c r="S144" i="24"/>
  <c r="M156" i="17"/>
  <c r="Q156" i="17"/>
  <c r="S156" i="17"/>
  <c r="W156" i="17"/>
  <c r="Y156" i="17"/>
  <c r="AA156" i="17"/>
  <c r="AC156" i="17"/>
  <c r="AE156" i="17"/>
  <c r="AG156" i="17"/>
  <c r="D707" i="24"/>
  <c r="G707" i="24"/>
  <c r="N707" i="24"/>
  <c r="Q707" i="24"/>
  <c r="S707" i="24"/>
  <c r="D143" i="24"/>
  <c r="G143" i="24"/>
  <c r="N143" i="24"/>
  <c r="Q143" i="24"/>
  <c r="S143" i="24"/>
  <c r="S155" i="17"/>
  <c r="Q155" i="17"/>
  <c r="AA155" i="17"/>
  <c r="AC155" i="17"/>
  <c r="AE155" i="17"/>
  <c r="AG155" i="17"/>
  <c r="Y155" i="17"/>
  <c r="W155" i="17"/>
  <c r="U155" i="17"/>
  <c r="M155" i="17"/>
  <c r="D706" i="24"/>
  <c r="G706" i="24"/>
  <c r="N706" i="24"/>
  <c r="Q706" i="24"/>
  <c r="S706" i="24"/>
  <c r="D142" i="24"/>
  <c r="G142" i="24"/>
  <c r="N142" i="24"/>
  <c r="Q142" i="24"/>
  <c r="S142" i="24"/>
  <c r="Q154" i="17"/>
  <c r="Q153" i="17"/>
  <c r="Q152" i="17"/>
  <c r="Q151" i="17"/>
  <c r="Q150" i="17"/>
  <c r="O149" i="17"/>
  <c r="O150" i="17"/>
  <c r="O151" i="17"/>
  <c r="O152" i="17"/>
  <c r="O153" i="17"/>
  <c r="O154" i="17"/>
  <c r="M154" i="17"/>
  <c r="S154" i="17"/>
  <c r="AC154" i="17"/>
  <c r="AE154" i="17"/>
  <c r="AG154" i="17"/>
  <c r="D141" i="24"/>
  <c r="G141" i="24"/>
  <c r="N141" i="24"/>
  <c r="Q141" i="24"/>
  <c r="S141" i="24"/>
  <c r="M153" i="17"/>
  <c r="S153" i="17"/>
  <c r="AC153" i="17"/>
  <c r="AE153" i="17"/>
  <c r="AG153" i="17"/>
  <c r="D140" i="24"/>
  <c r="G140" i="24"/>
  <c r="N140" i="24"/>
  <c r="Q140" i="24"/>
  <c r="S140" i="24"/>
  <c r="M152" i="17"/>
  <c r="S152" i="17"/>
  <c r="AC152" i="17"/>
  <c r="AE152" i="17"/>
  <c r="AG152" i="17"/>
  <c r="D139" i="24"/>
  <c r="G139" i="24"/>
  <c r="N139" i="24"/>
  <c r="Q139" i="24"/>
  <c r="S139" i="24"/>
  <c r="S151" i="17"/>
  <c r="M145" i="17"/>
  <c r="M140" i="17"/>
  <c r="M129" i="17"/>
  <c r="M128" i="17"/>
  <c r="M151" i="17"/>
  <c r="AC151" i="17"/>
  <c r="AE151" i="17"/>
  <c r="AG151" i="17"/>
  <c r="D138" i="24"/>
  <c r="G138" i="24"/>
  <c r="N138" i="24"/>
  <c r="Q138" i="24"/>
  <c r="S138" i="24"/>
  <c r="M150" i="17"/>
  <c r="S150" i="17"/>
  <c r="U150" i="17"/>
  <c r="W150" i="17"/>
  <c r="Y150" i="17"/>
  <c r="AA150" i="17"/>
  <c r="AC150" i="17"/>
  <c r="AE150" i="17"/>
  <c r="AG150" i="17"/>
  <c r="D137" i="24"/>
  <c r="G137" i="24"/>
  <c r="N137" i="24"/>
  <c r="Q137" i="24"/>
  <c r="S137" i="24"/>
  <c r="S149" i="17"/>
  <c r="Q149" i="17"/>
  <c r="M149" i="17"/>
  <c r="Y149" i="17"/>
  <c r="AA149" i="17"/>
  <c r="AC149" i="17"/>
  <c r="AE149" i="17"/>
  <c r="AG149" i="17"/>
  <c r="D136" i="24"/>
  <c r="G136" i="24"/>
  <c r="N136" i="24"/>
  <c r="Q136" i="24"/>
  <c r="S136" i="24"/>
  <c r="M148" i="17"/>
  <c r="O148" i="17"/>
  <c r="Q148" i="17"/>
  <c r="S148" i="17"/>
  <c r="Y148" i="17"/>
  <c r="AA148" i="17"/>
  <c r="AC148" i="17"/>
  <c r="AE148" i="17"/>
  <c r="AG148" i="17"/>
  <c r="D135" i="24"/>
  <c r="G135" i="24"/>
  <c r="N135" i="24"/>
  <c r="Q135" i="24"/>
  <c r="S135" i="24"/>
  <c r="O147" i="17"/>
  <c r="Q147" i="17"/>
  <c r="S147" i="17"/>
  <c r="AA147" i="17"/>
  <c r="AC147" i="17"/>
  <c r="AE147" i="17"/>
  <c r="AG147" i="17"/>
  <c r="M147" i="17"/>
  <c r="D134" i="24"/>
  <c r="G134" i="24"/>
  <c r="N134" i="24"/>
  <c r="Q134" i="24"/>
  <c r="S134" i="24"/>
  <c r="S146" i="17"/>
  <c r="S145" i="17"/>
  <c r="Q146" i="17"/>
  <c r="Q145" i="17"/>
  <c r="O146" i="17"/>
  <c r="O145" i="17"/>
  <c r="AC144" i="17"/>
  <c r="AE144" i="17"/>
  <c r="AG144" i="17"/>
  <c r="AC145" i="17"/>
  <c r="AE145" i="17"/>
  <c r="AG145" i="17"/>
  <c r="AC146" i="17"/>
  <c r="AE146" i="17"/>
  <c r="AG146" i="17"/>
  <c r="D132" i="24"/>
  <c r="D133" i="24"/>
  <c r="G132" i="24"/>
  <c r="N132" i="24"/>
  <c r="Q132" i="24"/>
  <c r="S132" i="24"/>
  <c r="G133" i="24"/>
  <c r="N133" i="24"/>
  <c r="Q133" i="24"/>
  <c r="S133" i="24"/>
  <c r="M146" i="17"/>
  <c r="U146" i="17"/>
  <c r="U145" i="17"/>
  <c r="AA146" i="17"/>
  <c r="Y146" i="17"/>
  <c r="M144" i="17" l="1"/>
  <c r="Q144" i="17"/>
  <c r="S144" i="17"/>
  <c r="U144" i="17"/>
  <c r="W144" i="17"/>
  <c r="Y144" i="17"/>
  <c r="AA144" i="17"/>
  <c r="D705" i="24"/>
  <c r="G705" i="24"/>
  <c r="N705" i="24"/>
  <c r="Q705" i="24"/>
  <c r="S705" i="24"/>
  <c r="D131" i="24"/>
  <c r="G131" i="24"/>
  <c r="N131" i="24"/>
  <c r="Q131" i="24"/>
  <c r="S131" i="24"/>
  <c r="AG142" i="17"/>
  <c r="AG143" i="17"/>
  <c r="AE143" i="17"/>
  <c r="AE142" i="17"/>
  <c r="AC143" i="17"/>
  <c r="AA143" i="17"/>
  <c r="S143" i="17"/>
  <c r="O143" i="17"/>
  <c r="Q143" i="17"/>
  <c r="K143" i="17"/>
  <c r="M143" i="17"/>
  <c r="G130" i="24"/>
  <c r="N130" i="24"/>
  <c r="Q130" i="24"/>
  <c r="S130" i="24"/>
  <c r="D130" i="24"/>
  <c r="S142" i="17"/>
  <c r="Q142" i="17"/>
  <c r="O142" i="17"/>
  <c r="M142" i="17"/>
  <c r="G129" i="24"/>
  <c r="N129" i="24"/>
  <c r="Q129" i="24"/>
  <c r="S129" i="24"/>
  <c r="D129" i="24"/>
  <c r="M141" i="17"/>
  <c r="O141" i="17"/>
  <c r="Q141" i="17"/>
  <c r="S141" i="17"/>
  <c r="U141" i="17"/>
  <c r="W141" i="17"/>
  <c r="AG141" i="17"/>
  <c r="D128" i="24"/>
  <c r="G128" i="24"/>
  <c r="N128" i="24"/>
  <c r="Q128" i="24"/>
  <c r="S128" i="24"/>
  <c r="Q140" i="17"/>
  <c r="S140" i="17"/>
  <c r="O140" i="17"/>
  <c r="AA140" i="17"/>
  <c r="AC140" i="17"/>
  <c r="AE140" i="17"/>
  <c r="AG140" i="17"/>
  <c r="G127" i="24"/>
  <c r="N127" i="24"/>
  <c r="Q127" i="24"/>
  <c r="S127" i="24"/>
  <c r="D127" i="24"/>
  <c r="M139" i="17"/>
  <c r="O139" i="17"/>
  <c r="Q139" i="17"/>
  <c r="S139" i="17"/>
  <c r="U139" i="17"/>
  <c r="AA139" i="17"/>
  <c r="AC139" i="17"/>
  <c r="AE139" i="17"/>
  <c r="AG139" i="17"/>
  <c r="D126" i="24"/>
  <c r="G126" i="24"/>
  <c r="N126" i="24"/>
  <c r="Q126" i="24"/>
  <c r="S126" i="24"/>
  <c r="S138" i="17"/>
  <c r="Q138" i="17"/>
  <c r="S137" i="17"/>
  <c r="Q137" i="17"/>
  <c r="M138" i="17"/>
  <c r="U138" i="17"/>
  <c r="W138" i="17"/>
  <c r="Y138" i="17"/>
  <c r="AA138" i="17"/>
  <c r="AC138" i="17"/>
  <c r="AE138" i="17"/>
  <c r="AG138" i="17"/>
  <c r="D704" i="24"/>
  <c r="G704" i="24"/>
  <c r="N704" i="24"/>
  <c r="Q704" i="24"/>
  <c r="S704" i="24"/>
  <c r="G125" i="24"/>
  <c r="N125" i="24"/>
  <c r="Q125" i="24"/>
  <c r="S125" i="24"/>
  <c r="D125" i="24"/>
  <c r="AC137" i="17"/>
  <c r="AE137" i="17"/>
  <c r="AG137" i="17"/>
  <c r="AA137" i="17"/>
  <c r="Y137" i="17"/>
  <c r="W137" i="17"/>
  <c r="U137" i="17"/>
  <c r="M137" i="17"/>
  <c r="D703" i="24"/>
  <c r="G703" i="24"/>
  <c r="N703" i="24"/>
  <c r="Q703" i="24"/>
  <c r="S703" i="24"/>
  <c r="D124" i="24"/>
  <c r="G124" i="24"/>
  <c r="N124" i="24"/>
  <c r="Q124" i="24"/>
  <c r="S124" i="24"/>
  <c r="M136" i="17"/>
  <c r="O136" i="17"/>
  <c r="Q136" i="17"/>
  <c r="S136" i="17"/>
  <c r="U136" i="17"/>
  <c r="AC136" i="17"/>
  <c r="AE136" i="17"/>
  <c r="AG136" i="17"/>
  <c r="D123" i="24"/>
  <c r="G123" i="24"/>
  <c r="N123" i="24"/>
  <c r="Q123" i="24"/>
  <c r="S123" i="24"/>
  <c r="AC135" i="17" l="1"/>
  <c r="AE135" i="17"/>
  <c r="AG135" i="17"/>
  <c r="S135" i="17"/>
  <c r="S134" i="17"/>
  <c r="Q135" i="17"/>
  <c r="O135" i="17"/>
  <c r="M135" i="17"/>
  <c r="G122" i="24"/>
  <c r="N122" i="24"/>
  <c r="Q122" i="24"/>
  <c r="S122" i="24"/>
  <c r="D122" i="24"/>
  <c r="O134" i="17"/>
  <c r="Q134" i="17"/>
  <c r="U134" i="17"/>
  <c r="AA134" i="17"/>
  <c r="AC134" i="17"/>
  <c r="AE134" i="17"/>
  <c r="AG134" i="17"/>
  <c r="M134" i="17"/>
  <c r="M133" i="17"/>
  <c r="G121" i="24"/>
  <c r="N121" i="24"/>
  <c r="Q121" i="24"/>
  <c r="S121" i="24"/>
  <c r="D121" i="24"/>
  <c r="O133" i="17"/>
  <c r="Q133" i="17"/>
  <c r="S133" i="17"/>
  <c r="AA133" i="17"/>
  <c r="AC133" i="17"/>
  <c r="AE133" i="17"/>
  <c r="AG133" i="17"/>
  <c r="G120" i="24"/>
  <c r="N120" i="24"/>
  <c r="Q120" i="24"/>
  <c r="S120" i="24"/>
  <c r="D120" i="24"/>
  <c r="O131" i="17"/>
  <c r="Q131" i="17"/>
  <c r="S131" i="17"/>
  <c r="M132" i="17"/>
  <c r="O132" i="17"/>
  <c r="Q132" i="17"/>
  <c r="S132" i="17"/>
  <c r="AC132" i="17"/>
  <c r="AE132" i="17"/>
  <c r="AG132" i="17"/>
  <c r="D119" i="24"/>
  <c r="G119" i="24"/>
  <c r="N119" i="24"/>
  <c r="Q119" i="24"/>
  <c r="S119" i="24"/>
  <c r="AG131" i="17"/>
  <c r="AE131" i="17"/>
  <c r="AC131" i="17"/>
  <c r="AA131" i="17"/>
  <c r="Y131" i="17"/>
  <c r="U131" i="17"/>
  <c r="M131" i="17"/>
  <c r="S695" i="24"/>
  <c r="S696" i="24"/>
  <c r="S697" i="24"/>
  <c r="S698" i="24"/>
  <c r="S699" i="24"/>
  <c r="S700" i="24"/>
  <c r="S701" i="24"/>
  <c r="S702" i="24"/>
  <c r="S757" i="24"/>
  <c r="S758" i="24"/>
  <c r="S759" i="24"/>
  <c r="S760" i="24"/>
  <c r="Q694" i="24"/>
  <c r="Q695" i="24"/>
  <c r="Q696" i="24"/>
  <c r="Q697" i="24"/>
  <c r="Q698" i="24"/>
  <c r="Q699" i="24"/>
  <c r="Q700" i="24"/>
  <c r="Q701" i="24"/>
  <c r="Q702" i="24"/>
  <c r="Q757" i="24"/>
  <c r="Q758" i="24"/>
  <c r="N696" i="24"/>
  <c r="N697" i="24"/>
  <c r="N698" i="24"/>
  <c r="N699" i="24"/>
  <c r="N700" i="24"/>
  <c r="N701" i="24"/>
  <c r="N702" i="24"/>
  <c r="G696" i="24"/>
  <c r="G697" i="24"/>
  <c r="G698" i="24"/>
  <c r="G699" i="24"/>
  <c r="G700" i="24"/>
  <c r="G701" i="24"/>
  <c r="G702" i="24"/>
  <c r="D697" i="24"/>
  <c r="D698" i="24"/>
  <c r="D699" i="24"/>
  <c r="D700" i="24"/>
  <c r="D701" i="24"/>
  <c r="D702" i="24"/>
  <c r="S105" i="24"/>
  <c r="S106" i="24"/>
  <c r="S107" i="24"/>
  <c r="S108" i="24"/>
  <c r="S109" i="24"/>
  <c r="S110" i="24"/>
  <c r="S111" i="24"/>
  <c r="S112" i="24"/>
  <c r="S113" i="24"/>
  <c r="S114" i="24"/>
  <c r="S115" i="24"/>
  <c r="S116" i="24"/>
  <c r="S117" i="24"/>
  <c r="S118" i="24"/>
  <c r="S349" i="24"/>
  <c r="S350" i="24"/>
  <c r="S351" i="24"/>
  <c r="S352" i="24"/>
  <c r="Q108" i="24"/>
  <c r="Q109" i="24"/>
  <c r="Q110" i="24"/>
  <c r="Q111" i="24"/>
  <c r="Q112" i="24"/>
  <c r="Q113" i="24"/>
  <c r="Q114" i="24"/>
  <c r="Q115" i="24"/>
  <c r="Q116" i="24"/>
  <c r="Q117" i="24"/>
  <c r="Q118" i="24"/>
  <c r="Q349" i="24"/>
  <c r="Q350" i="24"/>
  <c r="Q351" i="24"/>
  <c r="N108" i="24"/>
  <c r="N109" i="24"/>
  <c r="N110" i="24"/>
  <c r="N111" i="24"/>
  <c r="N112" i="24"/>
  <c r="N113" i="24"/>
  <c r="N114" i="24"/>
  <c r="N115" i="24"/>
  <c r="N116" i="24"/>
  <c r="N117" i="24"/>
  <c r="N118" i="24"/>
  <c r="N349" i="24"/>
  <c r="N350" i="24"/>
  <c r="N351" i="24"/>
  <c r="N352" i="24"/>
  <c r="N353" i="24"/>
  <c r="G106" i="24"/>
  <c r="G107" i="24"/>
  <c r="G108" i="24"/>
  <c r="G109" i="24"/>
  <c r="G110" i="24"/>
  <c r="G111" i="24"/>
  <c r="G112" i="24"/>
  <c r="G113" i="24"/>
  <c r="G114" i="24"/>
  <c r="G115" i="24"/>
  <c r="G116" i="24"/>
  <c r="G117" i="24"/>
  <c r="G118" i="24"/>
  <c r="D104" i="24"/>
  <c r="D105" i="24"/>
  <c r="D106" i="24"/>
  <c r="D107" i="24"/>
  <c r="D108" i="24"/>
  <c r="D109" i="24"/>
  <c r="D110" i="24"/>
  <c r="D111" i="24"/>
  <c r="D112" i="24"/>
  <c r="D113" i="24"/>
  <c r="D114" i="24"/>
  <c r="D115" i="24"/>
  <c r="D116" i="24"/>
  <c r="D117" i="24"/>
  <c r="D118" i="24"/>
  <c r="AG88" i="17"/>
  <c r="AG89" i="17"/>
  <c r="AG90" i="17"/>
  <c r="AG91" i="17"/>
  <c r="AG92" i="17"/>
  <c r="AG93" i="17"/>
  <c r="AG94" i="17"/>
  <c r="AG95" i="17"/>
  <c r="AG96" i="17"/>
  <c r="AG97" i="17"/>
  <c r="AG98" i="17"/>
  <c r="AG99" i="17"/>
  <c r="AG100" i="17"/>
  <c r="AG101" i="17"/>
  <c r="AG102" i="17"/>
  <c r="AG103" i="17"/>
  <c r="AG104" i="17"/>
  <c r="AG105" i="17"/>
  <c r="AG106" i="17"/>
  <c r="AG107" i="17"/>
  <c r="AG108" i="17"/>
  <c r="AG110" i="17"/>
  <c r="AG111" i="17"/>
  <c r="AG112" i="17"/>
  <c r="AG113" i="17"/>
  <c r="AG114" i="17"/>
  <c r="AG115" i="17"/>
  <c r="AG116" i="17"/>
  <c r="AG117" i="17"/>
  <c r="AG118" i="17"/>
  <c r="AG119" i="17"/>
  <c r="AG120" i="17"/>
  <c r="AG121" i="17"/>
  <c r="AG122" i="17"/>
  <c r="AG123" i="17"/>
  <c r="AG124" i="17"/>
  <c r="AG125" i="17"/>
  <c r="AG126" i="17"/>
  <c r="AG127" i="17"/>
  <c r="AG128" i="17"/>
  <c r="AG129" i="17"/>
  <c r="AG130" i="17"/>
  <c r="AE116" i="17"/>
  <c r="AE117" i="17"/>
  <c r="AE118" i="17"/>
  <c r="AE119" i="17"/>
  <c r="AE120" i="17"/>
  <c r="AE121" i="17"/>
  <c r="AE122" i="17"/>
  <c r="AE123" i="17"/>
  <c r="AE124" i="17"/>
  <c r="AE125" i="17"/>
  <c r="AE126" i="17"/>
  <c r="AE127" i="17"/>
  <c r="AE128" i="17"/>
  <c r="AE130" i="17"/>
  <c r="AC119" i="17"/>
  <c r="AC120" i="17"/>
  <c r="AC121" i="17"/>
  <c r="AC122" i="17"/>
  <c r="AC123" i="17"/>
  <c r="AC124" i="17"/>
  <c r="AC125" i="17"/>
  <c r="AC126" i="17"/>
  <c r="AC128" i="17"/>
  <c r="AA120" i="17"/>
  <c r="AA121" i="17"/>
  <c r="AA122" i="17"/>
  <c r="AA123" i="17"/>
  <c r="AA124" i="17"/>
  <c r="AA126" i="17"/>
  <c r="AA128" i="17"/>
  <c r="Y119" i="17"/>
  <c r="Y120" i="17"/>
  <c r="Y121" i="17"/>
  <c r="Y128" i="17"/>
  <c r="W121" i="17"/>
  <c r="W122" i="17"/>
  <c r="W123" i="17"/>
  <c r="W125" i="17"/>
  <c r="W126" i="17"/>
  <c r="W128" i="17"/>
  <c r="U119" i="17"/>
  <c r="U121" i="17"/>
  <c r="U122" i="17"/>
  <c r="U123" i="17"/>
  <c r="U124" i="17"/>
  <c r="U125" i="17"/>
  <c r="U126" i="17"/>
  <c r="U127" i="17"/>
  <c r="U128" i="17"/>
  <c r="U129" i="17"/>
  <c r="U130" i="17"/>
  <c r="S120" i="17"/>
  <c r="S121" i="17"/>
  <c r="S122" i="17"/>
  <c r="S123" i="17"/>
  <c r="S124" i="17"/>
  <c r="S125" i="17"/>
  <c r="S126" i="17"/>
  <c r="S127" i="17"/>
  <c r="S128" i="17"/>
  <c r="S129" i="17"/>
  <c r="S130" i="17"/>
  <c r="Q122" i="17"/>
  <c r="Q123" i="17"/>
  <c r="Q124" i="17"/>
  <c r="Q125" i="17"/>
  <c r="Q126" i="17"/>
  <c r="Q127" i="17"/>
  <c r="Q128" i="17"/>
  <c r="Q129" i="17"/>
  <c r="Q130" i="17"/>
  <c r="M121" i="17"/>
  <c r="M122" i="17"/>
  <c r="M123" i="17"/>
  <c r="M124" i="17"/>
  <c r="M125" i="17"/>
  <c r="M126" i="17"/>
  <c r="M127" i="17"/>
  <c r="M130" i="17"/>
  <c r="O123" i="17"/>
  <c r="O127" i="17"/>
  <c r="O129" i="17"/>
  <c r="O130" i="17"/>
  <c r="O121" i="17" l="1"/>
  <c r="Q121" i="17"/>
  <c r="O122" i="17"/>
  <c r="M120" i="17" l="1"/>
  <c r="O120" i="17"/>
  <c r="Q120" i="17"/>
  <c r="N107" i="24"/>
  <c r="Q107" i="24"/>
  <c r="M119" i="17" l="1"/>
  <c r="Q119" i="17"/>
  <c r="S119" i="17"/>
  <c r="W119" i="17"/>
  <c r="AA119" i="17"/>
  <c r="N106" i="24"/>
  <c r="Q106" i="24"/>
  <c r="M118" i="17" l="1"/>
  <c r="N105" i="24"/>
  <c r="Q105" i="24"/>
  <c r="G105" i="24"/>
  <c r="Q622" i="24" l="1"/>
  <c r="S622" i="24"/>
  <c r="Q623" i="24"/>
  <c r="S623" i="24"/>
  <c r="N622" i="24"/>
  <c r="N623" i="24"/>
  <c r="G622" i="24"/>
  <c r="G623" i="24"/>
  <c r="D622" i="24"/>
  <c r="D623" i="24"/>
  <c r="U117" i="17"/>
  <c r="AC117" i="17"/>
  <c r="M117" i="17"/>
  <c r="O117" i="17"/>
  <c r="Q117" i="17"/>
  <c r="S117" i="17"/>
  <c r="G104" i="24"/>
  <c r="N104" i="24"/>
  <c r="G349" i="24"/>
  <c r="Q104" i="24"/>
  <c r="S104" i="24"/>
  <c r="AE61" i="36" l="1"/>
  <c r="AC61" i="36"/>
  <c r="AA61" i="36"/>
  <c r="S793" i="24"/>
  <c r="Q793" i="24"/>
  <c r="S792" i="24"/>
  <c r="Q792" i="24"/>
  <c r="S791" i="24"/>
  <c r="Q791" i="24"/>
  <c r="S790" i="24"/>
  <c r="Q790" i="24"/>
  <c r="S789" i="24"/>
  <c r="Q789" i="24"/>
  <c r="S788" i="24"/>
  <c r="Q788" i="24"/>
  <c r="S787" i="24"/>
  <c r="Q787" i="24"/>
  <c r="S786" i="24"/>
  <c r="Q786" i="24"/>
  <c r="S785" i="24"/>
  <c r="Q785" i="24"/>
  <c r="S784" i="24"/>
  <c r="Q784" i="24"/>
  <c r="S783" i="24"/>
  <c r="Q783" i="24"/>
  <c r="S782" i="24"/>
  <c r="Q782" i="24"/>
  <c r="S781" i="24"/>
  <c r="Q781" i="24"/>
  <c r="S780" i="24"/>
  <c r="Q780" i="24"/>
  <c r="S779" i="24"/>
  <c r="Q779" i="24"/>
  <c r="S778" i="24"/>
  <c r="Q778" i="24"/>
  <c r="S777" i="24"/>
  <c r="Q777" i="24"/>
  <c r="S776" i="24"/>
  <c r="Q776" i="24"/>
  <c r="S775" i="24"/>
  <c r="Q775" i="24"/>
  <c r="S774" i="24"/>
  <c r="Q774" i="24"/>
  <c r="S773" i="24"/>
  <c r="Q773" i="24"/>
  <c r="S772" i="24"/>
  <c r="Q772" i="24"/>
  <c r="S771" i="24"/>
  <c r="Q771" i="24"/>
  <c r="S770" i="24"/>
  <c r="Q770" i="24"/>
  <c r="S769" i="24"/>
  <c r="Q769" i="24"/>
  <c r="S768" i="24"/>
  <c r="Q768" i="24"/>
  <c r="S767" i="24"/>
  <c r="Q767" i="24"/>
  <c r="S766" i="24"/>
  <c r="Q766" i="24"/>
  <c r="S765" i="24"/>
  <c r="Q765" i="24"/>
  <c r="S764" i="24"/>
  <c r="Q764" i="24"/>
  <c r="S763" i="24"/>
  <c r="Q763" i="24"/>
  <c r="S762" i="24"/>
  <c r="Q762" i="24"/>
  <c r="S761" i="24"/>
  <c r="Q761" i="24"/>
  <c r="Q760" i="24"/>
  <c r="Q759" i="24"/>
  <c r="S694" i="24"/>
  <c r="S693" i="24"/>
  <c r="Q693" i="24"/>
  <c r="S692" i="24"/>
  <c r="Q692" i="24"/>
  <c r="S691" i="24"/>
  <c r="Q691" i="24"/>
  <c r="S690" i="24"/>
  <c r="Q690" i="24"/>
  <c r="S689" i="24"/>
  <c r="Q689" i="24"/>
  <c r="S688" i="24"/>
  <c r="Q688" i="24"/>
  <c r="S687" i="24"/>
  <c r="Q687" i="24"/>
  <c r="S686" i="24"/>
  <c r="Q686" i="24"/>
  <c r="S685" i="24"/>
  <c r="Q685" i="24"/>
  <c r="S652" i="24"/>
  <c r="Q652" i="24"/>
  <c r="S651" i="24"/>
  <c r="Q651" i="24"/>
  <c r="S650" i="24"/>
  <c r="Q650" i="24"/>
  <c r="S649" i="24"/>
  <c r="Q649" i="24"/>
  <c r="S648" i="24"/>
  <c r="Q648" i="24"/>
  <c r="S647" i="24"/>
  <c r="Q647" i="24"/>
  <c r="S646" i="24"/>
  <c r="Q646" i="24"/>
  <c r="S645" i="24"/>
  <c r="Q645" i="24"/>
  <c r="S644" i="24"/>
  <c r="Q644" i="24"/>
  <c r="S643" i="24"/>
  <c r="Q643" i="24"/>
  <c r="S642" i="24"/>
  <c r="Q642" i="24"/>
  <c r="S641" i="24"/>
  <c r="Q641" i="24"/>
  <c r="S640" i="24"/>
  <c r="Q640" i="24"/>
  <c r="S639" i="24"/>
  <c r="Q639" i="24"/>
  <c r="S638" i="24"/>
  <c r="Q638" i="24"/>
  <c r="S637" i="24"/>
  <c r="Q637" i="24"/>
  <c r="S636" i="24"/>
  <c r="Q636" i="24"/>
  <c r="S635" i="24"/>
  <c r="Q635" i="24"/>
  <c r="S634" i="24"/>
  <c r="Q634" i="24"/>
  <c r="S633" i="24"/>
  <c r="Q633" i="24"/>
  <c r="S632" i="24"/>
  <c r="Q632" i="24"/>
  <c r="S631" i="24"/>
  <c r="Q631" i="24"/>
  <c r="S630" i="24"/>
  <c r="Q630" i="24"/>
  <c r="S629" i="24"/>
  <c r="Q629" i="24"/>
  <c r="S628" i="24"/>
  <c r="Q628" i="24"/>
  <c r="S627" i="24"/>
  <c r="Q627" i="24"/>
  <c r="S626" i="24"/>
  <c r="Q626" i="24"/>
  <c r="S625" i="24"/>
  <c r="Q625" i="24"/>
  <c r="S624" i="24"/>
  <c r="Q624" i="24"/>
  <c r="S621" i="24"/>
  <c r="Q621" i="24"/>
  <c r="S584" i="24"/>
  <c r="Q584" i="24"/>
  <c r="S583" i="24"/>
  <c r="Q583" i="24"/>
  <c r="S582" i="24"/>
  <c r="Q582" i="24"/>
  <c r="S581" i="24"/>
  <c r="Q581" i="24"/>
  <c r="S580" i="24"/>
  <c r="Q580" i="24"/>
  <c r="S579" i="24"/>
  <c r="Q579" i="24"/>
  <c r="S578" i="24"/>
  <c r="Q578" i="24"/>
  <c r="S577" i="24"/>
  <c r="Q577" i="24"/>
  <c r="S576" i="24"/>
  <c r="Q576" i="24"/>
  <c r="S575" i="24"/>
  <c r="Q575" i="24"/>
  <c r="S574" i="24"/>
  <c r="Q574" i="24"/>
  <c r="S573" i="24"/>
  <c r="Q573" i="24"/>
  <c r="S572" i="24"/>
  <c r="Q572" i="24"/>
  <c r="S571" i="24"/>
  <c r="Q571" i="24"/>
  <c r="S570" i="24"/>
  <c r="Q570" i="24"/>
  <c r="S569" i="24"/>
  <c r="Q569" i="24"/>
  <c r="S568" i="24"/>
  <c r="Q568" i="24"/>
  <c r="S567" i="24"/>
  <c r="Q567" i="24"/>
  <c r="S566" i="24"/>
  <c r="Q566" i="24"/>
  <c r="S565" i="24"/>
  <c r="Q565" i="24"/>
  <c r="S564" i="24"/>
  <c r="Q564" i="24"/>
  <c r="S563" i="24"/>
  <c r="Q563" i="24"/>
  <c r="S562" i="24"/>
  <c r="Q562" i="24"/>
  <c r="S561" i="24"/>
  <c r="Q561" i="24"/>
  <c r="S560" i="24"/>
  <c r="Q560" i="24"/>
  <c r="S559" i="24"/>
  <c r="Q559" i="24"/>
  <c r="S558" i="24"/>
  <c r="Q558" i="24"/>
  <c r="S557" i="24"/>
  <c r="Q557" i="24"/>
  <c r="S556" i="24"/>
  <c r="Q556" i="24"/>
  <c r="S555" i="24"/>
  <c r="Q555" i="24"/>
  <c r="S554" i="24"/>
  <c r="Q554" i="24"/>
  <c r="S553" i="24"/>
  <c r="Q553" i="24"/>
  <c r="S552" i="24"/>
  <c r="Q552" i="24"/>
  <c r="S551" i="24"/>
  <c r="Q551" i="24"/>
  <c r="S550" i="24"/>
  <c r="Q550" i="24"/>
  <c r="S549" i="24"/>
  <c r="Q549" i="24"/>
  <c r="S548" i="24"/>
  <c r="Q548" i="24"/>
  <c r="S547" i="24"/>
  <c r="Q547" i="24"/>
  <c r="S546" i="24"/>
  <c r="Q546" i="24"/>
  <c r="S545" i="24"/>
  <c r="Q545" i="24"/>
  <c r="S544" i="24"/>
  <c r="Q544" i="24"/>
  <c r="S543" i="24"/>
  <c r="Q543" i="24"/>
  <c r="S542" i="24"/>
  <c r="Q542" i="24"/>
  <c r="S541" i="24"/>
  <c r="Q541" i="24"/>
  <c r="S540" i="24"/>
  <c r="Q540" i="24"/>
  <c r="S539" i="24"/>
  <c r="Q539" i="24"/>
  <c r="S538" i="24"/>
  <c r="Q538" i="24"/>
  <c r="S537" i="24"/>
  <c r="Q537" i="24"/>
  <c r="S536" i="24"/>
  <c r="Q536" i="24"/>
  <c r="S535" i="24"/>
  <c r="Q535" i="24"/>
  <c r="S534" i="24"/>
  <c r="Q534" i="24"/>
  <c r="S533" i="24"/>
  <c r="Q533" i="24"/>
  <c r="S532" i="24"/>
  <c r="Q532" i="24"/>
  <c r="S408" i="24"/>
  <c r="Q408" i="24"/>
  <c r="S407" i="24"/>
  <c r="Q407" i="24"/>
  <c r="S406" i="24"/>
  <c r="Q406" i="24"/>
  <c r="S405" i="24"/>
  <c r="Q405" i="24"/>
  <c r="S404" i="24"/>
  <c r="Q404" i="24"/>
  <c r="S403" i="24"/>
  <c r="Q403" i="24"/>
  <c r="S402" i="24"/>
  <c r="Q402" i="24"/>
  <c r="S401" i="24"/>
  <c r="Q401" i="24"/>
  <c r="S400" i="24"/>
  <c r="Q400" i="24"/>
  <c r="S399" i="24"/>
  <c r="Q399" i="24"/>
  <c r="S398" i="24"/>
  <c r="Q398" i="24"/>
  <c r="S397" i="24"/>
  <c r="Q397" i="24"/>
  <c r="S396" i="24"/>
  <c r="Q396" i="24"/>
  <c r="S395" i="24"/>
  <c r="Q395" i="24"/>
  <c r="S394" i="24"/>
  <c r="Q394" i="24"/>
  <c r="S393" i="24"/>
  <c r="Q393" i="24"/>
  <c r="S392" i="24"/>
  <c r="Q392" i="24"/>
  <c r="S391" i="24"/>
  <c r="Q391" i="24"/>
  <c r="S390" i="24"/>
  <c r="Q390" i="24"/>
  <c r="S389" i="24"/>
  <c r="Q389" i="24"/>
  <c r="S388" i="24"/>
  <c r="Q388" i="24"/>
  <c r="S387" i="24"/>
  <c r="Q387" i="24"/>
  <c r="S386" i="24"/>
  <c r="Q386" i="24"/>
  <c r="S385" i="24"/>
  <c r="Q385" i="24"/>
  <c r="S384" i="24"/>
  <c r="Q384" i="24"/>
  <c r="S383" i="24"/>
  <c r="Q383" i="24"/>
  <c r="S382" i="24"/>
  <c r="Q382" i="24"/>
  <c r="S381" i="24"/>
  <c r="Q381" i="24"/>
  <c r="S380" i="24"/>
  <c r="Q380" i="24"/>
  <c r="S379" i="24"/>
  <c r="Q379" i="24"/>
  <c r="S378" i="24"/>
  <c r="Q378" i="24"/>
  <c r="S377" i="24"/>
  <c r="Q377" i="24"/>
  <c r="S376" i="24"/>
  <c r="Q376" i="24"/>
  <c r="S375" i="24"/>
  <c r="Q375" i="24"/>
  <c r="S374" i="24"/>
  <c r="Q374" i="24"/>
  <c r="S373" i="24"/>
  <c r="Q373" i="24"/>
  <c r="S372" i="24"/>
  <c r="Q372" i="24"/>
  <c r="S371" i="24"/>
  <c r="Q371" i="24"/>
  <c r="S370" i="24"/>
  <c r="Q370" i="24"/>
  <c r="S369" i="24"/>
  <c r="Q369" i="24"/>
  <c r="S368" i="24"/>
  <c r="Q368" i="24"/>
  <c r="S367" i="24"/>
  <c r="Q367" i="24"/>
  <c r="S366" i="24"/>
  <c r="Q366" i="24"/>
  <c r="S365" i="24"/>
  <c r="Q365" i="24"/>
  <c r="S364" i="24"/>
  <c r="Q364" i="24"/>
  <c r="S363" i="24"/>
  <c r="Q363" i="24"/>
  <c r="S362" i="24"/>
  <c r="Q362" i="24"/>
  <c r="S361" i="24"/>
  <c r="Q361" i="24"/>
  <c r="S360" i="24"/>
  <c r="Q360" i="24"/>
  <c r="S359" i="24"/>
  <c r="Q359" i="24"/>
  <c r="S358" i="24"/>
  <c r="Q358" i="24"/>
  <c r="S357" i="24"/>
  <c r="Q357" i="24"/>
  <c r="S356" i="24"/>
  <c r="Q356" i="24"/>
  <c r="S355" i="24"/>
  <c r="Q355" i="24"/>
  <c r="S354" i="24"/>
  <c r="Q354" i="24"/>
  <c r="S353" i="24"/>
  <c r="Q353" i="24"/>
  <c r="Q352" i="24"/>
  <c r="S103" i="24"/>
  <c r="Q103" i="24"/>
  <c r="S102" i="24"/>
  <c r="Q102" i="24"/>
  <c r="S101" i="24"/>
  <c r="Q101" i="24"/>
  <c r="S100" i="24"/>
  <c r="Q100" i="24"/>
  <c r="S99" i="24"/>
  <c r="Q99" i="24"/>
  <c r="S98" i="24"/>
  <c r="Q98" i="24"/>
  <c r="S97" i="24"/>
  <c r="Q97" i="24"/>
  <c r="S96" i="24"/>
  <c r="Q96" i="24"/>
  <c r="S95" i="24"/>
  <c r="Q95" i="24"/>
  <c r="S94" i="24"/>
  <c r="Q94" i="24"/>
  <c r="S93" i="24"/>
  <c r="Q93" i="24"/>
  <c r="S92" i="24"/>
  <c r="Q92" i="24"/>
  <c r="S91" i="24"/>
  <c r="Q91" i="24"/>
  <c r="S90" i="24"/>
  <c r="Q90" i="24"/>
  <c r="S89" i="24"/>
  <c r="Q89" i="24"/>
  <c r="S88" i="24"/>
  <c r="Q88" i="24"/>
  <c r="S87" i="24"/>
  <c r="Q87" i="24"/>
  <c r="S86" i="24"/>
  <c r="Q86" i="24"/>
  <c r="S85" i="24"/>
  <c r="Q85" i="24"/>
  <c r="S84" i="24"/>
  <c r="Q84" i="24"/>
  <c r="S83" i="24"/>
  <c r="Q83" i="24"/>
  <c r="S82" i="24"/>
  <c r="Q82" i="24"/>
  <c r="S81" i="24"/>
  <c r="Q81" i="24"/>
  <c r="S80" i="24"/>
  <c r="Q80" i="24"/>
  <c r="S79" i="24"/>
  <c r="Q79" i="24"/>
  <c r="S78" i="24"/>
  <c r="Q78" i="24"/>
  <c r="S77" i="24"/>
  <c r="Q77" i="24"/>
  <c r="S76" i="24"/>
  <c r="Q76" i="24"/>
  <c r="S75" i="24"/>
  <c r="Q75" i="24"/>
  <c r="S74" i="24"/>
  <c r="Q74" i="24"/>
  <c r="S73" i="24"/>
  <c r="Q73" i="24"/>
  <c r="S72" i="24"/>
  <c r="Q72" i="24"/>
  <c r="S71" i="24"/>
  <c r="Q71" i="24"/>
  <c r="S70" i="24"/>
  <c r="Q70" i="24"/>
  <c r="S69" i="24"/>
  <c r="Q69" i="24"/>
  <c r="S68" i="24"/>
  <c r="Q68" i="24"/>
  <c r="S67" i="24"/>
  <c r="Q67" i="24"/>
  <c r="S66" i="24"/>
  <c r="Q66" i="24"/>
  <c r="S65" i="24"/>
  <c r="Q65" i="24"/>
  <c r="S64" i="24"/>
  <c r="Q64" i="24"/>
  <c r="S63" i="24"/>
  <c r="Q63" i="24"/>
  <c r="S62" i="24"/>
  <c r="Q62" i="24"/>
  <c r="S61" i="24"/>
  <c r="Q61" i="24"/>
  <c r="S60" i="24"/>
  <c r="Q60" i="24"/>
  <c r="S59" i="24"/>
  <c r="Q59" i="24"/>
  <c r="S58" i="24"/>
  <c r="Q58" i="24"/>
  <c r="S57" i="24"/>
  <c r="Q57" i="24"/>
  <c r="S56" i="24"/>
  <c r="Q56" i="24"/>
  <c r="S55" i="24"/>
  <c r="Q55" i="24"/>
  <c r="S54" i="24"/>
  <c r="Q54" i="24"/>
  <c r="S53" i="24"/>
  <c r="Q53" i="24"/>
  <c r="S52" i="24"/>
  <c r="Q52" i="24"/>
  <c r="S51" i="24"/>
  <c r="Q51" i="24"/>
  <c r="S50" i="24"/>
  <c r="Q50" i="24"/>
  <c r="S49" i="24"/>
  <c r="Q49" i="24"/>
  <c r="S48" i="24"/>
  <c r="Q48" i="24"/>
  <c r="S47" i="24"/>
  <c r="Q47" i="24"/>
  <c r="S46" i="24"/>
  <c r="Q46" i="24"/>
  <c r="S45" i="24"/>
  <c r="Q45" i="24"/>
  <c r="S44" i="24"/>
  <c r="Q44" i="24"/>
  <c r="S43" i="24"/>
  <c r="Q43" i="24"/>
  <c r="S42" i="24"/>
  <c r="Q42" i="24"/>
  <c r="S41" i="24"/>
  <c r="Q41" i="24"/>
  <c r="S40" i="24"/>
  <c r="Q40" i="24"/>
  <c r="S39" i="24"/>
  <c r="Q39" i="24"/>
  <c r="S38" i="24"/>
  <c r="Q38" i="24"/>
  <c r="S37" i="24"/>
  <c r="Q37" i="24"/>
  <c r="S36" i="24"/>
  <c r="Q36" i="24"/>
  <c r="S35" i="24"/>
  <c r="Q35" i="24"/>
  <c r="S34" i="24"/>
  <c r="Q34" i="24"/>
  <c r="S33" i="24"/>
  <c r="Q33" i="24"/>
  <c r="S32" i="24"/>
  <c r="Q32" i="24"/>
  <c r="S31" i="24"/>
  <c r="Q31" i="24"/>
  <c r="S30" i="24"/>
  <c r="Q30" i="24"/>
  <c r="S29" i="24"/>
  <c r="Q29" i="24"/>
  <c r="S28" i="24"/>
  <c r="Q28" i="24"/>
  <c r="S27" i="24"/>
  <c r="Q27" i="24"/>
  <c r="S26" i="24"/>
  <c r="Q26" i="24"/>
  <c r="S25" i="24"/>
  <c r="Q25" i="24"/>
  <c r="S24" i="24"/>
  <c r="Q24" i="24"/>
  <c r="S23" i="24"/>
  <c r="Q23" i="24"/>
  <c r="S22" i="24"/>
  <c r="Q22" i="24"/>
  <c r="S21" i="24"/>
  <c r="Q21" i="24"/>
  <c r="S20" i="24"/>
  <c r="Q20" i="24"/>
  <c r="S19" i="24"/>
  <c r="Q19" i="24"/>
  <c r="S18" i="24"/>
  <c r="Q18" i="24"/>
  <c r="S17" i="24"/>
  <c r="Q17" i="24"/>
  <c r="S16" i="24"/>
  <c r="Q16" i="24"/>
  <c r="S15" i="24"/>
  <c r="Q15" i="24"/>
  <c r="S14" i="24"/>
  <c r="Q14" i="24"/>
  <c r="S13" i="24"/>
  <c r="Q13" i="24"/>
  <c r="S12" i="24"/>
  <c r="Q12" i="24"/>
  <c r="S11" i="24"/>
  <c r="Q11" i="24"/>
  <c r="S10" i="24"/>
  <c r="Q10" i="24"/>
  <c r="N103" i="24"/>
  <c r="G103" i="24"/>
  <c r="D103" i="24"/>
  <c r="N102" i="24"/>
  <c r="G102" i="24"/>
  <c r="D102" i="24"/>
  <c r="AC116" i="17"/>
  <c r="S116" i="17"/>
  <c r="Q116" i="17"/>
  <c r="O116" i="17"/>
  <c r="M116" i="17"/>
  <c r="AE115" i="17"/>
  <c r="AC115" i="17"/>
  <c r="S115" i="17"/>
  <c r="Q115" i="17"/>
  <c r="O115" i="17"/>
  <c r="N403" i="24" l="1"/>
  <c r="N404" i="24"/>
  <c r="N405" i="24"/>
  <c r="N406" i="24"/>
  <c r="N407" i="24"/>
  <c r="N408" i="24"/>
  <c r="G408" i="24"/>
  <c r="G407" i="24"/>
  <c r="G406" i="24"/>
  <c r="G405" i="24"/>
  <c r="G404" i="24"/>
  <c r="G403" i="24"/>
  <c r="D408" i="24"/>
  <c r="D407" i="24"/>
  <c r="D406" i="24"/>
  <c r="D405" i="24"/>
  <c r="D404" i="24"/>
  <c r="D403" i="24"/>
  <c r="N646" i="24" l="1"/>
  <c r="N647" i="24"/>
  <c r="N648" i="24"/>
  <c r="N649" i="24"/>
  <c r="N650" i="24"/>
  <c r="N651" i="24"/>
  <c r="N652" i="24"/>
  <c r="G646" i="24"/>
  <c r="G647" i="24"/>
  <c r="G648" i="24"/>
  <c r="G649" i="24"/>
  <c r="G650" i="24"/>
  <c r="G651" i="24"/>
  <c r="G652" i="24"/>
  <c r="D652" i="24"/>
  <c r="D651" i="24"/>
  <c r="D650" i="24"/>
  <c r="D649" i="24"/>
  <c r="D648" i="24"/>
  <c r="D647" i="24"/>
  <c r="D646" i="24"/>
  <c r="N780" i="24"/>
  <c r="N781" i="24"/>
  <c r="N782" i="24"/>
  <c r="N783" i="24"/>
  <c r="N784" i="24"/>
  <c r="N785" i="24"/>
  <c r="N786" i="24"/>
  <c r="N787" i="24"/>
  <c r="N788" i="24"/>
  <c r="N789" i="24"/>
  <c r="N790" i="24"/>
  <c r="N791" i="24"/>
  <c r="N792" i="24"/>
  <c r="N793" i="24"/>
  <c r="G780" i="24"/>
  <c r="G781" i="24"/>
  <c r="G782" i="24"/>
  <c r="G783" i="24"/>
  <c r="G784" i="24"/>
  <c r="G785" i="24"/>
  <c r="G786" i="24"/>
  <c r="G787" i="24"/>
  <c r="G788" i="24"/>
  <c r="G789" i="24"/>
  <c r="G790" i="24"/>
  <c r="G791" i="24"/>
  <c r="G792" i="24"/>
  <c r="G793" i="24"/>
  <c r="D780" i="24"/>
  <c r="D781" i="24"/>
  <c r="D782" i="24"/>
  <c r="D783" i="24"/>
  <c r="D784" i="24"/>
  <c r="D785" i="24"/>
  <c r="D786" i="24"/>
  <c r="D787" i="24"/>
  <c r="D788" i="24"/>
  <c r="D789" i="24"/>
  <c r="D790" i="24"/>
  <c r="D791" i="24"/>
  <c r="D792" i="24"/>
  <c r="D793" i="24"/>
  <c r="AE94" i="17" l="1"/>
  <c r="AE95" i="17"/>
  <c r="AE96" i="17"/>
  <c r="AE97" i="17"/>
  <c r="AE98" i="17"/>
  <c r="AE99" i="17"/>
  <c r="AE100" i="17"/>
  <c r="AE101" i="17"/>
  <c r="AE102" i="17"/>
  <c r="AE103" i="17"/>
  <c r="AE104" i="17"/>
  <c r="AE105" i="17"/>
  <c r="AE106" i="17"/>
  <c r="AE107" i="17"/>
  <c r="AE110" i="17"/>
  <c r="AE111" i="17"/>
  <c r="AE112" i="17"/>
  <c r="AE113" i="17"/>
  <c r="AE114" i="17"/>
  <c r="AE70" i="17"/>
  <c r="AE71" i="17"/>
  <c r="AE72" i="17"/>
  <c r="AE73" i="17"/>
  <c r="AE74" i="17"/>
  <c r="AE75" i="17"/>
  <c r="AE76" i="17"/>
  <c r="AE77" i="17"/>
  <c r="AE78" i="17"/>
  <c r="AE79" i="17"/>
  <c r="AE80" i="17"/>
  <c r="AE81" i="17"/>
  <c r="AE82" i="17"/>
  <c r="AE83" i="17"/>
  <c r="AE84" i="17"/>
  <c r="AE85" i="17"/>
  <c r="AE86" i="17"/>
  <c r="AE87" i="17"/>
  <c r="AE88" i="17"/>
  <c r="AE89" i="17"/>
  <c r="AE90" i="17"/>
  <c r="AE91" i="17"/>
  <c r="AE92" i="17"/>
  <c r="AE93" i="17"/>
  <c r="N402" i="24"/>
  <c r="G402" i="24"/>
  <c r="D402" i="24"/>
  <c r="N401" i="24"/>
  <c r="G401" i="24"/>
  <c r="D401" i="24"/>
  <c r="N400" i="24"/>
  <c r="G400" i="24"/>
  <c r="D400" i="24"/>
  <c r="N399" i="24"/>
  <c r="G399" i="24"/>
  <c r="D399" i="24"/>
  <c r="N398" i="24"/>
  <c r="G398" i="24"/>
  <c r="D398" i="24"/>
  <c r="N397" i="24"/>
  <c r="G397" i="24"/>
  <c r="D397" i="24"/>
  <c r="N396" i="24"/>
  <c r="G396" i="24"/>
  <c r="D396" i="24"/>
  <c r="N395" i="24"/>
  <c r="G395" i="24"/>
  <c r="D395" i="24"/>
  <c r="N394" i="24"/>
  <c r="G394" i="24"/>
  <c r="D394" i="24"/>
  <c r="N393" i="24"/>
  <c r="G393" i="24"/>
  <c r="D393" i="24"/>
  <c r="N392" i="24"/>
  <c r="G392" i="24"/>
  <c r="D392" i="24"/>
  <c r="N391" i="24"/>
  <c r="G391" i="24"/>
  <c r="D391" i="24"/>
  <c r="N390" i="24"/>
  <c r="G390" i="24"/>
  <c r="D390" i="24"/>
  <c r="N389" i="24"/>
  <c r="G389" i="24"/>
  <c r="D389" i="24"/>
  <c r="N388" i="24"/>
  <c r="G388" i="24"/>
  <c r="D388" i="24"/>
  <c r="N387" i="24"/>
  <c r="G387" i="24"/>
  <c r="D387" i="24"/>
  <c r="N386" i="24"/>
  <c r="G386" i="24"/>
  <c r="D386" i="24"/>
  <c r="N385" i="24"/>
  <c r="G385" i="24"/>
  <c r="D385" i="24"/>
  <c r="N384" i="24"/>
  <c r="G384" i="24"/>
  <c r="D384" i="24"/>
  <c r="N383" i="24"/>
  <c r="G383" i="24"/>
  <c r="D383" i="24"/>
  <c r="N382" i="24"/>
  <c r="G382" i="24"/>
  <c r="D382" i="24"/>
  <c r="N381" i="24"/>
  <c r="G381" i="24"/>
  <c r="D381" i="24"/>
  <c r="N380" i="24"/>
  <c r="G380" i="24"/>
  <c r="D380" i="24"/>
  <c r="N379" i="24"/>
  <c r="G379" i="24"/>
  <c r="D379" i="24"/>
  <c r="N378" i="24"/>
  <c r="G378" i="24"/>
  <c r="D378" i="24"/>
  <c r="N377" i="24"/>
  <c r="G377" i="24"/>
  <c r="D377" i="24"/>
  <c r="N376" i="24"/>
  <c r="G376" i="24"/>
  <c r="D376" i="24"/>
  <c r="N375" i="24"/>
  <c r="G375" i="24"/>
  <c r="D375" i="24"/>
  <c r="N374" i="24"/>
  <c r="G374" i="24"/>
  <c r="D374" i="24"/>
  <c r="N373" i="24"/>
  <c r="G373" i="24"/>
  <c r="D373" i="24"/>
  <c r="N372" i="24"/>
  <c r="G372" i="24"/>
  <c r="D372" i="24"/>
  <c r="N371" i="24"/>
  <c r="G371" i="24"/>
  <c r="D371" i="24"/>
  <c r="N370" i="24"/>
  <c r="G370" i="24"/>
  <c r="D370" i="24"/>
  <c r="N369" i="24"/>
  <c r="G369" i="24"/>
  <c r="D369" i="24"/>
  <c r="N368" i="24"/>
  <c r="G368" i="24"/>
  <c r="D368" i="24"/>
  <c r="N367" i="24"/>
  <c r="G367" i="24"/>
  <c r="D367" i="24"/>
  <c r="D532" i="24"/>
  <c r="G532" i="24"/>
  <c r="N532" i="24"/>
  <c r="A533" i="24"/>
  <c r="A534" i="24" s="1"/>
  <c r="D533" i="24"/>
  <c r="N533" i="24"/>
  <c r="D534" i="24"/>
  <c r="G534" i="24"/>
  <c r="N534" i="24"/>
  <c r="D535" i="24"/>
  <c r="G535" i="24"/>
  <c r="N535" i="24"/>
  <c r="D536" i="24"/>
  <c r="G536" i="24"/>
  <c r="N536" i="24"/>
  <c r="D537" i="24"/>
  <c r="G537" i="24"/>
  <c r="N537" i="24"/>
  <c r="D538" i="24"/>
  <c r="G538" i="24"/>
  <c r="N538" i="24"/>
  <c r="D539" i="24"/>
  <c r="G539" i="24"/>
  <c r="N539" i="24"/>
  <c r="D540" i="24"/>
  <c r="G540" i="24"/>
  <c r="N540" i="24"/>
  <c r="D541" i="24"/>
  <c r="G541" i="24"/>
  <c r="N541" i="24"/>
  <c r="D542" i="24"/>
  <c r="G542" i="24"/>
  <c r="N542" i="24"/>
  <c r="D543" i="24"/>
  <c r="G543" i="24"/>
  <c r="N543" i="24"/>
  <c r="D544" i="24"/>
  <c r="G544" i="24"/>
  <c r="N544" i="24"/>
  <c r="D545" i="24"/>
  <c r="G545" i="24"/>
  <c r="N545" i="24"/>
  <c r="D546" i="24"/>
  <c r="G546" i="24"/>
  <c r="N546" i="24"/>
  <c r="D547" i="24"/>
  <c r="G547" i="24"/>
  <c r="N547" i="24"/>
  <c r="D548" i="24"/>
  <c r="G548" i="24"/>
  <c r="N548" i="24"/>
  <c r="D549" i="24"/>
  <c r="G549" i="24"/>
  <c r="N549" i="24"/>
  <c r="D550" i="24"/>
  <c r="G550" i="24"/>
  <c r="N550" i="24"/>
  <c r="D551" i="24"/>
  <c r="G551" i="24"/>
  <c r="N551" i="24"/>
  <c r="D552" i="24"/>
  <c r="G552" i="24"/>
  <c r="N552" i="24"/>
  <c r="D553" i="24"/>
  <c r="G553" i="24"/>
  <c r="N553" i="24"/>
  <c r="D554" i="24"/>
  <c r="G554" i="24"/>
  <c r="N554" i="24"/>
  <c r="D555" i="24"/>
  <c r="G555" i="24"/>
  <c r="N555" i="24"/>
  <c r="D556" i="24"/>
  <c r="G556" i="24"/>
  <c r="N556" i="24"/>
  <c r="D557" i="24"/>
  <c r="G557" i="24"/>
  <c r="N557" i="24"/>
  <c r="D558" i="24"/>
  <c r="G558" i="24"/>
  <c r="N558" i="24"/>
  <c r="D559" i="24"/>
  <c r="G559" i="24"/>
  <c r="N559" i="24"/>
  <c r="D560" i="24"/>
  <c r="G560" i="24"/>
  <c r="N560" i="24"/>
  <c r="D561" i="24"/>
  <c r="G561" i="24"/>
  <c r="N561" i="24"/>
  <c r="D562" i="24"/>
  <c r="G562" i="24"/>
  <c r="N562" i="24"/>
  <c r="D563" i="24"/>
  <c r="G563" i="24"/>
  <c r="N563" i="24"/>
  <c r="D564" i="24"/>
  <c r="G564" i="24"/>
  <c r="N564" i="24"/>
  <c r="D565" i="24"/>
  <c r="G565" i="24"/>
  <c r="N565" i="24"/>
  <c r="D566" i="24"/>
  <c r="G566" i="24"/>
  <c r="N566" i="24"/>
  <c r="D567" i="24"/>
  <c r="G567" i="24"/>
  <c r="N567" i="24"/>
  <c r="A535" i="24" l="1"/>
  <c r="A536" i="24" s="1"/>
  <c r="O212" i="17"/>
  <c r="O213" i="17"/>
  <c r="Q118" i="17"/>
  <c r="O114" i="17"/>
  <c r="S114" i="17"/>
  <c r="U114" i="17"/>
  <c r="AC114" i="17"/>
  <c r="N101" i="24"/>
  <c r="G101" i="24"/>
  <c r="D101" i="24"/>
  <c r="A537" i="24" l="1"/>
  <c r="A538" i="24" s="1"/>
  <c r="A539" i="24" s="1"/>
  <c r="A540" i="24" s="1"/>
  <c r="A541" i="24" s="1"/>
  <c r="A542" i="24" s="1"/>
  <c r="A543" i="24" s="1"/>
  <c r="A544" i="24" s="1"/>
  <c r="A545" i="24" s="1"/>
  <c r="A546" i="24" s="1"/>
  <c r="A547" i="24" s="1"/>
  <c r="A548" i="24" s="1"/>
  <c r="A549" i="24" s="1"/>
  <c r="A550" i="24" s="1"/>
  <c r="A551" i="24" s="1"/>
  <c r="A552" i="24" s="1"/>
  <c r="A553" i="24" s="1"/>
  <c r="A554" i="24" s="1"/>
  <c r="A555" i="24" s="1"/>
  <c r="A556" i="24" s="1"/>
  <c r="A557" i="24" s="1"/>
  <c r="A558" i="24" s="1"/>
  <c r="A559" i="24" s="1"/>
  <c r="A560" i="24" s="1"/>
  <c r="A561" i="24" s="1"/>
  <c r="A562" i="24" s="1"/>
  <c r="A563" i="24" s="1"/>
  <c r="Q210" i="17" s="1"/>
  <c r="M211" i="17"/>
  <c r="Q113" i="17"/>
  <c r="S113" i="17"/>
  <c r="U113" i="17"/>
  <c r="AA113" i="17"/>
  <c r="AC113" i="17"/>
  <c r="N100" i="24"/>
  <c r="G100" i="24"/>
  <c r="D100" i="24"/>
  <c r="A564" i="24" l="1"/>
  <c r="A565" i="24" s="1"/>
  <c r="A566" i="24" s="1"/>
  <c r="A567" i="24" s="1"/>
  <c r="AC111" i="17"/>
  <c r="S112" i="17"/>
  <c r="D696" i="24"/>
  <c r="N98" i="24"/>
  <c r="N99" i="24"/>
  <c r="G98" i="24"/>
  <c r="G99" i="24"/>
  <c r="D98" i="24"/>
  <c r="D99" i="24"/>
  <c r="Q109" i="17" l="1"/>
  <c r="S109" i="17"/>
  <c r="U109" i="17"/>
  <c r="W109" i="17"/>
  <c r="O110" i="17"/>
  <c r="Q110" i="17"/>
  <c r="S110" i="17"/>
  <c r="U110" i="17"/>
  <c r="AC110" i="17"/>
  <c r="N694" i="24"/>
  <c r="N695" i="24"/>
  <c r="G694" i="24"/>
  <c r="G695" i="24"/>
  <c r="D694" i="24"/>
  <c r="D695" i="24"/>
  <c r="N96" i="24"/>
  <c r="N97" i="24"/>
  <c r="G96" i="24"/>
  <c r="G97" i="24"/>
  <c r="D96" i="24"/>
  <c r="D97" i="24"/>
  <c r="Q107" i="17" l="1"/>
  <c r="S107" i="17"/>
  <c r="AC107" i="17"/>
  <c r="Q108" i="17"/>
  <c r="S108" i="17"/>
  <c r="U108" i="17"/>
  <c r="N692" i="24"/>
  <c r="N693" i="24"/>
  <c r="G692" i="24"/>
  <c r="G693" i="24"/>
  <c r="D692" i="24"/>
  <c r="D693" i="24"/>
  <c r="N94" i="24"/>
  <c r="N95" i="24"/>
  <c r="G94" i="24"/>
  <c r="G95" i="24"/>
  <c r="D95" i="24"/>
  <c r="D94" i="24"/>
  <c r="M104" i="17" l="1"/>
  <c r="O104" i="17"/>
  <c r="Q104" i="17"/>
  <c r="S104" i="17"/>
  <c r="AC104" i="17"/>
  <c r="O105" i="17"/>
  <c r="Q105" i="17"/>
  <c r="S105" i="17"/>
  <c r="Y105" i="17"/>
  <c r="AA105" i="17"/>
  <c r="AC105" i="17"/>
  <c r="O106" i="17"/>
  <c r="Q106" i="17"/>
  <c r="S106" i="17"/>
  <c r="AA106" i="17"/>
  <c r="AC106" i="17"/>
  <c r="D92" i="24"/>
  <c r="G92" i="24"/>
  <c r="N92" i="24"/>
  <c r="D93" i="24"/>
  <c r="G93" i="24"/>
  <c r="N93" i="24"/>
  <c r="N91" i="24"/>
  <c r="G91" i="24"/>
  <c r="D91" i="24"/>
  <c r="S92" i="17" l="1"/>
  <c r="S93" i="17"/>
  <c r="S94" i="17"/>
  <c r="S95" i="17"/>
  <c r="S96" i="17"/>
  <c r="S97" i="17"/>
  <c r="S98" i="17"/>
  <c r="S99" i="17"/>
  <c r="S100" i="17"/>
  <c r="S101" i="17"/>
  <c r="S102" i="17"/>
  <c r="S103" i="17"/>
  <c r="AC102" i="17" l="1"/>
  <c r="AC103" i="17"/>
  <c r="AA102" i="17"/>
  <c r="AA103" i="17"/>
  <c r="Y103" i="17"/>
  <c r="Q102" i="17"/>
  <c r="Q103" i="17"/>
  <c r="O102" i="17"/>
  <c r="O103" i="17"/>
  <c r="N90" i="24"/>
  <c r="G90" i="24"/>
  <c r="D90" i="24"/>
  <c r="N89" i="24"/>
  <c r="G89" i="24"/>
  <c r="D89" i="24"/>
  <c r="O101" i="17" l="1"/>
  <c r="Q101" i="17"/>
  <c r="AA101" i="17"/>
  <c r="AC101" i="17"/>
  <c r="N88" i="24"/>
  <c r="G88" i="24"/>
  <c r="D88" i="24"/>
  <c r="AC100" i="17" l="1"/>
  <c r="AA100" i="17"/>
  <c r="Q100" i="17"/>
  <c r="O100" i="17"/>
  <c r="N87" i="24"/>
  <c r="G87" i="24"/>
  <c r="D87" i="24"/>
  <c r="AC99" i="17" l="1"/>
  <c r="D86" i="24"/>
  <c r="G86" i="24"/>
  <c r="N86" i="24"/>
  <c r="N568" i="24" l="1"/>
  <c r="N569" i="24"/>
  <c r="N570" i="24"/>
  <c r="N571" i="24"/>
  <c r="N572" i="24"/>
  <c r="N573" i="24"/>
  <c r="N574" i="24"/>
  <c r="N575" i="24"/>
  <c r="N576" i="24"/>
  <c r="N577" i="24"/>
  <c r="N578" i="24"/>
  <c r="N579" i="24"/>
  <c r="N580" i="24"/>
  <c r="N581" i="24"/>
  <c r="N582" i="24"/>
  <c r="N583" i="24"/>
  <c r="N584" i="24"/>
  <c r="G568" i="24"/>
  <c r="G569" i="24"/>
  <c r="G570" i="24"/>
  <c r="G571" i="24"/>
  <c r="G572" i="24"/>
  <c r="G573" i="24"/>
  <c r="G574" i="24"/>
  <c r="G575" i="24"/>
  <c r="G576" i="24"/>
  <c r="G577" i="24"/>
  <c r="G578" i="24"/>
  <c r="G579" i="24"/>
  <c r="G580" i="24"/>
  <c r="G581" i="24"/>
  <c r="G582" i="24"/>
  <c r="G583" i="24"/>
  <c r="G584" i="24"/>
  <c r="D568" i="24"/>
  <c r="D569" i="24"/>
  <c r="D570" i="24"/>
  <c r="D571" i="24"/>
  <c r="D572" i="24"/>
  <c r="D573" i="24"/>
  <c r="D574" i="24"/>
  <c r="D575" i="24"/>
  <c r="D576" i="24"/>
  <c r="D577" i="24"/>
  <c r="D578" i="24"/>
  <c r="D579" i="24"/>
  <c r="D580" i="24"/>
  <c r="D581" i="24"/>
  <c r="D582" i="24"/>
  <c r="D583" i="24"/>
  <c r="D584" i="24"/>
  <c r="N355" i="24" l="1"/>
  <c r="N356" i="24"/>
  <c r="N357" i="24"/>
  <c r="N358" i="24"/>
  <c r="N359" i="24"/>
  <c r="N360" i="24"/>
  <c r="N361" i="24"/>
  <c r="N362" i="24"/>
  <c r="N363" i="24"/>
  <c r="N364" i="24"/>
  <c r="N365" i="24"/>
  <c r="N366" i="24"/>
  <c r="G355" i="24"/>
  <c r="G356" i="24"/>
  <c r="G357" i="24"/>
  <c r="G358" i="24"/>
  <c r="G359" i="24"/>
  <c r="G360" i="24"/>
  <c r="G361" i="24"/>
  <c r="G362" i="24"/>
  <c r="G363" i="24"/>
  <c r="G364" i="24"/>
  <c r="G365" i="24"/>
  <c r="G366" i="24"/>
  <c r="D355" i="24"/>
  <c r="D356" i="24"/>
  <c r="D357" i="24"/>
  <c r="D358" i="24"/>
  <c r="D359" i="24"/>
  <c r="D360" i="24"/>
  <c r="D361" i="24"/>
  <c r="D362" i="24"/>
  <c r="D363" i="24"/>
  <c r="D364" i="24"/>
  <c r="D365" i="24"/>
  <c r="D366" i="24"/>
  <c r="G630" i="24" l="1"/>
  <c r="G631" i="24"/>
  <c r="G632" i="24"/>
  <c r="G633" i="24"/>
  <c r="G634" i="24"/>
  <c r="G635" i="24"/>
  <c r="G636" i="24"/>
  <c r="G637" i="24"/>
  <c r="G638" i="24"/>
  <c r="G639" i="24"/>
  <c r="G640" i="24"/>
  <c r="G641" i="24"/>
  <c r="G642" i="24"/>
  <c r="G643" i="24"/>
  <c r="G644" i="24"/>
  <c r="G645" i="24"/>
  <c r="N630" i="24"/>
  <c r="N631" i="24"/>
  <c r="N632" i="24"/>
  <c r="N633" i="24"/>
  <c r="N634" i="24"/>
  <c r="N635" i="24"/>
  <c r="N636" i="24"/>
  <c r="N637" i="24"/>
  <c r="N638" i="24"/>
  <c r="N639" i="24"/>
  <c r="N640" i="24"/>
  <c r="N641" i="24"/>
  <c r="N642" i="24"/>
  <c r="N643" i="24"/>
  <c r="N644" i="24"/>
  <c r="N645" i="24"/>
  <c r="D630" i="24"/>
  <c r="D631" i="24"/>
  <c r="D632" i="24"/>
  <c r="D633" i="24"/>
  <c r="D634" i="24"/>
  <c r="D635" i="24"/>
  <c r="D636" i="24"/>
  <c r="D637" i="24"/>
  <c r="D638" i="24"/>
  <c r="D639" i="24"/>
  <c r="D640" i="24"/>
  <c r="D641" i="24"/>
  <c r="D642" i="24"/>
  <c r="D643" i="24"/>
  <c r="D644" i="24"/>
  <c r="D645" i="24"/>
  <c r="A778" i="24" l="1"/>
  <c r="K196" i="17" s="1"/>
  <c r="A759" i="24"/>
  <c r="A686" i="24"/>
  <c r="A687" i="24" s="1"/>
  <c r="A688" i="24" s="1"/>
  <c r="A689" i="24" s="1"/>
  <c r="A690" i="24" s="1"/>
  <c r="A691" i="24" s="1"/>
  <c r="A692" i="24" s="1"/>
  <c r="A625" i="24"/>
  <c r="A626" i="24" s="1"/>
  <c r="A627" i="24" s="1"/>
  <c r="S185" i="17" s="1"/>
  <c r="A350" i="24"/>
  <c r="A351" i="24" s="1"/>
  <c r="A352" i="24" s="1"/>
  <c r="A353" i="24" s="1"/>
  <c r="O211" i="17" s="1"/>
  <c r="A11" i="24"/>
  <c r="A12" i="24" s="1"/>
  <c r="A13" i="24" s="1"/>
  <c r="A14" i="24" s="1"/>
  <c r="A15" i="24" s="1"/>
  <c r="A16" i="24" s="1"/>
  <c r="A17" i="24" s="1"/>
  <c r="D688" i="24"/>
  <c r="G688" i="24"/>
  <c r="N688" i="24"/>
  <c r="U372" i="17" l="1"/>
  <c r="W375" i="17"/>
  <c r="U358" i="17"/>
  <c r="U366" i="17"/>
  <c r="U353" i="17"/>
  <c r="W354" i="17"/>
  <c r="W343" i="17"/>
  <c r="W350" i="17"/>
  <c r="W335" i="17"/>
  <c r="W339" i="17"/>
  <c r="W340" i="17"/>
  <c r="W341" i="17"/>
  <c r="W342" i="17"/>
  <c r="W337" i="17"/>
  <c r="W338" i="17"/>
  <c r="AA323" i="17"/>
  <c r="U333" i="17"/>
  <c r="Y314" i="17"/>
  <c r="U322" i="17"/>
  <c r="U297" i="17"/>
  <c r="W301" i="17"/>
  <c r="U268" i="17"/>
  <c r="W274" i="17"/>
  <c r="U240" i="17"/>
  <c r="Y246" i="17"/>
  <c r="W247" i="17"/>
  <c r="W233" i="17"/>
  <c r="W235" i="17"/>
  <c r="U234" i="17"/>
  <c r="I230" i="17"/>
  <c r="I234" i="17"/>
  <c r="U226" i="17"/>
  <c r="U230" i="17"/>
  <c r="W225" i="17"/>
  <c r="Y222" i="17"/>
  <c r="W224" i="17"/>
  <c r="W217" i="17"/>
  <c r="U219" i="17"/>
  <c r="W204" i="17"/>
  <c r="W208" i="17"/>
  <c r="U140" i="17"/>
  <c r="U159" i="17"/>
  <c r="W162" i="17"/>
  <c r="AA157" i="17"/>
  <c r="AA153" i="17"/>
  <c r="U135" i="17"/>
  <c r="W199" i="17"/>
  <c r="U197" i="17"/>
  <c r="U169" i="17"/>
  <c r="U148" i="17"/>
  <c r="U171" i="17"/>
  <c r="U151" i="17"/>
  <c r="U186" i="17"/>
  <c r="AC118" i="17"/>
  <c r="W111" i="17"/>
  <c r="AC112" i="17"/>
  <c r="U107" i="17"/>
  <c r="U104" i="17"/>
  <c r="U198" i="17"/>
  <c r="U203" i="17"/>
  <c r="U183" i="17"/>
  <c r="W187" i="17"/>
  <c r="U174" i="17"/>
  <c r="W147" i="17"/>
  <c r="W165" i="17"/>
  <c r="U143" i="17"/>
  <c r="W145" i="17"/>
  <c r="W139" i="17"/>
  <c r="Y141" i="17"/>
  <c r="U132" i="17"/>
  <c r="Y126" i="17"/>
  <c r="W127" i="17"/>
  <c r="W129" i="17"/>
  <c r="Y125" i="17"/>
  <c r="W130" i="17"/>
  <c r="U116" i="17"/>
  <c r="W113" i="17"/>
  <c r="W110" i="17"/>
  <c r="W108" i="17"/>
  <c r="U102" i="17"/>
  <c r="U100" i="17"/>
  <c r="A779" i="24"/>
  <c r="K365" i="17" s="1"/>
  <c r="K115" i="17"/>
  <c r="K116" i="17"/>
  <c r="A628" i="24"/>
  <c r="S210" i="17" s="1"/>
  <c r="S118" i="17"/>
  <c r="A354" i="24"/>
  <c r="A355" i="24" s="1"/>
  <c r="A356" i="24" s="1"/>
  <c r="A357" i="24" s="1"/>
  <c r="M115" i="17"/>
  <c r="A18" i="24"/>
  <c r="A19" i="24" s="1"/>
  <c r="A20" i="24" s="1"/>
  <c r="A21" i="24" s="1"/>
  <c r="A22" i="24" s="1"/>
  <c r="A23" i="24" s="1"/>
  <c r="A24" i="24" s="1"/>
  <c r="A25" i="24" s="1"/>
  <c r="A26" i="24" s="1"/>
  <c r="A27" i="24" s="1"/>
  <c r="A28" i="24" s="1"/>
  <c r="A29" i="24" s="1"/>
  <c r="A30" i="24" s="1"/>
  <c r="A31" i="24" s="1"/>
  <c r="A32" i="24" s="1"/>
  <c r="A33" i="24" s="1"/>
  <c r="A34" i="24" s="1"/>
  <c r="A35" i="24" s="1"/>
  <c r="A568" i="24"/>
  <c r="A569" i="24" s="1"/>
  <c r="A570" i="24" s="1"/>
  <c r="A571" i="24" s="1"/>
  <c r="A572" i="24" s="1"/>
  <c r="A573" i="24" s="1"/>
  <c r="A574" i="24" s="1"/>
  <c r="A575" i="24" s="1"/>
  <c r="A576" i="24" s="1"/>
  <c r="A577" i="24" s="1"/>
  <c r="A578" i="24" s="1"/>
  <c r="A579" i="24" s="1"/>
  <c r="A580" i="24" s="1"/>
  <c r="A581" i="24" s="1"/>
  <c r="A582" i="24" s="1"/>
  <c r="A583" i="24" s="1"/>
  <c r="A584" i="24" s="1"/>
  <c r="A585" i="24" s="1"/>
  <c r="A586" i="24" s="1"/>
  <c r="A587" i="24" s="1"/>
  <c r="A588" i="24" s="1"/>
  <c r="A589" i="24" s="1"/>
  <c r="A590" i="24" s="1"/>
  <c r="A591" i="24" s="1"/>
  <c r="A592" i="24" s="1"/>
  <c r="A593" i="24" s="1"/>
  <c r="A594" i="24" s="1"/>
  <c r="A595" i="24" s="1"/>
  <c r="A596" i="24" s="1"/>
  <c r="A597" i="24" s="1"/>
  <c r="A598" i="24" s="1"/>
  <c r="A599" i="24" s="1"/>
  <c r="A600" i="24" s="1"/>
  <c r="A601" i="24" s="1"/>
  <c r="A602" i="24" s="1"/>
  <c r="A603" i="24" s="1"/>
  <c r="A604" i="24" s="1"/>
  <c r="A605" i="24" s="1"/>
  <c r="A606" i="24" s="1"/>
  <c r="A607" i="24" s="1"/>
  <c r="A608" i="24" s="1"/>
  <c r="A609" i="24" s="1"/>
  <c r="A610" i="24" s="1"/>
  <c r="A611" i="24" s="1"/>
  <c r="A612" i="24" s="1"/>
  <c r="A613" i="24" s="1"/>
  <c r="A614" i="24" s="1"/>
  <c r="A615" i="24" s="1"/>
  <c r="A616" i="24" s="1"/>
  <c r="A617" i="24" s="1"/>
  <c r="A618" i="24" s="1"/>
  <c r="A619" i="24" s="1"/>
  <c r="A620" i="24" s="1"/>
  <c r="O112" i="17"/>
  <c r="S111" i="17"/>
  <c r="Q112" i="17"/>
  <c r="U111" i="17"/>
  <c r="A760" i="24"/>
  <c r="U106" i="17"/>
  <c r="U101" i="17"/>
  <c r="A693" i="24"/>
  <c r="O99" i="17"/>
  <c r="Q99" i="17"/>
  <c r="M99" i="17"/>
  <c r="Q98" i="17"/>
  <c r="U98" i="17"/>
  <c r="D85" i="24"/>
  <c r="G85" i="24"/>
  <c r="N85" i="24"/>
  <c r="Y375" i="17" l="1"/>
  <c r="U376" i="17"/>
  <c r="U377" i="17"/>
  <c r="W370" i="17"/>
  <c r="W371" i="17"/>
  <c r="AC343" i="17"/>
  <c r="W353" i="17"/>
  <c r="W329" i="17"/>
  <c r="Y333" i="17"/>
  <c r="Y321" i="17"/>
  <c r="W323" i="17"/>
  <c r="A780" i="24"/>
  <c r="A781" i="24" s="1"/>
  <c r="K309" i="17"/>
  <c r="Y301" i="17"/>
  <c r="Y307" i="17"/>
  <c r="K296" i="17"/>
  <c r="W268" i="17"/>
  <c r="W299" i="17"/>
  <c r="Y234" i="17"/>
  <c r="W242" i="17"/>
  <c r="U228" i="17"/>
  <c r="Y230" i="17"/>
  <c r="U205" i="17"/>
  <c r="Y154" i="17"/>
  <c r="AA160" i="17"/>
  <c r="Y208" i="17"/>
  <c r="Y140" i="17"/>
  <c r="AA158" i="17"/>
  <c r="AA135" i="17"/>
  <c r="Y170" i="17"/>
  <c r="AA142" i="17"/>
  <c r="W153" i="17"/>
  <c r="U185" i="17"/>
  <c r="W124" i="17"/>
  <c r="AC199" i="17"/>
  <c r="W169" i="17"/>
  <c r="Y151" i="17"/>
  <c r="W186" i="17"/>
  <c r="U118" i="17"/>
  <c r="Y117" i="17"/>
  <c r="Y109" i="17"/>
  <c r="W104" i="17"/>
  <c r="A629" i="24"/>
  <c r="A630" i="24" s="1"/>
  <c r="A631" i="24" s="1"/>
  <c r="A632" i="24" s="1"/>
  <c r="A633" i="24" s="1"/>
  <c r="A634" i="24" s="1"/>
  <c r="A635" i="24" s="1"/>
  <c r="A636" i="24" s="1"/>
  <c r="A637" i="24" s="1"/>
  <c r="A638" i="24" s="1"/>
  <c r="A639" i="24" s="1"/>
  <c r="A640" i="24" s="1"/>
  <c r="A641" i="24" s="1"/>
  <c r="A642" i="24" s="1"/>
  <c r="A643" i="24" s="1"/>
  <c r="A644" i="24" s="1"/>
  <c r="A645" i="24" s="1"/>
  <c r="A646" i="24" s="1"/>
  <c r="A647" i="24" s="1"/>
  <c r="A648" i="24" s="1"/>
  <c r="A649" i="24" s="1"/>
  <c r="A650" i="24" s="1"/>
  <c r="A651" i="24" s="1"/>
  <c r="O107" i="17"/>
  <c r="W198" i="17"/>
  <c r="Y204" i="17"/>
  <c r="W181" i="17"/>
  <c r="W184" i="17"/>
  <c r="W172" i="17"/>
  <c r="U179" i="17"/>
  <c r="W136" i="17"/>
  <c r="U149" i="17"/>
  <c r="Y130" i="17"/>
  <c r="W134" i="17"/>
  <c r="W117" i="17"/>
  <c r="U115" i="17"/>
  <c r="W116" i="17"/>
  <c r="A36" i="24"/>
  <c r="A37" i="24" s="1"/>
  <c r="A38" i="24" s="1"/>
  <c r="A39" i="24" s="1"/>
  <c r="A40" i="24" s="1"/>
  <c r="A41" i="24" s="1"/>
  <c r="A42" i="24" s="1"/>
  <c r="A43" i="24" s="1"/>
  <c r="A44" i="24" s="1"/>
  <c r="A45" i="24" s="1"/>
  <c r="A46" i="24" s="1"/>
  <c r="A47" i="24" s="1"/>
  <c r="A761" i="24"/>
  <c r="M114" i="17"/>
  <c r="O113" i="17"/>
  <c r="O111" i="17"/>
  <c r="M109" i="17"/>
  <c r="M107" i="17"/>
  <c r="M108" i="17"/>
  <c r="M106" i="17"/>
  <c r="M105" i="17"/>
  <c r="M102" i="17"/>
  <c r="M103" i="17"/>
  <c r="M101" i="17"/>
  <c r="M100" i="17"/>
  <c r="W106" i="17"/>
  <c r="W114" i="17"/>
  <c r="A358" i="24"/>
  <c r="A359" i="24" s="1"/>
  <c r="M112" i="17"/>
  <c r="O108" i="17"/>
  <c r="A694" i="24"/>
  <c r="Q97" i="17"/>
  <c r="AA97" i="17"/>
  <c r="AC97" i="17"/>
  <c r="D84" i="24"/>
  <c r="G84" i="24"/>
  <c r="N84" i="24"/>
  <c r="K163" i="17" l="1"/>
  <c r="Y366" i="17"/>
  <c r="W376" i="17"/>
  <c r="W377" i="17"/>
  <c r="K305" i="17"/>
  <c r="K273" i="17"/>
  <c r="K209" i="17"/>
  <c r="Y343" i="17"/>
  <c r="U355" i="17"/>
  <c r="K311" i="17"/>
  <c r="K328" i="17"/>
  <c r="W226" i="17"/>
  <c r="W297" i="17"/>
  <c r="O256" i="17"/>
  <c r="K275" i="17"/>
  <c r="K226" i="17"/>
  <c r="K227" i="17"/>
  <c r="K222" i="17"/>
  <c r="K225" i="17"/>
  <c r="A652" i="24"/>
  <c r="A653" i="24" s="1"/>
  <c r="A654" i="24" s="1"/>
  <c r="A655" i="24" s="1"/>
  <c r="A656" i="24" s="1"/>
  <c r="A657" i="24" s="1"/>
  <c r="A658" i="24" s="1"/>
  <c r="A659" i="24" s="1"/>
  <c r="A660" i="24" s="1"/>
  <c r="A661" i="24" s="1"/>
  <c r="A662" i="24" s="1"/>
  <c r="A663" i="24" s="1"/>
  <c r="A664" i="24" s="1"/>
  <c r="A665" i="24" s="1"/>
  <c r="A666" i="24" s="1"/>
  <c r="A667" i="24" s="1"/>
  <c r="A668" i="24" s="1"/>
  <c r="A669" i="24" s="1"/>
  <c r="A670" i="24" s="1"/>
  <c r="A671" i="24" s="1"/>
  <c r="A672" i="24" s="1"/>
  <c r="A673" i="24" s="1"/>
  <c r="A674" i="24" s="1"/>
  <c r="A675" i="24" s="1"/>
  <c r="A676" i="24" s="1"/>
  <c r="A677" i="24" s="1"/>
  <c r="A678" i="24" s="1"/>
  <c r="A679" i="24" s="1"/>
  <c r="A680" i="24" s="1"/>
  <c r="A681" i="24" s="1"/>
  <c r="A682" i="24" s="1"/>
  <c r="A683" i="24" s="1"/>
  <c r="A684" i="24" s="1"/>
  <c r="M224" i="17"/>
  <c r="K221" i="17"/>
  <c r="K155" i="17"/>
  <c r="K220" i="17"/>
  <c r="W218" i="17"/>
  <c r="W219" i="17"/>
  <c r="W210" i="17"/>
  <c r="U202" i="17"/>
  <c r="Y199" i="17"/>
  <c r="U173" i="17"/>
  <c r="Y118" i="17"/>
  <c r="Y111" i="17"/>
  <c r="U112" i="17"/>
  <c r="Y104" i="17"/>
  <c r="W205" i="17"/>
  <c r="A48" i="24"/>
  <c r="A49" i="24" s="1"/>
  <c r="A50" i="24" s="1"/>
  <c r="A51" i="24" s="1"/>
  <c r="A52" i="24" s="1"/>
  <c r="A53" i="24" s="1"/>
  <c r="A54" i="24" s="1"/>
  <c r="A55" i="24" s="1"/>
  <c r="A56" i="24" s="1"/>
  <c r="A57" i="24" s="1"/>
  <c r="A58" i="24" s="1"/>
  <c r="W182" i="17"/>
  <c r="Y184" i="17"/>
  <c r="W157" i="17"/>
  <c r="W177" i="17"/>
  <c r="K134" i="17"/>
  <c r="A782" i="24"/>
  <c r="K314" i="17" s="1"/>
  <c r="K144" i="17"/>
  <c r="K136" i="17"/>
  <c r="W143" i="17"/>
  <c r="W146" i="17"/>
  <c r="Y133" i="17"/>
  <c r="AA141" i="17"/>
  <c r="AA130" i="17"/>
  <c r="Y132" i="17"/>
  <c r="W98" i="17"/>
  <c r="A762" i="24"/>
  <c r="W372" i="17" s="1"/>
  <c r="Y108" i="17"/>
  <c r="U99" i="17"/>
  <c r="A360" i="24"/>
  <c r="A361" i="24" s="1"/>
  <c r="A362" i="24" s="1"/>
  <c r="A363" i="24" s="1"/>
  <c r="Q114" i="17"/>
  <c r="A695" i="24"/>
  <c r="M194" i="17" s="1"/>
  <c r="O109" i="17"/>
  <c r="AE9" i="36"/>
  <c r="AC9" i="36"/>
  <c r="AA9" i="36"/>
  <c r="AC358" i="17" l="1"/>
  <c r="W366" i="17"/>
  <c r="Y353" i="17"/>
  <c r="AA355" i="17"/>
  <c r="W355" i="17"/>
  <c r="Y340" i="17"/>
  <c r="Y341" i="17"/>
  <c r="Y342" i="17"/>
  <c r="Y337" i="17"/>
  <c r="Y338" i="17"/>
  <c r="Y339" i="17"/>
  <c r="W322" i="17"/>
  <c r="AA333" i="17"/>
  <c r="W303" i="17"/>
  <c r="W308" i="17"/>
  <c r="U300" i="17"/>
  <c r="AA301" i="17"/>
  <c r="U253" i="17"/>
  <c r="Y298" i="17"/>
  <c r="A783" i="24"/>
  <c r="A784" i="24" s="1"/>
  <c r="K246" i="17"/>
  <c r="Y235" i="17"/>
  <c r="Y233" i="17"/>
  <c r="W227" i="17"/>
  <c r="W232" i="17"/>
  <c r="Y217" i="17"/>
  <c r="Y225" i="17"/>
  <c r="Y210" i="17"/>
  <c r="W207" i="17"/>
  <c r="W167" i="17"/>
  <c r="U166" i="17"/>
  <c r="U175" i="17"/>
  <c r="U168" i="17"/>
  <c r="W185" i="17"/>
  <c r="W200" i="17"/>
  <c r="W202" i="17"/>
  <c r="AC197" i="17"/>
  <c r="W173" i="17"/>
  <c r="W171" i="17"/>
  <c r="AA151" i="17"/>
  <c r="AA173" i="17"/>
  <c r="W112" i="17"/>
  <c r="AA109" i="17"/>
  <c r="W107" i="17"/>
  <c r="AA204" i="17"/>
  <c r="Y198" i="17"/>
  <c r="W203" i="17"/>
  <c r="W191" i="17"/>
  <c r="Y194" i="17"/>
  <c r="U192" i="17"/>
  <c r="U193" i="17"/>
  <c r="A59" i="24"/>
  <c r="Y98" i="17"/>
  <c r="W183" i="17"/>
  <c r="U105" i="17"/>
  <c r="Y110" i="17"/>
  <c r="Y136" i="17"/>
  <c r="Y147" i="17"/>
  <c r="W133" i="17"/>
  <c r="Y134" i="17"/>
  <c r="A763" i="24"/>
  <c r="W100" i="17"/>
  <c r="W101" i="17"/>
  <c r="AA108" i="17"/>
  <c r="W132" i="17"/>
  <c r="Y127" i="17"/>
  <c r="Y129" i="17"/>
  <c r="W131" i="17"/>
  <c r="W120" i="17"/>
  <c r="W115" i="17"/>
  <c r="U97" i="17"/>
  <c r="W99" i="17"/>
  <c r="A364" i="24"/>
  <c r="A365" i="24" s="1"/>
  <c r="A366" i="24" s="1"/>
  <c r="A367" i="24" s="1"/>
  <c r="A368" i="24" s="1"/>
  <c r="A369" i="24" s="1"/>
  <c r="A370" i="24" s="1"/>
  <c r="A371" i="24" s="1"/>
  <c r="A372" i="24" s="1"/>
  <c r="A373" i="24" s="1"/>
  <c r="A374" i="24" s="1"/>
  <c r="A375" i="24" s="1"/>
  <c r="A376" i="24" s="1"/>
  <c r="A377" i="24" s="1"/>
  <c r="A378" i="24" s="1"/>
  <c r="A379" i="24" s="1"/>
  <c r="A380" i="24" s="1"/>
  <c r="A381" i="24" s="1"/>
  <c r="A382" i="24" s="1"/>
  <c r="A383" i="24" s="1"/>
  <c r="A384" i="24" s="1"/>
  <c r="A385" i="24" s="1"/>
  <c r="O118" i="17"/>
  <c r="M110" i="17"/>
  <c r="A696" i="24"/>
  <c r="Q96" i="17"/>
  <c r="U96" i="17"/>
  <c r="W96" i="17"/>
  <c r="Y96" i="17"/>
  <c r="AC96" i="17"/>
  <c r="D83" i="24"/>
  <c r="G83" i="24"/>
  <c r="N83" i="24"/>
  <c r="K335" i="17" l="1"/>
  <c r="K369" i="17"/>
  <c r="K368" i="17"/>
  <c r="AA298" i="17"/>
  <c r="W358" i="17"/>
  <c r="K137" i="17"/>
  <c r="K126" i="17"/>
  <c r="K121" i="17"/>
  <c r="K138" i="17"/>
  <c r="K125" i="17"/>
  <c r="K302" i="17"/>
  <c r="K218" i="17"/>
  <c r="K223" i="17"/>
  <c r="K283" i="17"/>
  <c r="K236" i="17"/>
  <c r="K274" i="17"/>
  <c r="K119" i="17"/>
  <c r="K224" i="17"/>
  <c r="AA210" i="17"/>
  <c r="W197" i="17"/>
  <c r="K123" i="17"/>
  <c r="K164" i="17"/>
  <c r="K157" i="17"/>
  <c r="AA116" i="17"/>
  <c r="AA194" i="17"/>
  <c r="K131" i="17"/>
  <c r="A785" i="24"/>
  <c r="A60" i="24"/>
  <c r="A61" i="24" s="1"/>
  <c r="A62" i="24" s="1"/>
  <c r="A63" i="24" s="1"/>
  <c r="A64" i="24" s="1"/>
  <c r="A65" i="24" s="1"/>
  <c r="A66" i="24" s="1"/>
  <c r="A67" i="24" s="1"/>
  <c r="A386" i="24"/>
  <c r="A387" i="24" s="1"/>
  <c r="A388" i="24" s="1"/>
  <c r="A389" i="24" s="1"/>
  <c r="A390" i="24" s="1"/>
  <c r="A391" i="24" s="1"/>
  <c r="A392" i="24" s="1"/>
  <c r="A393" i="24" s="1"/>
  <c r="A394" i="24" s="1"/>
  <c r="A395" i="24" s="1"/>
  <c r="A396" i="24" s="1"/>
  <c r="A397" i="24" s="1"/>
  <c r="A398" i="24" s="1"/>
  <c r="A399" i="24" s="1"/>
  <c r="A400" i="24" s="1"/>
  <c r="A401" i="24" s="1"/>
  <c r="A402" i="24" s="1"/>
  <c r="A403" i="24" s="1"/>
  <c r="A404" i="24" s="1"/>
  <c r="A405" i="24" s="1"/>
  <c r="A406" i="24" s="1"/>
  <c r="A407" i="24" s="1"/>
  <c r="A408" i="24" s="1"/>
  <c r="A409" i="24" s="1"/>
  <c r="A410" i="24" s="1"/>
  <c r="A411" i="24" s="1"/>
  <c r="A412" i="24" s="1"/>
  <c r="A413" i="24" s="1"/>
  <c r="A414" i="24" s="1"/>
  <c r="A415" i="24" s="1"/>
  <c r="A416" i="24" s="1"/>
  <c r="A417" i="24" s="1"/>
  <c r="A418" i="24" s="1"/>
  <c r="A419" i="24" s="1"/>
  <c r="A420" i="24" s="1"/>
  <c r="A421" i="24" s="1"/>
  <c r="A422" i="24" s="1"/>
  <c r="A423" i="24" s="1"/>
  <c r="A424" i="24" s="1"/>
  <c r="A425" i="24" s="1"/>
  <c r="A426" i="24" s="1"/>
  <c r="A427" i="24" s="1"/>
  <c r="A428" i="24" s="1"/>
  <c r="A429" i="24" s="1"/>
  <c r="A430" i="24" s="1"/>
  <c r="A431" i="24" s="1"/>
  <c r="A432" i="24" s="1"/>
  <c r="A433" i="24" s="1"/>
  <c r="A434" i="24" s="1"/>
  <c r="A435" i="24" s="1"/>
  <c r="A436" i="24" s="1"/>
  <c r="A437" i="24" s="1"/>
  <c r="A438" i="24" s="1"/>
  <c r="A439" i="24" s="1"/>
  <c r="A440" i="24" s="1"/>
  <c r="A441" i="24" s="1"/>
  <c r="A442" i="24" s="1"/>
  <c r="O210" i="17" s="1"/>
  <c r="Q185" i="17"/>
  <c r="A764" i="24"/>
  <c r="AA110" i="17"/>
  <c r="W97" i="17"/>
  <c r="AA98" i="17"/>
  <c r="AC108" i="17"/>
  <c r="W102" i="17"/>
  <c r="M111" i="17"/>
  <c r="A697" i="24"/>
  <c r="Q95" i="17"/>
  <c r="U95" i="17"/>
  <c r="W95" i="17"/>
  <c r="Y95" i="17"/>
  <c r="AA95" i="17"/>
  <c r="AC95" i="17"/>
  <c r="D82" i="24"/>
  <c r="G82" i="24"/>
  <c r="N82" i="24"/>
  <c r="K376" i="17" l="1"/>
  <c r="K377" i="17"/>
  <c r="AA353" i="17"/>
  <c r="AA375" i="17"/>
  <c r="A786" i="24"/>
  <c r="A787" i="24" s="1"/>
  <c r="K367" i="17"/>
  <c r="AA343" i="17"/>
  <c r="Y350" i="17"/>
  <c r="W333" i="17"/>
  <c r="U341" i="17"/>
  <c r="U339" i="17"/>
  <c r="U340" i="17"/>
  <c r="U342" i="17"/>
  <c r="U337" i="17"/>
  <c r="U338" i="17"/>
  <c r="U323" i="17"/>
  <c r="Y329" i="17"/>
  <c r="AA307" i="17"/>
  <c r="Y308" i="17"/>
  <c r="AC301" i="17"/>
  <c r="Y306" i="17"/>
  <c r="K297" i="17"/>
  <c r="K301" i="17"/>
  <c r="Y297" i="17"/>
  <c r="Y299" i="17"/>
  <c r="W253" i="17"/>
  <c r="Y268" i="17"/>
  <c r="K237" i="17"/>
  <c r="K245" i="17"/>
  <c r="Y242" i="17"/>
  <c r="Y247" i="17"/>
  <c r="U248" i="17"/>
  <c r="W237" i="17"/>
  <c r="W240" i="17"/>
  <c r="W231" i="17"/>
  <c r="AA234" i="17"/>
  <c r="AA233" i="17"/>
  <c r="K229" i="17"/>
  <c r="K231" i="17"/>
  <c r="W228" i="17"/>
  <c r="AA230" i="17"/>
  <c r="Y219" i="17"/>
  <c r="Y227" i="17"/>
  <c r="K215" i="17"/>
  <c r="K219" i="17"/>
  <c r="U180" i="17"/>
  <c r="AA208" i="17"/>
  <c r="W140" i="17"/>
  <c r="U142" i="17"/>
  <c r="W159" i="17"/>
  <c r="Y200" i="17"/>
  <c r="W168" i="17"/>
  <c r="Y182" i="17"/>
  <c r="Y124" i="17"/>
  <c r="AA154" i="17"/>
  <c r="AA199" i="17"/>
  <c r="W148" i="17"/>
  <c r="W151" i="17"/>
  <c r="Y186" i="17"/>
  <c r="AA117" i="17"/>
  <c r="Y112" i="17"/>
  <c r="AC109" i="17"/>
  <c r="A68" i="24"/>
  <c r="A69" i="24" s="1"/>
  <c r="A70" i="24" s="1"/>
  <c r="A71" i="24" s="1"/>
  <c r="A72" i="24" s="1"/>
  <c r="A73" i="24" s="1"/>
  <c r="A74" i="24" s="1"/>
  <c r="A75" i="24" s="1"/>
  <c r="A76" i="24" s="1"/>
  <c r="A77" i="24" s="1"/>
  <c r="A78" i="24" s="1"/>
  <c r="A79" i="24" s="1"/>
  <c r="A80" i="24" s="1"/>
  <c r="A81" i="24" s="1"/>
  <c r="A82" i="24" s="1"/>
  <c r="A83" i="24" s="1"/>
  <c r="A84" i="24" s="1"/>
  <c r="A443" i="24"/>
  <c r="A444" i="24" s="1"/>
  <c r="A445" i="24" s="1"/>
  <c r="A446" i="24" s="1"/>
  <c r="A447" i="24" s="1"/>
  <c r="A448" i="24" s="1"/>
  <c r="A449" i="24" s="1"/>
  <c r="A450" i="24" s="1"/>
  <c r="A451" i="24" s="1"/>
  <c r="A452" i="24" s="1"/>
  <c r="A453" i="24" s="1"/>
  <c r="A454" i="24" s="1"/>
  <c r="A455" i="24" s="1"/>
  <c r="A456" i="24" s="1"/>
  <c r="A457" i="24" s="1"/>
  <c r="A458" i="24" s="1"/>
  <c r="A459" i="24" s="1"/>
  <c r="A460" i="24" s="1"/>
  <c r="A461" i="24" s="1"/>
  <c r="A462" i="24" s="1"/>
  <c r="A463" i="24" s="1"/>
  <c r="A464" i="24" s="1"/>
  <c r="A465" i="24" s="1"/>
  <c r="A466" i="24" s="1"/>
  <c r="A467" i="24" s="1"/>
  <c r="A468" i="24" s="1"/>
  <c r="A469" i="24" s="1"/>
  <c r="A470" i="24" s="1"/>
  <c r="A471" i="24" s="1"/>
  <c r="A472" i="24" s="1"/>
  <c r="A473" i="24" s="1"/>
  <c r="A474" i="24" s="1"/>
  <c r="A475" i="24" s="1"/>
  <c r="A476" i="24" s="1"/>
  <c r="A477" i="24" s="1"/>
  <c r="A478" i="24" s="1"/>
  <c r="A479" i="24" s="1"/>
  <c r="A480" i="24" s="1"/>
  <c r="A481" i="24" s="1"/>
  <c r="A482" i="24" s="1"/>
  <c r="A483" i="24" s="1"/>
  <c r="A484" i="24" s="1"/>
  <c r="A485" i="24" s="1"/>
  <c r="A486" i="24" s="1"/>
  <c r="A487" i="24" s="1"/>
  <c r="A488" i="24" s="1"/>
  <c r="A489" i="24" s="1"/>
  <c r="A490" i="24" s="1"/>
  <c r="A491" i="24" s="1"/>
  <c r="A492" i="24" s="1"/>
  <c r="A493" i="24" s="1"/>
  <c r="A494" i="24" s="1"/>
  <c r="A495" i="24" s="1"/>
  <c r="A496" i="24" s="1"/>
  <c r="A497" i="24" s="1"/>
  <c r="A498" i="24" s="1"/>
  <c r="A499" i="24" s="1"/>
  <c r="A500" i="24" s="1"/>
  <c r="A501" i="24" s="1"/>
  <c r="A502" i="24" s="1"/>
  <c r="A503" i="24" s="1"/>
  <c r="A504" i="24" s="1"/>
  <c r="A505" i="24" s="1"/>
  <c r="A506" i="24" s="1"/>
  <c r="A507" i="24" s="1"/>
  <c r="A508" i="24" s="1"/>
  <c r="A509" i="24" s="1"/>
  <c r="A510" i="24" s="1"/>
  <c r="A511" i="24" s="1"/>
  <c r="A512" i="24" s="1"/>
  <c r="A513" i="24" s="1"/>
  <c r="A514" i="24" s="1"/>
  <c r="A515" i="24" s="1"/>
  <c r="A516" i="24" s="1"/>
  <c r="A517" i="24" s="1"/>
  <c r="A518" i="24" s="1"/>
  <c r="A519" i="24" s="1"/>
  <c r="A520" i="24" s="1"/>
  <c r="A521" i="24" s="1"/>
  <c r="A522" i="24" s="1"/>
  <c r="A523" i="24" s="1"/>
  <c r="A524" i="24" s="1"/>
  <c r="A525" i="24" s="1"/>
  <c r="A526" i="24" s="1"/>
  <c r="A527" i="24" s="1"/>
  <c r="A528" i="24" s="1"/>
  <c r="A529" i="24" s="1"/>
  <c r="A530" i="24" s="1"/>
  <c r="A531" i="24" s="1"/>
  <c r="K204" i="17"/>
  <c r="K205" i="17"/>
  <c r="Y100" i="17"/>
  <c r="AC204" i="17"/>
  <c r="Y97" i="17"/>
  <c r="Y99" i="17"/>
  <c r="AA125" i="17"/>
  <c r="AA198" i="17"/>
  <c r="W105" i="17"/>
  <c r="Y114" i="17"/>
  <c r="AA96" i="17"/>
  <c r="AC130" i="17"/>
  <c r="K184" i="17"/>
  <c r="K129" i="17"/>
  <c r="K122" i="17"/>
  <c r="K176" i="17"/>
  <c r="W179" i="17"/>
  <c r="Y187" i="17"/>
  <c r="Y191" i="17"/>
  <c r="W192" i="17"/>
  <c r="Y161" i="17"/>
  <c r="Y176" i="17"/>
  <c r="U133" i="17"/>
  <c r="A765" i="24"/>
  <c r="U147" i="17"/>
  <c r="Y101" i="17"/>
  <c r="AA127" i="17"/>
  <c r="AC141" i="17"/>
  <c r="AE129" i="17"/>
  <c r="U153" i="17"/>
  <c r="U152" i="17"/>
  <c r="U158" i="17"/>
  <c r="Y139" i="17"/>
  <c r="Y157" i="17"/>
  <c r="Y116" i="17"/>
  <c r="AA115" i="17"/>
  <c r="M113" i="17"/>
  <c r="A698" i="24"/>
  <c r="U94" i="17"/>
  <c r="W94" i="17"/>
  <c r="Y94" i="17"/>
  <c r="AA94" i="17"/>
  <c r="AC94" i="17"/>
  <c r="N75" i="24"/>
  <c r="N76" i="24"/>
  <c r="N77" i="24"/>
  <c r="N78" i="24"/>
  <c r="N79" i="24"/>
  <c r="N691" i="24"/>
  <c r="N758" i="24"/>
  <c r="N759" i="24"/>
  <c r="N760" i="24"/>
  <c r="N761" i="24"/>
  <c r="N762" i="24"/>
  <c r="N763" i="24"/>
  <c r="N764" i="24"/>
  <c r="N765" i="24"/>
  <c r="N766" i="24"/>
  <c r="N767" i="24"/>
  <c r="N768" i="24"/>
  <c r="N769" i="24"/>
  <c r="N770" i="24"/>
  <c r="N771" i="24"/>
  <c r="N772" i="24"/>
  <c r="N773" i="24"/>
  <c r="N774" i="24"/>
  <c r="N775" i="24"/>
  <c r="N776" i="24"/>
  <c r="N80" i="24"/>
  <c r="N81" i="24"/>
  <c r="G80" i="24"/>
  <c r="G81" i="24"/>
  <c r="D80" i="24"/>
  <c r="D81" i="24"/>
  <c r="AC68" i="17"/>
  <c r="AC69" i="17"/>
  <c r="AC70" i="17"/>
  <c r="AC71" i="17"/>
  <c r="AC72" i="17"/>
  <c r="AC73" i="17"/>
  <c r="AC74" i="17"/>
  <c r="AC75" i="17"/>
  <c r="AC76" i="17"/>
  <c r="AC77" i="17"/>
  <c r="AC78" i="17"/>
  <c r="AC79" i="17"/>
  <c r="AC80" i="17"/>
  <c r="AC81" i="17"/>
  <c r="AC82" i="17"/>
  <c r="AC83" i="17"/>
  <c r="AC84" i="17"/>
  <c r="AC85" i="17"/>
  <c r="AC86" i="17"/>
  <c r="AC87" i="17"/>
  <c r="AC88" i="17"/>
  <c r="AC89" i="17"/>
  <c r="AC90" i="17"/>
  <c r="AC91" i="17"/>
  <c r="AC92" i="17"/>
  <c r="AA69" i="17"/>
  <c r="AA70" i="17"/>
  <c r="AA71" i="17"/>
  <c r="AA72" i="17"/>
  <c r="AA73" i="17"/>
  <c r="AA74" i="17"/>
  <c r="AA75" i="17"/>
  <c r="AA76" i="17"/>
  <c r="AA77" i="17"/>
  <c r="AA78" i="17"/>
  <c r="AA79" i="17"/>
  <c r="AA80" i="17"/>
  <c r="AA81" i="17"/>
  <c r="AA82" i="17"/>
  <c r="AA83" i="17"/>
  <c r="AA84" i="17"/>
  <c r="AA85" i="17"/>
  <c r="AA86" i="17"/>
  <c r="AA87" i="17"/>
  <c r="AA88" i="17"/>
  <c r="AA89" i="17"/>
  <c r="AA90" i="17"/>
  <c r="AA91" i="17"/>
  <c r="AA92" i="17"/>
  <c r="Y69" i="17"/>
  <c r="Y70" i="17"/>
  <c r="Y71" i="17"/>
  <c r="Y72" i="17"/>
  <c r="Y73" i="17"/>
  <c r="Y74" i="17"/>
  <c r="Y75" i="17"/>
  <c r="Y76" i="17"/>
  <c r="Y77" i="17"/>
  <c r="Y78" i="17"/>
  <c r="Y79" i="17"/>
  <c r="Y80" i="17"/>
  <c r="Y81" i="17"/>
  <c r="Y82" i="17"/>
  <c r="Y83" i="17"/>
  <c r="Y84" i="17"/>
  <c r="Y85" i="17"/>
  <c r="Y86" i="17"/>
  <c r="Y87" i="17"/>
  <c r="Y88" i="17"/>
  <c r="Y89" i="17"/>
  <c r="Y90" i="17"/>
  <c r="Y91" i="17"/>
  <c r="Y92" i="17"/>
  <c r="Y93" i="17"/>
  <c r="W93" i="17"/>
  <c r="U93" i="17"/>
  <c r="Q93" i="17"/>
  <c r="K353" i="17" l="1"/>
  <c r="K336" i="17"/>
  <c r="K366" i="17"/>
  <c r="K313" i="17"/>
  <c r="K359" i="17"/>
  <c r="K304" i="17"/>
  <c r="A788" i="24"/>
  <c r="K372" i="17" s="1"/>
  <c r="K362" i="17"/>
  <c r="K361" i="17"/>
  <c r="K360" i="17"/>
  <c r="K364" i="17"/>
  <c r="K363" i="17"/>
  <c r="K350" i="17"/>
  <c r="K345" i="17"/>
  <c r="K346" i="17"/>
  <c r="K315" i="17"/>
  <c r="Y240" i="17"/>
  <c r="U303" i="17"/>
  <c r="K228" i="17"/>
  <c r="K295" i="17"/>
  <c r="AA217" i="17"/>
  <c r="AA235" i="17"/>
  <c r="I96" i="17"/>
  <c r="I93" i="17"/>
  <c r="I94" i="17"/>
  <c r="U120" i="17"/>
  <c r="Y159" i="17"/>
  <c r="Y162" i="17"/>
  <c r="Y202" i="17"/>
  <c r="AE109" i="17"/>
  <c r="AA112" i="17"/>
  <c r="I95" i="17"/>
  <c r="K198" i="17"/>
  <c r="K206" i="17"/>
  <c r="AC98" i="17"/>
  <c r="K177" i="17"/>
  <c r="K141" i="17"/>
  <c r="K132" i="17"/>
  <c r="K146" i="17"/>
  <c r="K128" i="17"/>
  <c r="K150" i="17"/>
  <c r="K130" i="17"/>
  <c r="K133" i="17"/>
  <c r="A85" i="24"/>
  <c r="I97" i="17"/>
  <c r="A766" i="24"/>
  <c r="O119" i="17"/>
  <c r="A699" i="24"/>
  <c r="W91" i="17"/>
  <c r="W92" i="17"/>
  <c r="U90" i="17"/>
  <c r="U91" i="17"/>
  <c r="U92" i="17"/>
  <c r="K318" i="17" l="1"/>
  <c r="K317" i="17"/>
  <c r="K320" i="17"/>
  <c r="K316" i="17"/>
  <c r="K319" i="17"/>
  <c r="K347" i="17"/>
  <c r="Y376" i="17"/>
  <c r="Y377" i="17"/>
  <c r="K323" i="17"/>
  <c r="K322" i="17"/>
  <c r="K332" i="17"/>
  <c r="K306" i="17"/>
  <c r="K331" i="17"/>
  <c r="A789" i="24"/>
  <c r="K354" i="17" s="1"/>
  <c r="K330" i="17"/>
  <c r="K358" i="17"/>
  <c r="Y323" i="17"/>
  <c r="AC375" i="17"/>
  <c r="K324" i="17"/>
  <c r="K343" i="17"/>
  <c r="K333" i="17"/>
  <c r="U307" i="17"/>
  <c r="U309" i="17"/>
  <c r="W300" i="17"/>
  <c r="W306" i="17"/>
  <c r="K300" i="17"/>
  <c r="K303" i="17"/>
  <c r="W245" i="17"/>
  <c r="AA253" i="17"/>
  <c r="K248" i="17"/>
  <c r="K249" i="17"/>
  <c r="K250" i="17"/>
  <c r="K232" i="17"/>
  <c r="K241" i="17"/>
  <c r="W234" i="17"/>
  <c r="U237" i="17"/>
  <c r="Y218" i="17"/>
  <c r="W230" i="17"/>
  <c r="AC208" i="17"/>
  <c r="Y207" i="17"/>
  <c r="Y167" i="17"/>
  <c r="W175" i="17"/>
  <c r="Y185" i="17"/>
  <c r="Y153" i="17"/>
  <c r="AA182" i="17"/>
  <c r="W180" i="17"/>
  <c r="Y142" i="17"/>
  <c r="AA176" i="17"/>
  <c r="AA118" i="17"/>
  <c r="AE210" i="17"/>
  <c r="AC210" i="17"/>
  <c r="AA192" i="17"/>
  <c r="Y205" i="17"/>
  <c r="K199" i="17"/>
  <c r="K203" i="17"/>
  <c r="AA93" i="17"/>
  <c r="Y122" i="17"/>
  <c r="AC129" i="17"/>
  <c r="AE108" i="17"/>
  <c r="Y143" i="17"/>
  <c r="Y113" i="17"/>
  <c r="AA136" i="17"/>
  <c r="U103" i="17"/>
  <c r="W161" i="17"/>
  <c r="A767" i="24"/>
  <c r="Y123" i="17"/>
  <c r="U154" i="17"/>
  <c r="O124" i="17"/>
  <c r="O190" i="17"/>
  <c r="A86" i="24"/>
  <c r="I98" i="17"/>
  <c r="K183" i="17"/>
  <c r="K187" i="17"/>
  <c r="K188" i="17"/>
  <c r="K193" i="17"/>
  <c r="K180" i="17"/>
  <c r="K166" i="17"/>
  <c r="K169" i="17"/>
  <c r="K151" i="17"/>
  <c r="K161" i="17"/>
  <c r="K139" i="17"/>
  <c r="K171" i="17"/>
  <c r="K162" i="17"/>
  <c r="K142" i="17"/>
  <c r="K175" i="17"/>
  <c r="K153" i="17"/>
  <c r="K120" i="17"/>
  <c r="K179" i="17"/>
  <c r="K158" i="17"/>
  <c r="K135" i="17"/>
  <c r="A700" i="24"/>
  <c r="Y115" i="17"/>
  <c r="AA63" i="17"/>
  <c r="W63" i="17"/>
  <c r="U63" i="17"/>
  <c r="AI10" i="17"/>
  <c r="AG87" i="17"/>
  <c r="AG86" i="17"/>
  <c r="AG85" i="17"/>
  <c r="AG84" i="17"/>
  <c r="AG83" i="17"/>
  <c r="AG82" i="17"/>
  <c r="AG81" i="17"/>
  <c r="AG80" i="17"/>
  <c r="AG79" i="17"/>
  <c r="AG78" i="17"/>
  <c r="AG77" i="17"/>
  <c r="AG76" i="17"/>
  <c r="AG75" i="17"/>
  <c r="AG74" i="17"/>
  <c r="AG73" i="17"/>
  <c r="AG72" i="17"/>
  <c r="AG71" i="17"/>
  <c r="AG70" i="17"/>
  <c r="AG69" i="17"/>
  <c r="AG68" i="17"/>
  <c r="AG67" i="17"/>
  <c r="AG66" i="17"/>
  <c r="AG65" i="17"/>
  <c r="AG64" i="17"/>
  <c r="AG63" i="17"/>
  <c r="AG62" i="17"/>
  <c r="AG61" i="17"/>
  <c r="AG60" i="17"/>
  <c r="AG59" i="17"/>
  <c r="AG58" i="17"/>
  <c r="AG57" i="17"/>
  <c r="AG56" i="17"/>
  <c r="AG55" i="17"/>
  <c r="AG54" i="17"/>
  <c r="AG53" i="17"/>
  <c r="AG52" i="17"/>
  <c r="AG51" i="17"/>
  <c r="AG50" i="17"/>
  <c r="AG49" i="17"/>
  <c r="AG48" i="17"/>
  <c r="AG47" i="17"/>
  <c r="AG46" i="17"/>
  <c r="AG45" i="17"/>
  <c r="AG44" i="17"/>
  <c r="AG43" i="17"/>
  <c r="AG42" i="17"/>
  <c r="AG41" i="17"/>
  <c r="AG40" i="17"/>
  <c r="AG39" i="17"/>
  <c r="AG38" i="17"/>
  <c r="AG37" i="17"/>
  <c r="AG36" i="17"/>
  <c r="AG35" i="17"/>
  <c r="AG34" i="17"/>
  <c r="AG33" i="17"/>
  <c r="AG32" i="17"/>
  <c r="AG31" i="17"/>
  <c r="AG30" i="17"/>
  <c r="AG29" i="17"/>
  <c r="AG28" i="17"/>
  <c r="AG27" i="17"/>
  <c r="AG26" i="17"/>
  <c r="AG25" i="17"/>
  <c r="AG24" i="17"/>
  <c r="AG23" i="17"/>
  <c r="AG22" i="17"/>
  <c r="AG21" i="17"/>
  <c r="AG20" i="17"/>
  <c r="AG19" i="17"/>
  <c r="AG18" i="17"/>
  <c r="AG17" i="17"/>
  <c r="AG16" i="17"/>
  <c r="AG15" i="17"/>
  <c r="AG14" i="17"/>
  <c r="AG13" i="17"/>
  <c r="AG12" i="17"/>
  <c r="AG11" i="17"/>
  <c r="AG10" i="17"/>
  <c r="AE69" i="17"/>
  <c r="AE68" i="17"/>
  <c r="AE67" i="17"/>
  <c r="AE66" i="17"/>
  <c r="AE65" i="17"/>
  <c r="AE64" i="17"/>
  <c r="AE63" i="17"/>
  <c r="AE62" i="17"/>
  <c r="AE61" i="17"/>
  <c r="AE60" i="17"/>
  <c r="AE59" i="17"/>
  <c r="AE58" i="17"/>
  <c r="AE57" i="17"/>
  <c r="AE56" i="17"/>
  <c r="AE55" i="17"/>
  <c r="AE54" i="17"/>
  <c r="AE53" i="17"/>
  <c r="AE52" i="17"/>
  <c r="AE51" i="17"/>
  <c r="AE50" i="17"/>
  <c r="AE49" i="17"/>
  <c r="AE48" i="17"/>
  <c r="AE47" i="17"/>
  <c r="AE46" i="17"/>
  <c r="AE45" i="17"/>
  <c r="AE44" i="17"/>
  <c r="AE43" i="17"/>
  <c r="AE42" i="17"/>
  <c r="AE41" i="17"/>
  <c r="AE40" i="17"/>
  <c r="AE39" i="17"/>
  <c r="AE38" i="17"/>
  <c r="AE37" i="17"/>
  <c r="AE36" i="17"/>
  <c r="AE35" i="17"/>
  <c r="AE34" i="17"/>
  <c r="AE33" i="17"/>
  <c r="AE32" i="17"/>
  <c r="AE31" i="17"/>
  <c r="AE30" i="17"/>
  <c r="AE29" i="17"/>
  <c r="AE28" i="17"/>
  <c r="AE27" i="17"/>
  <c r="AE26" i="17"/>
  <c r="AE25" i="17"/>
  <c r="AE24" i="17"/>
  <c r="AE23" i="17"/>
  <c r="AE22" i="17"/>
  <c r="AE21" i="17"/>
  <c r="AE20" i="17"/>
  <c r="AE19" i="17"/>
  <c r="AE18" i="17"/>
  <c r="AE17" i="17"/>
  <c r="AE16" i="17"/>
  <c r="AE15" i="17"/>
  <c r="AE14" i="17"/>
  <c r="AE13" i="17"/>
  <c r="AE12" i="17"/>
  <c r="AE11" i="17"/>
  <c r="AE10" i="17"/>
  <c r="AC67" i="17"/>
  <c r="AC66" i="17"/>
  <c r="AC65" i="17"/>
  <c r="AC64" i="17"/>
  <c r="AC63" i="17"/>
  <c r="AC62" i="17"/>
  <c r="AC61" i="17"/>
  <c r="AC60" i="17"/>
  <c r="AC59" i="17"/>
  <c r="AC58" i="17"/>
  <c r="AC57" i="17"/>
  <c r="AC56" i="17"/>
  <c r="AC55" i="17"/>
  <c r="AC54" i="17"/>
  <c r="AC53" i="17"/>
  <c r="AC52" i="17"/>
  <c r="AC51" i="17"/>
  <c r="AC50" i="17"/>
  <c r="AC49" i="17"/>
  <c r="AC48" i="17"/>
  <c r="AC47" i="17"/>
  <c r="AC46" i="17"/>
  <c r="AC45" i="17"/>
  <c r="AC44" i="17"/>
  <c r="AC43" i="17"/>
  <c r="AC42" i="17"/>
  <c r="AC41" i="17"/>
  <c r="AC40" i="17"/>
  <c r="AC39" i="17"/>
  <c r="AC38" i="17"/>
  <c r="AC37" i="17"/>
  <c r="AC36" i="17"/>
  <c r="AC35" i="17"/>
  <c r="AC34" i="17"/>
  <c r="AC33" i="17"/>
  <c r="AC32" i="17"/>
  <c r="AC31" i="17"/>
  <c r="AC30" i="17"/>
  <c r="AC29" i="17"/>
  <c r="AC28" i="17"/>
  <c r="AC27" i="17"/>
  <c r="AC26" i="17"/>
  <c r="AC25" i="17"/>
  <c r="AC24" i="17"/>
  <c r="AC23" i="17"/>
  <c r="AC22" i="17"/>
  <c r="AC21" i="17"/>
  <c r="AC20" i="17"/>
  <c r="AC19" i="17"/>
  <c r="AC18" i="17"/>
  <c r="AC17" i="17"/>
  <c r="AC16" i="17"/>
  <c r="AC15" i="17"/>
  <c r="AC14" i="17"/>
  <c r="AC13" i="17"/>
  <c r="AC12" i="17"/>
  <c r="AC11" i="17"/>
  <c r="AC10" i="17"/>
  <c r="AA68" i="17"/>
  <c r="AA65" i="17"/>
  <c r="AA62" i="17"/>
  <c r="AA61" i="17"/>
  <c r="AA60" i="17"/>
  <c r="AA59" i="17"/>
  <c r="AA58" i="17"/>
  <c r="AA57" i="17"/>
  <c r="AA56" i="17"/>
  <c r="AA54" i="17"/>
  <c r="AA51" i="17"/>
  <c r="AA50" i="17"/>
  <c r="AA49" i="17"/>
  <c r="AA48" i="17"/>
  <c r="AA47" i="17"/>
  <c r="AA46" i="17"/>
  <c r="AA45" i="17"/>
  <c r="AA44" i="17"/>
  <c r="AA43" i="17"/>
  <c r="AA42" i="17"/>
  <c r="AA41" i="17"/>
  <c r="AA40" i="17"/>
  <c r="AA39" i="17"/>
  <c r="AA38" i="17"/>
  <c r="AA37" i="17"/>
  <c r="AA36" i="17"/>
  <c r="AA35" i="17"/>
  <c r="AA34" i="17"/>
  <c r="AA33" i="17"/>
  <c r="AA32" i="17"/>
  <c r="AA31" i="17"/>
  <c r="AA30" i="17"/>
  <c r="AA29" i="17"/>
  <c r="AA28" i="17"/>
  <c r="AA27" i="17"/>
  <c r="AA26" i="17"/>
  <c r="AA25" i="17"/>
  <c r="AA24" i="17"/>
  <c r="AA23" i="17"/>
  <c r="AA22" i="17"/>
  <c r="AA21" i="17"/>
  <c r="AA20" i="17"/>
  <c r="AA19" i="17"/>
  <c r="AA18" i="17"/>
  <c r="AA17" i="17"/>
  <c r="AA16" i="17"/>
  <c r="AA15" i="17"/>
  <c r="AA14" i="17"/>
  <c r="AA13" i="17"/>
  <c r="AA12" i="17"/>
  <c r="AA11" i="17"/>
  <c r="AA10" i="17"/>
  <c r="Y68" i="17"/>
  <c r="Y67" i="17"/>
  <c r="Y66" i="17"/>
  <c r="Y65" i="17"/>
  <c r="Y62" i="17"/>
  <c r="Y61" i="17"/>
  <c r="Y60" i="17"/>
  <c r="Y57" i="17"/>
  <c r="Y56" i="17"/>
  <c r="Y55" i="17"/>
  <c r="Y53" i="17"/>
  <c r="Y52" i="17"/>
  <c r="Y51" i="17"/>
  <c r="Y50" i="17"/>
  <c r="Y49" i="17"/>
  <c r="Y48" i="17"/>
  <c r="Y47" i="17"/>
  <c r="Y46" i="17"/>
  <c r="Y45" i="17"/>
  <c r="Y44" i="17"/>
  <c r="Y43" i="17"/>
  <c r="Y42" i="17"/>
  <c r="Y41" i="17"/>
  <c r="Y40" i="17"/>
  <c r="Y39" i="17"/>
  <c r="Y38" i="17"/>
  <c r="Y37" i="17"/>
  <c r="Y36" i="17"/>
  <c r="Y35" i="17"/>
  <c r="Y34" i="17"/>
  <c r="Y33" i="17"/>
  <c r="Y32" i="17"/>
  <c r="Y31" i="17"/>
  <c r="Y30" i="17"/>
  <c r="Y29" i="17"/>
  <c r="Y28" i="17"/>
  <c r="Y27" i="17"/>
  <c r="Y26" i="17"/>
  <c r="Y25" i="17"/>
  <c r="Y24" i="17"/>
  <c r="Y23" i="17"/>
  <c r="Y22" i="17"/>
  <c r="Y21" i="17"/>
  <c r="Y20" i="17"/>
  <c r="Y19" i="17"/>
  <c r="Y18" i="17"/>
  <c r="Y17" i="17"/>
  <c r="Y16" i="17"/>
  <c r="Y15" i="17"/>
  <c r="Y14" i="17"/>
  <c r="Y13" i="17"/>
  <c r="Y12" i="17"/>
  <c r="Y11" i="17"/>
  <c r="Y10" i="17"/>
  <c r="W90" i="17"/>
  <c r="W89" i="17"/>
  <c r="W88" i="17"/>
  <c r="W87" i="17"/>
  <c r="W86" i="17"/>
  <c r="W85" i="17"/>
  <c r="W84" i="17"/>
  <c r="W83" i="17"/>
  <c r="W82" i="17"/>
  <c r="W81" i="17"/>
  <c r="W80" i="17"/>
  <c r="W79" i="17"/>
  <c r="W78" i="17"/>
  <c r="W77" i="17"/>
  <c r="W76" i="17"/>
  <c r="W75" i="17"/>
  <c r="W74" i="17"/>
  <c r="W73" i="17"/>
  <c r="W72" i="17"/>
  <c r="W71" i="17"/>
  <c r="W70" i="17"/>
  <c r="W69" i="17"/>
  <c r="W68" i="17"/>
  <c r="W67" i="17"/>
  <c r="W66" i="17"/>
  <c r="W65" i="17"/>
  <c r="W64" i="17"/>
  <c r="W61" i="17"/>
  <c r="W60" i="17"/>
  <c r="W59" i="17"/>
  <c r="W58" i="17"/>
  <c r="W57" i="17"/>
  <c r="W56" i="17"/>
  <c r="W55" i="17"/>
  <c r="W54" i="17"/>
  <c r="W53" i="17"/>
  <c r="W52" i="17"/>
  <c r="W51" i="17"/>
  <c r="W50" i="17"/>
  <c r="W49" i="17"/>
  <c r="W48" i="17"/>
  <c r="W47" i="17"/>
  <c r="W46" i="17"/>
  <c r="W45" i="17"/>
  <c r="W44" i="17"/>
  <c r="W43" i="17"/>
  <c r="W42" i="17"/>
  <c r="W41" i="17"/>
  <c r="W40" i="17"/>
  <c r="W39" i="17"/>
  <c r="W38" i="17"/>
  <c r="W37" i="17"/>
  <c r="W36" i="17"/>
  <c r="W35" i="17"/>
  <c r="W34" i="17"/>
  <c r="W33" i="17"/>
  <c r="W32" i="17"/>
  <c r="W31" i="17"/>
  <c r="W30" i="17"/>
  <c r="W29" i="17"/>
  <c r="W28" i="17"/>
  <c r="W27" i="17"/>
  <c r="W26" i="17"/>
  <c r="W25" i="17"/>
  <c r="W24" i="17"/>
  <c r="W23" i="17"/>
  <c r="W22" i="17"/>
  <c r="W21" i="17"/>
  <c r="W20" i="17"/>
  <c r="W19" i="17"/>
  <c r="W18" i="17"/>
  <c r="W17" i="17"/>
  <c r="W16" i="17"/>
  <c r="W15" i="17"/>
  <c r="W14" i="17"/>
  <c r="W13" i="17"/>
  <c r="W12" i="17"/>
  <c r="W11" i="17"/>
  <c r="W10" i="17"/>
  <c r="U89" i="17"/>
  <c r="U88" i="17"/>
  <c r="U87" i="17"/>
  <c r="U86" i="17"/>
  <c r="U85" i="17"/>
  <c r="U84" i="17"/>
  <c r="U83" i="17"/>
  <c r="U82" i="17"/>
  <c r="U81" i="17"/>
  <c r="U80" i="17"/>
  <c r="U79" i="17"/>
  <c r="U78" i="17"/>
  <c r="U77" i="17"/>
  <c r="U76" i="17"/>
  <c r="U75" i="17"/>
  <c r="U74" i="17"/>
  <c r="U73" i="17"/>
  <c r="U72" i="17"/>
  <c r="U71" i="17"/>
  <c r="U70" i="17"/>
  <c r="U69" i="17"/>
  <c r="U68" i="17"/>
  <c r="U67" i="17"/>
  <c r="U66" i="17"/>
  <c r="U65" i="17"/>
  <c r="U64" i="17"/>
  <c r="U62" i="17"/>
  <c r="U61" i="17"/>
  <c r="U60" i="17"/>
  <c r="U59" i="17"/>
  <c r="U58" i="17"/>
  <c r="U57" i="17"/>
  <c r="U56" i="17"/>
  <c r="U55" i="17"/>
  <c r="U54" i="17"/>
  <c r="U53" i="17"/>
  <c r="U52" i="17"/>
  <c r="U51" i="17"/>
  <c r="U50" i="17"/>
  <c r="U49" i="17"/>
  <c r="U48" i="17"/>
  <c r="U47" i="17"/>
  <c r="U46" i="17"/>
  <c r="U45" i="17"/>
  <c r="U44" i="17"/>
  <c r="U43" i="17"/>
  <c r="U42" i="17"/>
  <c r="U41" i="17"/>
  <c r="U40" i="17"/>
  <c r="U39" i="17"/>
  <c r="U38" i="17"/>
  <c r="U37" i="17"/>
  <c r="U36" i="17"/>
  <c r="U35" i="17"/>
  <c r="U34" i="17"/>
  <c r="U33" i="17"/>
  <c r="U32" i="17"/>
  <c r="U31" i="17"/>
  <c r="U30" i="17"/>
  <c r="U29" i="17"/>
  <c r="U28" i="17"/>
  <c r="U27" i="17"/>
  <c r="U26" i="17"/>
  <c r="U25" i="17"/>
  <c r="U24" i="17"/>
  <c r="U23" i="17"/>
  <c r="U22" i="17"/>
  <c r="U21" i="17"/>
  <c r="U20" i="17"/>
  <c r="U19" i="17"/>
  <c r="U18" i="17"/>
  <c r="U17" i="17"/>
  <c r="U16" i="17"/>
  <c r="U15" i="17"/>
  <c r="U14" i="17"/>
  <c r="U13" i="17"/>
  <c r="U12" i="17"/>
  <c r="U11" i="17"/>
  <c r="U10" i="17"/>
  <c r="K325" i="17" l="1"/>
  <c r="K329" i="17"/>
  <c r="K327" i="17"/>
  <c r="K348" i="17"/>
  <c r="K308" i="17"/>
  <c r="A790" i="24"/>
  <c r="A791" i="24" s="1"/>
  <c r="K375" i="17"/>
  <c r="K334" i="17"/>
  <c r="K351" i="17"/>
  <c r="K352" i="17"/>
  <c r="K355" i="17"/>
  <c r="K370" i="17"/>
  <c r="K371" i="17"/>
  <c r="AA366" i="17"/>
  <c r="Y370" i="17"/>
  <c r="Y371" i="17"/>
  <c r="Y354" i="17"/>
  <c r="Y358" i="17"/>
  <c r="Y322" i="17"/>
  <c r="AC353" i="17"/>
  <c r="K339" i="17"/>
  <c r="K340" i="17"/>
  <c r="K341" i="17"/>
  <c r="K342" i="17"/>
  <c r="K310" i="17"/>
  <c r="W309" i="17"/>
  <c r="W321" i="17"/>
  <c r="K299" i="17"/>
  <c r="K307" i="17"/>
  <c r="U306" i="17"/>
  <c r="W307" i="17"/>
  <c r="K287" i="17"/>
  <c r="K289" i="17"/>
  <c r="K288" i="17"/>
  <c r="K282" i="17"/>
  <c r="K281" i="17"/>
  <c r="K268" i="17"/>
  <c r="K278" i="17"/>
  <c r="K279" i="17"/>
  <c r="K259" i="17"/>
  <c r="K266" i="17"/>
  <c r="K247" i="17"/>
  <c r="K253" i="17"/>
  <c r="AA247" i="17"/>
  <c r="Y245" i="17"/>
  <c r="K240" i="17"/>
  <c r="K242" i="17"/>
  <c r="K208" i="17"/>
  <c r="K233" i="17"/>
  <c r="Y228" i="17"/>
  <c r="AC233" i="17"/>
  <c r="AA225" i="17"/>
  <c r="AA129" i="17"/>
  <c r="W142" i="17"/>
  <c r="AA207" i="17"/>
  <c r="Y203" i="17"/>
  <c r="W166" i="17"/>
  <c r="W152" i="17"/>
  <c r="AA185" i="17"/>
  <c r="W160" i="17"/>
  <c r="W170" i="17"/>
  <c r="W135" i="17"/>
  <c r="Y197" i="17"/>
  <c r="AA202" i="17"/>
  <c r="Y107" i="17"/>
  <c r="Y158" i="17"/>
  <c r="K202" i="17"/>
  <c r="K207" i="17"/>
  <c r="AA132" i="17"/>
  <c r="AA64" i="17"/>
  <c r="AC127" i="17"/>
  <c r="Y58" i="17"/>
  <c r="AA66" i="17"/>
  <c r="W103" i="17"/>
  <c r="AE141" i="17"/>
  <c r="AC93" i="17"/>
  <c r="AA67" i="17"/>
  <c r="Y102" i="17"/>
  <c r="W154" i="17"/>
  <c r="Y106" i="17"/>
  <c r="W149" i="17"/>
  <c r="Y145" i="17"/>
  <c r="A768" i="24"/>
  <c r="U161" i="17"/>
  <c r="AA99" i="17"/>
  <c r="U157" i="17"/>
  <c r="W174" i="17"/>
  <c r="AA114" i="17"/>
  <c r="Y172" i="17"/>
  <c r="W62" i="17"/>
  <c r="Y54" i="17"/>
  <c r="K197" i="17"/>
  <c r="K200" i="17"/>
  <c r="W193" i="17"/>
  <c r="AC198" i="17"/>
  <c r="Y181" i="17"/>
  <c r="I99" i="17"/>
  <c r="A87" i="24"/>
  <c r="K189" i="17"/>
  <c r="K192" i="17"/>
  <c r="K190" i="17"/>
  <c r="K191" i="17"/>
  <c r="K186" i="17"/>
  <c r="K182" i="17"/>
  <c r="K140" i="17"/>
  <c r="K118" i="17"/>
  <c r="K159" i="17"/>
  <c r="K185" i="17"/>
  <c r="K149" i="17"/>
  <c r="K160" i="17"/>
  <c r="K174" i="17"/>
  <c r="K145" i="17"/>
  <c r="K127" i="17"/>
  <c r="K152" i="17"/>
  <c r="K178" i="17"/>
  <c r="K173" i="17"/>
  <c r="K124" i="17"/>
  <c r="K154" i="17"/>
  <c r="K148" i="17"/>
  <c r="K165" i="17"/>
  <c r="K117" i="17"/>
  <c r="K172" i="17"/>
  <c r="A701" i="24"/>
  <c r="O125" i="17"/>
  <c r="K114" i="17"/>
  <c r="K111" i="17"/>
  <c r="K112" i="17"/>
  <c r="K109" i="17"/>
  <c r="K107" i="17"/>
  <c r="K104" i="17"/>
  <c r="K103" i="17"/>
  <c r="K101" i="17"/>
  <c r="K100" i="17"/>
  <c r="K99" i="17"/>
  <c r="D759" i="24"/>
  <c r="D760" i="24"/>
  <c r="D761" i="24"/>
  <c r="D762" i="24"/>
  <c r="D763" i="24"/>
  <c r="D764" i="24"/>
  <c r="D765" i="24"/>
  <c r="D766" i="24"/>
  <c r="D767" i="24"/>
  <c r="D768" i="24"/>
  <c r="D769" i="24"/>
  <c r="D770" i="24"/>
  <c r="D771" i="24"/>
  <c r="D772" i="24"/>
  <c r="D773" i="24"/>
  <c r="D774" i="24"/>
  <c r="D775" i="24"/>
  <c r="D776" i="24"/>
  <c r="G758" i="24"/>
  <c r="G759" i="24"/>
  <c r="G760" i="24"/>
  <c r="G761" i="24"/>
  <c r="G762" i="24"/>
  <c r="G763" i="24"/>
  <c r="G764" i="24"/>
  <c r="G765" i="24"/>
  <c r="G766" i="24"/>
  <c r="G767" i="24"/>
  <c r="G768" i="24"/>
  <c r="G769" i="24"/>
  <c r="G770" i="24"/>
  <c r="G771" i="24"/>
  <c r="G772" i="24"/>
  <c r="G773" i="24"/>
  <c r="G774" i="24"/>
  <c r="G775" i="24"/>
  <c r="G776" i="24"/>
  <c r="D758" i="24"/>
  <c r="K338" i="17" l="1"/>
  <c r="K337" i="17"/>
  <c r="K349" i="17"/>
  <c r="K373" i="17"/>
  <c r="AA358" i="17"/>
  <c r="Y372" i="17"/>
  <c r="K321" i="17"/>
  <c r="A792" i="24"/>
  <c r="AA354" i="17"/>
  <c r="Y355" i="17"/>
  <c r="AE343" i="17"/>
  <c r="Y352" i="17"/>
  <c r="Y351" i="17"/>
  <c r="U321" i="17"/>
  <c r="AA322" i="17"/>
  <c r="AA299" i="17"/>
  <c r="Y300" i="17"/>
  <c r="K277" i="17"/>
  <c r="K290" i="17"/>
  <c r="K271" i="17"/>
  <c r="K276" i="17"/>
  <c r="K269" i="17"/>
  <c r="K270" i="17"/>
  <c r="Y253" i="17"/>
  <c r="AA268" i="17"/>
  <c r="K265" i="17"/>
  <c r="K267" i="17"/>
  <c r="K263" i="17"/>
  <c r="K264" i="17"/>
  <c r="K260" i="17"/>
  <c r="K261" i="17"/>
  <c r="K262" i="17"/>
  <c r="K244" i="17"/>
  <c r="K258" i="17"/>
  <c r="K257" i="17"/>
  <c r="AA242" i="17"/>
  <c r="AC247" i="17"/>
  <c r="K239" i="17"/>
  <c r="K243" i="17"/>
  <c r="Y232" i="17"/>
  <c r="U241" i="17"/>
  <c r="K217" i="17"/>
  <c r="K235" i="17"/>
  <c r="AA222" i="17"/>
  <c r="U231" i="17"/>
  <c r="W118" i="17"/>
  <c r="Y165" i="17"/>
  <c r="Y166" i="17"/>
  <c r="AA152" i="17"/>
  <c r="Y160" i="17"/>
  <c r="Y135" i="17"/>
  <c r="U170" i="17"/>
  <c r="Y175" i="17"/>
  <c r="AA197" i="17"/>
  <c r="AC202" i="17"/>
  <c r="AE199" i="17"/>
  <c r="Y169" i="17"/>
  <c r="Y171" i="17"/>
  <c r="Y173" i="17"/>
  <c r="AA186" i="17"/>
  <c r="AC176" i="17"/>
  <c r="AG109" i="17"/>
  <c r="AA111" i="17"/>
  <c r="AA107" i="17"/>
  <c r="AA104" i="17"/>
  <c r="AA145" i="17"/>
  <c r="Y63" i="17"/>
  <c r="A769" i="24"/>
  <c r="A770" i="24" s="1"/>
  <c r="A771" i="24" s="1"/>
  <c r="A772" i="24" s="1"/>
  <c r="A773" i="24" s="1"/>
  <c r="A774" i="24" s="1"/>
  <c r="A775" i="24" s="1"/>
  <c r="A776" i="24" s="1"/>
  <c r="Y192" i="17"/>
  <c r="Y174" i="17"/>
  <c r="K147" i="17"/>
  <c r="K298" i="17"/>
  <c r="K181" i="17"/>
  <c r="A88" i="24"/>
  <c r="I100" i="17"/>
  <c r="A702" i="24"/>
  <c r="A703" i="24" s="1"/>
  <c r="O283" i="17" s="1"/>
  <c r="O126" i="17"/>
  <c r="Y59" i="17"/>
  <c r="AA55" i="17"/>
  <c r="AA52" i="17"/>
  <c r="AA53" i="17"/>
  <c r="Y64" i="17"/>
  <c r="M92" i="17"/>
  <c r="I92" i="17"/>
  <c r="G691" i="24"/>
  <c r="D691" i="24"/>
  <c r="G79" i="24"/>
  <c r="D79" i="24"/>
  <c r="K378" i="17" l="1"/>
  <c r="K379" i="17"/>
  <c r="A793" i="24"/>
  <c r="K374" i="17"/>
  <c r="K201" i="17"/>
  <c r="K210" i="17"/>
  <c r="A89" i="24"/>
  <c r="I101" i="17"/>
  <c r="K194" i="17"/>
  <c r="K170" i="17"/>
  <c r="K110" i="17"/>
  <c r="K108" i="17"/>
  <c r="O137" i="17"/>
  <c r="A704" i="24"/>
  <c r="O128" i="17"/>
  <c r="N629" i="24"/>
  <c r="N72" i="24"/>
  <c r="N73" i="24"/>
  <c r="N74" i="24"/>
  <c r="G629" i="24"/>
  <c r="G72" i="24"/>
  <c r="G73" i="24"/>
  <c r="G74" i="24"/>
  <c r="G75" i="24"/>
  <c r="G76" i="24"/>
  <c r="G77" i="24"/>
  <c r="G78" i="24"/>
  <c r="D72" i="24"/>
  <c r="D73" i="24"/>
  <c r="D74" i="24"/>
  <c r="D75" i="24"/>
  <c r="D76" i="24"/>
  <c r="D77" i="24"/>
  <c r="D78" i="24"/>
  <c r="AE69" i="36"/>
  <c r="AE68" i="36"/>
  <c r="AE67" i="36"/>
  <c r="AE66" i="36"/>
  <c r="AE65" i="36"/>
  <c r="AE64" i="36"/>
  <c r="AE63" i="36"/>
  <c r="AE62" i="36"/>
  <c r="AC62" i="36"/>
  <c r="AC63" i="36"/>
  <c r="AC64" i="36"/>
  <c r="AC65" i="36"/>
  <c r="AC66" i="36"/>
  <c r="AC67" i="36"/>
  <c r="AC68" i="36"/>
  <c r="AC69" i="36"/>
  <c r="AA62" i="36"/>
  <c r="AA63" i="36"/>
  <c r="AA64" i="36"/>
  <c r="AA65" i="36"/>
  <c r="AA66" i="36"/>
  <c r="AA67" i="36"/>
  <c r="AA68" i="36"/>
  <c r="AA69" i="36"/>
  <c r="A794" i="24" l="1"/>
  <c r="K312" i="17"/>
  <c r="K195" i="17"/>
  <c r="K168" i="17"/>
  <c r="K102" i="17"/>
  <c r="A90" i="24"/>
  <c r="I309" i="17" s="1"/>
  <c r="I102" i="17"/>
  <c r="O138" i="17"/>
  <c r="A705" i="24"/>
  <c r="AE60" i="36"/>
  <c r="AE59" i="36"/>
  <c r="AE58" i="36"/>
  <c r="AE57" i="36"/>
  <c r="AE56" i="36"/>
  <c r="AE55" i="36"/>
  <c r="AE54" i="36"/>
  <c r="AE53" i="36"/>
  <c r="AE52" i="36"/>
  <c r="AE51" i="36"/>
  <c r="AE50" i="36"/>
  <c r="AE49" i="36"/>
  <c r="AE48" i="36"/>
  <c r="AE47" i="36"/>
  <c r="AE46" i="36"/>
  <c r="AE45" i="36"/>
  <c r="AE44" i="36"/>
  <c r="AE43" i="36"/>
  <c r="AE42" i="36"/>
  <c r="AE41" i="36"/>
  <c r="AE40" i="36"/>
  <c r="AE39" i="36"/>
  <c r="AE38" i="36"/>
  <c r="AE37" i="36"/>
  <c r="AE36" i="36"/>
  <c r="AE35" i="36"/>
  <c r="AE34" i="36"/>
  <c r="AE33" i="36"/>
  <c r="AE32" i="36"/>
  <c r="AE31" i="36"/>
  <c r="AE30" i="36"/>
  <c r="AE29" i="36"/>
  <c r="AE28" i="36"/>
  <c r="AE27" i="36"/>
  <c r="AE26" i="36"/>
  <c r="AE25" i="36"/>
  <c r="AE24" i="36"/>
  <c r="AE23" i="36"/>
  <c r="AE22" i="36"/>
  <c r="AE21" i="36"/>
  <c r="AE20" i="36"/>
  <c r="AE19" i="36"/>
  <c r="AE18" i="36"/>
  <c r="AE17" i="36"/>
  <c r="AE16" i="36"/>
  <c r="AE15" i="36"/>
  <c r="AE14" i="36"/>
  <c r="AE13" i="36"/>
  <c r="AE12" i="36"/>
  <c r="AE11" i="36"/>
  <c r="AE10" i="36"/>
  <c r="AC60" i="36"/>
  <c r="AC59" i="36"/>
  <c r="AC58" i="36"/>
  <c r="AC57" i="36"/>
  <c r="AC56" i="36"/>
  <c r="AC55" i="36"/>
  <c r="AC54" i="36"/>
  <c r="AC53" i="36"/>
  <c r="AC52" i="36"/>
  <c r="AC51" i="36"/>
  <c r="AC50" i="36"/>
  <c r="AC49" i="36"/>
  <c r="AC48" i="36"/>
  <c r="AC47" i="36"/>
  <c r="AC46" i="36"/>
  <c r="AC45" i="36"/>
  <c r="AC44" i="36"/>
  <c r="AC43" i="36"/>
  <c r="AC42" i="36"/>
  <c r="AC41" i="36"/>
  <c r="AC40" i="36"/>
  <c r="AC39" i="36"/>
  <c r="AC38" i="36"/>
  <c r="AC37" i="36"/>
  <c r="AC36" i="36"/>
  <c r="AC35" i="36"/>
  <c r="AC34" i="36"/>
  <c r="AC33" i="36"/>
  <c r="AC32" i="36"/>
  <c r="AC31" i="36"/>
  <c r="AC30" i="36"/>
  <c r="AC29" i="36"/>
  <c r="AC28" i="36"/>
  <c r="AC27" i="36"/>
  <c r="AC26" i="36"/>
  <c r="AC25" i="36"/>
  <c r="AC24" i="36"/>
  <c r="AC23" i="36"/>
  <c r="AC22" i="36"/>
  <c r="AC21" i="36"/>
  <c r="AC20" i="36"/>
  <c r="AC19" i="36"/>
  <c r="AC18" i="36"/>
  <c r="AC17" i="36"/>
  <c r="AC16" i="36"/>
  <c r="AC15" i="36"/>
  <c r="AC14" i="36"/>
  <c r="AC13" i="36"/>
  <c r="AC12" i="36"/>
  <c r="AC11" i="36"/>
  <c r="AC10" i="36"/>
  <c r="AA60" i="36"/>
  <c r="AA59" i="36"/>
  <c r="AA58" i="36"/>
  <c r="AA57" i="36"/>
  <c r="AA56" i="36"/>
  <c r="AA55" i="36"/>
  <c r="AA54" i="36"/>
  <c r="AA53" i="36"/>
  <c r="AA52" i="36"/>
  <c r="AA51" i="36"/>
  <c r="AA50" i="36"/>
  <c r="AA49" i="36"/>
  <c r="AA48" i="36"/>
  <c r="AA47" i="36"/>
  <c r="AA46" i="36"/>
  <c r="AA45" i="36"/>
  <c r="AA44" i="36"/>
  <c r="AA43" i="36"/>
  <c r="AA42" i="36"/>
  <c r="AA41" i="36"/>
  <c r="AA40" i="36"/>
  <c r="AA39" i="36"/>
  <c r="AA38" i="36"/>
  <c r="AA37" i="36"/>
  <c r="AA36" i="36"/>
  <c r="AA35" i="36"/>
  <c r="AA34" i="36"/>
  <c r="AA33" i="36"/>
  <c r="AA32" i="36"/>
  <c r="AA31" i="36"/>
  <c r="AA30" i="36"/>
  <c r="AA29" i="36"/>
  <c r="AA28" i="36"/>
  <c r="AA27" i="36"/>
  <c r="AA26" i="36"/>
  <c r="AA25" i="36"/>
  <c r="AA24" i="36"/>
  <c r="AA23" i="36"/>
  <c r="AA22" i="36"/>
  <c r="AA21" i="36"/>
  <c r="AA20" i="36"/>
  <c r="AA19" i="36"/>
  <c r="AA18" i="36"/>
  <c r="AA17" i="36"/>
  <c r="AA16" i="36"/>
  <c r="AA15" i="36"/>
  <c r="AA14" i="36"/>
  <c r="AA13" i="36"/>
  <c r="AA12" i="36"/>
  <c r="AA11" i="36"/>
  <c r="AA10" i="36"/>
  <c r="K255" i="17" l="1"/>
  <c r="I103" i="17"/>
  <c r="A91" i="24"/>
  <c r="K156" i="17"/>
  <c r="K106" i="17"/>
  <c r="K113" i="17"/>
  <c r="K167" i="17"/>
  <c r="K105" i="17"/>
  <c r="O144" i="17"/>
  <c r="A706" i="24"/>
  <c r="N626" i="24"/>
  <c r="N627" i="24"/>
  <c r="N628" i="24"/>
  <c r="G351" i="24"/>
  <c r="G352" i="24"/>
  <c r="G353" i="24"/>
  <c r="G354" i="24"/>
  <c r="G626" i="24"/>
  <c r="G627" i="24"/>
  <c r="G628" i="24"/>
  <c r="D626" i="24"/>
  <c r="D627" i="24"/>
  <c r="D628" i="24"/>
  <c r="D629" i="24"/>
  <c r="I104" i="17" l="1"/>
  <c r="A92" i="24"/>
  <c r="O155" i="17"/>
  <c r="A707" i="24"/>
  <c r="N67" i="24"/>
  <c r="D67" i="24"/>
  <c r="Q72" i="17"/>
  <c r="I105" i="17" l="1"/>
  <c r="A93" i="24"/>
  <c r="O156" i="17"/>
  <c r="A708" i="24"/>
  <c r="N354" i="24"/>
  <c r="D353" i="24"/>
  <c r="D354" i="24"/>
  <c r="I106" i="17" l="1"/>
  <c r="A94" i="24"/>
  <c r="O163" i="17"/>
  <c r="A709" i="24"/>
  <c r="D352" i="24"/>
  <c r="D351" i="24"/>
  <c r="I107" i="17" l="1"/>
  <c r="A95" i="24"/>
  <c r="O167" i="17"/>
  <c r="A710" i="24"/>
  <c r="O195" i="17" s="1"/>
  <c r="N71" i="24"/>
  <c r="G71" i="24"/>
  <c r="D71" i="24"/>
  <c r="N70" i="24"/>
  <c r="D70" i="24"/>
  <c r="N69" i="24"/>
  <c r="D69" i="24"/>
  <c r="N68" i="24"/>
  <c r="D68" i="24"/>
  <c r="N66" i="24"/>
  <c r="G66" i="24"/>
  <c r="D66" i="24"/>
  <c r="A96" i="24" l="1"/>
  <c r="I108" i="17"/>
  <c r="O168" i="17"/>
  <c r="A711" i="24"/>
  <c r="S76" i="17"/>
  <c r="S75" i="17"/>
  <c r="Q75" i="17"/>
  <c r="S74" i="17"/>
  <c r="S73" i="17"/>
  <c r="S72" i="17"/>
  <c r="S70" i="17"/>
  <c r="Q70" i="17"/>
  <c r="I109" i="17" l="1"/>
  <c r="A97" i="24"/>
  <c r="M176" i="17"/>
  <c r="A712" i="24"/>
  <c r="S69" i="17"/>
  <c r="Q61" i="17"/>
  <c r="Q62" i="17"/>
  <c r="Q63" i="17"/>
  <c r="Q64" i="17"/>
  <c r="Q65" i="17"/>
  <c r="Q66" i="17"/>
  <c r="Q67" i="17"/>
  <c r="Q68" i="17"/>
  <c r="Q69" i="17"/>
  <c r="O62" i="17"/>
  <c r="O63" i="17"/>
  <c r="O64" i="17"/>
  <c r="O65" i="17"/>
  <c r="O66" i="17"/>
  <c r="O67" i="17"/>
  <c r="O68" i="17"/>
  <c r="M62" i="17"/>
  <c r="M63" i="17"/>
  <c r="M64" i="17"/>
  <c r="M65" i="17"/>
  <c r="N65" i="24"/>
  <c r="G65" i="24"/>
  <c r="D65" i="24"/>
  <c r="I110" i="17" l="1"/>
  <c r="A98" i="24"/>
  <c r="M177" i="17"/>
  <c r="A713" i="24"/>
  <c r="N779" i="24"/>
  <c r="N48" i="24"/>
  <c r="N49" i="24"/>
  <c r="N50" i="24"/>
  <c r="N51" i="24"/>
  <c r="N624" i="24"/>
  <c r="N52" i="24"/>
  <c r="N53" i="24"/>
  <c r="N54" i="24"/>
  <c r="N55" i="24"/>
  <c r="N625" i="24"/>
  <c r="N685" i="24"/>
  <c r="N56" i="24"/>
  <c r="N686" i="24"/>
  <c r="N57" i="24"/>
  <c r="N687" i="24"/>
  <c r="N58" i="24"/>
  <c r="N59" i="24"/>
  <c r="N60" i="24"/>
  <c r="N61" i="24"/>
  <c r="N62" i="24"/>
  <c r="N63" i="24"/>
  <c r="N689" i="24"/>
  <c r="N64" i="24"/>
  <c r="N690" i="24"/>
  <c r="D779" i="24"/>
  <c r="D48" i="24"/>
  <c r="D49" i="24"/>
  <c r="D50" i="24"/>
  <c r="D51" i="24"/>
  <c r="D624" i="24"/>
  <c r="D52" i="24"/>
  <c r="D53" i="24"/>
  <c r="D54" i="24"/>
  <c r="D55" i="24"/>
  <c r="D625" i="24"/>
  <c r="D685" i="24"/>
  <c r="D349" i="24"/>
  <c r="D56" i="24"/>
  <c r="D686" i="24"/>
  <c r="D57" i="24"/>
  <c r="D687" i="24"/>
  <c r="D58" i="24"/>
  <c r="D59" i="24"/>
  <c r="D60" i="24"/>
  <c r="D61" i="24"/>
  <c r="D62" i="24"/>
  <c r="D63" i="24"/>
  <c r="D689" i="24"/>
  <c r="D64" i="24"/>
  <c r="D690" i="24"/>
  <c r="G56" i="24"/>
  <c r="G686" i="24"/>
  <c r="G57" i="24"/>
  <c r="G687" i="24"/>
  <c r="G58" i="24"/>
  <c r="G59" i="24"/>
  <c r="G60" i="24"/>
  <c r="G61" i="24"/>
  <c r="G62" i="24"/>
  <c r="G63" i="24"/>
  <c r="G689" i="24"/>
  <c r="G64" i="24"/>
  <c r="G690" i="24"/>
  <c r="O185" i="17" l="1"/>
  <c r="A714" i="24"/>
  <c r="A99" i="24"/>
  <c r="I111" i="17"/>
  <c r="S68" i="17"/>
  <c r="O201" i="17" l="1"/>
  <c r="A715" i="24"/>
  <c r="I112" i="17"/>
  <c r="A100" i="24"/>
  <c r="S67" i="17"/>
  <c r="O204" i="17" l="1"/>
  <c r="A716" i="24"/>
  <c r="I113" i="17"/>
  <c r="A101" i="24"/>
  <c r="S66" i="17"/>
  <c r="O215" i="17" l="1"/>
  <c r="A717" i="24"/>
  <c r="I114" i="17"/>
  <c r="A102" i="24"/>
  <c r="S65" i="17"/>
  <c r="O221" i="17" l="1"/>
  <c r="A718" i="24"/>
  <c r="I115" i="17"/>
  <c r="A103" i="24"/>
  <c r="S64" i="17"/>
  <c r="O222" i="17" l="1"/>
  <c r="A719" i="24"/>
  <c r="A720" i="24" s="1"/>
  <c r="A721" i="24" s="1"/>
  <c r="I116" i="17"/>
  <c r="A104" i="24"/>
  <c r="S63" i="17"/>
  <c r="O227" i="17" l="1"/>
  <c r="A722" i="24"/>
  <c r="O225" i="17"/>
  <c r="O226" i="17"/>
  <c r="I117" i="17"/>
  <c r="A105" i="24"/>
  <c r="S62" i="17"/>
  <c r="O229" i="17" l="1"/>
  <c r="A723" i="24"/>
  <c r="I118" i="17"/>
  <c r="A106" i="24"/>
  <c r="S61" i="17"/>
  <c r="O61" i="17"/>
  <c r="O243" i="17" l="1"/>
  <c r="A724" i="24"/>
  <c r="I119" i="17"/>
  <c r="A107" i="24"/>
  <c r="S60" i="17"/>
  <c r="Q60" i="17"/>
  <c r="O60" i="17"/>
  <c r="O244" i="17" l="1"/>
  <c r="A725" i="24"/>
  <c r="I120" i="17"/>
  <c r="A108" i="24"/>
  <c r="S59" i="17"/>
  <c r="Q59" i="17"/>
  <c r="O59" i="17"/>
  <c r="A726" i="24" l="1"/>
  <c r="O245" i="17"/>
  <c r="A109" i="24"/>
  <c r="I121" i="17"/>
  <c r="S58" i="17"/>
  <c r="Q58" i="17"/>
  <c r="O58" i="17"/>
  <c r="O246" i="17" l="1"/>
  <c r="A727" i="24"/>
  <c r="A110" i="24"/>
  <c r="I122" i="17"/>
  <c r="O57" i="17"/>
  <c r="Q57" i="17"/>
  <c r="S57" i="17"/>
  <c r="K254" i="17" l="1"/>
  <c r="A728" i="24"/>
  <c r="I123" i="17"/>
  <c r="A111" i="24"/>
  <c r="S56" i="17"/>
  <c r="Q56" i="17"/>
  <c r="O56" i="17"/>
  <c r="K256" i="17" l="1"/>
  <c r="A729" i="24"/>
  <c r="I124" i="17"/>
  <c r="A112" i="24"/>
  <c r="S55" i="17"/>
  <c r="Q55" i="17"/>
  <c r="O55" i="17"/>
  <c r="M259" i="17" l="1"/>
  <c r="A730" i="24"/>
  <c r="A113" i="24"/>
  <c r="I125" i="17"/>
  <c r="O54" i="17"/>
  <c r="O53" i="17"/>
  <c r="O52" i="17"/>
  <c r="O51" i="17"/>
  <c r="O50" i="17"/>
  <c r="M50" i="17"/>
  <c r="M266" i="17" l="1"/>
  <c r="A731" i="24"/>
  <c r="A114" i="24"/>
  <c r="I233" i="17" s="1"/>
  <c r="I126" i="17"/>
  <c r="S54" i="17"/>
  <c r="Q54" i="17"/>
  <c r="M269" i="17" l="1"/>
  <c r="A732" i="24"/>
  <c r="A115" i="24"/>
  <c r="I127" i="17"/>
  <c r="Q53" i="17"/>
  <c r="S53" i="17"/>
  <c r="Q52" i="17"/>
  <c r="S52" i="17"/>
  <c r="M273" i="17" l="1"/>
  <c r="A733" i="24"/>
  <c r="I128" i="17"/>
  <c r="A116" i="24"/>
  <c r="S50" i="17"/>
  <c r="Q50" i="17"/>
  <c r="M275" i="17" l="1"/>
  <c r="A734" i="24"/>
  <c r="A117" i="24"/>
  <c r="I129" i="17"/>
  <c r="S51" i="17"/>
  <c r="S49" i="17"/>
  <c r="Q51" i="17"/>
  <c r="Q49" i="17"/>
  <c r="O49" i="17"/>
  <c r="M49" i="17"/>
  <c r="M290" i="17" l="1"/>
  <c r="A735" i="24"/>
  <c r="I130" i="17"/>
  <c r="A118" i="24"/>
  <c r="S48" i="17"/>
  <c r="M296" i="17" l="1"/>
  <c r="A736" i="24"/>
  <c r="I131" i="17"/>
  <c r="A119" i="24"/>
  <c r="G779" i="24"/>
  <c r="M298" i="17" l="1"/>
  <c r="A737" i="24"/>
  <c r="I132" i="17"/>
  <c r="A120" i="24"/>
  <c r="N757" i="24"/>
  <c r="G757" i="24"/>
  <c r="D757" i="24"/>
  <c r="N47" i="24"/>
  <c r="G47" i="24"/>
  <c r="D47" i="24"/>
  <c r="N778" i="24"/>
  <c r="G778" i="24"/>
  <c r="D778" i="24"/>
  <c r="S47" i="17"/>
  <c r="O301" i="17" l="1"/>
  <c r="A738" i="24"/>
  <c r="A121" i="24"/>
  <c r="I133" i="17"/>
  <c r="S46" i="17"/>
  <c r="Q46" i="17"/>
  <c r="S45" i="17"/>
  <c r="Q45" i="17"/>
  <c r="S44" i="17"/>
  <c r="Q44" i="17"/>
  <c r="S43" i="17"/>
  <c r="Q43" i="17"/>
  <c r="S42" i="17"/>
  <c r="Q42" i="17"/>
  <c r="O42" i="17"/>
  <c r="S41" i="17"/>
  <c r="Q41" i="17"/>
  <c r="O41" i="17"/>
  <c r="M41" i="17"/>
  <c r="S40" i="17"/>
  <c r="Q40" i="17"/>
  <c r="S39" i="17"/>
  <c r="Q39" i="17"/>
  <c r="S38" i="17"/>
  <c r="Q38" i="17"/>
  <c r="S37" i="17"/>
  <c r="Q37" i="17"/>
  <c r="S36" i="17"/>
  <c r="Q36" i="17"/>
  <c r="O36" i="17"/>
  <c r="S35" i="17"/>
  <c r="Q35" i="17"/>
  <c r="O35" i="17"/>
  <c r="M35" i="17"/>
  <c r="S34" i="17"/>
  <c r="Q34" i="17"/>
  <c r="S33" i="17"/>
  <c r="Q33" i="17"/>
  <c r="S32" i="17"/>
  <c r="Q32" i="17"/>
  <c r="S31" i="17"/>
  <c r="Q31" i="17"/>
  <c r="S30" i="17"/>
  <c r="Q30" i="17"/>
  <c r="O30" i="17"/>
  <c r="S29" i="17"/>
  <c r="Q29" i="17"/>
  <c r="O29" i="17"/>
  <c r="M29" i="17"/>
  <c r="S28" i="17"/>
  <c r="Q28" i="17"/>
  <c r="S27" i="17"/>
  <c r="Q27" i="17"/>
  <c r="S26" i="17"/>
  <c r="Q26" i="17"/>
  <c r="S25" i="17"/>
  <c r="Q25" i="17"/>
  <c r="S24" i="17"/>
  <c r="Q24" i="17"/>
  <c r="O24" i="17"/>
  <c r="S23" i="17"/>
  <c r="Q23" i="17"/>
  <c r="O23" i="17"/>
  <c r="M23" i="17"/>
  <c r="S22" i="17"/>
  <c r="Q22" i="17"/>
  <c r="S21" i="17"/>
  <c r="Q21" i="17"/>
  <c r="S20" i="17"/>
  <c r="S19" i="17"/>
  <c r="Q19" i="17"/>
  <c r="S18" i="17"/>
  <c r="Q18" i="17"/>
  <c r="O18" i="17"/>
  <c r="S17" i="17"/>
  <c r="Q17" i="17"/>
  <c r="O17" i="17"/>
  <c r="M17" i="17"/>
  <c r="N46" i="24"/>
  <c r="G46" i="24"/>
  <c r="D46" i="24"/>
  <c r="N45" i="24"/>
  <c r="G45" i="24"/>
  <c r="D45" i="24"/>
  <c r="N44" i="24"/>
  <c r="G44" i="24"/>
  <c r="D44" i="24"/>
  <c r="N43" i="24"/>
  <c r="G43" i="24"/>
  <c r="D43" i="24"/>
  <c r="N42" i="24"/>
  <c r="G42" i="24"/>
  <c r="D42" i="24"/>
  <c r="N41" i="24"/>
  <c r="G41" i="24"/>
  <c r="D41" i="24"/>
  <c r="N40" i="24"/>
  <c r="G40" i="24"/>
  <c r="D40" i="24"/>
  <c r="N39" i="24"/>
  <c r="G39" i="24"/>
  <c r="D39" i="24"/>
  <c r="N38" i="24"/>
  <c r="G38" i="24"/>
  <c r="D38" i="24"/>
  <c r="G23" i="24"/>
  <c r="N37" i="24"/>
  <c r="G37" i="24"/>
  <c r="D37" i="24"/>
  <c r="N36" i="24"/>
  <c r="G36" i="24"/>
  <c r="D36" i="24"/>
  <c r="N35" i="24"/>
  <c r="G35" i="24"/>
  <c r="D35" i="24"/>
  <c r="N34" i="24"/>
  <c r="G34" i="24"/>
  <c r="D34" i="24"/>
  <c r="N33" i="24"/>
  <c r="G33" i="24"/>
  <c r="D33" i="24"/>
  <c r="N32" i="24"/>
  <c r="G32" i="24"/>
  <c r="D32" i="24"/>
  <c r="N31" i="24"/>
  <c r="G31" i="24"/>
  <c r="D31" i="24"/>
  <c r="N30" i="24"/>
  <c r="G30" i="24"/>
  <c r="D30" i="24"/>
  <c r="N29" i="24"/>
  <c r="G29" i="24"/>
  <c r="D29" i="24"/>
  <c r="N28" i="24"/>
  <c r="G28" i="24"/>
  <c r="D28" i="24"/>
  <c r="N27" i="24"/>
  <c r="G27" i="24"/>
  <c r="D27" i="24"/>
  <c r="N26" i="24"/>
  <c r="G26" i="24"/>
  <c r="D26" i="24"/>
  <c r="N25" i="24"/>
  <c r="G25" i="24"/>
  <c r="D25" i="24"/>
  <c r="N24" i="24"/>
  <c r="G24" i="24"/>
  <c r="D24" i="24"/>
  <c r="N22" i="24"/>
  <c r="G22" i="24"/>
  <c r="D22" i="24"/>
  <c r="N23" i="24"/>
  <c r="D23" i="24"/>
  <c r="N21" i="24"/>
  <c r="G21" i="24"/>
  <c r="D21" i="24"/>
  <c r="N20" i="24"/>
  <c r="G20" i="24"/>
  <c r="D20" i="24"/>
  <c r="N19" i="24"/>
  <c r="G19" i="24"/>
  <c r="D19" i="24"/>
  <c r="N18" i="24"/>
  <c r="G18" i="24"/>
  <c r="D18" i="24"/>
  <c r="N17" i="24"/>
  <c r="G17" i="24"/>
  <c r="D17" i="24"/>
  <c r="O302" i="17" l="1"/>
  <c r="A739" i="24"/>
  <c r="A122" i="24"/>
  <c r="I134" i="17"/>
  <c r="N16" i="24"/>
  <c r="G16" i="24"/>
  <c r="M10" i="17"/>
  <c r="A740" i="24" l="1"/>
  <c r="O209" i="17"/>
  <c r="I135" i="17"/>
  <c r="A123" i="24"/>
  <c r="S16" i="17"/>
  <c r="S15" i="17"/>
  <c r="Q15" i="17"/>
  <c r="N777" i="24"/>
  <c r="N621" i="24"/>
  <c r="G777" i="24"/>
  <c r="G621" i="24"/>
  <c r="G350" i="24"/>
  <c r="G11" i="24"/>
  <c r="G12" i="24"/>
  <c r="G13" i="24"/>
  <c r="G14" i="24"/>
  <c r="G15" i="24"/>
  <c r="D777" i="24"/>
  <c r="D621" i="24"/>
  <c r="D350" i="24"/>
  <c r="D16" i="24"/>
  <c r="D15" i="24"/>
  <c r="D14" i="24"/>
  <c r="D13" i="24"/>
  <c r="D12" i="24"/>
  <c r="D11" i="24"/>
  <c r="N12" i="24"/>
  <c r="O305" i="17" l="1"/>
  <c r="A741" i="24"/>
  <c r="I136" i="17"/>
  <c r="A124" i="24"/>
  <c r="I283" i="17" s="1"/>
  <c r="K43" i="17"/>
  <c r="K37" i="17"/>
  <c r="K31" i="17"/>
  <c r="K19" i="17"/>
  <c r="K25" i="17"/>
  <c r="N15" i="24"/>
  <c r="N14" i="24"/>
  <c r="N13" i="24"/>
  <c r="N11" i="24"/>
  <c r="N10" i="24"/>
  <c r="G10" i="24"/>
  <c r="D10" i="24"/>
  <c r="S14" i="17"/>
  <c r="S13" i="17"/>
  <c r="S12" i="17"/>
  <c r="S11" i="17"/>
  <c r="S10" i="17"/>
  <c r="Q14" i="17"/>
  <c r="Q13" i="17"/>
  <c r="Q12" i="17"/>
  <c r="Q11" i="17"/>
  <c r="Q10" i="17"/>
  <c r="O11" i="17"/>
  <c r="O10" i="17"/>
  <c r="I12" i="17"/>
  <c r="I11" i="17"/>
  <c r="I10" i="17"/>
  <c r="A11" i="17"/>
  <c r="A12" i="17" s="1"/>
  <c r="A13" i="17" s="1"/>
  <c r="A14" i="17" s="1"/>
  <c r="A15" i="17" s="1"/>
  <c r="A16" i="17" s="1"/>
  <c r="A17" i="17" s="1"/>
  <c r="A18" i="17" s="1"/>
  <c r="A19" i="17" s="1"/>
  <c r="A20" i="17" s="1"/>
  <c r="A21" i="17" s="1"/>
  <c r="A22" i="17" s="1"/>
  <c r="A23" i="17" s="1"/>
  <c r="A24" i="17" s="1"/>
  <c r="A25" i="17" s="1"/>
  <c r="A26" i="17" s="1"/>
  <c r="A27" i="17" s="1"/>
  <c r="A28" i="17" s="1"/>
  <c r="A29" i="17" s="1"/>
  <c r="A30" i="17" s="1"/>
  <c r="A31" i="17" s="1"/>
  <c r="A32" i="17" s="1"/>
  <c r="A33" i="17" s="1"/>
  <c r="A34" i="17" s="1"/>
  <c r="A35" i="17" s="1"/>
  <c r="A36" i="17" s="1"/>
  <c r="A37" i="17" s="1"/>
  <c r="A38" i="17" s="1"/>
  <c r="A39" i="17" s="1"/>
  <c r="A40" i="17" s="1"/>
  <c r="A41" i="17" s="1"/>
  <c r="A42" i="17" s="1"/>
  <c r="A43" i="17" s="1"/>
  <c r="A44" i="17" s="1"/>
  <c r="A45" i="17" s="1"/>
  <c r="A46" i="17" s="1"/>
  <c r="A47" i="17" s="1"/>
  <c r="A48" i="17" s="1"/>
  <c r="A49" i="17" s="1"/>
  <c r="A50" i="17" s="1"/>
  <c r="A51" i="17" s="1"/>
  <c r="A52" i="17" s="1"/>
  <c r="A53" i="17" s="1"/>
  <c r="A54" i="17" s="1"/>
  <c r="A55" i="17" s="1"/>
  <c r="A56" i="17" s="1"/>
  <c r="A57" i="17" s="1"/>
  <c r="A58" i="17" s="1"/>
  <c r="A59" i="17" s="1"/>
  <c r="A60" i="17" s="1"/>
  <c r="A61" i="17" s="1"/>
  <c r="A62" i="17" s="1"/>
  <c r="A63" i="17" s="1"/>
  <c r="A64" i="17" s="1"/>
  <c r="A65" i="17" s="1"/>
  <c r="A66" i="17" s="1"/>
  <c r="A67" i="17" s="1"/>
  <c r="A68" i="17" s="1"/>
  <c r="A69" i="17" s="1"/>
  <c r="A70" i="17" s="1"/>
  <c r="A71" i="17" s="1"/>
  <c r="A72" i="17" s="1"/>
  <c r="A73" i="17" s="1"/>
  <c r="A74" i="17" s="1"/>
  <c r="A75" i="17" s="1"/>
  <c r="A76" i="17" s="1"/>
  <c r="A77" i="17" s="1"/>
  <c r="A78" i="17" s="1"/>
  <c r="A79" i="17" s="1"/>
  <c r="A80" i="17" s="1"/>
  <c r="A81" i="17" s="1"/>
  <c r="A82" i="17" s="1"/>
  <c r="A83" i="17" s="1"/>
  <c r="A84" i="17" s="1"/>
  <c r="A85" i="17" s="1"/>
  <c r="A86" i="17" s="1"/>
  <c r="A87" i="17" s="1"/>
  <c r="A88" i="17" s="1"/>
  <c r="A89" i="17" s="1"/>
  <c r="A90" i="17" s="1"/>
  <c r="A91" i="17" s="1"/>
  <c r="A92" i="17" s="1"/>
  <c r="A93" i="17" s="1"/>
  <c r="A94" i="17" s="1"/>
  <c r="A95" i="17" s="1"/>
  <c r="A96" i="17" s="1"/>
  <c r="A97" i="17" s="1"/>
  <c r="A98" i="17" s="1"/>
  <c r="A99" i="17" s="1"/>
  <c r="A100" i="17" s="1"/>
  <c r="A101" i="17" s="1"/>
  <c r="A102" i="17" s="1"/>
  <c r="A103" i="17" s="1"/>
  <c r="A104" i="17" s="1"/>
  <c r="A105" i="17" s="1"/>
  <c r="A106" i="17" s="1"/>
  <c r="A107" i="17" s="1"/>
  <c r="A108" i="17" s="1"/>
  <c r="A109" i="17" s="1"/>
  <c r="A110" i="17" s="1"/>
  <c r="A111" i="17" s="1"/>
  <c r="A112" i="17" s="1"/>
  <c r="A113" i="17" s="1"/>
  <c r="A114" i="17" s="1"/>
  <c r="A115" i="17" s="1"/>
  <c r="A116" i="17" s="1"/>
  <c r="A117" i="17" s="1"/>
  <c r="A118" i="17" s="1"/>
  <c r="A119" i="17" s="1"/>
  <c r="A120" i="17" s="1"/>
  <c r="A121" i="17" s="1"/>
  <c r="A122" i="17" s="1"/>
  <c r="A123" i="17" s="1"/>
  <c r="A124" i="17" s="1"/>
  <c r="A125" i="17" s="1"/>
  <c r="A126" i="17" s="1"/>
  <c r="A127" i="17" s="1"/>
  <c r="A128" i="17" s="1"/>
  <c r="A129" i="17" s="1"/>
  <c r="A130" i="17" s="1"/>
  <c r="A131" i="17" s="1"/>
  <c r="A132" i="17" s="1"/>
  <c r="A133" i="17" s="1"/>
  <c r="A134" i="17" s="1"/>
  <c r="A135" i="17" s="1"/>
  <c r="A136" i="17" s="1"/>
  <c r="A137" i="17" s="1"/>
  <c r="A138" i="17" s="1"/>
  <c r="A139" i="17" s="1"/>
  <c r="A140" i="17" s="1"/>
  <c r="A141" i="17" s="1"/>
  <c r="A142" i="17" s="1"/>
  <c r="A143" i="17" s="1"/>
  <c r="A144" i="17" s="1"/>
  <c r="A145" i="17" s="1"/>
  <c r="A146" i="17" s="1"/>
  <c r="A147" i="17" s="1"/>
  <c r="A148" i="17" s="1"/>
  <c r="A149" i="17" s="1"/>
  <c r="A150" i="17" s="1"/>
  <c r="A151" i="17" s="1"/>
  <c r="A152" i="17" s="1"/>
  <c r="A153" i="17" s="1"/>
  <c r="A154" i="17" s="1"/>
  <c r="A155" i="17" s="1"/>
  <c r="A156" i="17" s="1"/>
  <c r="A157" i="17" s="1"/>
  <c r="A158" i="17" s="1"/>
  <c r="A159" i="17" s="1"/>
  <c r="A160" i="17" s="1"/>
  <c r="A161" i="17" s="1"/>
  <c r="A162" i="17" s="1"/>
  <c r="A163" i="17" s="1"/>
  <c r="A164" i="17" s="1"/>
  <c r="A165" i="17" s="1"/>
  <c r="A166" i="17" s="1"/>
  <c r="A167" i="17" s="1"/>
  <c r="A168" i="17" s="1"/>
  <c r="A169" i="17" s="1"/>
  <c r="A170" i="17" s="1"/>
  <c r="A171" i="17" s="1"/>
  <c r="A172" i="17" s="1"/>
  <c r="A173" i="17" s="1"/>
  <c r="A174" i="17" s="1"/>
  <c r="A175" i="17" s="1"/>
  <c r="A176" i="17" s="1"/>
  <c r="A177" i="17" s="1"/>
  <c r="A178" i="17" s="1"/>
  <c r="A179" i="17" s="1"/>
  <c r="A180" i="17" s="1"/>
  <c r="A181" i="17" s="1"/>
  <c r="A182" i="17" s="1"/>
  <c r="A183" i="17" s="1"/>
  <c r="A184" i="17" s="1"/>
  <c r="A185" i="17" s="1"/>
  <c r="A186" i="17" s="1"/>
  <c r="A187" i="17" s="1"/>
  <c r="A188" i="17" s="1"/>
  <c r="A189" i="17" s="1"/>
  <c r="A190" i="17" s="1"/>
  <c r="A191" i="17" s="1"/>
  <c r="A192" i="17" s="1"/>
  <c r="A193" i="17" s="1"/>
  <c r="A194" i="17" s="1"/>
  <c r="A195" i="17" s="1"/>
  <c r="A196" i="17" s="1"/>
  <c r="A197" i="17" s="1"/>
  <c r="A198" i="17" s="1"/>
  <c r="A199" i="17" s="1"/>
  <c r="A200" i="17" s="1"/>
  <c r="A201" i="17" s="1"/>
  <c r="A202" i="17" s="1"/>
  <c r="A203" i="17" s="1"/>
  <c r="A204" i="17" s="1"/>
  <c r="A205" i="17" s="1"/>
  <c r="A206" i="17" s="1"/>
  <c r="A207" i="17" s="1"/>
  <c r="A208" i="17" s="1"/>
  <c r="A209" i="17" s="1"/>
  <c r="A210" i="17" s="1"/>
  <c r="A211" i="17" s="1"/>
  <c r="A212" i="17" s="1"/>
  <c r="A213" i="17" s="1"/>
  <c r="A214" i="17" s="1"/>
  <c r="A215" i="17" s="1"/>
  <c r="A216" i="17" s="1"/>
  <c r="A217" i="17" s="1"/>
  <c r="A218" i="17" s="1"/>
  <c r="A219" i="17" s="1"/>
  <c r="A220" i="17" s="1"/>
  <c r="A221" i="17" s="1"/>
  <c r="A222" i="17" s="1"/>
  <c r="A223" i="17" s="1"/>
  <c r="A224" i="17" s="1"/>
  <c r="A225" i="17" s="1"/>
  <c r="A226" i="17" s="1"/>
  <c r="A227" i="17" s="1"/>
  <c r="A228" i="17" s="1"/>
  <c r="A229" i="17" s="1"/>
  <c r="A230" i="17" s="1"/>
  <c r="A231" i="17" s="1"/>
  <c r="A232" i="17" s="1"/>
  <c r="A233" i="17" s="1"/>
  <c r="A234" i="17" s="1"/>
  <c r="A235" i="17" s="1"/>
  <c r="A236" i="17" s="1"/>
  <c r="A237" i="17" s="1"/>
  <c r="A238" i="17" s="1"/>
  <c r="A239" i="17" s="1"/>
  <c r="A240" i="17" s="1"/>
  <c r="A241" i="17" s="1"/>
  <c r="A242" i="17" s="1"/>
  <c r="A243" i="17" s="1"/>
  <c r="A244" i="17" s="1"/>
  <c r="A245" i="17" s="1"/>
  <c r="A246" i="17" s="1"/>
  <c r="A247" i="17" s="1"/>
  <c r="A248" i="17" s="1"/>
  <c r="A249" i="17" s="1"/>
  <c r="A250" i="17" s="1"/>
  <c r="A251" i="17" s="1"/>
  <c r="A252" i="17" s="1"/>
  <c r="A253" i="17" s="1"/>
  <c r="A254" i="17" s="1"/>
  <c r="A255" i="17" s="1"/>
  <c r="A256" i="17" s="1"/>
  <c r="A257" i="17" s="1"/>
  <c r="A258" i="17" s="1"/>
  <c r="A259" i="17" l="1"/>
  <c r="A260" i="17" s="1"/>
  <c r="A261" i="17" s="1"/>
  <c r="A262" i="17" s="1"/>
  <c r="A263" i="17" s="1"/>
  <c r="A264" i="17" s="1"/>
  <c r="A265" i="17" s="1"/>
  <c r="A266" i="17" s="1"/>
  <c r="A267" i="17" s="1"/>
  <c r="A268" i="17" s="1"/>
  <c r="A269" i="17" s="1"/>
  <c r="A270" i="17" s="1"/>
  <c r="A271" i="17" s="1"/>
  <c r="A272" i="17" s="1"/>
  <c r="A273" i="17" s="1"/>
  <c r="A274" i="17" s="1"/>
  <c r="A275" i="17" s="1"/>
  <c r="A276" i="17" s="1"/>
  <c r="A277" i="17" s="1"/>
  <c r="A278" i="17" s="1"/>
  <c r="A279" i="17" s="1"/>
  <c r="A280" i="17" s="1"/>
  <c r="A281" i="17" s="1"/>
  <c r="A282" i="17" s="1"/>
  <c r="A283" i="17" s="1"/>
  <c r="A284" i="17" s="1"/>
  <c r="A285" i="17" s="1"/>
  <c r="A286" i="17" s="1"/>
  <c r="A287" i="17" s="1"/>
  <c r="A288" i="17" s="1"/>
  <c r="A289" i="17" s="1"/>
  <c r="A290" i="17" s="1"/>
  <c r="A291" i="17" s="1"/>
  <c r="A292" i="17" s="1"/>
  <c r="A293" i="17" s="1"/>
  <c r="A294" i="17" s="1"/>
  <c r="A295" i="17" s="1"/>
  <c r="A296" i="17" s="1"/>
  <c r="A297" i="17" s="1"/>
  <c r="A298" i="17" s="1"/>
  <c r="A299" i="17" s="1"/>
  <c r="A300" i="17" s="1"/>
  <c r="A301" i="17" s="1"/>
  <c r="A302" i="17" s="1"/>
  <c r="A303" i="17" s="1"/>
  <c r="A304" i="17" s="1"/>
  <c r="A305" i="17" s="1"/>
  <c r="A306" i="17" s="1"/>
  <c r="A307" i="17" s="1"/>
  <c r="A308" i="17" s="1"/>
  <c r="A309" i="17" s="1"/>
  <c r="A310" i="17" s="1"/>
  <c r="A311" i="17" s="1"/>
  <c r="A312" i="17" s="1"/>
  <c r="A313" i="17" s="1"/>
  <c r="A314" i="17" s="1"/>
  <c r="A315" i="17" s="1"/>
  <c r="A316" i="17" s="1"/>
  <c r="A317" i="17" s="1"/>
  <c r="A318" i="17" s="1"/>
  <c r="A319" i="17" s="1"/>
  <c r="A320" i="17" s="1"/>
  <c r="A321" i="17" s="1"/>
  <c r="A322" i="17" s="1"/>
  <c r="A323" i="17" s="1"/>
  <c r="A324" i="17" s="1"/>
  <c r="A325" i="17" s="1"/>
  <c r="A326" i="17" s="1"/>
  <c r="A327" i="17" s="1"/>
  <c r="A328" i="17" s="1"/>
  <c r="A329" i="17" s="1"/>
  <c r="A330" i="17" s="1"/>
  <c r="A331" i="17" s="1"/>
  <c r="A332" i="17" s="1"/>
  <c r="A333" i="17" s="1"/>
  <c r="A334" i="17" s="1"/>
  <c r="A335" i="17" s="1"/>
  <c r="A336" i="17" s="1"/>
  <c r="A337" i="17" s="1"/>
  <c r="A338" i="17" s="1"/>
  <c r="A339" i="17" s="1"/>
  <c r="A340" i="17" s="1"/>
  <c r="A341" i="17" s="1"/>
  <c r="A342" i="17" s="1"/>
  <c r="A343" i="17" s="1"/>
  <c r="A344" i="17" s="1"/>
  <c r="A345" i="17" s="1"/>
  <c r="A346" i="17" s="1"/>
  <c r="A347" i="17" s="1"/>
  <c r="A348" i="17" s="1"/>
  <c r="A349" i="17" s="1"/>
  <c r="A350" i="17" s="1"/>
  <c r="A351" i="17" s="1"/>
  <c r="A352" i="17" s="1"/>
  <c r="A353" i="17" s="1"/>
  <c r="A354" i="17" s="1"/>
  <c r="A355" i="17" s="1"/>
  <c r="A356" i="17" s="1"/>
  <c r="A357" i="17" s="1"/>
  <c r="A358" i="17" s="1"/>
  <c r="A359" i="17" s="1"/>
  <c r="A360" i="17" s="1"/>
  <c r="A361" i="17" s="1"/>
  <c r="A362" i="17" s="1"/>
  <c r="A363" i="17" s="1"/>
  <c r="A364" i="17" s="1"/>
  <c r="A365" i="17" s="1"/>
  <c r="A366" i="17" s="1"/>
  <c r="A367" i="17" s="1"/>
  <c r="A368" i="17" s="1"/>
  <c r="A369" i="17" s="1"/>
  <c r="A370" i="17" s="1"/>
  <c r="A371" i="17" s="1"/>
  <c r="A372" i="17" s="1"/>
  <c r="A373" i="17" s="1"/>
  <c r="A374" i="17" s="1"/>
  <c r="A375" i="17" s="1"/>
  <c r="A376" i="17" s="1"/>
  <c r="A377" i="17" s="1"/>
  <c r="A378" i="17" s="1"/>
  <c r="A379" i="17" s="1"/>
  <c r="O311" i="17"/>
  <c r="A742" i="24"/>
  <c r="I137" i="17"/>
  <c r="A125" i="24"/>
  <c r="I15" i="17"/>
  <c r="I14" i="17"/>
  <c r="I13" i="17"/>
  <c r="O312" i="17" l="1"/>
  <c r="A743" i="24"/>
  <c r="I138" i="17"/>
  <c r="A126" i="24"/>
  <c r="M97" i="17"/>
  <c r="M98" i="17"/>
  <c r="M94" i="17"/>
  <c r="M96" i="17"/>
  <c r="M95" i="17"/>
  <c r="O92" i="17"/>
  <c r="M93" i="17"/>
  <c r="Q76" i="17"/>
  <c r="Q80" i="17"/>
  <c r="Q86" i="17"/>
  <c r="Q82" i="17"/>
  <c r="Q88" i="17"/>
  <c r="Q84" i="17"/>
  <c r="Q90" i="17"/>
  <c r="Q81" i="17"/>
  <c r="Q87" i="17"/>
  <c r="Q79" i="17"/>
  <c r="Q85" i="17"/>
  <c r="Q91" i="17"/>
  <c r="Q78" i="17"/>
  <c r="Q77" i="17"/>
  <c r="Q83" i="17"/>
  <c r="Q89" i="17"/>
  <c r="M73" i="17"/>
  <c r="O71" i="17"/>
  <c r="O70" i="17"/>
  <c r="M52" i="17"/>
  <c r="M58" i="17"/>
  <c r="M53" i="17"/>
  <c r="M55" i="17"/>
  <c r="M54" i="17"/>
  <c r="M56" i="17"/>
  <c r="M57" i="17"/>
  <c r="M69" i="17"/>
  <c r="M51" i="17"/>
  <c r="O48" i="17"/>
  <c r="O47" i="17"/>
  <c r="M40" i="17"/>
  <c r="M34" i="17"/>
  <c r="M27" i="17"/>
  <c r="M20" i="17"/>
  <c r="M46" i="17"/>
  <c r="M39" i="17"/>
  <c r="M26" i="17"/>
  <c r="M45" i="17"/>
  <c r="M38" i="17"/>
  <c r="M32" i="17"/>
  <c r="O19" i="17"/>
  <c r="M44" i="17"/>
  <c r="O31" i="17"/>
  <c r="O25" i="17"/>
  <c r="K24" i="17"/>
  <c r="M33" i="17"/>
  <c r="O37" i="17"/>
  <c r="K18" i="17"/>
  <c r="K30" i="17"/>
  <c r="M22" i="17"/>
  <c r="K42" i="17"/>
  <c r="K36" i="17"/>
  <c r="M21" i="17"/>
  <c r="O43" i="17"/>
  <c r="M28" i="17"/>
  <c r="I16" i="17"/>
  <c r="A744" i="24" l="1"/>
  <c r="O313" i="17"/>
  <c r="I139" i="17"/>
  <c r="A127" i="24"/>
  <c r="K97" i="17"/>
  <c r="K98" i="17"/>
  <c r="K94" i="17"/>
  <c r="K96" i="17"/>
  <c r="K95" i="17"/>
  <c r="K92" i="17"/>
  <c r="K93" i="17"/>
  <c r="K80" i="17"/>
  <c r="K86" i="17"/>
  <c r="K81" i="17"/>
  <c r="K87" i="17"/>
  <c r="K82" i="17"/>
  <c r="K88" i="17"/>
  <c r="K83" i="17"/>
  <c r="K78" i="17"/>
  <c r="K90" i="17"/>
  <c r="K79" i="17"/>
  <c r="K91" i="17"/>
  <c r="K89" i="17"/>
  <c r="K85" i="17"/>
  <c r="K77" i="17"/>
  <c r="K84" i="17"/>
  <c r="K74" i="17"/>
  <c r="K73" i="17"/>
  <c r="K72" i="17"/>
  <c r="K76" i="17"/>
  <c r="K75" i="17"/>
  <c r="K51" i="17"/>
  <c r="K57" i="17"/>
  <c r="K63" i="17"/>
  <c r="K69" i="17"/>
  <c r="K52" i="17"/>
  <c r="K58" i="17"/>
  <c r="K64" i="17"/>
  <c r="K53" i="17"/>
  <c r="K59" i="17"/>
  <c r="K65" i="17"/>
  <c r="K60" i="17"/>
  <c r="K66" i="17"/>
  <c r="K55" i="17"/>
  <c r="K61" i="17"/>
  <c r="K67" i="17"/>
  <c r="K54" i="17"/>
  <c r="K56" i="17"/>
  <c r="K62" i="17"/>
  <c r="K68" i="17"/>
  <c r="K50" i="17"/>
  <c r="K49" i="17"/>
  <c r="M42" i="17"/>
  <c r="M36" i="17"/>
  <c r="O28" i="17"/>
  <c r="O21" i="17"/>
  <c r="O45" i="17"/>
  <c r="O34" i="17"/>
  <c r="O20" i="17"/>
  <c r="O39" i="17"/>
  <c r="K17" i="17"/>
  <c r="M24" i="17"/>
  <c r="O26" i="17"/>
  <c r="O38" i="17"/>
  <c r="O32" i="17"/>
  <c r="K29" i="17"/>
  <c r="M18" i="17"/>
  <c r="K35" i="17"/>
  <c r="K41" i="17"/>
  <c r="M30" i="17"/>
  <c r="O22" i="17"/>
  <c r="O46" i="17"/>
  <c r="O40" i="17"/>
  <c r="O27" i="17"/>
  <c r="O44" i="17"/>
  <c r="O33" i="17"/>
  <c r="K23" i="17"/>
  <c r="K12" i="17"/>
  <c r="K16" i="17"/>
  <c r="K10" i="17"/>
  <c r="O314" i="17" l="1"/>
  <c r="A745" i="24"/>
  <c r="I140" i="17"/>
  <c r="A128" i="24"/>
  <c r="I50" i="17"/>
  <c r="I49" i="17"/>
  <c r="I17" i="17"/>
  <c r="O322" i="17" l="1"/>
  <c r="A746" i="24"/>
  <c r="I141" i="17"/>
  <c r="A129" i="24"/>
  <c r="I18" i="17"/>
  <c r="O16" i="17"/>
  <c r="M15" i="17"/>
  <c r="M14" i="17"/>
  <c r="K11" i="17"/>
  <c r="M13" i="17"/>
  <c r="O12" i="17"/>
  <c r="O329" i="17" l="1"/>
  <c r="A747" i="24"/>
  <c r="I142" i="17"/>
  <c r="A130" i="24"/>
  <c r="I19" i="17"/>
  <c r="I81" i="17"/>
  <c r="O15" i="17"/>
  <c r="Q16" i="17"/>
  <c r="O14" i="17"/>
  <c r="O13" i="17"/>
  <c r="M11" i="17"/>
  <c r="O349" i="17" l="1"/>
  <c r="A748" i="24"/>
  <c r="I143" i="17"/>
  <c r="A131" i="24"/>
  <c r="I20" i="17"/>
  <c r="I82" i="17"/>
  <c r="O367" i="17" l="1"/>
  <c r="A749" i="24"/>
  <c r="I144" i="17"/>
  <c r="A132" i="24"/>
  <c r="I21" i="17"/>
  <c r="O368" i="17" l="1"/>
  <c r="A750" i="24"/>
  <c r="I145" i="17"/>
  <c r="A133" i="24"/>
  <c r="I22" i="17"/>
  <c r="I83" i="17"/>
  <c r="O369" i="17" l="1"/>
  <c r="A751" i="24"/>
  <c r="I146" i="17"/>
  <c r="A134" i="24"/>
  <c r="I51" i="17"/>
  <c r="I84" i="17"/>
  <c r="I23" i="17"/>
  <c r="A752" i="24" l="1"/>
  <c r="M373" i="17"/>
  <c r="I147" i="17"/>
  <c r="A135" i="24"/>
  <c r="I24" i="17"/>
  <c r="M374" i="17" l="1"/>
  <c r="A753" i="24"/>
  <c r="I148" i="17"/>
  <c r="A136" i="24"/>
  <c r="I25" i="17"/>
  <c r="M378" i="17" l="1"/>
  <c r="A754" i="24"/>
  <c r="M379" i="17" s="1"/>
  <c r="I149" i="17"/>
  <c r="A137" i="24"/>
  <c r="I26" i="17"/>
  <c r="I150" i="17" l="1"/>
  <c r="A138" i="24"/>
  <c r="I27" i="17"/>
  <c r="I151" i="17" l="1"/>
  <c r="A139" i="24"/>
  <c r="I28" i="17"/>
  <c r="I152" i="17" l="1"/>
  <c r="A140" i="24"/>
  <c r="I29" i="17"/>
  <c r="I153" i="17" l="1"/>
  <c r="A141" i="24"/>
  <c r="I30" i="17"/>
  <c r="I154" i="17" l="1"/>
  <c r="A142" i="24"/>
  <c r="I31" i="17"/>
  <c r="I155" i="17" l="1"/>
  <c r="A143" i="24"/>
  <c r="I32" i="17"/>
  <c r="I156" i="17" l="1"/>
  <c r="A144" i="24"/>
  <c r="I33" i="17"/>
  <c r="I157" i="17" l="1"/>
  <c r="A145" i="24"/>
  <c r="I34" i="17"/>
  <c r="I158" i="17" l="1"/>
  <c r="A146" i="24"/>
  <c r="I35" i="17"/>
  <c r="I159" i="17" l="1"/>
  <c r="A147" i="24"/>
  <c r="I36" i="17"/>
  <c r="I160" i="17" l="1"/>
  <c r="A148" i="24"/>
  <c r="I37" i="17"/>
  <c r="I161" i="17" l="1"/>
  <c r="A149" i="24"/>
  <c r="I38" i="17"/>
  <c r="A150" i="24" l="1"/>
  <c r="I162" i="17"/>
  <c r="I39" i="17"/>
  <c r="I163" i="17" l="1"/>
  <c r="A151" i="24"/>
  <c r="I236" i="17" s="1"/>
  <c r="I40" i="17"/>
  <c r="I164" i="17" l="1"/>
  <c r="A152" i="24"/>
  <c r="I41" i="17"/>
  <c r="I165" i="17" l="1"/>
  <c r="A153" i="24"/>
  <c r="I42" i="17"/>
  <c r="I166" i="17" l="1"/>
  <c r="A154" i="24"/>
  <c r="I43" i="17"/>
  <c r="I167" i="17" l="1"/>
  <c r="A155" i="24"/>
  <c r="I44" i="17"/>
  <c r="I168" i="17" l="1"/>
  <c r="A156" i="24"/>
  <c r="I45" i="17"/>
  <c r="I169" i="17" l="1"/>
  <c r="A157" i="24"/>
  <c r="I46" i="17"/>
  <c r="I170" i="17" l="1"/>
  <c r="A158" i="24"/>
  <c r="I85" i="17"/>
  <c r="I86" i="17"/>
  <c r="I48" i="17"/>
  <c r="K70" i="17"/>
  <c r="I47" i="17"/>
  <c r="I171" i="17" l="1"/>
  <c r="A159" i="24"/>
  <c r="Q94" i="17"/>
  <c r="K47" i="17"/>
  <c r="I172" i="17" l="1"/>
  <c r="A160" i="24"/>
  <c r="M71" i="17"/>
  <c r="M70" i="17"/>
  <c r="M47" i="17"/>
  <c r="M48" i="17"/>
  <c r="I173" i="17" l="1"/>
  <c r="A161" i="24"/>
  <c r="K48" i="17"/>
  <c r="K71" i="17"/>
  <c r="A162" i="24" l="1"/>
  <c r="I174" i="17"/>
  <c r="I52" i="17"/>
  <c r="I175" i="17" l="1"/>
  <c r="A163" i="24"/>
  <c r="I53" i="17"/>
  <c r="A164" i="24" l="1"/>
  <c r="I176" i="17"/>
  <c r="I54" i="17"/>
  <c r="I177" i="17" l="1"/>
  <c r="A165" i="24"/>
  <c r="I55" i="17"/>
  <c r="K22" i="17"/>
  <c r="M25" i="17"/>
  <c r="K28" i="17"/>
  <c r="K27" i="17"/>
  <c r="M31" i="17"/>
  <c r="K21" i="17"/>
  <c r="K32" i="17"/>
  <c r="K20" i="17"/>
  <c r="K34" i="17"/>
  <c r="K33" i="17"/>
  <c r="K26" i="17"/>
  <c r="M19" i="17"/>
  <c r="I178" i="17" l="1"/>
  <c r="A166" i="24"/>
  <c r="I87" i="17"/>
  <c r="I88" i="17"/>
  <c r="I56" i="17"/>
  <c r="K46" i="17"/>
  <c r="K44" i="17"/>
  <c r="K38" i="17"/>
  <c r="M43" i="17"/>
  <c r="M37" i="17"/>
  <c r="K45" i="17"/>
  <c r="K40" i="17"/>
  <c r="K39" i="17"/>
  <c r="Q48" i="17"/>
  <c r="I179" i="17" l="1"/>
  <c r="A167" i="24"/>
  <c r="I77" i="17"/>
  <c r="I78" i="17"/>
  <c r="I57" i="17"/>
  <c r="M16" i="17"/>
  <c r="K13" i="17"/>
  <c r="K14" i="17"/>
  <c r="M12" i="17"/>
  <c r="K15" i="17"/>
  <c r="I180" i="17" l="1"/>
  <c r="A168" i="24"/>
  <c r="I79" i="17"/>
  <c r="I80" i="17"/>
  <c r="I58" i="17"/>
  <c r="Q47" i="17"/>
  <c r="A169" i="24" l="1"/>
  <c r="I181" i="17"/>
  <c r="I59" i="17"/>
  <c r="Q20" i="17"/>
  <c r="I182" i="17" l="1"/>
  <c r="A170" i="24"/>
  <c r="O69" i="17"/>
  <c r="I183" i="17" l="1"/>
  <c r="A171" i="24"/>
  <c r="M75" i="17"/>
  <c r="M74" i="17"/>
  <c r="M59" i="17"/>
  <c r="I184" i="17" l="1"/>
  <c r="A172" i="24"/>
  <c r="I60" i="17"/>
  <c r="I185" i="17" l="1"/>
  <c r="A173" i="24"/>
  <c r="M60" i="17"/>
  <c r="I186" i="17" l="1"/>
  <c r="A174" i="24"/>
  <c r="I61" i="17"/>
  <c r="A175" i="24" l="1"/>
  <c r="I187" i="17"/>
  <c r="M61" i="17"/>
  <c r="A176" i="24" l="1"/>
  <c r="I188" i="17"/>
  <c r="I62" i="17"/>
  <c r="A177" i="24" l="1"/>
  <c r="I189" i="17"/>
  <c r="I63" i="17"/>
  <c r="A178" i="24" l="1"/>
  <c r="I190" i="17"/>
  <c r="I91" i="17"/>
  <c r="I90" i="17"/>
  <c r="I89" i="17"/>
  <c r="I64" i="17"/>
  <c r="A179" i="24" l="1"/>
  <c r="I191" i="17"/>
  <c r="I65" i="17"/>
  <c r="A180" i="24" l="1"/>
  <c r="I192" i="17"/>
  <c r="I66" i="17"/>
  <c r="A181" i="24" l="1"/>
  <c r="I193" i="17"/>
  <c r="M66" i="17"/>
  <c r="A182" i="24" l="1"/>
  <c r="I194" i="17"/>
  <c r="I67" i="17"/>
  <c r="A183" i="24" l="1"/>
  <c r="I195" i="17"/>
  <c r="M67" i="17"/>
  <c r="I196" i="17" l="1"/>
  <c r="A184" i="24"/>
  <c r="I68" i="17"/>
  <c r="I197" i="17" l="1"/>
  <c r="A185" i="24"/>
  <c r="O77" i="17"/>
  <c r="M68" i="17"/>
  <c r="I198" i="17" l="1"/>
  <c r="A186" i="24"/>
  <c r="O73" i="17"/>
  <c r="I199" i="17" l="1"/>
  <c r="A187" i="24"/>
  <c r="O78" i="17"/>
  <c r="I70" i="17"/>
  <c r="I200" i="17" l="1"/>
  <c r="A188" i="24"/>
  <c r="O81" i="17"/>
  <c r="O80" i="17"/>
  <c r="M72" i="17"/>
  <c r="O79" i="17"/>
  <c r="O75" i="17"/>
  <c r="O74" i="17"/>
  <c r="I201" i="17" l="1"/>
  <c r="A189" i="24"/>
  <c r="O82" i="17"/>
  <c r="I202" i="17" l="1"/>
  <c r="A190" i="24"/>
  <c r="O83" i="17"/>
  <c r="I203" i="17" l="1"/>
  <c r="A191" i="24"/>
  <c r="O84" i="17"/>
  <c r="M76" i="17"/>
  <c r="I204" i="17" l="1"/>
  <c r="A192" i="24"/>
  <c r="O86" i="17"/>
  <c r="I205" i="17" l="1"/>
  <c r="A193" i="24"/>
  <c r="O87" i="17"/>
  <c r="I206" i="17" l="1"/>
  <c r="A194" i="24"/>
  <c r="O88" i="17"/>
  <c r="I207" i="17" l="1"/>
  <c r="A195" i="24"/>
  <c r="O85" i="17"/>
  <c r="I208" i="17" l="1"/>
  <c r="A196" i="24"/>
  <c r="O89" i="17"/>
  <c r="I209" i="17" l="1"/>
  <c r="A197" i="24"/>
  <c r="O90" i="17"/>
  <c r="Q71" i="17"/>
  <c r="I210" i="17" l="1"/>
  <c r="A198" i="24"/>
  <c r="O91" i="17"/>
  <c r="A199" i="24" l="1"/>
  <c r="I211" i="17"/>
  <c r="I69" i="17"/>
  <c r="I212" i="17" l="1"/>
  <c r="A200" i="24"/>
  <c r="I71" i="17"/>
  <c r="I213" i="17" l="1"/>
  <c r="A201" i="24"/>
  <c r="I356" i="17" s="1"/>
  <c r="I72" i="17"/>
  <c r="I214" i="17" l="1"/>
  <c r="A202" i="24"/>
  <c r="I73" i="17"/>
  <c r="I215" i="17" l="1"/>
  <c r="A203" i="24"/>
  <c r="I74" i="17"/>
  <c r="I216" i="17" l="1"/>
  <c r="A204" i="24"/>
  <c r="I235" i="17" s="1"/>
  <c r="I75" i="17"/>
  <c r="I217" i="17" l="1"/>
  <c r="A205" i="24"/>
  <c r="I76" i="17"/>
  <c r="I218" i="17" l="1"/>
  <c r="A206" i="24"/>
  <c r="S71" i="17"/>
  <c r="I219" i="17" l="1"/>
  <c r="A207" i="24"/>
  <c r="O76" i="17"/>
  <c r="I220" i="17" l="1"/>
  <c r="A208" i="24"/>
  <c r="M80" i="17"/>
  <c r="M82" i="17"/>
  <c r="M88" i="17"/>
  <c r="O72" i="17"/>
  <c r="M86" i="17"/>
  <c r="M90" i="17"/>
  <c r="M84" i="17"/>
  <c r="M78" i="17"/>
  <c r="I221" i="17" l="1"/>
  <c r="A209" i="24"/>
  <c r="M89" i="17"/>
  <c r="Q73" i="17"/>
  <c r="Q74" i="17"/>
  <c r="M83" i="17"/>
  <c r="M85" i="17"/>
  <c r="M81" i="17"/>
  <c r="M87" i="17"/>
  <c r="M91" i="17"/>
  <c r="M77" i="17"/>
  <c r="M79" i="17"/>
  <c r="I222" i="17" l="1"/>
  <c r="A210" i="24"/>
  <c r="Q92" i="17"/>
  <c r="O96" i="17"/>
  <c r="S77" i="17"/>
  <c r="S89" i="17"/>
  <c r="S85" i="17"/>
  <c r="S81" i="17"/>
  <c r="I223" i="17" l="1"/>
  <c r="A211" i="24"/>
  <c r="O93" i="17"/>
  <c r="O98" i="17"/>
  <c r="O94" i="17"/>
  <c r="S78" i="17"/>
  <c r="S90" i="17"/>
  <c r="S82" i="17"/>
  <c r="S86" i="17"/>
  <c r="I224" i="17" l="1"/>
  <c r="A212" i="24"/>
  <c r="S83" i="17"/>
  <c r="S91" i="17"/>
  <c r="S79" i="17"/>
  <c r="S87" i="17"/>
  <c r="I225" i="17" l="1"/>
  <c r="A213" i="24"/>
  <c r="O95" i="17"/>
  <c r="O97" i="17"/>
  <c r="S88" i="17"/>
  <c r="S84" i="17"/>
  <c r="S80" i="17"/>
  <c r="I226" i="17" l="1"/>
  <c r="A214" i="24"/>
  <c r="I227" i="17" l="1"/>
  <c r="A215" i="24"/>
  <c r="I228" i="17" l="1"/>
  <c r="A216" i="24"/>
  <c r="I229" i="17" l="1"/>
  <c r="A217" i="24"/>
  <c r="I231" i="17" l="1"/>
  <c r="A218" i="24"/>
  <c r="I232" i="17" l="1"/>
  <c r="A219" i="24"/>
  <c r="I237" i="17" l="1"/>
  <c r="A220" i="24"/>
  <c r="I238" i="17" l="1"/>
  <c r="A221" i="24"/>
  <c r="I239" i="17" l="1"/>
  <c r="A222" i="24"/>
  <c r="I240" i="17" l="1"/>
  <c r="A223" i="24"/>
  <c r="I241" i="17" l="1"/>
  <c r="A224" i="24"/>
  <c r="I242" i="17" l="1"/>
  <c r="A225" i="24"/>
  <c r="I243" i="17" l="1"/>
  <c r="A226" i="24"/>
  <c r="I244" i="17" l="1"/>
  <c r="A227" i="24"/>
  <c r="A228" i="24" l="1"/>
  <c r="I245" i="17"/>
  <c r="A229" i="24" l="1"/>
  <c r="I246" i="17"/>
  <c r="A230" i="24" l="1"/>
  <c r="I247" i="17"/>
  <c r="I248" i="17" l="1"/>
  <c r="A231" i="24"/>
  <c r="A232" i="24" l="1"/>
  <c r="I249" i="17"/>
  <c r="I250" i="17" l="1"/>
  <c r="A233" i="24"/>
  <c r="A234" i="24" s="1"/>
  <c r="A235" i="24" s="1"/>
  <c r="I253" i="17" l="1"/>
  <c r="A236" i="24"/>
  <c r="I251" i="17"/>
  <c r="I252" i="17"/>
  <c r="I254" i="17" l="1"/>
  <c r="A237" i="24"/>
  <c r="I255" i="17" l="1"/>
  <c r="A238" i="24"/>
  <c r="I256" i="17" l="1"/>
  <c r="A239" i="24"/>
  <c r="I257" i="17" l="1"/>
  <c r="A240" i="24"/>
  <c r="I258" i="17" l="1"/>
  <c r="A241" i="24"/>
  <c r="I259" i="17" l="1"/>
  <c r="A242" i="24"/>
  <c r="I260" i="17" l="1"/>
  <c r="A243" i="24"/>
  <c r="A244" i="24" l="1"/>
  <c r="I261" i="17"/>
  <c r="I262" i="17" l="1"/>
  <c r="A245" i="24"/>
  <c r="I263" i="17" l="1"/>
  <c r="A246" i="24"/>
  <c r="I264" i="17" l="1"/>
  <c r="A247" i="24"/>
  <c r="I265" i="17" l="1"/>
  <c r="A248" i="24"/>
  <c r="I266" i="17" l="1"/>
  <c r="A249" i="24"/>
  <c r="A250" i="24" l="1"/>
  <c r="I267" i="17"/>
  <c r="I268" i="17" l="1"/>
  <c r="A251" i="24"/>
  <c r="I269" i="17" l="1"/>
  <c r="A252" i="24"/>
  <c r="I270" i="17" l="1"/>
  <c r="A253" i="24"/>
  <c r="A254" i="24" s="1"/>
  <c r="I273" i="17" l="1"/>
  <c r="A255" i="24"/>
  <c r="I271" i="17"/>
  <c r="I272" i="17"/>
  <c r="I274" i="17" l="1"/>
  <c r="A256" i="24"/>
  <c r="I275" i="17" l="1"/>
  <c r="A257" i="24"/>
  <c r="I276" i="17" l="1"/>
  <c r="A258" i="24"/>
  <c r="I277" i="17" l="1"/>
  <c r="A259" i="24"/>
  <c r="I278" i="17" l="1"/>
  <c r="A260" i="24"/>
  <c r="I279" i="17" l="1"/>
  <c r="A261" i="24"/>
  <c r="I281" i="17" l="1"/>
  <c r="A262" i="24"/>
  <c r="I282" i="17" l="1"/>
  <c r="A263" i="24"/>
  <c r="A264" i="24" l="1"/>
  <c r="I284" i="17"/>
  <c r="A265" i="24" l="1"/>
  <c r="I285" i="17"/>
  <c r="I286" i="17" l="1"/>
  <c r="A266" i="24"/>
  <c r="I287" i="17" l="1"/>
  <c r="A267" i="24"/>
  <c r="A268" i="24" l="1"/>
  <c r="I288" i="17"/>
  <c r="I289" i="17" l="1"/>
  <c r="A269" i="24"/>
  <c r="I290" i="17" l="1"/>
  <c r="A270" i="24"/>
  <c r="I295" i="17" l="1"/>
  <c r="A271" i="24"/>
  <c r="A272" i="24" l="1"/>
  <c r="I296" i="17"/>
  <c r="I297" i="17" l="1"/>
  <c r="A273" i="24"/>
  <c r="I298" i="17" l="1"/>
  <c r="A274" i="24"/>
  <c r="I299" i="17" l="1"/>
  <c r="A275" i="24"/>
  <c r="I300" i="17" l="1"/>
  <c r="A276" i="24"/>
  <c r="I301" i="17" l="1"/>
  <c r="A277" i="24"/>
  <c r="I302" i="17" l="1"/>
  <c r="A278" i="24"/>
  <c r="I303" i="17" l="1"/>
  <c r="A279" i="24"/>
  <c r="I304" i="17" l="1"/>
  <c r="A280" i="24"/>
  <c r="I305" i="17" l="1"/>
  <c r="A281" i="24"/>
  <c r="I306" i="17" l="1"/>
  <c r="A282" i="24"/>
  <c r="I307" i="17" l="1"/>
  <c r="A283" i="24"/>
  <c r="I308" i="17" l="1"/>
  <c r="A284" i="24"/>
  <c r="I310" i="17" l="1"/>
  <c r="A285" i="24"/>
  <c r="I311" i="17" l="1"/>
  <c r="A286" i="24"/>
  <c r="I312" i="17" l="1"/>
  <c r="A287" i="24"/>
  <c r="A288" i="24" l="1"/>
  <c r="I313" i="17"/>
  <c r="I314" i="17" l="1"/>
  <c r="A289" i="24"/>
  <c r="A290" i="24" l="1"/>
  <c r="I315" i="17"/>
  <c r="A291" i="24" l="1"/>
  <c r="I316" i="17"/>
  <c r="A292" i="24" l="1"/>
  <c r="I317" i="17"/>
  <c r="A293" i="24" l="1"/>
  <c r="I318" i="17"/>
  <c r="A294" i="24" l="1"/>
  <c r="I319" i="17"/>
  <c r="I320" i="17" l="1"/>
  <c r="A295" i="24"/>
  <c r="I321" i="17" l="1"/>
  <c r="A296" i="24"/>
  <c r="A297" i="24" s="1"/>
  <c r="A298" i="24" s="1"/>
  <c r="A299" i="24" l="1"/>
  <c r="I324" i="17"/>
  <c r="I322" i="17"/>
  <c r="I323" i="17"/>
  <c r="A300" i="24" l="1"/>
  <c r="I325" i="17"/>
  <c r="I326" i="17" l="1"/>
  <c r="A301" i="24"/>
  <c r="I327" i="17" l="1"/>
  <c r="A302" i="24"/>
  <c r="I328" i="17" l="1"/>
  <c r="A303" i="24"/>
  <c r="I329" i="17" l="1"/>
  <c r="A304" i="24"/>
  <c r="A305" i="24" l="1"/>
  <c r="I330" i="17"/>
  <c r="A306" i="24" l="1"/>
  <c r="I331" i="17"/>
  <c r="I332" i="17" l="1"/>
  <c r="A307" i="24"/>
  <c r="I333" i="17" l="1"/>
  <c r="A308" i="24"/>
  <c r="I334" i="17" l="1"/>
  <c r="A309" i="24"/>
  <c r="A310" i="24" l="1"/>
  <c r="I335" i="17"/>
  <c r="I336" i="17" l="1"/>
  <c r="A311" i="24"/>
  <c r="A312" i="24" l="1"/>
  <c r="I337" i="17"/>
  <c r="I340" i="17"/>
  <c r="A313" i="24" l="1"/>
  <c r="A314" i="24" s="1"/>
  <c r="I338" i="17"/>
  <c r="I341" i="17"/>
  <c r="I343" i="17" l="1"/>
  <c r="A315" i="24"/>
  <c r="I339" i="17"/>
  <c r="I342" i="17"/>
  <c r="I344" i="17" l="1"/>
  <c r="A316" i="24"/>
  <c r="A317" i="24" l="1"/>
  <c r="I345" i="17"/>
  <c r="I346" i="17" l="1"/>
  <c r="A318" i="24"/>
  <c r="I347" i="17" l="1"/>
  <c r="A319" i="24"/>
  <c r="I348" i="17" l="1"/>
  <c r="A320" i="24"/>
  <c r="I349" i="17" l="1"/>
  <c r="A321" i="24"/>
  <c r="I350" i="17" l="1"/>
  <c r="A322" i="24"/>
  <c r="I351" i="17" l="1"/>
  <c r="A323" i="24"/>
  <c r="I352" i="17" l="1"/>
  <c r="A324" i="24"/>
  <c r="I353" i="17" l="1"/>
  <c r="A325" i="24"/>
  <c r="I354" i="17" l="1"/>
  <c r="A326" i="24"/>
  <c r="I355" i="17" l="1"/>
  <c r="A327" i="24"/>
  <c r="I357" i="17" l="1"/>
  <c r="A328" i="24"/>
  <c r="I358" i="17" l="1"/>
  <c r="A329" i="24"/>
  <c r="A330" i="24" l="1"/>
  <c r="I359" i="17"/>
  <c r="I362" i="17"/>
  <c r="A331" i="24" l="1"/>
  <c r="A332" i="24" s="1"/>
  <c r="I360" i="17"/>
  <c r="I363" i="17"/>
  <c r="I365" i="17" l="1"/>
  <c r="A333" i="24"/>
  <c r="I361" i="17"/>
  <c r="I364" i="17"/>
  <c r="I366" i="17" l="1"/>
  <c r="A334" i="24"/>
  <c r="I367" i="17" l="1"/>
  <c r="A335" i="24"/>
  <c r="A336" i="24" l="1"/>
  <c r="I368" i="17"/>
  <c r="I369" i="17" l="1"/>
  <c r="A337" i="24"/>
  <c r="A338" i="24" l="1"/>
  <c r="I370" i="17"/>
  <c r="I371" i="17" l="1"/>
  <c r="A339" i="24"/>
  <c r="I372" i="17" l="1"/>
  <c r="A340" i="24"/>
  <c r="A341" i="24" l="1"/>
  <c r="I373" i="17"/>
  <c r="I374" i="17" l="1"/>
  <c r="A342" i="24"/>
  <c r="I375" i="17" l="1"/>
  <c r="A343" i="24"/>
  <c r="I376" i="17" l="1"/>
  <c r="A344" i="24"/>
  <c r="I377" i="17" l="1"/>
  <c r="A345" i="24"/>
  <c r="A346" i="24" l="1"/>
  <c r="I378" i="17"/>
  <c r="I379" i="17" l="1"/>
  <c r="A347" i="24"/>
  <c r="A348" i="24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Windows 사용자</author>
    <author>Coft7</author>
  </authors>
  <commentList>
    <comment ref="E1" authorId="0" shapeId="0" xr:uid="{00000000-0006-0000-0000-000001000000}">
      <text>
        <r>
          <rPr>
            <b/>
            <sz val="12"/>
            <color indexed="81"/>
            <rFont val="돋움"/>
            <family val="3"/>
            <charset val="129"/>
          </rPr>
          <t>메시의</t>
        </r>
        <r>
          <rPr>
            <b/>
            <sz val="12"/>
            <color indexed="81"/>
            <rFont val="Tahoma"/>
            <family val="2"/>
          </rPr>
          <t xml:space="preserve"> </t>
        </r>
        <r>
          <rPr>
            <b/>
            <sz val="12"/>
            <color indexed="81"/>
            <rFont val="돋움"/>
            <family val="3"/>
            <charset val="129"/>
          </rPr>
          <t>밀도
부력에</t>
        </r>
        <r>
          <rPr>
            <b/>
            <sz val="12"/>
            <color indexed="81"/>
            <rFont val="Tahoma"/>
            <family val="2"/>
          </rPr>
          <t xml:space="preserve"> </t>
        </r>
        <r>
          <rPr>
            <b/>
            <sz val="12"/>
            <color indexed="81"/>
            <rFont val="돋움"/>
            <family val="3"/>
            <charset val="129"/>
          </rPr>
          <t>관련</t>
        </r>
        <r>
          <rPr>
            <b/>
            <sz val="12"/>
            <color indexed="81"/>
            <rFont val="Tahoma"/>
            <family val="2"/>
          </rPr>
          <t xml:space="preserve"> </t>
        </r>
        <r>
          <rPr>
            <b/>
            <sz val="12"/>
            <color indexed="81"/>
            <rFont val="돋움"/>
            <family val="3"/>
            <charset val="129"/>
          </rPr>
          <t>된</t>
        </r>
        <r>
          <rPr>
            <b/>
            <sz val="12"/>
            <color indexed="81"/>
            <rFont val="Tahoma"/>
            <family val="2"/>
          </rPr>
          <t xml:space="preserve"> </t>
        </r>
        <r>
          <rPr>
            <b/>
            <sz val="12"/>
            <color indexed="81"/>
            <rFont val="돋움"/>
            <family val="3"/>
            <charset val="129"/>
          </rPr>
          <t>값</t>
        </r>
        <r>
          <rPr>
            <b/>
            <sz val="12"/>
            <color indexed="81"/>
            <rFont val="Tahoma"/>
            <family val="2"/>
          </rPr>
          <t xml:space="preserve">.
</t>
        </r>
        <r>
          <rPr>
            <b/>
            <sz val="12"/>
            <color indexed="81"/>
            <rFont val="돋움"/>
            <family val="3"/>
            <charset val="129"/>
          </rPr>
          <t>값이</t>
        </r>
        <r>
          <rPr>
            <b/>
            <sz val="12"/>
            <color indexed="81"/>
            <rFont val="Tahoma"/>
            <family val="2"/>
          </rPr>
          <t xml:space="preserve"> </t>
        </r>
        <r>
          <rPr>
            <b/>
            <sz val="12"/>
            <color indexed="81"/>
            <rFont val="돋움"/>
            <family val="3"/>
            <charset val="129"/>
          </rPr>
          <t>작을</t>
        </r>
        <r>
          <rPr>
            <b/>
            <sz val="12"/>
            <color indexed="81"/>
            <rFont val="Tahoma"/>
            <family val="2"/>
          </rPr>
          <t xml:space="preserve"> </t>
        </r>
        <r>
          <rPr>
            <b/>
            <sz val="12"/>
            <color indexed="81"/>
            <rFont val="돋움"/>
            <family val="3"/>
            <charset val="129"/>
          </rPr>
          <t>수록</t>
        </r>
        <r>
          <rPr>
            <b/>
            <sz val="12"/>
            <color indexed="81"/>
            <rFont val="Tahoma"/>
            <family val="2"/>
          </rPr>
          <t xml:space="preserve"> </t>
        </r>
        <r>
          <rPr>
            <b/>
            <sz val="12"/>
            <color indexed="81"/>
            <rFont val="돋움"/>
            <family val="3"/>
            <charset val="129"/>
          </rPr>
          <t>물에</t>
        </r>
        <r>
          <rPr>
            <b/>
            <sz val="12"/>
            <color indexed="81"/>
            <rFont val="Tahoma"/>
            <family val="2"/>
          </rPr>
          <t xml:space="preserve"> </t>
        </r>
        <r>
          <rPr>
            <b/>
            <sz val="12"/>
            <color indexed="81"/>
            <rFont val="돋움"/>
            <family val="3"/>
            <charset val="129"/>
          </rPr>
          <t>잘</t>
        </r>
        <r>
          <rPr>
            <b/>
            <sz val="12"/>
            <color indexed="81"/>
            <rFont val="Tahoma"/>
            <family val="2"/>
          </rPr>
          <t xml:space="preserve"> </t>
        </r>
        <r>
          <rPr>
            <b/>
            <sz val="12"/>
            <color indexed="81"/>
            <rFont val="돋움"/>
            <family val="3"/>
            <charset val="129"/>
          </rPr>
          <t>뜬다</t>
        </r>
        <r>
          <rPr>
            <b/>
            <sz val="12"/>
            <color indexed="81"/>
            <rFont val="Tahoma"/>
            <family val="2"/>
          </rPr>
          <t xml:space="preserve">.
</t>
        </r>
      </text>
    </comment>
    <comment ref="F1" authorId="0" shapeId="0" xr:uid="{00000000-0006-0000-0000-000002000000}">
      <text>
        <r>
          <rPr>
            <b/>
            <sz val="12"/>
            <color indexed="81"/>
            <rFont val="돋움"/>
            <family val="3"/>
            <charset val="129"/>
          </rPr>
          <t>부력</t>
        </r>
        <r>
          <rPr>
            <b/>
            <sz val="12"/>
            <color indexed="81"/>
            <rFont val="Tahoma"/>
            <family val="2"/>
          </rPr>
          <t xml:space="preserve"> </t>
        </r>
        <r>
          <rPr>
            <b/>
            <sz val="12"/>
            <color indexed="81"/>
            <rFont val="돋움"/>
            <family val="3"/>
            <charset val="129"/>
          </rPr>
          <t>테스트</t>
        </r>
        <r>
          <rPr>
            <b/>
            <sz val="12"/>
            <color indexed="81"/>
            <rFont val="Tahoma"/>
            <family val="2"/>
          </rPr>
          <t xml:space="preserve"> </t>
        </r>
        <r>
          <rPr>
            <b/>
            <sz val="12"/>
            <color indexed="81"/>
            <rFont val="돋움"/>
            <family val="3"/>
            <charset val="129"/>
          </rPr>
          <t>포인트</t>
        </r>
        <r>
          <rPr>
            <b/>
            <sz val="12"/>
            <color indexed="81"/>
            <rFont val="Tahoma"/>
            <family val="2"/>
          </rPr>
          <t xml:space="preserve"> </t>
        </r>
        <r>
          <rPr>
            <b/>
            <sz val="12"/>
            <color indexed="81"/>
            <rFont val="돋움"/>
            <family val="3"/>
            <charset val="129"/>
          </rPr>
          <t>반경
이</t>
        </r>
        <r>
          <rPr>
            <b/>
            <sz val="12"/>
            <color indexed="81"/>
            <rFont val="Tahoma"/>
            <family val="2"/>
          </rPr>
          <t xml:space="preserve"> </t>
        </r>
        <r>
          <rPr>
            <b/>
            <sz val="12"/>
            <color indexed="81"/>
            <rFont val="돋움"/>
            <family val="3"/>
            <charset val="129"/>
          </rPr>
          <t>값이</t>
        </r>
        <r>
          <rPr>
            <b/>
            <sz val="12"/>
            <color indexed="81"/>
            <rFont val="Tahoma"/>
            <family val="2"/>
          </rPr>
          <t xml:space="preserve"> </t>
        </r>
        <r>
          <rPr>
            <b/>
            <sz val="12"/>
            <color indexed="81"/>
            <rFont val="돋움"/>
            <family val="3"/>
            <charset val="129"/>
          </rPr>
          <t>작을</t>
        </r>
        <r>
          <rPr>
            <b/>
            <sz val="12"/>
            <color indexed="81"/>
            <rFont val="Tahoma"/>
            <family val="2"/>
          </rPr>
          <t xml:space="preserve"> </t>
        </r>
        <r>
          <rPr>
            <b/>
            <sz val="12"/>
            <color indexed="81"/>
            <rFont val="돋움"/>
            <family val="3"/>
            <charset val="129"/>
          </rPr>
          <t>수록</t>
        </r>
        <r>
          <rPr>
            <b/>
            <sz val="12"/>
            <color indexed="81"/>
            <rFont val="Tahoma"/>
            <family val="2"/>
          </rPr>
          <t xml:space="preserve"> </t>
        </r>
        <r>
          <rPr>
            <b/>
            <sz val="12"/>
            <color indexed="81"/>
            <rFont val="돋움"/>
            <family val="3"/>
            <charset val="129"/>
          </rPr>
          <t>부력이</t>
        </r>
        <r>
          <rPr>
            <b/>
            <sz val="12"/>
            <color indexed="81"/>
            <rFont val="Tahoma"/>
            <family val="2"/>
          </rPr>
          <t xml:space="preserve"> </t>
        </r>
        <r>
          <rPr>
            <b/>
            <sz val="12"/>
            <color indexed="81"/>
            <rFont val="돋움"/>
            <family val="3"/>
            <charset val="129"/>
          </rPr>
          <t>파도의</t>
        </r>
        <r>
          <rPr>
            <b/>
            <sz val="12"/>
            <color indexed="81"/>
            <rFont val="Tahoma"/>
            <family val="2"/>
          </rPr>
          <t xml:space="preserve"> </t>
        </r>
        <r>
          <rPr>
            <b/>
            <sz val="12"/>
            <color indexed="81"/>
            <rFont val="돋움"/>
            <family val="3"/>
            <charset val="129"/>
          </rPr>
          <t>높낮이에</t>
        </r>
        <r>
          <rPr>
            <b/>
            <sz val="12"/>
            <color indexed="81"/>
            <rFont val="Tahoma"/>
            <family val="2"/>
          </rPr>
          <t xml:space="preserve"> </t>
        </r>
        <r>
          <rPr>
            <b/>
            <sz val="12"/>
            <color indexed="81"/>
            <rFont val="돋움"/>
            <family val="3"/>
            <charset val="129"/>
          </rPr>
          <t>더</t>
        </r>
        <r>
          <rPr>
            <b/>
            <sz val="12"/>
            <color indexed="81"/>
            <rFont val="Tahoma"/>
            <family val="2"/>
          </rPr>
          <t xml:space="preserve"> </t>
        </r>
        <r>
          <rPr>
            <b/>
            <sz val="12"/>
            <color indexed="81"/>
            <rFont val="돋움"/>
            <family val="3"/>
            <charset val="129"/>
          </rPr>
          <t>빠르게</t>
        </r>
        <r>
          <rPr>
            <b/>
            <sz val="12"/>
            <color indexed="81"/>
            <rFont val="Tahoma"/>
            <family val="2"/>
          </rPr>
          <t xml:space="preserve"> </t>
        </r>
        <r>
          <rPr>
            <b/>
            <sz val="12"/>
            <color indexed="81"/>
            <rFont val="돋움"/>
            <family val="3"/>
            <charset val="129"/>
          </rPr>
          <t>반응</t>
        </r>
        <r>
          <rPr>
            <b/>
            <sz val="12"/>
            <color indexed="81"/>
            <rFont val="Tahoma"/>
            <family val="2"/>
          </rPr>
          <t xml:space="preserve"> </t>
        </r>
        <r>
          <rPr>
            <b/>
            <sz val="12"/>
            <color indexed="81"/>
            <rFont val="돋움"/>
            <family val="3"/>
            <charset val="129"/>
          </rPr>
          <t>하여</t>
        </r>
        <r>
          <rPr>
            <b/>
            <sz val="12"/>
            <color indexed="81"/>
            <rFont val="Tahoma"/>
            <family val="2"/>
          </rPr>
          <t xml:space="preserve"> </t>
        </r>
        <r>
          <rPr>
            <b/>
            <sz val="12"/>
            <color indexed="81"/>
            <rFont val="돋움"/>
            <family val="3"/>
            <charset val="129"/>
          </rPr>
          <t>물체를</t>
        </r>
        <r>
          <rPr>
            <b/>
            <sz val="12"/>
            <color indexed="81"/>
            <rFont val="Tahoma"/>
            <family val="2"/>
          </rPr>
          <t xml:space="preserve"> </t>
        </r>
        <r>
          <rPr>
            <b/>
            <sz val="12"/>
            <color indexed="81"/>
            <rFont val="돋움"/>
            <family val="3"/>
            <charset val="129"/>
          </rPr>
          <t>가볍게</t>
        </r>
        <r>
          <rPr>
            <b/>
            <sz val="12"/>
            <color indexed="81"/>
            <rFont val="Tahoma"/>
            <family val="2"/>
          </rPr>
          <t xml:space="preserve"> </t>
        </r>
        <r>
          <rPr>
            <b/>
            <sz val="12"/>
            <color indexed="81"/>
            <rFont val="돋움"/>
            <family val="3"/>
            <charset val="129"/>
          </rPr>
          <t>보이게</t>
        </r>
        <r>
          <rPr>
            <b/>
            <sz val="12"/>
            <color indexed="81"/>
            <rFont val="Tahoma"/>
            <family val="2"/>
          </rPr>
          <t xml:space="preserve"> </t>
        </r>
        <r>
          <rPr>
            <b/>
            <sz val="12"/>
            <color indexed="81"/>
            <rFont val="돋움"/>
            <family val="3"/>
            <charset val="129"/>
          </rPr>
          <t>한다</t>
        </r>
        <r>
          <rPr>
            <b/>
            <sz val="12"/>
            <color indexed="81"/>
            <rFont val="Tahoma"/>
            <family val="2"/>
          </rPr>
          <t>.</t>
        </r>
      </text>
    </comment>
    <comment ref="G1" authorId="0" shapeId="0" xr:uid="{00000000-0006-0000-0000-000003000000}">
      <text>
        <r>
          <rPr>
            <b/>
            <sz val="12"/>
            <color indexed="81"/>
            <rFont val="돋움"/>
            <family val="3"/>
            <charset val="129"/>
          </rPr>
          <t>부력</t>
        </r>
        <r>
          <rPr>
            <b/>
            <sz val="12"/>
            <color indexed="81"/>
            <rFont val="Tahoma"/>
            <family val="2"/>
          </rPr>
          <t xml:space="preserve"> </t>
        </r>
        <r>
          <rPr>
            <b/>
            <sz val="12"/>
            <color indexed="81"/>
            <rFont val="돋움"/>
            <family val="3"/>
            <charset val="129"/>
          </rPr>
          <t>테스트</t>
        </r>
        <r>
          <rPr>
            <b/>
            <sz val="12"/>
            <color indexed="81"/>
            <rFont val="Tahoma"/>
            <family val="2"/>
          </rPr>
          <t xml:space="preserve"> </t>
        </r>
        <r>
          <rPr>
            <b/>
            <sz val="12"/>
            <color indexed="81"/>
            <rFont val="돋움"/>
            <family val="3"/>
            <charset val="129"/>
          </rPr>
          <t>포인트의</t>
        </r>
        <r>
          <rPr>
            <b/>
            <sz val="12"/>
            <color indexed="81"/>
            <rFont val="Tahoma"/>
            <family val="2"/>
          </rPr>
          <t xml:space="preserve"> Z </t>
        </r>
        <r>
          <rPr>
            <b/>
            <sz val="12"/>
            <color indexed="81"/>
            <rFont val="돋움"/>
            <family val="3"/>
            <charset val="129"/>
          </rPr>
          <t>오프셋</t>
        </r>
        <r>
          <rPr>
            <b/>
            <sz val="12"/>
            <color indexed="81"/>
            <rFont val="Tahoma"/>
            <family val="2"/>
          </rPr>
          <t xml:space="preserve">. </t>
        </r>
        <r>
          <rPr>
            <b/>
            <sz val="12"/>
            <color indexed="81"/>
            <rFont val="돋움"/>
            <family val="3"/>
            <charset val="129"/>
          </rPr>
          <t>마이너스</t>
        </r>
        <r>
          <rPr>
            <b/>
            <sz val="12"/>
            <color indexed="81"/>
            <rFont val="Tahoma"/>
            <family val="2"/>
          </rPr>
          <t xml:space="preserve">(-) </t>
        </r>
        <r>
          <rPr>
            <b/>
            <sz val="12"/>
            <color indexed="81"/>
            <rFont val="돋움"/>
            <family val="3"/>
            <charset val="129"/>
          </rPr>
          <t>면</t>
        </r>
        <r>
          <rPr>
            <b/>
            <sz val="12"/>
            <color indexed="81"/>
            <rFont val="Tahoma"/>
            <family val="2"/>
          </rPr>
          <t xml:space="preserve"> </t>
        </r>
        <r>
          <rPr>
            <b/>
            <sz val="12"/>
            <color indexed="81"/>
            <rFont val="돋움"/>
            <family val="3"/>
            <charset val="129"/>
          </rPr>
          <t>포인트가</t>
        </r>
        <r>
          <rPr>
            <b/>
            <sz val="12"/>
            <color indexed="81"/>
            <rFont val="Tahoma"/>
            <family val="2"/>
          </rPr>
          <t xml:space="preserve"> </t>
        </r>
        <r>
          <rPr>
            <b/>
            <sz val="12"/>
            <color indexed="81"/>
            <rFont val="돋움"/>
            <family val="3"/>
            <charset val="129"/>
          </rPr>
          <t>내려가며</t>
        </r>
        <r>
          <rPr>
            <b/>
            <sz val="12"/>
            <color indexed="81"/>
            <rFont val="Tahoma"/>
            <family val="2"/>
          </rPr>
          <t xml:space="preserve"> </t>
        </r>
        <r>
          <rPr>
            <b/>
            <sz val="12"/>
            <color indexed="81"/>
            <rFont val="돋움"/>
            <family val="3"/>
            <charset val="129"/>
          </rPr>
          <t>플러스면</t>
        </r>
        <r>
          <rPr>
            <b/>
            <sz val="12"/>
            <color indexed="81"/>
            <rFont val="Tahoma"/>
            <family val="2"/>
          </rPr>
          <t xml:space="preserve">(+) </t>
        </r>
        <r>
          <rPr>
            <b/>
            <sz val="12"/>
            <color indexed="81"/>
            <rFont val="돋움"/>
            <family val="3"/>
            <charset val="129"/>
          </rPr>
          <t>올라간다</t>
        </r>
        <r>
          <rPr>
            <b/>
            <sz val="12"/>
            <color indexed="81"/>
            <rFont val="Tahoma"/>
            <family val="2"/>
          </rPr>
          <t xml:space="preserve">. </t>
        </r>
        <r>
          <rPr>
            <b/>
            <sz val="12"/>
            <color indexed="81"/>
            <rFont val="돋움"/>
            <family val="3"/>
            <charset val="129"/>
          </rPr>
          <t>즉</t>
        </r>
        <r>
          <rPr>
            <b/>
            <sz val="12"/>
            <color indexed="81"/>
            <rFont val="Tahoma"/>
            <family val="2"/>
          </rPr>
          <t xml:space="preserve">, </t>
        </r>
        <r>
          <rPr>
            <b/>
            <sz val="12"/>
            <color indexed="81"/>
            <rFont val="돋움"/>
            <family val="3"/>
            <charset val="129"/>
          </rPr>
          <t>마이너스면</t>
        </r>
        <r>
          <rPr>
            <b/>
            <sz val="12"/>
            <color indexed="81"/>
            <rFont val="Tahoma"/>
            <family val="2"/>
          </rPr>
          <t xml:space="preserve"> </t>
        </r>
        <r>
          <rPr>
            <b/>
            <sz val="12"/>
            <color indexed="81"/>
            <rFont val="돋움"/>
            <family val="3"/>
            <charset val="129"/>
          </rPr>
          <t>배가</t>
        </r>
        <r>
          <rPr>
            <b/>
            <sz val="12"/>
            <color indexed="81"/>
            <rFont val="Tahoma"/>
            <family val="2"/>
          </rPr>
          <t xml:space="preserve"> </t>
        </r>
        <r>
          <rPr>
            <b/>
            <sz val="12"/>
            <color indexed="81"/>
            <rFont val="돋움"/>
            <family val="3"/>
            <charset val="129"/>
          </rPr>
          <t>수면위로</t>
        </r>
        <r>
          <rPr>
            <b/>
            <sz val="12"/>
            <color indexed="81"/>
            <rFont val="Tahoma"/>
            <family val="2"/>
          </rPr>
          <t xml:space="preserve"> </t>
        </r>
        <r>
          <rPr>
            <b/>
            <sz val="12"/>
            <color indexed="81"/>
            <rFont val="돋움"/>
            <family val="3"/>
            <charset val="129"/>
          </rPr>
          <t>떠</t>
        </r>
        <r>
          <rPr>
            <b/>
            <sz val="12"/>
            <color indexed="81"/>
            <rFont val="Tahoma"/>
            <family val="2"/>
          </rPr>
          <t xml:space="preserve"> </t>
        </r>
        <r>
          <rPr>
            <b/>
            <sz val="12"/>
            <color indexed="81"/>
            <rFont val="돋움"/>
            <family val="3"/>
            <charset val="129"/>
          </rPr>
          <t>뜨고</t>
        </r>
        <r>
          <rPr>
            <b/>
            <sz val="12"/>
            <color indexed="81"/>
            <rFont val="Tahoma"/>
            <family val="2"/>
          </rPr>
          <t xml:space="preserve"> </t>
        </r>
        <r>
          <rPr>
            <b/>
            <sz val="12"/>
            <color indexed="81"/>
            <rFont val="돋움"/>
            <family val="3"/>
            <charset val="129"/>
          </rPr>
          <t>반대면</t>
        </r>
        <r>
          <rPr>
            <b/>
            <sz val="12"/>
            <color indexed="81"/>
            <rFont val="Tahoma"/>
            <family val="2"/>
          </rPr>
          <t xml:space="preserve"> </t>
        </r>
        <r>
          <rPr>
            <b/>
            <sz val="12"/>
            <color indexed="81"/>
            <rFont val="돋움"/>
            <family val="3"/>
            <charset val="129"/>
          </rPr>
          <t>가라앉을</t>
        </r>
        <r>
          <rPr>
            <b/>
            <sz val="12"/>
            <color indexed="81"/>
            <rFont val="Tahoma"/>
            <family val="2"/>
          </rPr>
          <t xml:space="preserve"> </t>
        </r>
        <r>
          <rPr>
            <b/>
            <sz val="12"/>
            <color indexed="81"/>
            <rFont val="돋움"/>
            <family val="3"/>
            <charset val="129"/>
          </rPr>
          <t>것이다</t>
        </r>
        <r>
          <rPr>
            <b/>
            <sz val="12"/>
            <color indexed="81"/>
            <rFont val="Tahoma"/>
            <family val="2"/>
          </rPr>
          <t xml:space="preserve">.
</t>
        </r>
        <r>
          <rPr>
            <b/>
            <sz val="12"/>
            <color indexed="81"/>
            <rFont val="돋움"/>
            <family val="3"/>
            <charset val="129"/>
          </rPr>
          <t>항해</t>
        </r>
        <r>
          <rPr>
            <b/>
            <sz val="12"/>
            <color indexed="81"/>
            <rFont val="Tahoma"/>
            <family val="2"/>
          </rPr>
          <t xml:space="preserve"> </t>
        </r>
        <r>
          <rPr>
            <b/>
            <sz val="12"/>
            <color indexed="81"/>
            <rFont val="돋움"/>
            <family val="3"/>
            <charset val="129"/>
          </rPr>
          <t>전용</t>
        </r>
        <r>
          <rPr>
            <b/>
            <sz val="12"/>
            <color indexed="81"/>
            <rFont val="Tahoma"/>
            <family val="2"/>
          </rPr>
          <t xml:space="preserve">.
</t>
        </r>
      </text>
    </comment>
    <comment ref="H1" authorId="0" shapeId="0" xr:uid="{00000000-0006-0000-0000-000004000000}">
      <text>
        <r>
          <rPr>
            <b/>
            <sz val="12"/>
            <color indexed="81"/>
            <rFont val="돋움"/>
            <family val="3"/>
            <charset val="129"/>
          </rPr>
          <t>부력 테스트 포인트의 Z 오프셋. 마이너스(-) 면 포인트가 내려가며 플러스면(+) 올라간다. 즉, 마이너스면 배가 수면위로 떠 뜨고 반대면 가라앉을 것이다.
선박 정보 보기 전용.</t>
        </r>
      </text>
    </comment>
    <comment ref="AU1" authorId="1" shapeId="0" xr:uid="{00000000-0006-0000-0000-000005000000}">
      <text>
        <r>
          <rPr>
            <b/>
            <sz val="9"/>
            <color indexed="81"/>
            <rFont val="Tahoma"/>
            <family val="2"/>
          </rPr>
          <t>Coft7:</t>
        </r>
        <r>
          <rPr>
            <sz val="9"/>
            <color indexed="81"/>
            <rFont val="Tahoma"/>
            <family val="2"/>
          </rPr>
          <t xml:space="preserve">
type </t>
        </r>
        <r>
          <rPr>
            <sz val="9"/>
            <color indexed="81"/>
            <rFont val="돋움"/>
            <family val="3"/>
            <charset val="129"/>
          </rPr>
          <t>주의</t>
        </r>
        <r>
          <rPr>
            <sz val="9"/>
            <color indexed="81"/>
            <rFont val="Tahoma"/>
            <family val="2"/>
          </rPr>
          <t xml:space="preserve"> !!
type </t>
        </r>
        <r>
          <rPr>
            <sz val="9"/>
            <color indexed="81"/>
            <rFont val="돋움"/>
            <family val="3"/>
            <charset val="129"/>
          </rPr>
          <t>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반드시</t>
        </r>
        <r>
          <rPr>
            <sz val="9"/>
            <color indexed="81"/>
            <rFont val="Tahoma"/>
            <family val="2"/>
          </rPr>
          <t xml:space="preserve"> Player </t>
        </r>
        <r>
          <rPr>
            <sz val="9"/>
            <color indexed="81"/>
            <rFont val="돋움"/>
            <family val="3"/>
            <charset val="129"/>
          </rPr>
          <t>야만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합니다</t>
        </r>
        <r>
          <rPr>
            <sz val="9"/>
            <color indexed="81"/>
            <rFont val="Tahoma"/>
            <family val="2"/>
          </rPr>
          <t>.</t>
        </r>
      </text>
    </comment>
    <comment ref="AV1" authorId="1" shapeId="0" xr:uid="{00000000-0006-0000-0000-000006000000}">
      <text>
        <r>
          <rPr>
            <b/>
            <sz val="9"/>
            <color indexed="81"/>
            <rFont val="Tahoma"/>
            <family val="2"/>
          </rPr>
          <t>Coft7:</t>
        </r>
        <r>
          <rPr>
            <sz val="9"/>
            <color indexed="81"/>
            <rFont val="Tahoma"/>
            <family val="2"/>
          </rPr>
          <t xml:space="preserve">
Coft7:
type </t>
        </r>
        <r>
          <rPr>
            <sz val="9"/>
            <color indexed="81"/>
            <rFont val="돋움"/>
            <family val="3"/>
            <charset val="129"/>
          </rPr>
          <t>주의</t>
        </r>
        <r>
          <rPr>
            <sz val="9"/>
            <color indexed="81"/>
            <rFont val="Tahoma"/>
            <family val="2"/>
          </rPr>
          <t xml:space="preserve"> !!
type </t>
        </r>
        <r>
          <rPr>
            <sz val="9"/>
            <color indexed="81"/>
            <rFont val="돋움"/>
            <family val="3"/>
            <charset val="129"/>
          </rPr>
          <t>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반드시</t>
        </r>
        <r>
          <rPr>
            <sz val="9"/>
            <color indexed="81"/>
            <rFont val="Tahoma"/>
            <family val="2"/>
          </rPr>
          <t xml:space="preserve"> NPC </t>
        </r>
        <r>
          <rPr>
            <sz val="9"/>
            <color indexed="81"/>
            <rFont val="돋움"/>
            <family val="3"/>
            <charset val="129"/>
          </rPr>
          <t>야만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합니다</t>
        </r>
        <r>
          <rPr>
            <sz val="9"/>
            <color indexed="81"/>
            <rFont val="Tahoma"/>
            <family val="2"/>
          </rPr>
          <t>.</t>
        </r>
      </text>
    </comment>
    <comment ref="AW1" authorId="1" shapeId="0" xr:uid="{00000000-0006-0000-0000-000007000000}">
      <text>
        <r>
          <rPr>
            <b/>
            <sz val="9"/>
            <color indexed="81"/>
            <rFont val="Tahoma"/>
            <family val="2"/>
          </rPr>
          <t>Coft7:</t>
        </r>
        <r>
          <rPr>
            <sz val="9"/>
            <color indexed="81"/>
            <rFont val="Tahoma"/>
            <family val="2"/>
          </rPr>
          <t xml:space="preserve">
Coft7:
type </t>
        </r>
        <r>
          <rPr>
            <sz val="9"/>
            <color indexed="81"/>
            <rFont val="돋움"/>
            <family val="3"/>
            <charset val="129"/>
          </rPr>
          <t>주의</t>
        </r>
        <r>
          <rPr>
            <sz val="9"/>
            <color indexed="81"/>
            <rFont val="Tahoma"/>
            <family val="2"/>
          </rPr>
          <t xml:space="preserve"> !!
type </t>
        </r>
        <r>
          <rPr>
            <sz val="9"/>
            <color indexed="81"/>
            <rFont val="돋움"/>
            <family val="3"/>
            <charset val="129"/>
          </rPr>
          <t>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반드시</t>
        </r>
        <r>
          <rPr>
            <sz val="9"/>
            <color indexed="81"/>
            <rFont val="Tahoma"/>
            <family val="2"/>
          </rPr>
          <t xml:space="preserve"> Cutscene </t>
        </r>
        <r>
          <rPr>
            <sz val="9"/>
            <color indexed="81"/>
            <rFont val="돋움"/>
            <family val="3"/>
            <charset val="129"/>
          </rPr>
          <t>야만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합니다</t>
        </r>
        <r>
          <rPr>
            <sz val="9"/>
            <color indexed="81"/>
            <rFont val="Tahoma"/>
            <family val="2"/>
          </rPr>
          <t>.</t>
        </r>
      </text>
    </comment>
  </commentList>
</comments>
</file>

<file path=xl/sharedStrings.xml><?xml version="1.0" encoding="utf-8"?>
<sst xmlns="http://schemas.openxmlformats.org/spreadsheetml/2006/main" count="37065" uniqueCount="4020">
  <si>
    <t>-</t>
    <phoneticPr fontId="5" type="noConversion"/>
  </si>
  <si>
    <t>:required</t>
    <phoneticPr fontId="5" type="noConversion"/>
  </si>
  <si>
    <t>:min</t>
    <phoneticPr fontId="5" type="noConversion"/>
  </si>
  <si>
    <t>:max</t>
    <phoneticPr fontId="5" type="noConversion"/>
  </si>
  <si>
    <t>:enum</t>
    <phoneticPr fontId="5" type="noConversion"/>
  </si>
  <si>
    <t>id</t>
    <phoneticPr fontId="5" type="noConversion"/>
  </si>
  <si>
    <t>string</t>
    <phoneticPr fontId="5" type="noConversion"/>
  </si>
  <si>
    <t>number</t>
    <phoneticPr fontId="5" type="noConversion"/>
  </si>
  <si>
    <t>마지막 라인</t>
  </si>
  <si>
    <t>no.</t>
    <phoneticPr fontId="5" type="noConversion"/>
  </si>
  <si>
    <t>:links</t>
    <phoneticPr fontId="5" type="noConversion"/>
  </si>
  <si>
    <t>assetType</t>
  </si>
  <si>
    <t>socket</t>
    <phoneticPr fontId="5" type="noConversion"/>
  </si>
  <si>
    <t>-</t>
    <phoneticPr fontId="5" type="noConversion"/>
  </si>
  <si>
    <t>assetType</t>
    <phoneticPr fontId="5" type="noConversion"/>
  </si>
  <si>
    <t>SkeletalMesh</t>
    <phoneticPr fontId="5" type="noConversion"/>
  </si>
  <si>
    <t>StaticMesh</t>
    <phoneticPr fontId="5" type="noConversion"/>
  </si>
  <si>
    <t>InstancedStaticMesh</t>
    <phoneticPr fontId="5" type="noConversion"/>
  </si>
  <si>
    <t>SK_Ship_Caravel_Sail</t>
  </si>
  <si>
    <t>SM_Ship_Light01</t>
  </si>
  <si>
    <t>meshName</t>
    <phoneticPr fontId="5" type="noConversion"/>
  </si>
  <si>
    <t>assetName</t>
    <phoneticPr fontId="5" type="noConversion"/>
  </si>
  <si>
    <t>partType</t>
    <phoneticPr fontId="5" type="noConversion"/>
  </si>
  <si>
    <t>Artillery</t>
    <phoneticPr fontId="5" type="noConversion"/>
  </si>
  <si>
    <t>-</t>
    <phoneticPr fontId="5" type="noConversion"/>
  </si>
  <si>
    <t>number</t>
    <phoneticPr fontId="5" type="noConversion"/>
  </si>
  <si>
    <t>number</t>
    <phoneticPr fontId="5" type="noConversion"/>
  </si>
  <si>
    <t>materials[0]["index"]</t>
    <phoneticPr fontId="5" type="noConversion"/>
  </si>
  <si>
    <t>materials[0]["name"]</t>
    <phoneticPr fontId="5" type="noConversion"/>
  </si>
  <si>
    <t>string</t>
    <phoneticPr fontId="5" type="noConversion"/>
  </si>
  <si>
    <t>materials[1]["index"]</t>
    <phoneticPr fontId="5" type="noConversion"/>
  </si>
  <si>
    <t>materials[1]["name"]</t>
    <phoneticPr fontId="5" type="noConversion"/>
  </si>
  <si>
    <t>materials[2]["index"]</t>
    <phoneticPr fontId="5" type="noConversion"/>
  </si>
  <si>
    <t>materials[2]["name"]</t>
    <phoneticPr fontId="5" type="noConversion"/>
  </si>
  <si>
    <t>materials[3]["index"]</t>
    <phoneticPr fontId="5" type="noConversion"/>
  </si>
  <si>
    <t>materials[3]["name"]</t>
    <phoneticPr fontId="5" type="noConversion"/>
  </si>
  <si>
    <t>Deco_3</t>
    <phoneticPr fontId="5" type="noConversion"/>
  </si>
  <si>
    <t>소켓 이름을 지정하지 않으면 partType 에 의해 디폴트 소켓을 사용함</t>
    <phoneticPr fontId="5" type="noConversion"/>
  </si>
  <si>
    <t>number</t>
    <phoneticPr fontId="5" type="noConversion"/>
  </si>
  <si>
    <t>detailMode</t>
    <phoneticPr fontId="5" type="noConversion"/>
  </si>
  <si>
    <t>number</t>
    <phoneticPr fontId="5" type="noConversion"/>
  </si>
  <si>
    <t>디테일 모드를 지정하지 않으면 partType 에 의해 디폴트를 사용함</t>
    <phoneticPr fontId="5" type="noConversion"/>
  </si>
  <si>
    <t>detailModeType</t>
    <phoneticPr fontId="5" type="noConversion"/>
  </si>
  <si>
    <t>Low</t>
    <phoneticPr fontId="5" type="noConversion"/>
  </si>
  <si>
    <t>Medium</t>
    <phoneticPr fontId="5" type="noConversion"/>
  </si>
  <si>
    <t>High</t>
    <phoneticPr fontId="5" type="noConversion"/>
  </si>
  <si>
    <t>언제나 표시</t>
    <phoneticPr fontId="5" type="noConversion"/>
  </si>
  <si>
    <t>중간 품질에서만</t>
    <phoneticPr fontId="5" type="noConversion"/>
  </si>
  <si>
    <t>고급 품질에서만</t>
    <phoneticPr fontId="5" type="noConversion"/>
  </si>
  <si>
    <t>슬롯에 정의되어 있지 않은 장식들을 여기서 붙일 수 있음</t>
    <phoneticPr fontId="5" type="noConversion"/>
  </si>
  <si>
    <t>key:45000000~45999999</t>
    <phoneticPr fontId="5" type="noConversion"/>
  </si>
  <si>
    <t>"ShipPartShape"</t>
    <phoneticPr fontId="5" type="noConversion"/>
  </si>
  <si>
    <t>참조용 이름</t>
    <phoneticPr fontId="5" type="noConversion"/>
  </si>
  <si>
    <t>-</t>
    <phoneticPr fontId="5" type="noConversion"/>
  </si>
  <si>
    <t>-</t>
    <phoneticPr fontId="5" type="noConversion"/>
  </si>
  <si>
    <t>-</t>
    <phoneticPr fontId="5" type="noConversion"/>
  </si>
  <si>
    <t>-</t>
    <phoneticPr fontId="5" type="noConversion"/>
  </si>
  <si>
    <t>-</t>
    <phoneticPr fontId="5" type="noConversion"/>
  </si>
  <si>
    <t>-</t>
    <phoneticPr fontId="5" type="noConversion"/>
  </si>
  <si>
    <t>-</t>
    <phoneticPr fontId="5" type="noConversion"/>
  </si>
  <si>
    <t>-</t>
    <phoneticPr fontId="5" type="noConversion"/>
  </si>
  <si>
    <t>SkeletalMesh</t>
  </si>
  <si>
    <t>Sail</t>
  </si>
  <si>
    <t>Head</t>
  </si>
  <si>
    <t>Artillery</t>
  </si>
  <si>
    <t>StaticMesh</t>
  </si>
  <si>
    <t>InstancedStaticMesh</t>
  </si>
  <si>
    <t>key:46000000~46999999</t>
    <phoneticPr fontId="5" type="noConversion"/>
  </si>
  <si>
    <t>캐러벨흰색돛</t>
  </si>
  <si>
    <t>대포_기본</t>
  </si>
  <si>
    <t>램프_기본</t>
  </si>
  <si>
    <t>캐러벨무적함대돛</t>
  </si>
  <si>
    <t>캐러벨적색돛</t>
  </si>
  <si>
    <t>캐러벨적흑돛</t>
  </si>
  <si>
    <t>캐러벨유령선돛</t>
  </si>
  <si>
    <t>캐러벨적백돛</t>
  </si>
  <si>
    <t>캐러벨적흑돛_해골</t>
  </si>
  <si>
    <t>SK_Ship_Caravel_Sail</t>
    <phoneticPr fontId="5" type="noConversion"/>
  </si>
  <si>
    <t>-</t>
    <phoneticPr fontId="5" type="noConversion"/>
  </si>
  <si>
    <t>-</t>
    <phoneticPr fontId="5" type="noConversion"/>
  </si>
  <si>
    <t>-</t>
    <phoneticPr fontId="5" type="noConversion"/>
  </si>
  <si>
    <t>Low</t>
  </si>
  <si>
    <t>M_Ship_Sail_BlackDamaged_Inst</t>
  </si>
  <si>
    <t>M_Ship_Sail_BlackRed_Inst</t>
  </si>
  <si>
    <t>M_Ship_Sail_Armada_Emblem_Inst</t>
  </si>
  <si>
    <t>-</t>
    <phoneticPr fontId="5" type="noConversion"/>
  </si>
  <si>
    <t>-</t>
    <phoneticPr fontId="5" type="noConversion"/>
  </si>
  <si>
    <t>-</t>
    <phoneticPr fontId="5" type="noConversion"/>
  </si>
  <si>
    <t>SM_Ship_Artillery</t>
  </si>
  <si>
    <t>-</t>
    <phoneticPr fontId="5" type="noConversion"/>
  </si>
  <si>
    <t>-</t>
    <phoneticPr fontId="5" type="noConversion"/>
  </si>
  <si>
    <t>-</t>
    <phoneticPr fontId="5" type="noConversion"/>
  </si>
  <si>
    <t>-</t>
    <phoneticPr fontId="5" type="noConversion"/>
  </si>
  <si>
    <t>-</t>
    <phoneticPr fontId="5" type="noConversion"/>
  </si>
  <si>
    <t>-</t>
    <phoneticPr fontId="5" type="noConversion"/>
  </si>
  <si>
    <t>-</t>
    <phoneticPr fontId="5" type="noConversion"/>
  </si>
  <si>
    <t>충각_기본</t>
    <phoneticPr fontId="5" type="noConversion"/>
  </si>
  <si>
    <t>M_Ship_Sail_BlackRed_Inst</t>
    <phoneticPr fontId="5" type="noConversion"/>
  </si>
  <si>
    <t>M_Ship_Sail_Triagle_Armada_Inst</t>
  </si>
  <si>
    <t>Ram</t>
  </si>
  <si>
    <t>SK_Ship_Barca_TriangleSail</t>
  </si>
  <si>
    <t>-</t>
    <phoneticPr fontId="5" type="noConversion"/>
  </si>
  <si>
    <t>-</t>
    <phoneticPr fontId="5" type="noConversion"/>
  </si>
  <si>
    <t>M_Ship_Sail_Inst</t>
  </si>
  <si>
    <t>-</t>
    <phoneticPr fontId="5" type="noConversion"/>
  </si>
  <si>
    <t>-</t>
    <phoneticPr fontId="5" type="noConversion"/>
  </si>
  <si>
    <t>-</t>
    <phoneticPr fontId="5" type="noConversion"/>
  </si>
  <si>
    <t>-</t>
    <phoneticPr fontId="5" type="noConversion"/>
  </si>
  <si>
    <t>SK_Ship_Barca_SquareSail</t>
  </si>
  <si>
    <t>High</t>
  </si>
  <si>
    <t>SK_Ship_HansaCog_Sail</t>
  </si>
  <si>
    <t>한자코그흰색돛</t>
  </si>
  <si>
    <t>한자코그적색돛</t>
  </si>
  <si>
    <t>한자코그유령선돛</t>
  </si>
  <si>
    <t>한자코그적백돛</t>
  </si>
  <si>
    <t>한자코그적흑돛</t>
  </si>
  <si>
    <t>한자코그적흑돛_해골</t>
  </si>
  <si>
    <t>SK_Ship_CogLetina_Sail</t>
  </si>
  <si>
    <t>코그레티나흰색돛</t>
  </si>
  <si>
    <t>코그레티나적색돛</t>
  </si>
  <si>
    <t>코그레티나유령선돛</t>
  </si>
  <si>
    <t>코그레티나적백돛</t>
  </si>
  <si>
    <t>코그레티나적흑돛</t>
  </si>
  <si>
    <t>코그레티나적흑돛_해골</t>
  </si>
  <si>
    <t>SK_Ship_CogRedonda_Sail</t>
  </si>
  <si>
    <t>코그레돈다흰색돛</t>
  </si>
  <si>
    <t>코그레돈다적색돛</t>
  </si>
  <si>
    <t>코그레돈다유령선돛</t>
  </si>
  <si>
    <t>코그레돈다적백돛</t>
  </si>
  <si>
    <t>코그레돈다적흑돛</t>
  </si>
  <si>
    <t>코그레돈다적흑돛_해골</t>
  </si>
  <si>
    <t>SM_Ship_NavalRam_01</t>
    <phoneticPr fontId="5" type="noConversion"/>
  </si>
  <si>
    <t>한자코그_해적1</t>
    <phoneticPr fontId="5" type="noConversion"/>
  </si>
  <si>
    <t>중 캐러벨</t>
    <phoneticPr fontId="5" type="noConversion"/>
  </si>
  <si>
    <t>한자 코그</t>
    <phoneticPr fontId="5" type="noConversion"/>
  </si>
  <si>
    <t>코그 라티나</t>
    <phoneticPr fontId="5" type="noConversion"/>
  </si>
  <si>
    <t>코그 라티나2</t>
    <phoneticPr fontId="5" type="noConversion"/>
  </si>
  <si>
    <t>코그 라티나3</t>
    <phoneticPr fontId="5" type="noConversion"/>
  </si>
  <si>
    <t>한자 코그_적선</t>
    <phoneticPr fontId="5" type="noConversion"/>
  </si>
  <si>
    <t>한자 코그_유령선</t>
    <phoneticPr fontId="5" type="noConversion"/>
  </si>
  <si>
    <t>한자 코그2</t>
    <phoneticPr fontId="5" type="noConversion"/>
  </si>
  <si>
    <t>한자 코그3</t>
    <phoneticPr fontId="5" type="noConversion"/>
  </si>
  <si>
    <t>중 캐러벨_해적1</t>
    <phoneticPr fontId="5" type="noConversion"/>
  </si>
  <si>
    <t>코그 라티나_적선</t>
    <phoneticPr fontId="5" type="noConversion"/>
  </si>
  <si>
    <t>코그 라티나_유령선</t>
    <phoneticPr fontId="5" type="noConversion"/>
  </si>
  <si>
    <t>코그 라티나_해적1</t>
    <phoneticPr fontId="5" type="noConversion"/>
  </si>
  <si>
    <t>코그 레돈다</t>
    <phoneticPr fontId="5" type="noConversion"/>
  </si>
  <si>
    <t>코그 레돈다_해적1</t>
    <phoneticPr fontId="5" type="noConversion"/>
  </si>
  <si>
    <t>중 캐러벨_적선</t>
  </si>
  <si>
    <t>중 캐러벨_유령선</t>
  </si>
  <si>
    <t>중 캐러벨2</t>
  </si>
  <si>
    <t>중 캐러벨3</t>
  </si>
  <si>
    <t>중 캐러벨_스페인</t>
  </si>
  <si>
    <t>코그 레돈다_적선</t>
  </si>
  <si>
    <t>코그 레돈다_유령선</t>
  </si>
  <si>
    <t>코그 레돈다2</t>
  </si>
  <si>
    <t>코그 레돈다3</t>
  </si>
  <si>
    <t>대형갤리온돛</t>
  </si>
  <si>
    <t>구명보트</t>
  </si>
  <si>
    <t>Deco_1</t>
  </si>
  <si>
    <t>SK_Ship_LargeGalleon_Sail</t>
    <phoneticPr fontId="5" type="noConversion"/>
  </si>
  <si>
    <t>SM_Ship_LargeGalleon_Light</t>
    <phoneticPr fontId="5" type="noConversion"/>
  </si>
  <si>
    <t>기본램프_대형갤리온</t>
  </si>
  <si>
    <t>SM_Ship_LifeBoat</t>
    <phoneticPr fontId="5" type="noConversion"/>
  </si>
  <si>
    <t>SM_Ship_LargeGalleon_Light02</t>
    <phoneticPr fontId="5" type="noConversion"/>
  </si>
  <si>
    <t>황금램프_대형갤리온</t>
  </si>
  <si>
    <t>대형 갤리온</t>
    <phoneticPr fontId="5" type="noConversion"/>
  </si>
  <si>
    <t>바르카</t>
  </si>
  <si>
    <t>바르카3흰색돛</t>
  </si>
  <si>
    <t>적선바르카_삼각</t>
  </si>
  <si>
    <t>바르카3적색돛</t>
  </si>
  <si>
    <t>유령선바르카_삼각</t>
  </si>
  <si>
    <t>바르카3유령선돛</t>
  </si>
  <si>
    <t>바르카2_삼각</t>
  </si>
  <si>
    <t>바르카3적백돛</t>
  </si>
  <si>
    <t>바르카3_삼각</t>
  </si>
  <si>
    <t>바르카3적흑돛</t>
  </si>
  <si>
    <t>바르카_해적1_삼각</t>
  </si>
  <si>
    <t>바르카3적흑돛_해골</t>
  </si>
  <si>
    <t>바르카_사각</t>
  </si>
  <si>
    <t>바르카4흰색돛</t>
  </si>
  <si>
    <t>바르카_사각_적선</t>
  </si>
  <si>
    <t>바르카4적색돛</t>
  </si>
  <si>
    <t>바르카_사각_유령선</t>
  </si>
  <si>
    <t>바르카4유령선돛</t>
  </si>
  <si>
    <t>바르카_사각2</t>
  </si>
  <si>
    <t>바르카4적백돛</t>
  </si>
  <si>
    <t>바르카_사각3</t>
  </si>
  <si>
    <t>바르카4적흑돛</t>
  </si>
  <si>
    <t>바르카_사각_해적1</t>
  </si>
  <si>
    <t>바르카4적흑돛_해골</t>
  </si>
  <si>
    <t>타렛테_삼각</t>
    <phoneticPr fontId="5" type="noConversion"/>
  </si>
  <si>
    <t>타렛테_사각</t>
    <phoneticPr fontId="5" type="noConversion"/>
  </si>
  <si>
    <t>타렛테</t>
    <phoneticPr fontId="5" type="noConversion"/>
  </si>
  <si>
    <t>대형 갤리온_왕실</t>
    <phoneticPr fontId="5" type="noConversion"/>
  </si>
  <si>
    <t>SK_Ship_Caravel_Body</t>
  </si>
  <si>
    <t>SK_Ship_HansaCog_Body</t>
    <phoneticPr fontId="5" type="noConversion"/>
  </si>
  <si>
    <t>SK_Ship_CogBig_Body</t>
    <phoneticPr fontId="5" type="noConversion"/>
  </si>
  <si>
    <t>SK_Ship_LargeGalleon_Body</t>
    <phoneticPr fontId="5" type="noConversion"/>
  </si>
  <si>
    <t>SK_Ship_Talette_Body</t>
  </si>
  <si>
    <t>SK_Ship_Barca_Body</t>
  </si>
  <si>
    <t>SOCKET_SK_Ship_Body_lifeboat</t>
    <phoneticPr fontId="5" type="noConversion"/>
  </si>
  <si>
    <t>Lamp_1</t>
  </si>
  <si>
    <t>Lamp_1</t>
    <phoneticPr fontId="5" type="noConversion"/>
  </si>
  <si>
    <t>Lamp_5</t>
    <phoneticPr fontId="5" type="noConversion"/>
  </si>
  <si>
    <t>startSocketNum</t>
    <phoneticPr fontId="5" type="noConversion"/>
  </si>
  <si>
    <t>assetType이 InstancedMesh인 경우  대상 소켓 이름의 postfix로 시작 숫자와 종료 숫자를 지정할 수 있음.
디폴트 값은 start:1 end:50</t>
    <phoneticPr fontId="5" type="noConversion"/>
  </si>
  <si>
    <t>lightBpName</t>
    <phoneticPr fontId="5" type="noConversion"/>
  </si>
  <si>
    <t>lightBpOffset</t>
    <phoneticPr fontId="5" type="noConversion"/>
  </si>
  <si>
    <t>[number]</t>
    <phoneticPr fontId="5" type="noConversion"/>
  </si>
  <si>
    <t>string</t>
    <phoneticPr fontId="5" type="noConversion"/>
  </si>
  <si>
    <t>BP_UwoLight_ShipPart</t>
    <phoneticPr fontId="5" type="noConversion"/>
  </si>
  <si>
    <t>endSocketNum</t>
    <phoneticPr fontId="5" type="noConversion"/>
  </si>
  <si>
    <t>0, 0, 40</t>
    <phoneticPr fontId="5" type="noConversion"/>
  </si>
  <si>
    <t>파트에 라이트를 붙여야 할 경우 붙이고자 하는 라이트의 BP 를 여기서 지정함</t>
    <phoneticPr fontId="5" type="noConversion"/>
  </si>
  <si>
    <t>라이트의 오프셋을 지정. (X, Y, Z)</t>
    <phoneticPr fontId="5" type="noConversion"/>
  </si>
  <si>
    <t>SK_Ship_CaravelSmall_Body</t>
    <phoneticPr fontId="5" type="noConversion"/>
  </si>
  <si>
    <t>소형캐러벨라티나돛</t>
  </si>
  <si>
    <t>소형캐러벨레돈다돛</t>
  </si>
  <si>
    <t>SK_Ship_CaravelRedonda_Sail</t>
  </si>
  <si>
    <t>SK_Ship_CaravelLetina_Sail</t>
  </si>
  <si>
    <t>M_Ship_Sail_Inst</t>
    <phoneticPr fontId="5" type="noConversion"/>
  </si>
  <si>
    <t>캐러벨 라티나</t>
    <phoneticPr fontId="5" type="noConversion"/>
  </si>
  <si>
    <t>캐러벨 레돈다</t>
    <phoneticPr fontId="5" type="noConversion"/>
  </si>
  <si>
    <t>SK_Ship_Sloop_Body</t>
    <phoneticPr fontId="5" type="noConversion"/>
  </si>
  <si>
    <t>슬로프돛</t>
  </si>
  <si>
    <t>SK_Ship_Sloop_Sail</t>
  </si>
  <si>
    <t>슬루프</t>
    <phoneticPr fontId="5" type="noConversion"/>
  </si>
  <si>
    <t>커터돛</t>
  </si>
  <si>
    <t>SK_Ship_Cutter_Sail</t>
  </si>
  <si>
    <t>M_Ship_Sail_Inst</t>
    <phoneticPr fontId="5" type="noConversion"/>
  </si>
  <si>
    <t>커터</t>
    <phoneticPr fontId="5" type="noConversion"/>
  </si>
  <si>
    <t>SK_Ship_Cutter_Body</t>
  </si>
  <si>
    <t>닻</t>
  </si>
  <si>
    <t>Anchor</t>
  </si>
  <si>
    <t>SM_Ship_Anchor_01</t>
    <phoneticPr fontId="5" type="noConversion"/>
  </si>
  <si>
    <t>SK_Ship_Bergantin_Body</t>
  </si>
  <si>
    <t>브리간틴</t>
    <phoneticPr fontId="5" type="noConversion"/>
  </si>
  <si>
    <t>브리간틴돛</t>
  </si>
  <si>
    <t>SK_Ship_Bergantin_Sail</t>
  </si>
  <si>
    <t>SK_Ship_Galleon_Body</t>
    <phoneticPr fontId="5" type="noConversion"/>
  </si>
  <si>
    <t>나오</t>
    <phoneticPr fontId="5" type="noConversion"/>
  </si>
  <si>
    <t>SK_Ship_Nao_body</t>
  </si>
  <si>
    <t>나오돛</t>
  </si>
  <si>
    <t>SK_Ship_Nao_Sail</t>
  </si>
  <si>
    <t>바스</t>
    <phoneticPr fontId="5" type="noConversion"/>
  </si>
  <si>
    <t>SK_Ship_Buss_body</t>
    <phoneticPr fontId="5" type="noConversion"/>
  </si>
  <si>
    <t>SK_Ship_Buss_Sail</t>
    <phoneticPr fontId="5" type="noConversion"/>
  </si>
  <si>
    <t>바스돛</t>
  </si>
  <si>
    <t>partType</t>
    <phoneticPr fontId="5" type="noConversion"/>
  </si>
  <si>
    <t>no.</t>
    <phoneticPr fontId="5" type="noConversion"/>
  </si>
  <si>
    <t>Sail</t>
    <phoneticPr fontId="5" type="noConversion"/>
  </si>
  <si>
    <t>Head</t>
    <phoneticPr fontId="5" type="noConversion"/>
  </si>
  <si>
    <t>Ram</t>
    <phoneticPr fontId="5" type="noConversion"/>
  </si>
  <si>
    <t>Anchor</t>
    <phoneticPr fontId="5" type="noConversion"/>
  </si>
  <si>
    <t>램프</t>
    <phoneticPr fontId="5" type="noConversion"/>
  </si>
  <si>
    <t>Lamp_2</t>
    <phoneticPr fontId="5" type="noConversion"/>
  </si>
  <si>
    <t>Lamp_3</t>
    <phoneticPr fontId="5" type="noConversion"/>
  </si>
  <si>
    <t>Lamp_4</t>
    <phoneticPr fontId="5" type="noConversion"/>
  </si>
  <si>
    <t>Deco_1</t>
    <phoneticPr fontId="5" type="noConversion"/>
  </si>
  <si>
    <t>단순 장식</t>
    <phoneticPr fontId="5" type="noConversion"/>
  </si>
  <si>
    <t>Deco_2</t>
    <phoneticPr fontId="5" type="noConversion"/>
  </si>
  <si>
    <t>Deco_4</t>
    <phoneticPr fontId="5" type="noConversion"/>
  </si>
  <si>
    <t>Deco_5</t>
    <phoneticPr fontId="5" type="noConversion"/>
  </si>
  <si>
    <t>Paddle</t>
    <phoneticPr fontId="5" type="noConversion"/>
  </si>
  <si>
    <t>노</t>
    <phoneticPr fontId="5" type="noConversion"/>
  </si>
  <si>
    <t>SK_Ship_Osmangalley_Body</t>
    <phoneticPr fontId="5" type="noConversion"/>
  </si>
  <si>
    <t>오스만겔리돛</t>
  </si>
  <si>
    <t>SK_Ship_Osmangalley_Sail</t>
  </si>
  <si>
    <t>오스만겔리노</t>
  </si>
  <si>
    <t>Paddle</t>
  </si>
  <si>
    <t>SM_Ship_FigureHead_KingMidas</t>
    <phoneticPr fontId="5" type="noConversion"/>
  </si>
  <si>
    <t>StaticMesh</t>
    <phoneticPr fontId="5" type="noConversion"/>
  </si>
  <si>
    <t>SK_Ship_Osmangalley_Paddle</t>
    <phoneticPr fontId="5" type="noConversion"/>
  </si>
  <si>
    <t>판옥선</t>
    <phoneticPr fontId="5" type="noConversion"/>
  </si>
  <si>
    <t>SK_Ship_PanOkSeon_Body</t>
    <phoneticPr fontId="5" type="noConversion"/>
  </si>
  <si>
    <t>판옥선돛</t>
  </si>
  <si>
    <t>SM_Ship_WoodStut</t>
    <phoneticPr fontId="5" type="noConversion"/>
  </si>
  <si>
    <t>SK_Ship_PanOkSeon_Sail</t>
    <phoneticPr fontId="5" type="noConversion"/>
  </si>
  <si>
    <t>판옥선노</t>
  </si>
  <si>
    <t>SK_Ship_PanOkSeon_Paddle</t>
  </si>
  <si>
    <t>거북선</t>
    <phoneticPr fontId="5" type="noConversion"/>
  </si>
  <si>
    <t>SK_Ship_TurtleShip_Body</t>
  </si>
  <si>
    <t>거북선노</t>
  </si>
  <si>
    <t>SK_Ship_TurtleShip_Sail</t>
    <phoneticPr fontId="5" type="noConversion"/>
  </si>
  <si>
    <t>SK_Ship_TurtleShip_Paddle</t>
    <phoneticPr fontId="5" type="noConversion"/>
  </si>
  <si>
    <t>전열함돛</t>
  </si>
  <si>
    <t>SK_Ship_Vaisseau_Sail</t>
    <phoneticPr fontId="5" type="noConversion"/>
  </si>
  <si>
    <t>전열함</t>
    <phoneticPr fontId="5" type="noConversion"/>
  </si>
  <si>
    <t>SK_Ship_Vaisseau_Body</t>
    <phoneticPr fontId="5" type="noConversion"/>
  </si>
  <si>
    <t>콜벳돛</t>
  </si>
  <si>
    <t>SK_Ship_Corvette_Sail</t>
    <phoneticPr fontId="5" type="noConversion"/>
  </si>
  <si>
    <t>SK_Ship_Corvette_Body</t>
    <phoneticPr fontId="5" type="noConversion"/>
  </si>
  <si>
    <t>중형프리킷돛</t>
  </si>
  <si>
    <t>Sk_Ship_Frigate_Sail</t>
    <phoneticPr fontId="5" type="noConversion"/>
  </si>
  <si>
    <t>Sk_Ship_Frigate_Body</t>
    <phoneticPr fontId="5" type="noConversion"/>
  </si>
  <si>
    <t>Sk_Ship_LargeFrigate_Sail</t>
  </si>
  <si>
    <t>대형프리킷돛</t>
  </si>
  <si>
    <t>Sk_Ship_LargeFrigate_Body</t>
    <phoneticPr fontId="5" type="noConversion"/>
  </si>
  <si>
    <t>갤리돛</t>
  </si>
  <si>
    <t>SK_Ship_Galley_Sail</t>
    <phoneticPr fontId="5" type="noConversion"/>
  </si>
  <si>
    <t>갤리</t>
    <phoneticPr fontId="5" type="noConversion"/>
  </si>
  <si>
    <t>SK_Ship_Galley_Body</t>
    <phoneticPr fontId="5" type="noConversion"/>
  </si>
  <si>
    <t>갤리노</t>
  </si>
  <si>
    <t>SK_Ship_Galley_Paddle</t>
    <phoneticPr fontId="5" type="noConversion"/>
  </si>
  <si>
    <t>경량형갤리돛</t>
  </si>
  <si>
    <t>SK_Ship_LightGalley_Sail</t>
    <phoneticPr fontId="5" type="noConversion"/>
  </si>
  <si>
    <t>경량형갤리노</t>
  </si>
  <si>
    <t>SK_Ship_LightGalley_Paddle</t>
    <phoneticPr fontId="5" type="noConversion"/>
  </si>
  <si>
    <t>SK_Ship_LightGalley_Body</t>
    <phoneticPr fontId="5" type="noConversion"/>
  </si>
  <si>
    <t>중갤리돛</t>
  </si>
  <si>
    <t>중갤리노</t>
  </si>
  <si>
    <t>SK_Ship_HeavyGalley_Sail</t>
  </si>
  <si>
    <t>SK_Ship_HeavyGalley_Paddle</t>
  </si>
  <si>
    <t>SK_Ship_HeavyGalley_Body</t>
  </si>
  <si>
    <t>오스만 갤리</t>
    <phoneticPr fontId="5" type="noConversion"/>
  </si>
  <si>
    <t>코르벳</t>
    <phoneticPr fontId="5" type="noConversion"/>
  </si>
  <si>
    <t>프리깃</t>
    <phoneticPr fontId="5" type="noConversion"/>
  </si>
  <si>
    <t>대형 프리깃</t>
    <phoneticPr fontId="5" type="noConversion"/>
  </si>
  <si>
    <t>경량형 갤리</t>
    <phoneticPr fontId="5" type="noConversion"/>
  </si>
  <si>
    <t>중 갤리</t>
    <phoneticPr fontId="5" type="noConversion"/>
  </si>
  <si>
    <t>선박의 실제 이름과 꼭 맞춰주세요</t>
    <phoneticPr fontId="5" type="noConversion"/>
  </si>
  <si>
    <t>충각_기본</t>
  </si>
  <si>
    <t>거북선돛</t>
  </si>
  <si>
    <t>SM_Ship_Dieres_Embolon</t>
    <phoneticPr fontId="5" type="noConversion"/>
  </si>
  <si>
    <t>SM_Ship_Triremes_Embolon_Ram</t>
    <phoneticPr fontId="5" type="noConversion"/>
  </si>
  <si>
    <t>SM_Ship_Dromon_Ram</t>
    <phoneticPr fontId="5" type="noConversion"/>
  </si>
  <si>
    <t>SM_Ship_TripleLarge_Ram</t>
    <phoneticPr fontId="5" type="noConversion"/>
  </si>
  <si>
    <t>SM_Ship_Ice_Ram</t>
    <phoneticPr fontId="5" type="noConversion"/>
  </si>
  <si>
    <t>SM_Ship_Seracs_Breaker_Ram</t>
    <phoneticPr fontId="5" type="noConversion"/>
  </si>
  <si>
    <t>SM_Ship_Lautaro_s_Flame_Ram</t>
  </si>
  <si>
    <t>SM_Ship_Rapier_Ram</t>
    <phoneticPr fontId="5" type="noConversion"/>
  </si>
  <si>
    <t>SM_Ship_Reverse_Blade_Ram</t>
  </si>
  <si>
    <t>SM_Ship_Polearm_Ram</t>
    <phoneticPr fontId="5" type="noConversion"/>
  </si>
  <si>
    <t>SM_Ship_God_Of_Sea_Spear_Ram</t>
    <phoneticPr fontId="5" type="noConversion"/>
  </si>
  <si>
    <t>SM_Ship_Wood_Clamp_Ram</t>
    <phoneticPr fontId="5" type="noConversion"/>
  </si>
  <si>
    <t>SM_Ship_Half_Moon_Axe_Ram</t>
  </si>
  <si>
    <t>SM_Ship_Iron_Mace_Ram</t>
    <phoneticPr fontId="5" type="noConversion"/>
  </si>
  <si>
    <t>마카나 충각</t>
    <phoneticPr fontId="5" type="noConversion"/>
  </si>
  <si>
    <t>SM_Ship_Macana_Ram</t>
  </si>
  <si>
    <t>우아한 은제 충각</t>
    <phoneticPr fontId="5" type="noConversion"/>
  </si>
  <si>
    <t>SM_Ship_Elegant_Silver_Clamp_Ram</t>
    <phoneticPr fontId="5" type="noConversion"/>
  </si>
  <si>
    <t>SM_Ship_Crescent_Moon_Ram</t>
  </si>
  <si>
    <t>SM_Ship_Heracles_Iron_Fist</t>
    <phoneticPr fontId="5" type="noConversion"/>
  </si>
  <si>
    <t>SM_Ship_StarSeeker_Ram</t>
    <phoneticPr fontId="5" type="noConversion"/>
  </si>
  <si>
    <t>SM_Ship_SnakeSpear_Ram</t>
    <phoneticPr fontId="5" type="noConversion"/>
  </si>
  <si>
    <t>SM_Ship_Helmet_Ram</t>
    <phoneticPr fontId="5" type="noConversion"/>
  </si>
  <si>
    <t>SM_Ship_Ball_Ram</t>
  </si>
  <si>
    <t>기사의 랜스 충각</t>
    <phoneticPr fontId="5" type="noConversion"/>
  </si>
  <si>
    <t>SM_Ship_Lance_Ram</t>
    <phoneticPr fontId="5" type="noConversion"/>
  </si>
  <si>
    <t>SM_Ship_Pincers_Ram</t>
    <phoneticPr fontId="5" type="noConversion"/>
  </si>
  <si>
    <t>SM_Ship_Spear_Ram</t>
  </si>
  <si>
    <t>정화의보선돛</t>
  </si>
  <si>
    <t>SK_Ship_Treasure_Sail</t>
    <phoneticPr fontId="5" type="noConversion"/>
  </si>
  <si>
    <t>SK_Ship_Treasure_Body</t>
    <phoneticPr fontId="5" type="noConversion"/>
  </si>
  <si>
    <t>판호_대형 갤리온_왕실</t>
    <phoneticPr fontId="5" type="noConversion"/>
  </si>
  <si>
    <t>판호_아군대형 갤리온</t>
    <phoneticPr fontId="5" type="noConversion"/>
  </si>
  <si>
    <t>판호_적군브리간틴</t>
    <phoneticPr fontId="5" type="noConversion"/>
  </si>
  <si>
    <t>판호_보스오스만 갤리</t>
    <phoneticPr fontId="5" type="noConversion"/>
  </si>
  <si>
    <t>판호_적군오스만 갤리</t>
    <phoneticPr fontId="5" type="noConversion"/>
  </si>
  <si>
    <t>판호_보스전열함</t>
    <phoneticPr fontId="5" type="noConversion"/>
  </si>
  <si>
    <t>판호용_대형갤리온돛</t>
  </si>
  <si>
    <t>판호용_브리간틴돛</t>
  </si>
  <si>
    <t>판호용_오스만겔리돛</t>
  </si>
  <si>
    <t>판호용_보스오스만겔리돛</t>
  </si>
  <si>
    <t>M_Ship_triangleSail_Panho2</t>
    <phoneticPr fontId="5" type="noConversion"/>
  </si>
  <si>
    <t>판호_보스전열함돛</t>
  </si>
  <si>
    <t>세락 파각</t>
  </si>
  <si>
    <t>드로몬형 충각</t>
  </si>
  <si>
    <t>이단노선형 쐐기</t>
  </si>
  <si>
    <t>나무 기둥 쐐기</t>
  </si>
  <si>
    <t>M_Ship_LargeGalleon_Sail_Panho</t>
    <phoneticPr fontId="5" type="noConversion"/>
  </si>
  <si>
    <t>0xfffa7a</t>
    <phoneticPr fontId="5" type="noConversion"/>
  </si>
  <si>
    <t>0xf2f2f2</t>
    <phoneticPr fontId="5" type="noConversion"/>
  </si>
  <si>
    <t>0xad8a6c</t>
    <phoneticPr fontId="5" type="noConversion"/>
  </si>
  <si>
    <t>0x82b652</t>
    <phoneticPr fontId="5" type="noConversion"/>
  </si>
  <si>
    <t>0x555555</t>
    <phoneticPr fontId="5" type="noConversion"/>
  </si>
  <si>
    <t>key:47100000~47199999</t>
    <phoneticPr fontId="5" type="noConversion"/>
  </si>
  <si>
    <t>네덜란드 문장</t>
  </si>
  <si>
    <t>미들튼 가문의 문장</t>
  </si>
  <si>
    <t>바다 여단 문장</t>
  </si>
  <si>
    <t>발바리아 해적 문장</t>
  </si>
  <si>
    <t>베네치아 문장</t>
  </si>
  <si>
    <t>살미엔트 길드 문장</t>
  </si>
  <si>
    <t>에스파니아 문장</t>
  </si>
  <si>
    <t>여인 문장</t>
  </si>
  <si>
    <t>오스만 투르크 문장</t>
  </si>
  <si>
    <t>포르투갈 문장</t>
  </si>
  <si>
    <t>프랑스 문장</t>
  </si>
  <si>
    <t>key:47200000~47299999</t>
    <phoneticPr fontId="5" type="noConversion"/>
  </si>
  <si>
    <t>Sail_Pattern_1</t>
  </si>
  <si>
    <t>Sail_Pattern_3</t>
  </si>
  <si>
    <t>Sail_Pattern_5</t>
  </si>
  <si>
    <t>Sail_Pattern_6</t>
  </si>
  <si>
    <t>Sail_Pattern_7</t>
  </si>
  <si>
    <t>Sail_Pattern_8</t>
  </si>
  <si>
    <t>Sail_Pattern_9</t>
  </si>
  <si>
    <t>세로 스트라이프</t>
  </si>
  <si>
    <t>Sail_Pattern_11</t>
  </si>
  <si>
    <t>가로 스트라이프</t>
  </si>
  <si>
    <t>Sail_Pattern_12</t>
  </si>
  <si>
    <t>Sail_Pattern_13</t>
  </si>
  <si>
    <t>Sail_Pattern_14</t>
  </si>
  <si>
    <t>Sail_Pattern_15</t>
  </si>
  <si>
    <t>Sail_Pattern_16</t>
  </si>
  <si>
    <t>V 자 무늬</t>
  </si>
  <si>
    <t>Sail_Pattern_17</t>
  </si>
  <si>
    <t>격자 무늬</t>
  </si>
  <si>
    <t>Sail_Pattern_18</t>
  </si>
  <si>
    <t>풍차 무늬</t>
  </si>
  <si>
    <t>Sail_Pattern_19</t>
  </si>
  <si>
    <t>사각 무늬</t>
  </si>
  <si>
    <t>Sail_Pattern_20</t>
  </si>
  <si>
    <t>Sail_Pattern_21</t>
  </si>
  <si>
    <t>삼각 무늬</t>
  </si>
  <si>
    <t>Sail_Pattern_22</t>
  </si>
  <si>
    <t>계단 무늬</t>
  </si>
  <si>
    <t>Sail_Pattern_23</t>
  </si>
  <si>
    <t>Sail_Pattern_24</t>
  </si>
  <si>
    <t>Sail_Pattern_25</t>
  </si>
  <si>
    <t>Sail_Pattern_26</t>
  </si>
  <si>
    <t>Sail_Pattern_27</t>
  </si>
  <si>
    <t>빛 모양 무늬</t>
  </si>
  <si>
    <t>Sail_Pattern_28</t>
  </si>
  <si>
    <t>Sail_Pattern_29</t>
  </si>
  <si>
    <t>Sail_Pattern_30</t>
  </si>
  <si>
    <t>Sail_Pattern_32</t>
  </si>
  <si>
    <t>Sail_Pattern_33</t>
  </si>
  <si>
    <t>Sail_Pattern_34</t>
  </si>
  <si>
    <t>Sail_Pattern_36</t>
  </si>
  <si>
    <t>Sail_Pattern_37</t>
  </si>
  <si>
    <t>십자 무늬</t>
  </si>
  <si>
    <t>Sail_Pattern_38</t>
  </si>
  <si>
    <t>Sail_Pattern_39</t>
  </si>
  <si>
    <t>비늘 무늬</t>
  </si>
  <si>
    <t>Sail_Pattern_40</t>
  </si>
  <si>
    <t>Sail_Pattern_41</t>
  </si>
  <si>
    <t>Sail_Pattern_42</t>
  </si>
  <si>
    <t>제비꽃 무늬</t>
  </si>
  <si>
    <t>Sail_Pattern_43</t>
  </si>
  <si>
    <t>혼돈 무늬</t>
  </si>
  <si>
    <t>Sail_Pattern_44</t>
  </si>
  <si>
    <t>Sail_Pattern_45</t>
  </si>
  <si>
    <t>Sail_Pattern_46</t>
  </si>
  <si>
    <t>Sail_Pattern_47</t>
  </si>
  <si>
    <t>Sail_Pattern_48</t>
  </si>
  <si>
    <t>Sail_Pattern_49</t>
  </si>
  <si>
    <t>Sail_Pattern_50</t>
  </si>
  <si>
    <t>Sail_Pattern_51</t>
  </si>
  <si>
    <t>Sail_Pattern_52</t>
  </si>
  <si>
    <t>Sail_Pattern_53</t>
  </si>
  <si>
    <t>Sail_Pattern_54</t>
  </si>
  <si>
    <t>Sail_Pattern_56</t>
  </si>
  <si>
    <t>Sail_Pattern_57</t>
  </si>
  <si>
    <t>cresticon</t>
    <phoneticPr fontId="5" type="noConversion"/>
  </si>
  <si>
    <t>SM_Ship_FigureHead_GodoftheSeas</t>
    <phoneticPr fontId="5" type="noConversion"/>
  </si>
  <si>
    <t>SM_Ship_FigureHead_Manticore</t>
    <phoneticPr fontId="5" type="noConversion"/>
  </si>
  <si>
    <t>SM_Ship_FigureHead_Bald_Eagle</t>
  </si>
  <si>
    <t>SM_Ship_FigureHead_Vulture</t>
    <phoneticPr fontId="5" type="noConversion"/>
  </si>
  <si>
    <t>SOCKET_SK_Ship_Body_figure_head2</t>
    <phoneticPr fontId="5" type="noConversion"/>
  </si>
  <si>
    <t>SOCKET_SK_Ship_Body_figure_head1</t>
    <phoneticPr fontId="5" type="noConversion"/>
  </si>
  <si>
    <t>판호_아군슬루프</t>
    <phoneticPr fontId="5" type="noConversion"/>
  </si>
  <si>
    <t>판호용_슬로프돛</t>
  </si>
  <si>
    <t>목재닻</t>
    <phoneticPr fontId="5" type="noConversion"/>
  </si>
  <si>
    <t>인어닻</t>
    <phoneticPr fontId="5" type="noConversion"/>
  </si>
  <si>
    <t>사신닻</t>
    <phoneticPr fontId="5" type="noConversion"/>
  </si>
  <si>
    <t>쌍둥이뱀닻</t>
    <phoneticPr fontId="5" type="noConversion"/>
  </si>
  <si>
    <t>SK_Ship_Anchor_Grim_Reaper</t>
    <phoneticPr fontId="5" type="noConversion"/>
  </si>
  <si>
    <t>SK_Ship_Anchor_Mermaid</t>
    <phoneticPr fontId="5" type="noConversion"/>
  </si>
  <si>
    <t>SK_Ship_Anchor_Twin_Snake</t>
    <phoneticPr fontId="5" type="noConversion"/>
  </si>
  <si>
    <t>SK_Ship_Anchor_Wood</t>
    <phoneticPr fontId="5" type="noConversion"/>
  </si>
  <si>
    <t>applypointId</t>
    <phoneticPr fontId="5" type="noConversion"/>
  </si>
  <si>
    <t>applypointval</t>
    <phoneticPr fontId="5" type="noConversion"/>
  </si>
  <si>
    <t>unlockpointId</t>
    <phoneticPr fontId="5" type="noConversion"/>
  </si>
  <si>
    <t>unlockpointval</t>
    <phoneticPr fontId="5" type="noConversion"/>
  </si>
  <si>
    <t>두카트</t>
    <phoneticPr fontId="5" type="noConversion"/>
  </si>
  <si>
    <t>defaultcolorId[0]</t>
    <phoneticPr fontId="5" type="noConversion"/>
  </si>
  <si>
    <t>defaultcolorId[1]</t>
    <phoneticPr fontId="5" type="noConversion"/>
  </si>
  <si>
    <t>defaultcolorId[2]</t>
    <phoneticPr fontId="5" type="noConversion"/>
  </si>
  <si>
    <t>"SailPatternColor"</t>
    <phoneticPr fontId="5" type="noConversion"/>
  </si>
  <si>
    <t>key:47300000~47399999</t>
    <phoneticPr fontId="5" type="noConversion"/>
  </si>
  <si>
    <t>컬러 1</t>
    <phoneticPr fontId="5" type="noConversion"/>
  </si>
  <si>
    <t>컬러 2</t>
    <phoneticPr fontId="5" type="noConversion"/>
  </si>
  <si>
    <t>컬러 3</t>
  </si>
  <si>
    <t>컬러 4</t>
  </si>
  <si>
    <t>컬러 5</t>
  </si>
  <si>
    <t>컬러 6</t>
  </si>
  <si>
    <t>컬러 7</t>
  </si>
  <si>
    <t>컬러 8</t>
  </si>
  <si>
    <t>컬러 9</t>
  </si>
  <si>
    <t>컬러 10</t>
  </si>
  <si>
    <t>key:47400000~47499999</t>
    <phoneticPr fontId="5" type="noConversion"/>
  </si>
  <si>
    <t>key:47500000~47599999</t>
    <phoneticPr fontId="5" type="noConversion"/>
  </si>
  <si>
    <t>튜토_나오_엑스트라 선박1</t>
  </si>
  <si>
    <t>튜토_나오_엑스트라 선박2</t>
  </si>
  <si>
    <t>튜토_바스_엑스트라 선박1</t>
  </si>
  <si>
    <t>튜토_바스_엑스트라 선박2</t>
  </si>
  <si>
    <t>튜토_바르카_엑스트라 선박1</t>
  </si>
  <si>
    <t>튜토_바르카_엑스트라 선박2</t>
  </si>
  <si>
    <t>튜토_타렛테_엑스트라 선박1</t>
  </si>
  <si>
    <t>튜토_타렛테_엑스트라 선박2</t>
  </si>
  <si>
    <t>튜토_대형 갤리온_엑스트라 선박1</t>
  </si>
  <si>
    <t>튜토_대형 갤리온_엑스트라 선박2</t>
  </si>
  <si>
    <t>튜토_브리간틴_엑스트라 선박1</t>
  </si>
  <si>
    <t>튜토_브리간틴_엑스트라 선박2</t>
  </si>
  <si>
    <t>튜토_대형 프리깃_엑스트라 선박1</t>
  </si>
  <si>
    <t>튜토_프리깃_엑스트라 선박1</t>
  </si>
  <si>
    <t>튜토_프리깃_엑스트라 선박2</t>
  </si>
  <si>
    <t>바르카3적색돛</t>
    <phoneticPr fontId="5" type="noConversion"/>
  </si>
  <si>
    <t>리부르나형 쐐기</t>
  </si>
  <si>
    <t>삼단노선형 쐐기</t>
  </si>
  <si>
    <t>삼단 대형 충각</t>
  </si>
  <si>
    <t>쇄빙 충각</t>
  </si>
  <si>
    <t>레이피어 충각</t>
  </si>
  <si>
    <t>창형 충각</t>
  </si>
  <si>
    <t>역날검 충각</t>
  </si>
  <si>
    <t>colorTint</t>
    <phoneticPr fontId="5" type="noConversion"/>
  </si>
  <si>
    <t>number</t>
    <phoneticPr fontId="5" type="noConversion"/>
  </si>
  <si>
    <t>-</t>
    <phoneticPr fontId="5" type="noConversion"/>
  </si>
  <si>
    <t>color1</t>
    <phoneticPr fontId="5" type="noConversion"/>
  </si>
  <si>
    <t>color2</t>
    <phoneticPr fontId="5" type="noConversion"/>
  </si>
  <si>
    <t>sailPattern</t>
    <phoneticPr fontId="5" type="noConversion"/>
  </si>
  <si>
    <t>sailCrest</t>
    <phoneticPr fontId="5" type="noConversion"/>
  </si>
  <si>
    <t>number</t>
    <phoneticPr fontId="5" type="noConversion"/>
  </si>
  <si>
    <t>number</t>
    <phoneticPr fontId="5" type="noConversion"/>
  </si>
  <si>
    <t>"SailPattern"</t>
    <phoneticPr fontId="5" type="noConversion"/>
  </si>
  <si>
    <t>"SailCrest"</t>
    <phoneticPr fontId="5" type="noConversion"/>
  </si>
  <si>
    <t>patternimage</t>
    <phoneticPr fontId="5" type="noConversion"/>
  </si>
  <si>
    <t>프롤로그_엑스트라용1</t>
    <phoneticPr fontId="5" type="noConversion"/>
  </si>
  <si>
    <t>프롤로그_엑스트라용2</t>
  </si>
  <si>
    <t>프롤로그_엑스트라용3</t>
  </si>
  <si>
    <t>프롤로그_엑스트라용4</t>
  </si>
  <si>
    <t>프롤로그_엑스트라용5</t>
  </si>
  <si>
    <t>프롤로그_엑스트라용6</t>
  </si>
  <si>
    <t>프롤로그_엑스트라용7</t>
  </si>
  <si>
    <t>프롤로그_엑스트라용8</t>
  </si>
  <si>
    <t>컬러 2</t>
  </si>
  <si>
    <t>프롤로그_나오돛</t>
  </si>
  <si>
    <t>프롤로그_바스돛</t>
  </si>
  <si>
    <t>프롤로그_대형갤리온돛</t>
  </si>
  <si>
    <t>프롤로그_브리간틴돛</t>
  </si>
  <si>
    <t>프롤로그_중형프리킷돛</t>
  </si>
  <si>
    <t>SK_Ship_Buss_Sail</t>
  </si>
  <si>
    <t>SK_Ship_LargeGalleon_Sail</t>
  </si>
  <si>
    <t>Sk_Ship_Frigate_Sail</t>
  </si>
  <si>
    <t>-</t>
  </si>
  <si>
    <t>M_Ship_LargeGalleon_Sail_Inst</t>
  </si>
  <si>
    <t>프롤로그_바르카3돛</t>
    <phoneticPr fontId="5" type="noConversion"/>
  </si>
  <si>
    <t>프롤로그_바르카4돛</t>
    <phoneticPr fontId="5" type="noConversion"/>
  </si>
  <si>
    <t>정화의 보선</t>
    <phoneticPr fontId="5" type="noConversion"/>
  </si>
  <si>
    <t>unlockitemId</t>
    <phoneticPr fontId="5" type="noConversion"/>
  </si>
  <si>
    <t>unlockitemval</t>
    <phoneticPr fontId="5" type="noConversion"/>
  </si>
  <si>
    <t>color</t>
    <phoneticPr fontId="5" type="noConversion"/>
  </si>
  <si>
    <t>-</t>
    <phoneticPr fontId="5" type="noConversion"/>
  </si>
  <si>
    <t>-</t>
    <phoneticPr fontId="5" type="noConversion"/>
  </si>
  <si>
    <t>-</t>
    <phoneticPr fontId="5" type="noConversion"/>
  </si>
  <si>
    <t>:asset</t>
    <phoneticPr fontId="5" type="noConversion"/>
  </si>
  <si>
    <t>:asset</t>
    <phoneticPr fontId="5" type="noConversion"/>
  </si>
  <si>
    <t>:asset</t>
    <phoneticPr fontId="5" type="noConversion"/>
  </si>
  <si>
    <t>:asset</t>
    <phoneticPr fontId="5" type="noConversion"/>
  </si>
  <si>
    <t>:requireedInObject</t>
    <phoneticPr fontId="5" type="noConversion"/>
  </si>
  <si>
    <t>-</t>
    <phoneticPr fontId="15" type="noConversion"/>
  </si>
  <si>
    <t>SK_Ship_VaisseauBoss_Body</t>
  </si>
  <si>
    <t>SK_Ship_VaisseauBoss_Sail</t>
    <phoneticPr fontId="5" type="noConversion"/>
  </si>
  <si>
    <t>소조선돛</t>
  </si>
  <si>
    <t>SK_Ship_Kobaya_Sail</t>
    <phoneticPr fontId="5" type="noConversion"/>
  </si>
  <si>
    <t>소조선노</t>
  </si>
  <si>
    <t>SK_Ship_Kobaya_Paddle</t>
    <phoneticPr fontId="5" type="noConversion"/>
  </si>
  <si>
    <t>소조선</t>
    <phoneticPr fontId="5" type="noConversion"/>
  </si>
  <si>
    <t>SK_Ship_Kobaya_Body</t>
    <phoneticPr fontId="5" type="noConversion"/>
  </si>
  <si>
    <t>Deco_2</t>
  </si>
  <si>
    <t>SM_Shipparts_Goods_A</t>
    <phoneticPr fontId="5" type="noConversion"/>
  </si>
  <si>
    <t>SM_Shipparts_Goods_B</t>
    <phoneticPr fontId="5" type="noConversion"/>
  </si>
  <si>
    <t>SM_Shipparts_Goods_C</t>
    <phoneticPr fontId="5" type="noConversion"/>
  </si>
  <si>
    <t>SM_Shipparts_Goods_D</t>
    <phoneticPr fontId="5" type="noConversion"/>
  </si>
  <si>
    <t>SM_Shipparts_Goods_E</t>
    <phoneticPr fontId="5" type="noConversion"/>
  </si>
  <si>
    <t>SM_Shipparts_Goods_F</t>
    <phoneticPr fontId="5" type="noConversion"/>
  </si>
  <si>
    <t>SM_Shipparts_Goods_G</t>
    <phoneticPr fontId="5" type="noConversion"/>
  </si>
  <si>
    <t>SM_Shipparts_Goods_H</t>
    <phoneticPr fontId="5" type="noConversion"/>
  </si>
  <si>
    <t>SM_Shipparts_Goods_I</t>
    <phoneticPr fontId="5" type="noConversion"/>
  </si>
  <si>
    <t>SM_Shipparts_Goods_J</t>
    <phoneticPr fontId="5" type="noConversion"/>
  </si>
  <si>
    <t>SM_Shipparts_Goods_K</t>
    <phoneticPr fontId="5" type="noConversion"/>
  </si>
  <si>
    <t>SM_Shipparts_AsiaGoods_A</t>
  </si>
  <si>
    <t>SM_Shipparts_AsiaGoods_B</t>
    <phoneticPr fontId="5" type="noConversion"/>
  </si>
  <si>
    <t>SM_Shipparts_AsiaGoods_C</t>
    <phoneticPr fontId="5" type="noConversion"/>
  </si>
  <si>
    <t>SM_Shipparts_AsiaGoods_D</t>
    <phoneticPr fontId="5" type="noConversion"/>
  </si>
  <si>
    <t>SM_Shipparts_AsiaGoods_E</t>
    <phoneticPr fontId="5" type="noConversion"/>
  </si>
  <si>
    <t>SM_Shipparts_AsiaGoods_F</t>
    <phoneticPr fontId="5" type="noConversion"/>
  </si>
  <si>
    <t>SM_Shipparts_AsiaGoods_G</t>
    <phoneticPr fontId="5" type="noConversion"/>
  </si>
  <si>
    <t>SM_Shipparts_AsiaGoods_H</t>
    <phoneticPr fontId="5" type="noConversion"/>
  </si>
  <si>
    <t>SOCKET_SK_Ship_Body_Goods_A</t>
    <phoneticPr fontId="5" type="noConversion"/>
  </si>
  <si>
    <t>SOCKET_SK_Ship_Body_Goods_B</t>
    <phoneticPr fontId="5" type="noConversion"/>
  </si>
  <si>
    <t>SOCKET_SK_Ship_Body_Goods_C</t>
    <phoneticPr fontId="5" type="noConversion"/>
  </si>
  <si>
    <t>SOCKET_SK_Ship_Body_Goods_D</t>
    <phoneticPr fontId="5" type="noConversion"/>
  </si>
  <si>
    <t>SOCKET_SK_Ship_Body_Goods_E</t>
    <phoneticPr fontId="5" type="noConversion"/>
  </si>
  <si>
    <t>SOCKET_SK_Ship_Body_Goods_F</t>
    <phoneticPr fontId="5" type="noConversion"/>
  </si>
  <si>
    <t>SOCKET_SK_Ship_Body_Goods_G</t>
    <phoneticPr fontId="5" type="noConversion"/>
  </si>
  <si>
    <t>SOCKET_SK_Ship_Body_Goods_H</t>
    <phoneticPr fontId="5" type="noConversion"/>
  </si>
  <si>
    <t>SOCKET_SK_Ship_Body_Goods_I</t>
    <phoneticPr fontId="5" type="noConversion"/>
  </si>
  <si>
    <t>SOCKET_SK_Ship_Body_Goods_J</t>
    <phoneticPr fontId="5" type="noConversion"/>
  </si>
  <si>
    <t>SOCKET_SK_Ship_Body_Goods_K</t>
    <phoneticPr fontId="5" type="noConversion"/>
  </si>
  <si>
    <t>선박외형장식_A</t>
  </si>
  <si>
    <t>선박외형장식_B</t>
  </si>
  <si>
    <t>선박외형장식_G</t>
  </si>
  <si>
    <t>선박외형장식_E</t>
  </si>
  <si>
    <t>선박외형장식_I</t>
  </si>
  <si>
    <t>선박외형장식_C</t>
  </si>
  <si>
    <t>선박외형장식_H</t>
  </si>
  <si>
    <t>선박외형장식_D</t>
  </si>
  <si>
    <t>선박외형장식_K</t>
  </si>
  <si>
    <t>선박외형장식_F</t>
  </si>
  <si>
    <t>선박외형장식_J</t>
  </si>
  <si>
    <t>parts["0"]</t>
    <phoneticPr fontId="5" type="noConversion"/>
  </si>
  <si>
    <t>parts["1"]</t>
    <phoneticPr fontId="5" type="noConversion"/>
  </si>
  <si>
    <t>parts["2"]</t>
    <phoneticPr fontId="5" type="noConversion"/>
  </si>
  <si>
    <t>parts["3"]</t>
    <phoneticPr fontId="5" type="noConversion"/>
  </si>
  <si>
    <t>parts["4"]</t>
    <phoneticPr fontId="5" type="noConversion"/>
  </si>
  <si>
    <t>parts["5"]</t>
    <phoneticPr fontId="5" type="noConversion"/>
  </si>
  <si>
    <t>parts["6"]</t>
    <phoneticPr fontId="5" type="noConversion"/>
  </si>
  <si>
    <t>parts["7"]</t>
    <phoneticPr fontId="5" type="noConversion"/>
  </si>
  <si>
    <t>parts["8"]</t>
    <phoneticPr fontId="5" type="noConversion"/>
  </si>
  <si>
    <t>parts["9"]</t>
    <phoneticPr fontId="5" type="noConversion"/>
  </si>
  <si>
    <t>parts["10"]</t>
    <phoneticPr fontId="5" type="noConversion"/>
  </si>
  <si>
    <t>parts["11"]</t>
    <phoneticPr fontId="5" type="noConversion"/>
  </si>
  <si>
    <t>parts["12"]</t>
    <phoneticPr fontId="5" type="noConversion"/>
  </si>
  <si>
    <t>parts["13"]</t>
    <phoneticPr fontId="5" type="noConversion"/>
  </si>
  <si>
    <t>Deco_3</t>
  </si>
  <si>
    <t>Deco_4</t>
  </si>
  <si>
    <t>Deco_5</t>
  </si>
  <si>
    <t>컬러 0</t>
    <phoneticPr fontId="5" type="noConversion"/>
  </si>
  <si>
    <t>0xFFFFFF</t>
    <phoneticPr fontId="15" type="noConversion"/>
  </si>
  <si>
    <t>0xffe9b8</t>
    <phoneticPr fontId="15" type="noConversion"/>
  </si>
  <si>
    <t>0xfdb23f</t>
    <phoneticPr fontId="15" type="noConversion"/>
  </si>
  <si>
    <t>0xf15f16</t>
    <phoneticPr fontId="15" type="noConversion"/>
  </si>
  <si>
    <t>0xbf1d08</t>
    <phoneticPr fontId="15" type="noConversion"/>
  </si>
  <si>
    <t>0xf30505</t>
    <phoneticPr fontId="15" type="noConversion"/>
  </si>
  <si>
    <t>0x5c0001</t>
    <phoneticPr fontId="15" type="noConversion"/>
  </si>
  <si>
    <t>0xa7d982</t>
    <phoneticPr fontId="15" type="noConversion"/>
  </si>
  <si>
    <t>0xc5ee0e</t>
    <phoneticPr fontId="15" type="noConversion"/>
  </si>
  <si>
    <t>0xf8eb10</t>
    <phoneticPr fontId="15" type="noConversion"/>
  </si>
  <si>
    <t>0xe1c219</t>
    <phoneticPr fontId="15" type="noConversion"/>
  </si>
  <si>
    <t>컬러 11</t>
  </si>
  <si>
    <t>0x83a602</t>
    <phoneticPr fontId="15" type="noConversion"/>
  </si>
  <si>
    <t>컬러 12</t>
  </si>
  <si>
    <t>0x375903</t>
    <phoneticPr fontId="15" type="noConversion"/>
  </si>
  <si>
    <t>컬러 13</t>
  </si>
  <si>
    <t>0x0276c3</t>
    <phoneticPr fontId="15" type="noConversion"/>
  </si>
  <si>
    <t>컬러 14</t>
  </si>
  <si>
    <t>0x02afcd</t>
    <phoneticPr fontId="15" type="noConversion"/>
  </si>
  <si>
    <t>컬러 15</t>
  </si>
  <si>
    <t>0x02c13d</t>
    <phoneticPr fontId="15" type="noConversion"/>
  </si>
  <si>
    <t>컬러 16</t>
  </si>
  <si>
    <t>0x088c03</t>
    <phoneticPr fontId="15" type="noConversion"/>
  </si>
  <si>
    <t>컬러 17</t>
  </si>
  <si>
    <t>0x1c5d59</t>
    <phoneticPr fontId="15" type="noConversion"/>
  </si>
  <si>
    <t>컬러 18</t>
  </si>
  <si>
    <t>0x1d3a3e</t>
    <phoneticPr fontId="15" type="noConversion"/>
  </si>
  <si>
    <t>컬러 19</t>
  </si>
  <si>
    <t>0x0540f2</t>
    <phoneticPr fontId="15" type="noConversion"/>
  </si>
  <si>
    <t>컬러 20</t>
  </si>
  <si>
    <t>0x034d8c</t>
    <phoneticPr fontId="15" type="noConversion"/>
  </si>
  <si>
    <t>컬러 21</t>
  </si>
  <si>
    <t>0x0583f2</t>
    <phoneticPr fontId="15" type="noConversion"/>
  </si>
  <si>
    <t>컬러 22</t>
  </si>
  <si>
    <t>0x6bbef2</t>
    <phoneticPr fontId="5" type="noConversion"/>
  </si>
  <si>
    <t>컬러 23</t>
  </si>
  <si>
    <t>0x84d3f2</t>
    <phoneticPr fontId="15" type="noConversion"/>
  </si>
  <si>
    <t>컬러 24</t>
  </si>
  <si>
    <t>0x2dccd2</t>
    <phoneticPr fontId="15" type="noConversion"/>
  </si>
  <si>
    <t>컬러 25</t>
  </si>
  <si>
    <t>0x410080</t>
    <phoneticPr fontId="15" type="noConversion"/>
  </si>
  <si>
    <t>컬러 26</t>
  </si>
  <si>
    <t>0x6100bf</t>
    <phoneticPr fontId="5" type="noConversion"/>
  </si>
  <si>
    <t>컬러 27</t>
  </si>
  <si>
    <t>0x7f00ff</t>
    <phoneticPr fontId="15" type="noConversion"/>
  </si>
  <si>
    <t>컬러 28</t>
  </si>
  <si>
    <t>0x99a7f2</t>
    <phoneticPr fontId="15" type="noConversion"/>
  </si>
  <si>
    <t>컬러 29</t>
  </si>
  <si>
    <t>0x36dfff</t>
    <phoneticPr fontId="15" type="noConversion"/>
  </si>
  <si>
    <t>컬러 30</t>
  </si>
  <si>
    <t>0xf20cb6</t>
    <phoneticPr fontId="15" type="noConversion"/>
  </si>
  <si>
    <t>컬러 31</t>
  </si>
  <si>
    <t>0xa7058c</t>
    <phoneticPr fontId="15" type="noConversion"/>
  </si>
  <si>
    <t>컬러 32</t>
  </si>
  <si>
    <t>0xe7578a</t>
    <phoneticPr fontId="15" type="noConversion"/>
  </si>
  <si>
    <t>컬러 33</t>
  </si>
  <si>
    <t>0xd8004b</t>
    <phoneticPr fontId="5" type="noConversion"/>
  </si>
  <si>
    <t>컬러 34</t>
  </si>
  <si>
    <t>0x85002f</t>
    <phoneticPr fontId="15" type="noConversion"/>
  </si>
  <si>
    <t>컬러 35</t>
  </si>
  <si>
    <t>0xf2b6c1</t>
    <phoneticPr fontId="15" type="noConversion"/>
  </si>
  <si>
    <t>컬러 36</t>
  </si>
  <si>
    <t>0xd9bfda</t>
    <phoneticPr fontId="15" type="noConversion"/>
  </si>
  <si>
    <t>컬러 37</t>
  </si>
  <si>
    <t>0xd8a8dc</t>
    <phoneticPr fontId="15" type="noConversion"/>
  </si>
  <si>
    <t>컬러 38</t>
  </si>
  <si>
    <t>0x667fb7</t>
    <phoneticPr fontId="15" type="noConversion"/>
  </si>
  <si>
    <t>컬러 39</t>
  </si>
  <si>
    <t>0x71bbc6</t>
    <phoneticPr fontId="5" type="noConversion"/>
  </si>
  <si>
    <t>컬러 40</t>
  </si>
  <si>
    <t>0x3c4c59</t>
    <phoneticPr fontId="15" type="noConversion"/>
  </si>
  <si>
    <t>컬러 41</t>
  </si>
  <si>
    <t>0x9fb0c0</t>
    <phoneticPr fontId="15" type="noConversion"/>
  </si>
  <si>
    <t>컬러 42</t>
  </si>
  <si>
    <t>0xd9d9d9</t>
    <phoneticPr fontId="15" type="noConversion"/>
  </si>
  <si>
    <t>컬러 43</t>
  </si>
  <si>
    <t>0x737373</t>
    <phoneticPr fontId="15" type="noConversion"/>
  </si>
  <si>
    <t>컬러 44</t>
  </si>
  <si>
    <t>0x404040</t>
    <phoneticPr fontId="15" type="noConversion"/>
  </si>
  <si>
    <t>컬러 45</t>
  </si>
  <si>
    <t>0x0d0d0d</t>
    <phoneticPr fontId="15" type="noConversion"/>
  </si>
  <si>
    <t xml:space="preserve"> 프롤로그 컬러2</t>
    <phoneticPr fontId="15" type="noConversion"/>
  </si>
  <si>
    <t xml:space="preserve"> 프롤로그 컬러3</t>
    <phoneticPr fontId="15" type="noConversion"/>
  </si>
  <si>
    <t xml:space="preserve"> 프롤로그 컬러4</t>
    <phoneticPr fontId="15" type="noConversion"/>
  </si>
  <si>
    <t xml:space="preserve"> 프롤로그 컬러5</t>
    <phoneticPr fontId="15" type="noConversion"/>
  </si>
  <si>
    <t xml:space="preserve"> 프롤로그 컬러8</t>
    <phoneticPr fontId="15" type="noConversion"/>
  </si>
  <si>
    <t>컬러 0</t>
    <phoneticPr fontId="15" type="noConversion"/>
  </si>
  <si>
    <t>isExposure</t>
  </si>
  <si>
    <t>bool</t>
  </si>
  <si>
    <t>다우돛</t>
  </si>
  <si>
    <t>SK_Ship_LargeJunk_Sail</t>
    <phoneticPr fontId="5" type="noConversion"/>
  </si>
  <si>
    <t>다우</t>
    <phoneticPr fontId="5" type="noConversion"/>
  </si>
  <si>
    <t>SK_Ship_LargeJunk_Body</t>
  </si>
  <si>
    <t>SK_Ship_Dhow_Sail</t>
    <phoneticPr fontId="5" type="noConversion"/>
  </si>
  <si>
    <t>SK_Ship_Dhow_Body</t>
    <phoneticPr fontId="5" type="noConversion"/>
  </si>
  <si>
    <t>대복선돛</t>
  </si>
  <si>
    <t>대복선</t>
    <phoneticPr fontId="5" type="noConversion"/>
  </si>
  <si>
    <t>카락돛</t>
  </si>
  <si>
    <t>SK_Ship_Carrack_Sail</t>
  </si>
  <si>
    <t>카락</t>
    <phoneticPr fontId="5" type="noConversion"/>
  </si>
  <si>
    <t>SK_Ship_Carrack_Body</t>
  </si>
  <si>
    <t>SK_Ship_LargeSha_Chuan_Sail</t>
  </si>
  <si>
    <t>대형사선돛</t>
  </si>
  <si>
    <t>SK_Ship_LargeSha_Chuan_Body</t>
  </si>
  <si>
    <t>대형 사선</t>
    <phoneticPr fontId="5" type="noConversion"/>
  </si>
  <si>
    <t>컬러 0</t>
  </si>
  <si>
    <t>민무늬</t>
    <phoneticPr fontId="5" type="noConversion"/>
  </si>
  <si>
    <t>Sail_Pattern_00</t>
    <phoneticPr fontId="5" type="noConversion"/>
  </si>
  <si>
    <t>-</t>
    <phoneticPr fontId="5" type="noConversion"/>
  </si>
  <si>
    <t>빈문장</t>
    <phoneticPr fontId="5" type="noConversion"/>
  </si>
  <si>
    <t>-</t>
    <phoneticPr fontId="5" type="noConversion"/>
  </si>
  <si>
    <t>Deco_6</t>
    <phoneticPr fontId="5" type="noConversion"/>
  </si>
  <si>
    <t>Deco_7</t>
    <phoneticPr fontId="5" type="noConversion"/>
  </si>
  <si>
    <t>Deco_8</t>
    <phoneticPr fontId="5" type="noConversion"/>
  </si>
  <si>
    <t>Deco_9</t>
    <phoneticPr fontId="5" type="noConversion"/>
  </si>
  <si>
    <t>Deco_10</t>
    <phoneticPr fontId="5" type="noConversion"/>
  </si>
  <si>
    <t>Deco_11</t>
    <phoneticPr fontId="5" type="noConversion"/>
  </si>
  <si>
    <t>Deco_12</t>
    <phoneticPr fontId="5" type="noConversion"/>
  </si>
  <si>
    <t>Deco_13</t>
    <phoneticPr fontId="5" type="noConversion"/>
  </si>
  <si>
    <t>Deco_14</t>
    <phoneticPr fontId="5" type="noConversion"/>
  </si>
  <si>
    <t>Deco_15</t>
    <phoneticPr fontId="5" type="noConversion"/>
  </si>
  <si>
    <t>스쿠너</t>
    <phoneticPr fontId="5" type="noConversion"/>
  </si>
  <si>
    <t>SK_Ship_Schooner_Sail</t>
  </si>
  <si>
    <t>SK_Ship_Schooner_Body</t>
  </si>
  <si>
    <t>스쿠너돛</t>
  </si>
  <si>
    <t>Deco_6</t>
  </si>
  <si>
    <t>Deco_7</t>
  </si>
  <si>
    <t>Deco_8</t>
  </si>
  <si>
    <t>Deco_9</t>
  </si>
  <si>
    <t>Deco_10</t>
  </si>
  <si>
    <t>Deco_11</t>
  </si>
  <si>
    <t>Deco_12</t>
  </si>
  <si>
    <t>삼부크돛</t>
  </si>
  <si>
    <t>SK_Ship_Sambuk_Sail</t>
  </si>
  <si>
    <t>삼부크</t>
    <phoneticPr fontId="5" type="noConversion"/>
  </si>
  <si>
    <t>SK_Ship_Sambuk_Body</t>
  </si>
  <si>
    <t>SK_Ship_Anchor_Ancient</t>
  </si>
  <si>
    <t>SK_Ship_Anchor_Rusty</t>
  </si>
  <si>
    <t>SK_Ship_Anchor_Dolphin</t>
    <phoneticPr fontId="5" type="noConversion"/>
  </si>
  <si>
    <t>SK_Ship_Anchor_Twin</t>
    <phoneticPr fontId="5" type="noConversion"/>
  </si>
  <si>
    <t>SK_Ship_Anchor_Twins_Dolphin</t>
    <phoneticPr fontId="5" type="noConversion"/>
  </si>
  <si>
    <t>SK_Ship_Anchor_Steel</t>
    <phoneticPr fontId="5" type="noConversion"/>
  </si>
  <si>
    <t>SK_Ship_Anchor_Wheel</t>
  </si>
  <si>
    <t>SK_Ship_Anchor_Iron_Sword</t>
  </si>
  <si>
    <t>SK_Ship_Anchor_Heart</t>
  </si>
  <si>
    <t>SK_Ship_Anchor_Diamond</t>
  </si>
  <si>
    <t>SK_Ship_Anchor_China_Wood</t>
  </si>
  <si>
    <t>SK_Ship_Anchor_Four_Nail</t>
    <phoneticPr fontId="5" type="noConversion"/>
  </si>
  <si>
    <t>SK_Ship_Anchor_Shark</t>
    <phoneticPr fontId="5" type="noConversion"/>
  </si>
  <si>
    <t>SK_Ship_Anchor_Stone</t>
    <phoneticPr fontId="5" type="noConversion"/>
  </si>
  <si>
    <t>맨티코어상</t>
  </si>
  <si>
    <t>흰머리독수리상</t>
  </si>
  <si>
    <t>벌쳐상(콘도르)</t>
  </si>
  <si>
    <t>독수리상</t>
  </si>
  <si>
    <t>SM_Ship_FigureHead_Eagle</t>
    <phoneticPr fontId="5" type="noConversion"/>
  </si>
  <si>
    <t>SM_Ship_FigureHead_Beluga</t>
  </si>
  <si>
    <t>SM_Ship_FigureHead_Narwhal</t>
  </si>
  <si>
    <t>SM_Ship_FigureHead_Ananta</t>
  </si>
  <si>
    <t>SM_Ship_FigureHead_Greatwhiteshark</t>
  </si>
  <si>
    <t>SM_Ship_FigureHead_SandShark</t>
  </si>
  <si>
    <t>SM_Ship_FigureHead_Koi</t>
  </si>
  <si>
    <t>SM_Ship_FigureHead_Seaturtle</t>
  </si>
  <si>
    <t>SM_Ship_FigureHead_GreatMan</t>
  </si>
  <si>
    <t>SM_Ship_FigureHead_Aeneas</t>
  </si>
  <si>
    <t>SM_Ship_FigureHead_SaintBrendan</t>
    <phoneticPr fontId="5" type="noConversion"/>
  </si>
  <si>
    <t>SM_Ship_FigureHead_Agamemnon</t>
    <phoneticPr fontId="5" type="noConversion"/>
  </si>
  <si>
    <t>SM_Ship_FigureHead_Harunal_Rashid</t>
  </si>
  <si>
    <t>SM_Ship_Penteres_Embolon_Ram</t>
    <phoneticPr fontId="5" type="noConversion"/>
  </si>
  <si>
    <t>SM_Ship_Breakthrough_Ram</t>
    <phoneticPr fontId="5" type="noConversion"/>
  </si>
  <si>
    <t>SM_Ship_Nirekha_Ram</t>
    <phoneticPr fontId="5" type="noConversion"/>
  </si>
  <si>
    <t>SM_Ship_Haladie_Ram</t>
    <phoneticPr fontId="5" type="noConversion"/>
  </si>
  <si>
    <t>SM_Ship_Infinite_Horn_Ram</t>
    <phoneticPr fontId="5" type="noConversion"/>
  </si>
  <si>
    <t>SM_Ship_Saw_Ram</t>
    <phoneticPr fontId="5" type="noConversion"/>
  </si>
  <si>
    <t>SM_Ship_Narwhal_Horn_Ram</t>
    <phoneticPr fontId="5" type="noConversion"/>
  </si>
  <si>
    <t>SM_Ship_Wave_Pattern_Gold_Ram</t>
    <phoneticPr fontId="5" type="noConversion"/>
  </si>
  <si>
    <t>SM_Ship_Suli_Top_Ram</t>
    <phoneticPr fontId="5" type="noConversion"/>
  </si>
  <si>
    <t>SM_Ship_Mjolnir_Ram</t>
    <phoneticPr fontId="5" type="noConversion"/>
  </si>
  <si>
    <t>SM_Ship_DragonBlade_Ram</t>
    <phoneticPr fontId="5" type="noConversion"/>
  </si>
  <si>
    <t>SM_Ship_Vajra_Ram</t>
    <phoneticPr fontId="5" type="noConversion"/>
  </si>
  <si>
    <t>SM_Ship_Shield_Ram</t>
    <phoneticPr fontId="5" type="noConversion"/>
  </si>
  <si>
    <t>SM_Ship_Viking_Helmet_Ram</t>
    <phoneticPr fontId="5" type="noConversion"/>
  </si>
  <si>
    <t>SM_Ship_Nidhogg_Claw_Ram</t>
    <phoneticPr fontId="5" type="noConversion"/>
  </si>
  <si>
    <t>SM_Ship_Griffin_Beak_Ram</t>
    <phoneticPr fontId="5" type="noConversion"/>
  </si>
  <si>
    <t>SM_Ship_Gruz_Ram</t>
    <phoneticPr fontId="5" type="noConversion"/>
  </si>
  <si>
    <t>SM_Ship_Python_Head_Ram</t>
    <phoneticPr fontId="5" type="noConversion"/>
  </si>
  <si>
    <t>SM_Ship_Gold_Cobra_Ram</t>
    <phoneticPr fontId="5" type="noConversion"/>
  </si>
  <si>
    <t>SM_Ship_Black_Scorpion_Ram</t>
    <phoneticPr fontId="5" type="noConversion"/>
  </si>
  <si>
    <t>SM_Ship_Tarantula_Ram</t>
    <phoneticPr fontId="5" type="noConversion"/>
  </si>
  <si>
    <t>SM_Ship_Medusa_Embolon_Ram</t>
    <phoneticPr fontId="5" type="noConversion"/>
  </si>
  <si>
    <t>SM_Ship_Marlin_Ram</t>
    <phoneticPr fontId="5" type="noConversion"/>
  </si>
  <si>
    <t>SM_Ship_Reverse_Blade_Diamond_Ram</t>
    <phoneticPr fontId="5" type="noConversion"/>
  </si>
  <si>
    <t>meshDensity</t>
    <phoneticPr fontId="5" type="noConversion"/>
  </si>
  <si>
    <t>buoyancyRadius</t>
    <phoneticPr fontId="5" type="noConversion"/>
  </si>
  <si>
    <t>펠러커돛</t>
  </si>
  <si>
    <t>SK_Ship_Felucca_Sail</t>
  </si>
  <si>
    <t>SK_Ship_Felucca_Body</t>
  </si>
  <si>
    <t>펠러커</t>
    <phoneticPr fontId="5" type="noConversion"/>
  </si>
  <si>
    <t>핀네스돛</t>
  </si>
  <si>
    <t>SK_Ship_Pinnace_Sail</t>
    <phoneticPr fontId="5" type="noConversion"/>
  </si>
  <si>
    <t>핀네스</t>
    <phoneticPr fontId="5" type="noConversion"/>
  </si>
  <si>
    <t>SK_Ship_Pinnace_Body</t>
  </si>
  <si>
    <t>프류트돛</t>
  </si>
  <si>
    <t>SK_Ship_Fluyt_Sail</t>
    <phoneticPr fontId="5" type="noConversion"/>
  </si>
  <si>
    <t>프류트</t>
    <phoneticPr fontId="5" type="noConversion"/>
  </si>
  <si>
    <t>SK_Ship_Fluyt_Body</t>
  </si>
  <si>
    <t>지벡돛</t>
  </si>
  <si>
    <t>SK_Ship_Xebec_Sail</t>
  </si>
  <si>
    <t>SK_Ship_MediumGalleon_Sail</t>
  </si>
  <si>
    <t>지벡</t>
    <phoneticPr fontId="5" type="noConversion"/>
  </si>
  <si>
    <t>SK_Ship_Xebec_Body</t>
  </si>
  <si>
    <t>SK_Ship_MediumGalleon_Body</t>
  </si>
  <si>
    <t>해신상</t>
  </si>
  <si>
    <t>갤리온</t>
    <phoneticPr fontId="5" type="noConversion"/>
  </si>
  <si>
    <t>갤리온돛</t>
    <phoneticPr fontId="5" type="noConversion"/>
  </si>
  <si>
    <t>Texture_Sail_Crest_1</t>
  </si>
  <si>
    <t>Texture_Sail_Crest_2</t>
  </si>
  <si>
    <t>Texture_Sail_Crest_3</t>
  </si>
  <si>
    <t>Texture_Sail_Crest_4</t>
  </si>
  <si>
    <t>Texture_Sail_Crest_5</t>
  </si>
  <si>
    <t>Texture_Sail_Crest_6</t>
  </si>
  <si>
    <t>Texture_Sail_Crest_7</t>
  </si>
  <si>
    <t>Texture_Sail_Crest_8</t>
  </si>
  <si>
    <t>Texture_Sail_Crest_9</t>
  </si>
  <si>
    <t>Texture_Sail_Crest_10</t>
  </si>
  <si>
    <t>Texture_Sail_Crest_11</t>
  </si>
  <si>
    <t>Texture_Sail_Crest_12</t>
  </si>
  <si>
    <t>Texture_Sail_Crest_14</t>
  </si>
  <si>
    <t>Texture_Sail_Crest_15</t>
  </si>
  <si>
    <t>Texture_Sail_Crest_16</t>
  </si>
  <si>
    <t>Texture_Sail_Crest_17</t>
  </si>
  <si>
    <t>Texture_Sail_Crest_18</t>
  </si>
  <si>
    <t>Texture_Sail_Crest_19</t>
  </si>
  <si>
    <t>Texture_Sail_Crest_20</t>
  </si>
  <si>
    <t>Texture_Sail_Crest_21</t>
  </si>
  <si>
    <t>Texture_Sail_Crest_22</t>
  </si>
  <si>
    <t>Texture_Sail_Crest_23</t>
  </si>
  <si>
    <t>Texture_Sail_Crest_24</t>
  </si>
  <si>
    <t>Texture_Sail_Crest_25</t>
  </si>
  <si>
    <t>Texture_Sail_Crest_26</t>
  </si>
  <si>
    <t>Texture_Sail_Crest_27</t>
  </si>
  <si>
    <t>Texture_Sail_Crest_28</t>
  </si>
  <si>
    <t>Texture_Sail_Crest_29</t>
  </si>
  <si>
    <t>Texture_Sail_Crest_30</t>
  </si>
  <si>
    <t>Texture_Sail_Crest_31</t>
  </si>
  <si>
    <t>Texture_Sail_Crest_32</t>
  </si>
  <si>
    <t>Texture_Sail_Crest_33</t>
  </si>
  <si>
    <t>Texture_Sail_Crest_34</t>
  </si>
  <si>
    <t>Texture_Sail_Crest_35</t>
  </si>
  <si>
    <t>Texture_Sail_Crest_36</t>
  </si>
  <si>
    <t>Texture_Sail_Crest_37</t>
  </si>
  <si>
    <t>Texture_Sail_Crest_38</t>
  </si>
  <si>
    <t>Texture_Sail_Crest_39</t>
  </si>
  <si>
    <t>Texture_Sail_Crest_40</t>
  </si>
  <si>
    <t>Texture_Sail_Crest_41</t>
  </si>
  <si>
    <t>Texture_Sail_Crest_42</t>
  </si>
  <si>
    <t>Texture_Sail_Crest_43</t>
  </si>
  <si>
    <t>Texture_Sail_Crest_44</t>
  </si>
  <si>
    <t>Texture_Sail_Crest_45</t>
  </si>
  <si>
    <t>Texture_Sail_Crest_46</t>
  </si>
  <si>
    <t>Texture_Sail_Crest_47</t>
  </si>
  <si>
    <t>Texture_Sail_Crest_48</t>
  </si>
  <si>
    <t>Texture_Sail_Crest_49</t>
  </si>
  <si>
    <t>Texture_Sail_Crest_50</t>
  </si>
  <si>
    <t>Texture_Sail_Crest_51</t>
  </si>
  <si>
    <t>Texture_Sail_Crest_52</t>
  </si>
  <si>
    <t>Texture_Sail_Crest_53</t>
  </si>
  <si>
    <t>Texture_Sail_Crest_54</t>
  </si>
  <si>
    <t>Texture_Sail_Crest_55</t>
  </si>
  <si>
    <t>Texture_Sail_Crest_56</t>
  </si>
  <si>
    <t>Texture_Sail_Crest_57</t>
  </si>
  <si>
    <t>Texture_Sail_Crest_58</t>
  </si>
  <si>
    <t>Texture_Sail_Crest_59</t>
  </si>
  <si>
    <t>Texture_Sail_Crest_60</t>
  </si>
  <si>
    <t>Texture_Sail_Crest_61</t>
  </si>
  <si>
    <t>Texture_Sail_Crest_62</t>
  </si>
  <si>
    <t>Texture_Sail_Crest_63</t>
  </si>
  <si>
    <t>Texture_Sail_Crest_64</t>
  </si>
  <si>
    <t>Texture_Sail_Crest_65</t>
  </si>
  <si>
    <t>Texture_Sail_Crest_66</t>
  </si>
  <si>
    <t>Texture_Sail_Crest_67</t>
  </si>
  <si>
    <t>Texture_Sail_Crest_68</t>
  </si>
  <si>
    <t>Texture_Sail_Crest_69</t>
  </si>
  <si>
    <t>Texture_Sail_Crest_70</t>
  </si>
  <si>
    <t>Texture_Sail_Crest_71</t>
  </si>
  <si>
    <t>Texture_Sail_Crest_72</t>
  </si>
  <si>
    <t>Texture_Sail_Crest_73</t>
  </si>
  <si>
    <t>Texture_Sail_Crest_74</t>
  </si>
  <si>
    <t>Texture_Sail_Crest_75</t>
  </si>
  <si>
    <t>Texture_Sail_Crest_76</t>
  </si>
  <si>
    <t>Texture_Sail_Crest_77</t>
  </si>
  <si>
    <t>Texture_Sail_Crest_78</t>
  </si>
  <si>
    <t>Texture_Sail_Crest_80</t>
  </si>
  <si>
    <t>Texture_Sail_Crest_81</t>
  </si>
  <si>
    <t>Texture_Sail_Crest_82</t>
  </si>
  <si>
    <t>Texture_Sail_Crest_83</t>
  </si>
  <si>
    <t>Texture_Sail_Crest_84</t>
  </si>
  <si>
    <t>Texture_Sail_Crest_141</t>
  </si>
  <si>
    <t>Texture_Sail_Crest_142</t>
  </si>
  <si>
    <t>Texture_Sail_Crest_143</t>
  </si>
  <si>
    <t>Texture_Sail_Crest_144</t>
  </si>
  <si>
    <t>Texture_Sail_Crest_145</t>
  </si>
  <si>
    <t>Texture_Sail_Crest_146</t>
  </si>
  <si>
    <t>Texture_Sail_Crest_147</t>
  </si>
  <si>
    <t>Texture_Sail_Crest_148</t>
  </si>
  <si>
    <t>Texture_Sail_Crest_149</t>
  </si>
  <si>
    <t>Texture_Sail_Crest_150</t>
  </si>
  <si>
    <t>Texture_Sail_Crest_151</t>
  </si>
  <si>
    <t>Texture_Sail_Crest_152</t>
  </si>
  <si>
    <t>Texture_Sail_Crest_153</t>
  </si>
  <si>
    <t>Texture_Sail_Crest_154</t>
  </si>
  <si>
    <t>Texture_Sail_Crest_155</t>
  </si>
  <si>
    <t>Texture_Sail_Crest_156</t>
  </si>
  <si>
    <t>Texture_Sail_Crest_157</t>
  </si>
  <si>
    <t>Texture_Sail_Crest_158</t>
  </si>
  <si>
    <t>Texture_Sail_Crest_159</t>
  </si>
  <si>
    <t>crestUiIcon</t>
    <phoneticPr fontId="5" type="noConversion"/>
  </si>
  <si>
    <t>patternUiIcon</t>
    <phoneticPr fontId="5" type="noConversion"/>
  </si>
  <si>
    <t>-</t>
    <phoneticPr fontId="5" type="noConversion"/>
  </si>
  <si>
    <t>Icon_Sail_Crest_1_Sprite</t>
  </si>
  <si>
    <t>Icon_Sail_Crest_2_Sprite</t>
  </si>
  <si>
    <t>Icon_Sail_Crest_3_Sprite</t>
  </si>
  <si>
    <t>Icon_Sail_Crest_4_Sprite</t>
  </si>
  <si>
    <t>Icon_Sail_Crest_5_Sprite</t>
  </si>
  <si>
    <t>Icon_Sail_Crest_6_Sprite</t>
  </si>
  <si>
    <t>Icon_Sail_Crest_7_Sprite</t>
  </si>
  <si>
    <t>Icon_Sail_Crest_8_Sprite</t>
  </si>
  <si>
    <t>Icon_Sail_Crest_9_Sprite</t>
  </si>
  <si>
    <t>Icon_Sail_Crest_10_Sprite</t>
  </si>
  <si>
    <t>Icon_Sail_Crest_11_Sprite</t>
  </si>
  <si>
    <t>Icon_Sail_Crest_12_Sprite</t>
  </si>
  <si>
    <t>Icon_Sail_Crest_14_Sprite</t>
  </si>
  <si>
    <t>Icon_Sail_Crest_15_Sprite</t>
  </si>
  <si>
    <t>Icon_Sail_Crest_16_Sprite</t>
  </si>
  <si>
    <t>Icon_Sail_Crest_17_Sprite</t>
  </si>
  <si>
    <t>Icon_Sail_Crest_18_Sprite</t>
  </si>
  <si>
    <t>Icon_Sail_Crest_19_Sprite</t>
  </si>
  <si>
    <t>Icon_Sail_Crest_20_Sprite</t>
  </si>
  <si>
    <t>Icon_Sail_Crest_21_Sprite</t>
  </si>
  <si>
    <t>Icon_Sail_Crest_22_Sprite</t>
  </si>
  <si>
    <t>Icon_Sail_Crest_23_Sprite</t>
  </si>
  <si>
    <t>Icon_Sail_Crest_24_Sprite</t>
  </si>
  <si>
    <t>Icon_Sail_Crest_25_Sprite</t>
  </si>
  <si>
    <t>Icon_Sail_Crest_26_Sprite</t>
  </si>
  <si>
    <t>Icon_Sail_Crest_27_Sprite</t>
  </si>
  <si>
    <t>Icon_Sail_Crest_28_Sprite</t>
  </si>
  <si>
    <t>Icon_Sail_Crest_29_Sprite</t>
  </si>
  <si>
    <t>Icon_Sail_Crest_30_Sprite</t>
  </si>
  <si>
    <t>Icon_Sail_Crest_31_Sprite</t>
  </si>
  <si>
    <t>Icon_Sail_Crest_32_Sprite</t>
  </si>
  <si>
    <t>Icon_Sail_Crest_33_Sprite</t>
  </si>
  <si>
    <t>Icon_Sail_Crest_34_Sprite</t>
  </si>
  <si>
    <t>Icon_Sail_Crest_35_Sprite</t>
  </si>
  <si>
    <t>Icon_Sail_Crest_36_Sprite</t>
  </si>
  <si>
    <t>Icon_Sail_Crest_37_Sprite</t>
  </si>
  <si>
    <t>Icon_Sail_Crest_38_Sprite</t>
  </si>
  <si>
    <t>Icon_Sail_Crest_39_Sprite</t>
  </si>
  <si>
    <t>Icon_Sail_Crest_40_Sprite</t>
  </si>
  <si>
    <t>Icon_Sail_Crest_41_Sprite</t>
  </si>
  <si>
    <t>Icon_Sail_Crest_42_Sprite</t>
  </si>
  <si>
    <t>Icon_Sail_Crest_43_Sprite</t>
  </si>
  <si>
    <t>Icon_Sail_Crest_44_Sprite</t>
  </si>
  <si>
    <t>Icon_Sail_Crest_45_Sprite</t>
  </si>
  <si>
    <t>Icon_Sail_Crest_46_Sprite</t>
  </si>
  <si>
    <t>Icon_Sail_Crest_47_Sprite</t>
  </si>
  <si>
    <t>Icon_Sail_Crest_48_Sprite</t>
  </si>
  <si>
    <t>Icon_Sail_Crest_49_Sprite</t>
  </si>
  <si>
    <t>Icon_Sail_Crest_50_Sprite</t>
  </si>
  <si>
    <t>Icon_Sail_Crest_51_Sprite</t>
  </si>
  <si>
    <t>Icon_Sail_Crest_52_Sprite</t>
  </si>
  <si>
    <t>Icon_Sail_Crest_53_Sprite</t>
  </si>
  <si>
    <t>Icon_Sail_Crest_54_Sprite</t>
  </si>
  <si>
    <t>Icon_Sail_Crest_55_Sprite</t>
  </si>
  <si>
    <t>Icon_Sail_Crest_56_Sprite</t>
  </si>
  <si>
    <t>Icon_Sail_Crest_57_Sprite</t>
  </si>
  <si>
    <t>Icon_Sail_Crest_58_Sprite</t>
  </si>
  <si>
    <t>Icon_Sail_Crest_59_Sprite</t>
  </si>
  <si>
    <t>Icon_Sail_Crest_60_Sprite</t>
  </si>
  <si>
    <t>Icon_Sail_Crest_61_Sprite</t>
  </si>
  <si>
    <t>Icon_Sail_Crest_62_Sprite</t>
  </si>
  <si>
    <t>Icon_Sail_Crest_63_Sprite</t>
  </si>
  <si>
    <t>Icon_Sail_Crest_64_Sprite</t>
  </si>
  <si>
    <t>Icon_Sail_Crest_65_Sprite</t>
  </si>
  <si>
    <t>Icon_Sail_Crest_66_Sprite</t>
  </si>
  <si>
    <t>Icon_Sail_Crest_67_Sprite</t>
  </si>
  <si>
    <t>Icon_Sail_Crest_68_Sprite</t>
  </si>
  <si>
    <t>Icon_Sail_Crest_69_Sprite</t>
  </si>
  <si>
    <t>Icon_Sail_Crest_70_Sprite</t>
  </si>
  <si>
    <t>Icon_Sail_Crest_71_Sprite</t>
  </si>
  <si>
    <t>Icon_Sail_Crest_72_Sprite</t>
  </si>
  <si>
    <t>Icon_Sail_Crest_73_Sprite</t>
  </si>
  <si>
    <t>Icon_Sail_Crest_74_Sprite</t>
  </si>
  <si>
    <t>Icon_Sail_Crest_75_Sprite</t>
  </si>
  <si>
    <t>Icon_Sail_Crest_76_Sprite</t>
  </si>
  <si>
    <t>Icon_Sail_Crest_77_Sprite</t>
  </si>
  <si>
    <t>Icon_Sail_Crest_78_Sprite</t>
  </si>
  <si>
    <t>Icon_Sail_Crest_80_Sprite</t>
  </si>
  <si>
    <t>Icon_Sail_Crest_81_Sprite</t>
  </si>
  <si>
    <t>Icon_Sail_Crest_82_Sprite</t>
  </si>
  <si>
    <t>Icon_Sail_Crest_83_Sprite</t>
  </si>
  <si>
    <t>Icon_Sail_Crest_84_Sprite</t>
  </si>
  <si>
    <t>Icon_Sail_Crest_141_Sprite</t>
  </si>
  <si>
    <t>Icon_Sail_Crest_142_Sprite</t>
  </si>
  <si>
    <t>Icon_Sail_Crest_143_Sprite</t>
  </si>
  <si>
    <t>Icon_Sail_Crest_144_Sprite</t>
  </si>
  <si>
    <t>Icon_Sail_Crest_145_Sprite</t>
  </si>
  <si>
    <t>Icon_Sail_Crest_146_Sprite</t>
  </si>
  <si>
    <t>Icon_Sail_Crest_147_Sprite</t>
  </si>
  <si>
    <t>Icon_Sail_Crest_148_Sprite</t>
  </si>
  <si>
    <t>Icon_Sail_Crest_149_Sprite</t>
  </si>
  <si>
    <t>Icon_Sail_Crest_150_Sprite</t>
  </si>
  <si>
    <t>Icon_Sail_Crest_151_Sprite</t>
  </si>
  <si>
    <t>Icon_Sail_Crest_152_Sprite</t>
  </si>
  <si>
    <t>Icon_Sail_Crest_153_Sprite</t>
  </si>
  <si>
    <t>Icon_Sail_Crest_154_Sprite</t>
  </si>
  <si>
    <t>Icon_Sail_Crest_155_Sprite</t>
  </si>
  <si>
    <t>Icon_Sail_Crest_156_Sprite</t>
  </si>
  <si>
    <t>Icon_Sail_Crest_157_Sprite</t>
  </si>
  <si>
    <t>Icon_Sail_Crest_158_Sprite</t>
  </si>
  <si>
    <t>Icon_Sail_Crest_159_Sprite</t>
  </si>
  <si>
    <t>Icon_Sail_Crest_160_Sprite</t>
  </si>
  <si>
    <t>Icon_Sail_Pattern_2_Sprite</t>
  </si>
  <si>
    <t>Icon_Sail_Pattern_3_Sprite</t>
  </si>
  <si>
    <t>Icon_Sail_Pattern_5_Sprite</t>
  </si>
  <si>
    <t>Icon_Sail_Pattern_6_Sprite</t>
  </si>
  <si>
    <t>Icon_Sail_Pattern_7_Sprite</t>
  </si>
  <si>
    <t>Icon_Sail_Pattern_8_Sprite</t>
  </si>
  <si>
    <t>Icon_Sail_Pattern_9_Sprite</t>
  </si>
  <si>
    <t>Icon_Sail_Pattern_11_Sprite</t>
  </si>
  <si>
    <t>Icon_Sail_Pattern_12_Sprite</t>
  </si>
  <si>
    <t>Icon_Sail_Pattern_13_Sprite</t>
  </si>
  <si>
    <t>Icon_Sail_Pattern_15_Sprite</t>
  </si>
  <si>
    <t>Icon_Sail_Pattern_16_Sprite</t>
  </si>
  <si>
    <t>Icon_Sail_Pattern_17_Sprite</t>
  </si>
  <si>
    <t>Icon_Sail_Pattern_18_Sprite</t>
  </si>
  <si>
    <t>Icon_Sail_Pattern_19_Sprite</t>
  </si>
  <si>
    <t>Icon_Sail_Pattern_20_Sprite</t>
  </si>
  <si>
    <t>Icon_Sail_Pattern_21_Sprite</t>
  </si>
  <si>
    <t>Icon_Sail_Pattern_22_Sprite</t>
  </si>
  <si>
    <t>Icon_Sail_Pattern_23_Sprite</t>
  </si>
  <si>
    <t>Icon_Sail_Pattern_24_Sprite</t>
  </si>
  <si>
    <t>Icon_Sail_Pattern_25_Sprite</t>
  </si>
  <si>
    <t>Icon_Sail_Pattern_26_Sprite</t>
  </si>
  <si>
    <t>Icon_Sail_Pattern_27_Sprite</t>
  </si>
  <si>
    <t>Icon_Sail_Pattern_28_Sprite</t>
  </si>
  <si>
    <t>Icon_Sail_Pattern_29_Sprite</t>
  </si>
  <si>
    <t>Icon_Sail_Pattern_30_Sprite</t>
  </si>
  <si>
    <t>Icon_Sail_Pattern_32_Sprite</t>
  </si>
  <si>
    <t>Icon_Sail_Pattern_33_Sprite</t>
  </si>
  <si>
    <t>Icon_Sail_Pattern_34_Sprite</t>
  </si>
  <si>
    <t>Icon_Sail_Pattern_36_Sprite</t>
  </si>
  <si>
    <t>Icon_Sail_Pattern_37_Sprite</t>
  </si>
  <si>
    <t>Icon_Sail_Pattern_38_Sprite</t>
  </si>
  <si>
    <t>Icon_Sail_Pattern_39_Sprite</t>
  </si>
  <si>
    <t>Icon_Sail_Pattern_40_Sprite</t>
  </si>
  <si>
    <t>Icon_Sail_Pattern_41_Sprite</t>
  </si>
  <si>
    <t>Icon_Sail_Pattern_42_Sprite</t>
  </si>
  <si>
    <t>Icon_Sail_Pattern_43_Sprite</t>
  </si>
  <si>
    <t>Icon_Sail_Pattern_44_Sprite</t>
  </si>
  <si>
    <t>Icon_Sail_Pattern_45_Sprite</t>
  </si>
  <si>
    <t>Icon_Sail_Pattern_46_Sprite</t>
  </si>
  <si>
    <t>Icon_Sail_Pattern_47_Sprite</t>
  </si>
  <si>
    <t>Icon_Sail_Pattern_48_Sprite</t>
  </si>
  <si>
    <t>Icon_Sail_Pattern_49_Sprite</t>
  </si>
  <si>
    <t>Icon_Sail_Pattern_50_Sprite</t>
  </si>
  <si>
    <t>Icon_Sail_Pattern_51_Sprite</t>
  </si>
  <si>
    <t>Icon_Sail_Pattern_52_Sprite</t>
  </si>
  <si>
    <t>Icon_Sail_Pattern_53_Sprite</t>
  </si>
  <si>
    <t>Icon_Sail_Pattern_54_Sprite</t>
  </si>
  <si>
    <t>Icon_Sail_Pattern_56_Sprite</t>
  </si>
  <si>
    <t>Icon_Sail_Pattern_57_Sprite</t>
  </si>
  <si>
    <t>중카락돛</t>
  </si>
  <si>
    <t>케벡돛</t>
  </si>
  <si>
    <t>대형스쿠너돛</t>
  </si>
  <si>
    <t>SK_Ship_HeavyCarrack_Sail</t>
  </si>
  <si>
    <t>SK_Ship_Chebec_Sail</t>
  </si>
  <si>
    <t>SK_Ship_LargeSchooner_Sail</t>
  </si>
  <si>
    <t>케벡</t>
    <phoneticPr fontId="5" type="noConversion"/>
  </si>
  <si>
    <t>대형 스쿠너</t>
    <phoneticPr fontId="5" type="noConversion"/>
  </si>
  <si>
    <t>SK_Ship_HeavyCarrack_Body</t>
  </si>
  <si>
    <t>SK_Ship_Chebec_Body</t>
    <phoneticPr fontId="5" type="noConversion"/>
  </si>
  <si>
    <t>중 카락</t>
    <phoneticPr fontId="5" type="noConversion"/>
  </si>
  <si>
    <t>SK_Ship_LargeSchooner_Body</t>
    <phoneticPr fontId="5" type="noConversion"/>
  </si>
  <si>
    <t>갤리스</t>
    <phoneticPr fontId="5" type="noConversion"/>
  </si>
  <si>
    <t>SK_Ship_LaMort_Sail</t>
    <phoneticPr fontId="5" type="noConversion"/>
  </si>
  <si>
    <t>SK_Ship_LaMort_Paddle</t>
    <phoneticPr fontId="5" type="noConversion"/>
  </si>
  <si>
    <t>라 모르돛</t>
  </si>
  <si>
    <t>SK_Ship_Galleass_Sail</t>
    <phoneticPr fontId="5" type="noConversion"/>
  </si>
  <si>
    <t>SK_Ship_Galleass_Paddle</t>
    <phoneticPr fontId="5" type="noConversion"/>
  </si>
  <si>
    <t>SK_Ship_LaMort_Body</t>
  </si>
  <si>
    <t>SK_Ship_Galleass_Body</t>
  </si>
  <si>
    <t>갤리스돛</t>
  </si>
  <si>
    <t>라 모르노</t>
  </si>
  <si>
    <t>갤리스노</t>
  </si>
  <si>
    <t>라모르</t>
    <phoneticPr fontId="5" type="noConversion"/>
  </si>
  <si>
    <t>SK_Ship_LaReale_Sail</t>
  </si>
  <si>
    <t>라 레알노</t>
  </si>
  <si>
    <t>오스만 겔리온노</t>
  </si>
  <si>
    <t>SK_Ship_LaReale_Paddle</t>
  </si>
  <si>
    <t>SK_Ship_OsmanGalleon_Sail</t>
    <phoneticPr fontId="5" type="noConversion"/>
  </si>
  <si>
    <t>SK_Ship_OsmanGalleon_Paddle</t>
    <phoneticPr fontId="5" type="noConversion"/>
  </si>
  <si>
    <t>라레알</t>
    <phoneticPr fontId="5" type="noConversion"/>
  </si>
  <si>
    <t>라 레알돛</t>
  </si>
  <si>
    <t>오스만 겔리온돛</t>
  </si>
  <si>
    <t>SK_Ship_OsmanGalleon_Body</t>
  </si>
  <si>
    <t>SK_Ship_LaReale_Body</t>
  </si>
  <si>
    <t>라 르와이얄돛</t>
  </si>
  <si>
    <t>오세앙</t>
    <phoneticPr fontId="5" type="noConversion"/>
  </si>
  <si>
    <t>SK_Ship_LaRoyale_Sail</t>
  </si>
  <si>
    <t>SK_Ship_Ocean_Sail</t>
  </si>
  <si>
    <t>라 르와이얄노</t>
  </si>
  <si>
    <t>SK_Ship_LaRoyale_Paddle</t>
  </si>
  <si>
    <t>라르와이얄</t>
    <phoneticPr fontId="5" type="noConversion"/>
  </si>
  <si>
    <t>오세앙돛</t>
  </si>
  <si>
    <t>SK_Ship_LaRoyale_Body</t>
  </si>
  <si>
    <t>SK_Ship_Ocean_Body</t>
  </si>
  <si>
    <t>플란더스갤리돛</t>
  </si>
  <si>
    <t>플란더스갤리노</t>
  </si>
  <si>
    <t>SK_Ship_FlandersGalley_Sail</t>
  </si>
  <si>
    <t>SK_Ship_FlandersGalley_Paddle</t>
  </si>
  <si>
    <t>SK_Ship_FlandersGalley_Body</t>
  </si>
  <si>
    <t>오스만 갤리온</t>
    <phoneticPr fontId="5" type="noConversion"/>
  </si>
  <si>
    <t>플란더스 갤리</t>
    <phoneticPr fontId="5" type="noConversion"/>
  </si>
  <si>
    <t>Icon_Sail_Crest_0_Sprite</t>
    <phoneticPr fontId="5" type="noConversion"/>
  </si>
  <si>
    <t>Texture_Sail_Crest_0</t>
    <phoneticPr fontId="5" type="noConversion"/>
  </si>
  <si>
    <t>SK_Ship_LongSchooner_Sail</t>
  </si>
  <si>
    <t>롱스쿠너돛</t>
  </si>
  <si>
    <t>SK_Ship_LongSchooner_Body</t>
  </si>
  <si>
    <t>롱 스쿠너</t>
    <phoneticPr fontId="5" type="noConversion"/>
  </si>
  <si>
    <t>SM_Ship_FigureHead_Anahita</t>
  </si>
  <si>
    <t>SM_Ship_FigureHead_Angel</t>
  </si>
  <si>
    <t>SM_Ship_FigureHead_EmperorAshoka</t>
  </si>
  <si>
    <t>SM_Ship_FigureHead_FinWhale</t>
  </si>
  <si>
    <t>라나팰콘상</t>
  </si>
  <si>
    <t>SM_Ship_FigureHead_LannerFalcon</t>
  </si>
  <si>
    <t>SM_Ship_FigureHead_MarcusAurelius</t>
  </si>
  <si>
    <t>SM_Ship_FigureHead_PearlKite</t>
  </si>
  <si>
    <t>SM_Ship_FigureHead_BlueWhale</t>
    <phoneticPr fontId="5" type="noConversion"/>
  </si>
  <si>
    <t>SM_Ship_FigureHead_Dugong</t>
    <phoneticPr fontId="5" type="noConversion"/>
  </si>
  <si>
    <t>SM_Ship_FigureHead_Dragonhead</t>
    <phoneticPr fontId="5" type="noConversion"/>
  </si>
  <si>
    <t>SM_Ship_FigureHead_Freya</t>
    <phoneticPr fontId="5" type="noConversion"/>
  </si>
  <si>
    <t>SM_Ship_FigureHead_Goshawk</t>
    <phoneticPr fontId="5" type="noConversion"/>
  </si>
  <si>
    <t>SM_Ship_FigureHead_Gryphin</t>
    <phoneticPr fontId="5" type="noConversion"/>
  </si>
  <si>
    <t>SM_Ship_FigureHead_Hannibal</t>
    <phoneticPr fontId="5" type="noConversion"/>
  </si>
  <si>
    <t>SM_Ship_FigureHead_Hawk</t>
    <phoneticPr fontId="5" type="noConversion"/>
  </si>
  <si>
    <t>SM_Ship_FigureHead_Ishtar</t>
    <phoneticPr fontId="5" type="noConversion"/>
  </si>
  <si>
    <t>SM_Ship_FigureHead_Kestrel</t>
    <phoneticPr fontId="5" type="noConversion"/>
  </si>
  <si>
    <t>SM_Ship_FigureHead_Kite</t>
    <phoneticPr fontId="5" type="noConversion"/>
  </si>
  <si>
    <t>SM_Ship_FigureHead_Maiden</t>
    <phoneticPr fontId="5" type="noConversion"/>
  </si>
  <si>
    <t>SM_Ship_FigureHead_Manatee</t>
    <phoneticPr fontId="5" type="noConversion"/>
  </si>
  <si>
    <t>SM_Ship_FigureHead_Mermaid</t>
    <phoneticPr fontId="5" type="noConversion"/>
  </si>
  <si>
    <t>SM_Ship_FigureHead_Nighthawk</t>
    <phoneticPr fontId="5" type="noConversion"/>
  </si>
  <si>
    <t>SM_Ship_FigureHead_Orca</t>
    <phoneticPr fontId="5" type="noConversion"/>
  </si>
  <si>
    <t>SM_Ship_FigureHead_Peregrine</t>
    <phoneticPr fontId="5" type="noConversion"/>
  </si>
  <si>
    <t>SM_Ship_FigureHead_Phoenix</t>
    <phoneticPr fontId="5" type="noConversion"/>
  </si>
  <si>
    <t>SM_Ship_FigureHead_Plato</t>
    <phoneticPr fontId="5" type="noConversion"/>
  </si>
  <si>
    <t>SM_Ship_FigureHead_Porpoise</t>
    <phoneticPr fontId="5" type="noConversion"/>
  </si>
  <si>
    <t>SM_Ship_FigureHead_Poseidon</t>
    <phoneticPr fontId="5" type="noConversion"/>
  </si>
  <si>
    <t>SM_Ship_FigureHead_SaintChristopher</t>
    <phoneticPr fontId="5" type="noConversion"/>
  </si>
  <si>
    <t>SM_Ship_FigureHead_SaintMark</t>
    <phoneticPr fontId="5" type="noConversion"/>
  </si>
  <si>
    <t>SM_Ship_FigureHead_Saraswati</t>
    <phoneticPr fontId="5" type="noConversion"/>
  </si>
  <si>
    <t>SM_Ship_FigureHead_Sparrowhawk</t>
    <phoneticPr fontId="5" type="noConversion"/>
  </si>
  <si>
    <t>SM_Ship_FigureHead_Whale</t>
    <phoneticPr fontId="5" type="noConversion"/>
  </si>
  <si>
    <t>SM_Ship_FigureHead_WhiteSidedDolphin</t>
    <phoneticPr fontId="5" type="noConversion"/>
  </si>
  <si>
    <t>SM_Ship_FigureHead_Dolphin</t>
    <phoneticPr fontId="5" type="noConversion"/>
  </si>
  <si>
    <t>SM_Ship_FigureHead_Jormungand</t>
    <phoneticPr fontId="5" type="noConversion"/>
  </si>
  <si>
    <t>M_Ship_LargeGalleon_Sail_Inst</t>
    <phoneticPr fontId="5" type="noConversion"/>
  </si>
  <si>
    <t>M_Ship_Sail_Panho</t>
    <phoneticPr fontId="5" type="noConversion"/>
  </si>
  <si>
    <t>M_Ship_LargeGalleon_Sail_Inst_Panho</t>
    <phoneticPr fontId="5" type="noConversion"/>
  </si>
  <si>
    <t>SM_Lamp_Asia01</t>
  </si>
  <si>
    <t>SM_Lamp_Asia02</t>
  </si>
  <si>
    <t>SM_Lamp_Asia03</t>
  </si>
  <si>
    <t>SM_Lamp_Asia04</t>
  </si>
  <si>
    <t>SM_Lamp_Asia05</t>
  </si>
  <si>
    <t>SM_Lamp_Asia06</t>
  </si>
  <si>
    <t>SM_Lamp_Asia07a</t>
    <phoneticPr fontId="5" type="noConversion"/>
  </si>
  <si>
    <t>SM_Lamp_Asia07b</t>
    <phoneticPr fontId="5" type="noConversion"/>
  </si>
  <si>
    <t>Sm_Lamp_Europe01</t>
  </si>
  <si>
    <t>Sm_Lamp_Europe02</t>
  </si>
  <si>
    <t>Sm_Lamp_Europe03</t>
  </si>
  <si>
    <t>Sm_Lamp_Isram01</t>
    <phoneticPr fontId="5" type="noConversion"/>
  </si>
  <si>
    <t>Sm_Lamp_Isram02</t>
  </si>
  <si>
    <t>Sm_Lamp_Isram03</t>
  </si>
  <si>
    <t>동양램프_한국2</t>
  </si>
  <si>
    <t>동양램프_중국2</t>
  </si>
  <si>
    <t>동양램프_중국3</t>
  </si>
  <si>
    <t>서양램프_유럽2</t>
  </si>
  <si>
    <t>서양램프_유럽3</t>
  </si>
  <si>
    <t>서양램프_이슬람2</t>
  </si>
  <si>
    <t>서양램프_이슬람3</t>
  </si>
  <si>
    <t>0, 0, 20</t>
    <phoneticPr fontId="5" type="noConversion"/>
  </si>
  <si>
    <t>BP_UwoLight_ShipPart2</t>
  </si>
  <si>
    <t>SK_Ship_Anchor_Canoe</t>
  </si>
  <si>
    <t>SK_Ship_Anchor_ChinaLargeWood</t>
  </si>
  <si>
    <t>SK_Ship_Anchor_ChosunWood</t>
  </si>
  <si>
    <t>SK_Ship_Anchor_Kraken</t>
  </si>
  <si>
    <t>SK_Ship_Anchor_Hoe</t>
  </si>
  <si>
    <t>SK_Ship_Anchor_Skull</t>
  </si>
  <si>
    <t>SK_Ship_Anchor_GoldSnake</t>
  </si>
  <si>
    <t>SK_Ship_Anchor_CastIron</t>
    <phoneticPr fontId="5" type="noConversion"/>
  </si>
  <si>
    <t>SK_Ship_Anchor_CrescentMoon</t>
    <phoneticPr fontId="5" type="noConversion"/>
  </si>
  <si>
    <t>SM_Ship_FigureHead_Garuda</t>
    <phoneticPr fontId="5" type="noConversion"/>
  </si>
  <si>
    <t>SM_Ship_FigureHead_Buffalo</t>
  </si>
  <si>
    <t>SM_Ship_FigureHead_Octopus</t>
  </si>
  <si>
    <t>SM_Ship_FigureHead_Bear</t>
  </si>
  <si>
    <t>SM_Ship_FigureHead_JoanofArc</t>
  </si>
  <si>
    <t>SM_Ship_FigureHead_SaintGeorge</t>
    <phoneticPr fontId="5" type="noConversion"/>
  </si>
  <si>
    <t>0, 0, 80</t>
    <phoneticPr fontId="5" type="noConversion"/>
  </si>
  <si>
    <t>0, 0, 135</t>
    <phoneticPr fontId="5" type="noConversion"/>
  </si>
  <si>
    <t>0, 0, 77</t>
    <phoneticPr fontId="5" type="noConversion"/>
  </si>
  <si>
    <t>0, 0, 75</t>
    <phoneticPr fontId="5" type="noConversion"/>
  </si>
  <si>
    <t>25, 0, -25</t>
    <phoneticPr fontId="5" type="noConversion"/>
  </si>
  <si>
    <t>0, 0, 30</t>
    <phoneticPr fontId="5" type="noConversion"/>
  </si>
  <si>
    <t>바르카_에스파냐_전투_졸개</t>
    <phoneticPr fontId="5" type="noConversion"/>
  </si>
  <si>
    <t>코그 라티나_에스파냐_전투_대장</t>
    <phoneticPr fontId="5" type="noConversion"/>
  </si>
  <si>
    <t>돛_코그 라티나_에스파냐_전투_대장</t>
  </si>
  <si>
    <t>돛_바르카_에스파냐_전투_졸개</t>
  </si>
  <si>
    <t>프롤로그_엑스트라용1</t>
  </si>
  <si>
    <t>돛무늬_에스파냐_전투</t>
    <phoneticPr fontId="5" type="noConversion"/>
  </si>
  <si>
    <t>돛무늬_에스파냐_전투</t>
    <phoneticPr fontId="5" type="noConversion"/>
  </si>
  <si>
    <t>unlockitemsId[0]</t>
    <phoneticPr fontId="5" type="noConversion"/>
  </si>
  <si>
    <t>unlockitemsval[0]</t>
    <phoneticPr fontId="5" type="noConversion"/>
  </si>
  <si>
    <t>unlockitemsId[1]</t>
  </si>
  <si>
    <t>unlockitemsval[1]</t>
  </si>
  <si>
    <t>unlockitemsId[2]</t>
  </si>
  <si>
    <t>unlockitemsval[2]</t>
  </si>
  <si>
    <t>동양램프_중국1</t>
  </si>
  <si>
    <t>서양램프_이슬람1</t>
  </si>
  <si>
    <t>서양램프_유럽1</t>
  </si>
  <si>
    <t>동양램프_한국1</t>
  </si>
  <si>
    <t>가을의 금문장</t>
  </si>
  <si>
    <t>겨울의 금문장</t>
  </si>
  <si>
    <t>봄의 금문장</t>
  </si>
  <si>
    <t>여름의 금문장</t>
  </si>
  <si>
    <t>대해적 문장</t>
  </si>
  <si>
    <t>가을의 은문장</t>
  </si>
  <si>
    <t>겨울의 은문장</t>
  </si>
  <si>
    <t>봄의 은문장</t>
  </si>
  <si>
    <t>여름의 은문장</t>
  </si>
  <si>
    <t>가네샤 문장</t>
  </si>
  <si>
    <t>가루다 문장</t>
  </si>
  <si>
    <t>보야쥬 문장</t>
  </si>
  <si>
    <t>해적 문장</t>
  </si>
  <si>
    <t>고래 문장</t>
  </si>
  <si>
    <t>바이킹 문장</t>
  </si>
  <si>
    <t>그리폰 문장</t>
  </si>
  <si>
    <t>나스카 문장</t>
  </si>
  <si>
    <t>드래곤 문장</t>
  </si>
  <si>
    <t>라의 눈 문장</t>
  </si>
  <si>
    <t>쌍두독수리 문장</t>
  </si>
  <si>
    <t>메두사 문장</t>
  </si>
  <si>
    <t>모아이 문장</t>
  </si>
  <si>
    <t>사자 문장</t>
  </si>
  <si>
    <t>샐러맨더 문장</t>
  </si>
  <si>
    <t>성마르코 사자 문장 문장</t>
  </si>
  <si>
    <t>소녀 문장</t>
  </si>
  <si>
    <t>야수 문장</t>
  </si>
  <si>
    <t>용 문장</t>
  </si>
  <si>
    <t>용사냥의 문장 문장</t>
  </si>
  <si>
    <t>유니콘 문장</t>
  </si>
  <si>
    <t>유인원 문장</t>
  </si>
  <si>
    <t>제독 문장</t>
  </si>
  <si>
    <t>케살코아틀 문장</t>
  </si>
  <si>
    <t>페어리 문장</t>
  </si>
  <si>
    <t>펭귄 문장</t>
  </si>
  <si>
    <t>폭스 문장</t>
  </si>
  <si>
    <t>피닉스 문장</t>
  </si>
  <si>
    <t>해룡 문장</t>
  </si>
  <si>
    <t>호랑이 문장</t>
  </si>
  <si>
    <t>화염방패 문장</t>
  </si>
  <si>
    <t>거미 문장</t>
  </si>
  <si>
    <t>나비 문장</t>
  </si>
  <si>
    <t>스콜피온 문장</t>
  </si>
  <si>
    <t>크로스소드 문장</t>
  </si>
  <si>
    <t>다이아몬드 문장</t>
  </si>
  <si>
    <t>델핀 문장</t>
  </si>
  <si>
    <t>바다뱀 문장</t>
  </si>
  <si>
    <t>백합 문장</t>
  </si>
  <si>
    <t>성요한 기사단 문장 문장</t>
  </si>
  <si>
    <t>스페이드 문장</t>
  </si>
  <si>
    <t>써클크로스 문장</t>
  </si>
  <si>
    <t>앵커 문장</t>
  </si>
  <si>
    <t>어부 문장</t>
  </si>
  <si>
    <t>일광 문장</t>
  </si>
  <si>
    <t>장미 문장</t>
  </si>
  <si>
    <t>조개 문장</t>
  </si>
  <si>
    <t>캥거루 문장</t>
  </si>
  <si>
    <t>크로스 문장</t>
  </si>
  <si>
    <t>클로버 문장</t>
  </si>
  <si>
    <t>태양 문장</t>
  </si>
  <si>
    <t>트라이덴트 문장</t>
  </si>
  <si>
    <t>페가수스 문장</t>
  </si>
  <si>
    <t>하트 문장</t>
  </si>
  <si>
    <t>헬름 문장</t>
  </si>
  <si>
    <t>호박벌 문장</t>
  </si>
  <si>
    <t>기사 문장 문장</t>
  </si>
  <si>
    <t>베르니에 자작가 문장</t>
  </si>
  <si>
    <t>장식 문장</t>
  </si>
  <si>
    <t>탈출 문장</t>
  </si>
  <si>
    <t>흑고래 용병함대 문장</t>
  </si>
  <si>
    <t>학문양 문장</t>
  </si>
  <si>
    <t>잉어 문장</t>
  </si>
  <si>
    <t>청룡 문장</t>
  </si>
  <si>
    <t>현무 문장</t>
  </si>
  <si>
    <t>백호 문장</t>
  </si>
  <si>
    <t>주작 문장</t>
  </si>
  <si>
    <t>도깨비 문장</t>
  </si>
  <si>
    <t>태극 문장</t>
  </si>
  <si>
    <t>모란 문장</t>
  </si>
  <si>
    <t>벚꽃 문장</t>
  </si>
  <si>
    <t>연꽃 문장</t>
  </si>
  <si>
    <t>국화 문장</t>
  </si>
  <si>
    <t>매화 문장</t>
  </si>
  <si>
    <t>복 문장</t>
  </si>
  <si>
    <t>구름 문장</t>
  </si>
  <si>
    <t>기린 문장</t>
  </si>
  <si>
    <t>해태 문장</t>
  </si>
  <si>
    <t>대나무 문장</t>
  </si>
  <si>
    <t>창틀 문장</t>
  </si>
  <si>
    <t>복숭아 문장</t>
  </si>
  <si>
    <t>한줄 가로무늬</t>
  </si>
  <si>
    <t>한줄 세로무늬</t>
  </si>
  <si>
    <t>두줄 세로 무늬</t>
  </si>
  <si>
    <t>두줄 가로 무늬</t>
  </si>
  <si>
    <t>큰 마름모 무늬</t>
  </si>
  <si>
    <t>작은 마름모 무늬</t>
  </si>
  <si>
    <t>삼각형 무늬</t>
  </si>
  <si>
    <t>체스판 무늬</t>
  </si>
  <si>
    <t>원 무늬</t>
  </si>
  <si>
    <t>점 무늬</t>
  </si>
  <si>
    <t>달 무늬</t>
  </si>
  <si>
    <t>얼룩 무늬</t>
  </si>
  <si>
    <t>모래알 무늬</t>
  </si>
  <si>
    <t>별 무늬</t>
  </si>
  <si>
    <t>크로스소드 문장</t>
    <phoneticPr fontId="5" type="noConversion"/>
  </si>
  <si>
    <t>프린스빌럼돛</t>
  </si>
  <si>
    <t>SK_Ship_PrinsWillem_Sail</t>
    <phoneticPr fontId="5" type="noConversion"/>
  </si>
  <si>
    <t>SK_Ship_PrinsWillem_Body</t>
  </si>
  <si>
    <t>SM_Ship_Artillery_S</t>
  </si>
  <si>
    <t>SM_Ship_Artillery_M</t>
  </si>
  <si>
    <t>할버만돛</t>
  </si>
  <si>
    <t>SK_Ship_HalveMaen_Sail</t>
  </si>
  <si>
    <t>SK_Ship_HalveMaen_Body</t>
    <phoneticPr fontId="5" type="noConversion"/>
  </si>
  <si>
    <t>SK_Ship_Budgerow_Sail</t>
    <phoneticPr fontId="5" type="noConversion"/>
  </si>
  <si>
    <t>SK_Ship_Budgerow_Body</t>
    <phoneticPr fontId="5" type="noConversion"/>
  </si>
  <si>
    <t>동양램프_동남아2</t>
  </si>
  <si>
    <t>SK_Ship_Budgerow_Paddle</t>
    <phoneticPr fontId="5" type="noConversion"/>
  </si>
  <si>
    <t>테메레르돛</t>
  </si>
  <si>
    <t>SK_Ship_Temeraire_Sail</t>
  </si>
  <si>
    <t>테메레르</t>
    <phoneticPr fontId="5" type="noConversion"/>
  </si>
  <si>
    <t>SK_Ship_Temeraire_Body</t>
  </si>
  <si>
    <t>삼판돛</t>
  </si>
  <si>
    <t>프로아</t>
    <phoneticPr fontId="5" type="noConversion"/>
  </si>
  <si>
    <t>SK_Ship_Sampan_Sail</t>
  </si>
  <si>
    <t>SK_Ship_Proa_Sail</t>
  </si>
  <si>
    <t>SK_Ship_LightProa_Sail</t>
  </si>
  <si>
    <t>삼판</t>
    <phoneticPr fontId="5" type="noConversion"/>
  </si>
  <si>
    <t>경량형 프로아</t>
    <phoneticPr fontId="5" type="noConversion"/>
  </si>
  <si>
    <t>SK_Ship_LightProa_Body</t>
  </si>
  <si>
    <t>SK_Ship_Proa_Body</t>
  </si>
  <si>
    <t>SK_Ship_Sampan_Body</t>
  </si>
  <si>
    <t>프로아돛</t>
  </si>
  <si>
    <t>경량형프로아돛</t>
  </si>
  <si>
    <t>동양램프_동남아1</t>
  </si>
  <si>
    <t>베네치안갤리스돛</t>
  </si>
  <si>
    <t>SK_Ship_VenetianGalleass_Sail</t>
  </si>
  <si>
    <t>SK_Ship_VenetianGalleass_Body</t>
  </si>
  <si>
    <t>SK_Ship_VenetianGalleass_Paddle</t>
    <phoneticPr fontId="5" type="noConversion"/>
  </si>
  <si>
    <t>베네치안갤리스노</t>
  </si>
  <si>
    <t>대포_소</t>
  </si>
  <si>
    <t>SK_Ship_Sekibune_Sail</t>
    <phoneticPr fontId="5" type="noConversion"/>
  </si>
  <si>
    <t>SK_Ship_LargeSekibune_Sail</t>
    <phoneticPr fontId="5" type="noConversion"/>
  </si>
  <si>
    <t>SK_Ship_GoldBarca_Sail</t>
    <phoneticPr fontId="5" type="noConversion"/>
  </si>
  <si>
    <t>SK_Ship_Sekibune_Paddle</t>
    <phoneticPr fontId="5" type="noConversion"/>
  </si>
  <si>
    <t>SK_Ship_LargeSekibune_Paddle</t>
  </si>
  <si>
    <t>관선</t>
    <phoneticPr fontId="5" type="noConversion"/>
  </si>
  <si>
    <t>SK_Ship_Sekibune_Body</t>
    <phoneticPr fontId="5" type="noConversion"/>
  </si>
  <si>
    <t>관선돛</t>
  </si>
  <si>
    <t>관선노</t>
  </si>
  <si>
    <t>SK_Ship_LargeSekibune_Body</t>
    <phoneticPr fontId="5" type="noConversion"/>
  </si>
  <si>
    <t>대형관선돛</t>
  </si>
  <si>
    <t>대형관선노</t>
  </si>
  <si>
    <t>SK_Ship_GoldBarca_Body</t>
    <phoneticPr fontId="5" type="noConversion"/>
  </si>
  <si>
    <t>황금바르카돛</t>
  </si>
  <si>
    <t>대포_중</t>
  </si>
  <si>
    <t>SK_Ship_Nobunagas_Tekkosen_Sail</t>
  </si>
  <si>
    <t>노부나가의 철갑선노</t>
  </si>
  <si>
    <t>SK_Ship_Nobunagas_Tekkosen_Paddle</t>
  </si>
  <si>
    <t>노부나가의 철갑선</t>
    <phoneticPr fontId="5" type="noConversion"/>
  </si>
  <si>
    <t>SK_Ship_Nobunagas_Tekkosen_Body</t>
  </si>
  <si>
    <t>노부나가의 철갑선돛</t>
  </si>
  <si>
    <t>로르샤돛</t>
  </si>
  <si>
    <t>SK_Ship_Lorcha_Sail</t>
  </si>
  <si>
    <t>로르샤</t>
    <phoneticPr fontId="5" type="noConversion"/>
  </si>
  <si>
    <t>SK_Ship_Lorcha_Body</t>
  </si>
  <si>
    <t>사선돛</t>
  </si>
  <si>
    <t>SK_Ship_Sha_Chuan_Sail</t>
  </si>
  <si>
    <t>사선</t>
    <phoneticPr fontId="5" type="noConversion"/>
  </si>
  <si>
    <t>SK_Ship_Sha_Chuan_Body</t>
  </si>
  <si>
    <t>주인선돛</t>
  </si>
  <si>
    <t>SK_Ship_RedSealShip_Sail</t>
  </si>
  <si>
    <t>주인선</t>
    <phoneticPr fontId="5" type="noConversion"/>
  </si>
  <si>
    <t>SK_Ship_RedSealShip_Body</t>
  </si>
  <si>
    <t>광선돛</t>
  </si>
  <si>
    <t>SK_Ship_Junk_Sail</t>
  </si>
  <si>
    <t>광선</t>
    <phoneticPr fontId="5" type="noConversion"/>
  </si>
  <si>
    <t>SK_Ship_Junk_Body</t>
  </si>
  <si>
    <t>경량형사선돛</t>
  </si>
  <si>
    <t>SK_Ship_LightSha_Chuan_Sail</t>
  </si>
  <si>
    <t>SK_Ship_LightSha_Chuan_Body</t>
  </si>
  <si>
    <t>SK_Ship_JoUnSeon_Sail</t>
  </si>
  <si>
    <t>조운선</t>
    <phoneticPr fontId="5" type="noConversion"/>
  </si>
  <si>
    <t>조운선돛</t>
  </si>
  <si>
    <t>SK_Ship_JoUnSeon_Body</t>
  </si>
  <si>
    <t>프린스 빌럼</t>
    <phoneticPr fontId="5" type="noConversion"/>
  </si>
  <si>
    <t>할버 만</t>
    <phoneticPr fontId="5" type="noConversion"/>
  </si>
  <si>
    <t>베네치안 갤리스</t>
    <phoneticPr fontId="5" type="noConversion"/>
  </si>
  <si>
    <t>대형 관선</t>
    <phoneticPr fontId="5" type="noConversion"/>
  </si>
  <si>
    <t>황금 바르카</t>
    <phoneticPr fontId="5" type="noConversion"/>
  </si>
  <si>
    <t>경량형 사선</t>
    <phoneticPr fontId="5" type="noConversion"/>
  </si>
  <si>
    <t>SK_Ship_RoyalSorvereign_Sail</t>
  </si>
  <si>
    <t>SK_Ship_RoyalSorvereign_Body</t>
  </si>
  <si>
    <t>맹선돛</t>
  </si>
  <si>
    <t>SK_Ship_MaengSeon_Sail</t>
    <phoneticPr fontId="5" type="noConversion"/>
  </si>
  <si>
    <t>맹선</t>
    <phoneticPr fontId="5" type="noConversion"/>
  </si>
  <si>
    <t>SK_Ship_MaengSeon_Body</t>
  </si>
  <si>
    <t>SK_Ship_Atakebune_Sail</t>
  </si>
  <si>
    <t>안택선노</t>
  </si>
  <si>
    <t>SK_Ship_Atakebune_Paddle</t>
  </si>
  <si>
    <t>안택선</t>
    <phoneticPr fontId="5" type="noConversion"/>
  </si>
  <si>
    <t>SK_Ship_Atakebune_Body</t>
  </si>
  <si>
    <t>안택선돛</t>
  </si>
  <si>
    <t>철갑선돛</t>
  </si>
  <si>
    <t>SK_Ship_Tekkosen_Sail</t>
  </si>
  <si>
    <t>철갑선노</t>
  </si>
  <si>
    <t>SK_Ship_Tekkosen_Paddle</t>
  </si>
  <si>
    <t>철갑선</t>
    <phoneticPr fontId="5" type="noConversion"/>
  </si>
  <si>
    <t>SK_Ship_Tekkosen_Body</t>
  </si>
  <si>
    <t>SK_Ship_SanFelipe_Sail</t>
  </si>
  <si>
    <t>SK_Ship_SanFelipe_Body</t>
  </si>
  <si>
    <t>메이플라워돛</t>
  </si>
  <si>
    <t>SK_Ship_Mayflower_Sail</t>
  </si>
  <si>
    <t>메이플라워</t>
    <phoneticPr fontId="5" type="noConversion"/>
  </si>
  <si>
    <t>SK_Ship_Mayflower_Body</t>
  </si>
  <si>
    <t>복선돛</t>
  </si>
  <si>
    <t>SK_Ship_FuShip_Sail</t>
  </si>
  <si>
    <t>복선</t>
    <phoneticPr fontId="5" type="noConversion"/>
  </si>
  <si>
    <t>SK_Ship_FuShip_Body</t>
  </si>
  <si>
    <t>SK_Ship_Santa_Catarina_Sail</t>
  </si>
  <si>
    <t>산타 카타리나</t>
    <phoneticPr fontId="5" type="noConversion"/>
  </si>
  <si>
    <t>산타 카타리나돛</t>
  </si>
  <si>
    <t>SK_Ship_Santa_Catarina_Body</t>
  </si>
  <si>
    <t>라 핀타돛</t>
  </si>
  <si>
    <t>SK_Ship_LaPinta_Sail</t>
  </si>
  <si>
    <t>라 핀타</t>
    <phoneticPr fontId="5" type="noConversion"/>
  </si>
  <si>
    <t>SK_Ship_LaPinta_Body</t>
  </si>
  <si>
    <t>SK_Ship_LargeJoUnSeon_Sail</t>
  </si>
  <si>
    <t>SK_Ship_LargeJoUnSeon_Paddle</t>
  </si>
  <si>
    <t>SK_Ship_LargeJoUnSeon_Body</t>
  </si>
  <si>
    <t>SK_Ship_Vasa_Sail</t>
  </si>
  <si>
    <t>SK_Ship_HigakiKaisen_Sail</t>
  </si>
  <si>
    <t>바사</t>
    <phoneticPr fontId="5" type="noConversion"/>
  </si>
  <si>
    <t>SK_Ship_Vasa_Body</t>
  </si>
  <si>
    <t>바사돛</t>
  </si>
  <si>
    <t>능원회선</t>
    <phoneticPr fontId="5" type="noConversion"/>
  </si>
  <si>
    <t>SK_Ship_HigakiKaisen_Body</t>
  </si>
  <si>
    <t>능원회선돛</t>
  </si>
  <si>
    <t>SK_Ship_SantaMaria_Sail</t>
  </si>
  <si>
    <t>SK_Ship_SantaMaria_Body</t>
  </si>
  <si>
    <t>SK_Ship_Flemish_Galleon_Sail</t>
  </si>
  <si>
    <t>플레미시 갤리온</t>
    <phoneticPr fontId="5" type="noConversion"/>
  </si>
  <si>
    <t>SK_Ship_Flemish_Galleon_Body</t>
  </si>
  <si>
    <t>플레미시 갤리온돛</t>
  </si>
  <si>
    <t>빅토리아</t>
    <phoneticPr fontId="5" type="noConversion"/>
  </si>
  <si>
    <t>SK_Ship_Victoria_Body</t>
  </si>
  <si>
    <t>빅토리아돛</t>
  </si>
  <si>
    <t>SK_Ship_Victoria_Sail</t>
  </si>
  <si>
    <t>용수선돛</t>
  </si>
  <si>
    <t>SK_Ship_DragonHeadShip_Sail</t>
  </si>
  <si>
    <t>용수선</t>
    <phoneticPr fontId="5" type="noConversion"/>
  </si>
  <si>
    <t>SK_Ship_DragonHeadShip_Body</t>
  </si>
  <si>
    <t>SK_Ship_AdlervonLubeck_Sail</t>
  </si>
  <si>
    <t>애들러돛</t>
  </si>
  <si>
    <t>애들러</t>
    <phoneticPr fontId="5" type="noConversion"/>
  </si>
  <si>
    <t>SK_Ship_AdlervonLubeck_Body</t>
  </si>
  <si>
    <t>SK_Ship_NorskeLove_Sail</t>
  </si>
  <si>
    <t>SK_Ship_NorskeLove_Body</t>
  </si>
  <si>
    <t>아이언 사이즈</t>
    <phoneticPr fontId="5" type="noConversion"/>
  </si>
  <si>
    <t>SK_Ship_Ironsides_Sail</t>
  </si>
  <si>
    <t>SK_Ship_Ironsides_Body</t>
  </si>
  <si>
    <t>아이언 사이즈돛</t>
  </si>
  <si>
    <t>플라잉 클라우드돛</t>
  </si>
  <si>
    <t>SK_Ship_FlyingCloud_Sail</t>
  </si>
  <si>
    <t>플라잉 클라우드</t>
    <phoneticPr fontId="5" type="noConversion"/>
  </si>
  <si>
    <t>SK_Ship_FlyingCloud_Body</t>
  </si>
  <si>
    <t>사견선돛</t>
  </si>
  <si>
    <t>SK_Ship_Sagyeonseon_Sail</t>
  </si>
  <si>
    <t>사견선노</t>
  </si>
  <si>
    <t>SK_Ship_Sagyeonseon_Paddle</t>
  </si>
  <si>
    <t>사견선</t>
    <phoneticPr fontId="5" type="noConversion"/>
  </si>
  <si>
    <t>SK_Ship_Sagyeonseon_Body</t>
  </si>
  <si>
    <t>카라코아돛</t>
  </si>
  <si>
    <t>SK_Ship_Karakoa_Sail</t>
  </si>
  <si>
    <t>SK_Ship_Karakoa_Paddle</t>
  </si>
  <si>
    <t>카라코아노</t>
  </si>
  <si>
    <t>카라코아</t>
    <phoneticPr fontId="5" type="noConversion"/>
  </si>
  <si>
    <t>SK_Ship_Karakoa_Body</t>
  </si>
  <si>
    <t>탄작돛</t>
  </si>
  <si>
    <t>SK_Ship_Tanjaq_Sail</t>
  </si>
  <si>
    <t>SK_Ship_Tanjaq_Body</t>
  </si>
  <si>
    <t>탄작</t>
    <phoneticPr fontId="5" type="noConversion"/>
  </si>
  <si>
    <t>노르딕 갤리온돛</t>
  </si>
  <si>
    <t>SK_Ship_NordicGalleon_Sail</t>
  </si>
  <si>
    <t>SK_Ship_NordicGalleon_Body</t>
  </si>
  <si>
    <t>노르딕 갤리온</t>
    <phoneticPr fontId="5" type="noConversion"/>
  </si>
  <si>
    <t>골든 하인드돛</t>
  </si>
  <si>
    <t>SK_Ship_GoldenHind_Sail</t>
  </si>
  <si>
    <t>골든 하인드</t>
    <phoneticPr fontId="5" type="noConversion"/>
  </si>
  <si>
    <t>SK_Ship_GoldenHind_Body</t>
  </si>
  <si>
    <t>스페르베르돛</t>
  </si>
  <si>
    <t>SK_Ship_DeSperwer_Sail</t>
  </si>
  <si>
    <t>스페르베르</t>
    <phoneticPr fontId="5" type="noConversion"/>
  </si>
  <si>
    <t>SK_Ship_DeSperwer_Body</t>
  </si>
  <si>
    <t>인데버돛</t>
  </si>
  <si>
    <t>SK_Ship_Endeavour_Sail</t>
  </si>
  <si>
    <t>인데버</t>
    <phoneticPr fontId="5" type="noConversion"/>
  </si>
  <si>
    <t>SK_Ship_Endeavour_Body</t>
  </si>
  <si>
    <t>SK_Ship_Sao_Gabriel_Sail</t>
  </si>
  <si>
    <t>SK_Ship_Sao_Gabriel_Body</t>
  </si>
  <si>
    <t>정조의 거북선돛</t>
  </si>
  <si>
    <t>SK_Ship_JungjosTurtleShip_Sail</t>
  </si>
  <si>
    <t>정조의 거북선노</t>
  </si>
  <si>
    <t>SK_Ship_JungjosTurtleShip_Paddle</t>
  </si>
  <si>
    <t>정조의 거북선</t>
    <phoneticPr fontId="5" type="noConversion"/>
  </si>
  <si>
    <t>SK_Ship_JungjosTurtleShip_Body</t>
  </si>
  <si>
    <t>SK_Ship_GoldenSampan_Sail</t>
  </si>
  <si>
    <t>황금 삼판</t>
    <phoneticPr fontId="5" type="noConversion"/>
  </si>
  <si>
    <t>SK_Ship_GoldenSampan_Body</t>
  </si>
  <si>
    <t>황금삼판돛</t>
  </si>
  <si>
    <t>SK_Ship_SanJuan_Sail</t>
  </si>
  <si>
    <t>SK_Ship_SanJuan_Body</t>
  </si>
  <si>
    <t>M_Ship_Sail_Panho2</t>
    <phoneticPr fontId="5" type="noConversion"/>
  </si>
  <si>
    <t>M_Ship_triangleSail_Panho3</t>
    <phoneticPr fontId="5" type="noConversion"/>
  </si>
  <si>
    <t>그랑 안 프류트돛</t>
  </si>
  <si>
    <t>SK_Ship_GranFluyt_Sail</t>
  </si>
  <si>
    <t>그랑 안 프류트</t>
    <phoneticPr fontId="5" type="noConversion"/>
  </si>
  <si>
    <t>SK_Ship_GranFluyt_Body</t>
  </si>
  <si>
    <t>SK_Ship_NapolitanGalleass_Sail</t>
  </si>
  <si>
    <t>나폴리탄 갤리스돛</t>
  </si>
  <si>
    <t>SK_Ship_NapolitanGalleass_Paddle</t>
  </si>
  <si>
    <t>나폴리탄 갤리스노</t>
  </si>
  <si>
    <t>SK_Ship_NapolitanGalleass_Body</t>
  </si>
  <si>
    <t>나폴리탄 갤리스</t>
    <phoneticPr fontId="5" type="noConversion"/>
  </si>
  <si>
    <t>SK_Ship_RomanGalley_Sail</t>
  </si>
  <si>
    <t>로만 갤리돛</t>
  </si>
  <si>
    <t>로만 갤리노</t>
  </si>
  <si>
    <t>SK_Ship_RomanGalley_Paddle</t>
  </si>
  <si>
    <t>SK_Ship_RomanGalley_Body</t>
  </si>
  <si>
    <t>로만 갤리</t>
    <phoneticPr fontId="5" type="noConversion"/>
  </si>
  <si>
    <t>SM_Ship_FigureHead_Atlas</t>
    <phoneticPr fontId="5" type="noConversion"/>
  </si>
  <si>
    <t>SM_Ship_FigureHead_Bennu</t>
    <phoneticPr fontId="5" type="noConversion"/>
  </si>
  <si>
    <t>SM_Ship_FigureHead_Gagoyle</t>
    <phoneticPr fontId="5" type="noConversion"/>
  </si>
  <si>
    <t>SM_Ship_FigureHead_Fafnir</t>
    <phoneticPr fontId="5" type="noConversion"/>
  </si>
  <si>
    <t>SM_Ship_FigureHead_Wyvern</t>
    <phoneticPr fontId="5" type="noConversion"/>
  </si>
  <si>
    <t>SM_Ship_FigureHead_Leopard</t>
    <phoneticPr fontId="5" type="noConversion"/>
  </si>
  <si>
    <t>SM_Ship_FigureHead_Tiger</t>
    <phoneticPr fontId="5" type="noConversion"/>
  </si>
  <si>
    <t>SM_Ship_FigureHead_Sawshark</t>
    <phoneticPr fontId="5" type="noConversion"/>
  </si>
  <si>
    <t>SM_Ship_FigureHead_Baiji</t>
    <phoneticPr fontId="5" type="noConversion"/>
  </si>
  <si>
    <t>SM_Ship_FigureHead_Pandora</t>
    <phoneticPr fontId="5" type="noConversion"/>
  </si>
  <si>
    <t>SM_Ship_FigureHead_Juno</t>
    <phoneticPr fontId="5" type="noConversion"/>
  </si>
  <si>
    <t>SM_Ship_FigureHead_Danu</t>
    <phoneticPr fontId="5" type="noConversion"/>
  </si>
  <si>
    <t>SM_Ship_FigureHead_SaintAndrew</t>
    <phoneticPr fontId="5" type="noConversion"/>
  </si>
  <si>
    <t>SM_Ship_FigureHead_RamesesII</t>
    <phoneticPr fontId="5" type="noConversion"/>
  </si>
  <si>
    <t>SM_Ship_FigureHead_Diana</t>
    <phoneticPr fontId="5" type="noConversion"/>
  </si>
  <si>
    <t>SM_Ship_FigureHead_Roc</t>
    <phoneticPr fontId="5" type="noConversion"/>
  </si>
  <si>
    <t>SM_Ship_FigureHead_Anubis</t>
    <phoneticPr fontId="5" type="noConversion"/>
  </si>
  <si>
    <t>SM_Ship_FigureHead_Bahamut</t>
    <phoneticPr fontId="5" type="noConversion"/>
  </si>
  <si>
    <t>SM_Ship_FigureHead_Vritra</t>
    <phoneticPr fontId="5" type="noConversion"/>
  </si>
  <si>
    <t>SM_Ship_FigureHead_Illuyanka</t>
    <phoneticPr fontId="5" type="noConversion"/>
  </si>
  <si>
    <t>SM_Ship_FigureHead_SeaSerpent</t>
    <phoneticPr fontId="5" type="noConversion"/>
  </si>
  <si>
    <t>SM_Ship_FigureHead_Parvati</t>
    <phoneticPr fontId="5" type="noConversion"/>
  </si>
  <si>
    <t>SM_Ship_FigureHead_Venus</t>
    <phoneticPr fontId="5" type="noConversion"/>
  </si>
  <si>
    <t>SM_Ship_FigureHead_Aphrodite</t>
    <phoneticPr fontId="5" type="noConversion"/>
  </si>
  <si>
    <t>SM_Ship_FigureHead_Neptune</t>
    <phoneticPr fontId="5" type="noConversion"/>
  </si>
  <si>
    <t>SM_Ship_FigureHead_AntoninusPius</t>
    <phoneticPr fontId="5" type="noConversion"/>
  </si>
  <si>
    <t>SM_Ship_FigureHead_Hadrian</t>
    <phoneticPr fontId="5" type="noConversion"/>
  </si>
  <si>
    <t>SM_Ship_FigureHead_Odysseus</t>
    <phoneticPr fontId="5" type="noConversion"/>
  </si>
  <si>
    <t>SM_Ship_FigureHead_Archimedes</t>
    <phoneticPr fontId="5" type="noConversion"/>
  </si>
  <si>
    <t>SM_Ship_FigureHead_Socrates</t>
  </si>
  <si>
    <t>SM_Ship_FigureHead_Mawu</t>
    <phoneticPr fontId="5" type="noConversion"/>
  </si>
  <si>
    <t>SM_Ship_FigureHead_Andromeda</t>
    <phoneticPr fontId="5" type="noConversion"/>
  </si>
  <si>
    <t>SM_Ship_FigureHead_Oni</t>
    <phoneticPr fontId="5" type="noConversion"/>
  </si>
  <si>
    <t>레이지드 프리깃돛</t>
  </si>
  <si>
    <t>SK_Ship_RazeedFrigate_Sail</t>
  </si>
  <si>
    <t>레이지드 프리깃</t>
    <phoneticPr fontId="5" type="noConversion"/>
  </si>
  <si>
    <t>SK_Ship_RazeedFrigate_Body</t>
  </si>
  <si>
    <t>테르모필레돛</t>
  </si>
  <si>
    <t>SK_Ship_Thermopylae_Sail</t>
  </si>
  <si>
    <t>테르모필레</t>
    <phoneticPr fontId="5" type="noConversion"/>
  </si>
  <si>
    <t>SK_Ship_Thermopylae_Body</t>
  </si>
  <si>
    <t>SM_Ship_FigureHead_Fenrir</t>
    <phoneticPr fontId="5" type="noConversion"/>
  </si>
  <si>
    <t>SM_Ship_FigureHead_Eros</t>
    <phoneticPr fontId="5" type="noConversion"/>
  </si>
  <si>
    <t>SM_Ship_FigureHead_Lion</t>
    <phoneticPr fontId="5" type="noConversion"/>
  </si>
  <si>
    <t>SM_Ship_FigureHead_Hera</t>
    <phoneticPr fontId="5" type="noConversion"/>
  </si>
  <si>
    <t>SM_Ship_FigureHead_Artemis</t>
    <phoneticPr fontId="5" type="noConversion"/>
  </si>
  <si>
    <t>SM_Ship_FigureHead_Cupid</t>
    <phoneticPr fontId="5" type="noConversion"/>
  </si>
  <si>
    <t>SM_Ship_FigureHead_MaryMagdalene</t>
    <phoneticPr fontId="5" type="noConversion"/>
  </si>
  <si>
    <t>SM_Ship_FigureHead_SaintPeter</t>
    <phoneticPr fontId="5" type="noConversion"/>
  </si>
  <si>
    <t>SK_Ship_LaCouronne_Sail</t>
  </si>
  <si>
    <t>SK_Ship_LaCouronne_Body</t>
  </si>
  <si>
    <t>라 쿠론돛</t>
  </si>
  <si>
    <t>라 쿠론</t>
    <phoneticPr fontId="5" type="noConversion"/>
  </si>
  <si>
    <t>SK_Ship_Bermuda_Sloop_Sail</t>
  </si>
  <si>
    <t>버뮤다 슬루프</t>
    <phoneticPr fontId="5" type="noConversion"/>
  </si>
  <si>
    <t>SK_Ship_Bermuda_Sloop_Body</t>
  </si>
  <si>
    <t>로열 소버린</t>
  </si>
  <si>
    <t>산 펠리페</t>
  </si>
  <si>
    <t>대형 조운선</t>
  </si>
  <si>
    <t>로열 소버린돛</t>
  </si>
  <si>
    <t>산 펠리페돛</t>
  </si>
  <si>
    <t>대형 조운선돛</t>
  </si>
  <si>
    <t>대형 조운선노</t>
  </si>
  <si>
    <t>산타 마리아</t>
  </si>
  <si>
    <t>산타 마리아돛</t>
  </si>
  <si>
    <t>노르스케 뢰베</t>
  </si>
  <si>
    <t>성 가브리엘</t>
  </si>
  <si>
    <t>성 가브리엘돛</t>
  </si>
  <si>
    <t>노르스케 뢰베돛</t>
  </si>
  <si>
    <t>SM_Ship_FigureHead_SaintCuthbert</t>
    <phoneticPr fontId="5" type="noConversion"/>
  </si>
  <si>
    <t>SOCKET_SK_Ship_Body_figure_head2</t>
    <phoneticPr fontId="5" type="noConversion"/>
  </si>
  <si>
    <t>프롤로그_바르카3돛</t>
  </si>
  <si>
    <t>프롤로그_바르카4돛</t>
  </si>
  <si>
    <t>갤리온돛</t>
  </si>
  <si>
    <t>흰머리 독수리상</t>
  </si>
  <si>
    <t>벌쳐상</t>
  </si>
  <si>
    <t>흰돌고래상</t>
  </si>
  <si>
    <t>나고래상</t>
  </si>
  <si>
    <t>아난타상</t>
  </si>
  <si>
    <t>백상어상</t>
  </si>
  <si>
    <t>샌드타이거상</t>
  </si>
  <si>
    <t>잉어상</t>
  </si>
  <si>
    <t>거북상</t>
  </si>
  <si>
    <t>위인상</t>
  </si>
  <si>
    <t>아이네이아스상</t>
  </si>
  <si>
    <t>성브렌던상</t>
  </si>
  <si>
    <t>아가멤논상</t>
  </si>
  <si>
    <t>알라시드상</t>
  </si>
  <si>
    <t>아나히타상</t>
  </si>
  <si>
    <t>천사상</t>
  </si>
  <si>
    <t>흰긴수염고래상</t>
  </si>
  <si>
    <t>듀공상</t>
  </si>
  <si>
    <t>용머리 선수상</t>
  </si>
  <si>
    <t>아쇼카왕상</t>
  </si>
  <si>
    <t>긴수염고래상</t>
  </si>
  <si>
    <t>프레이아상</t>
  </si>
  <si>
    <t>고스 호크상</t>
  </si>
  <si>
    <t>그리폰상</t>
  </si>
  <si>
    <t>한니발상</t>
  </si>
  <si>
    <t>매의 상</t>
  </si>
  <si>
    <t>이슈타르상</t>
  </si>
  <si>
    <t>요르문간드상</t>
  </si>
  <si>
    <t>케스트랄상</t>
  </si>
  <si>
    <t>솔개상</t>
  </si>
  <si>
    <t>처녀상</t>
  </si>
  <si>
    <t>매너티의 상</t>
  </si>
  <si>
    <t>아우렐리우스 황제상</t>
  </si>
  <si>
    <t>인어상</t>
  </si>
  <si>
    <t>나이트 호크상</t>
  </si>
  <si>
    <t>범고래상</t>
  </si>
  <si>
    <t>푸른솔개상</t>
  </si>
  <si>
    <t>송골매상</t>
  </si>
  <si>
    <t>불사조상</t>
  </si>
  <si>
    <t>플라톤상</t>
  </si>
  <si>
    <t>쥐돌고래상</t>
  </si>
  <si>
    <t>포세이돈상</t>
  </si>
  <si>
    <t>성크리스토퍼상</t>
  </si>
  <si>
    <t>성마르코상</t>
  </si>
  <si>
    <t>사라스바티의 상</t>
  </si>
  <si>
    <t>스패로우 호크상</t>
  </si>
  <si>
    <t>고래상</t>
  </si>
  <si>
    <t>화이트사이드의상</t>
  </si>
  <si>
    <t>돌고래상</t>
  </si>
  <si>
    <t>성게오르기우스상</t>
  </si>
  <si>
    <t>가루다상</t>
  </si>
  <si>
    <t>물소상</t>
  </si>
  <si>
    <t>문어상</t>
  </si>
  <si>
    <t>곰상</t>
  </si>
  <si>
    <t>아틀라스 선수상</t>
  </si>
  <si>
    <t>벤누의상</t>
  </si>
  <si>
    <t>가고일상</t>
  </si>
  <si>
    <t>파프니르상</t>
  </si>
  <si>
    <t>와이번상</t>
  </si>
  <si>
    <t>표범상</t>
  </si>
  <si>
    <t>호랑이상</t>
  </si>
  <si>
    <t>톱상어상</t>
  </si>
  <si>
    <t>양쯔강돌고래상</t>
  </si>
  <si>
    <t>판도라상</t>
  </si>
  <si>
    <t>유노상</t>
  </si>
  <si>
    <t>다누상</t>
  </si>
  <si>
    <t>성안드레상</t>
  </si>
  <si>
    <t>람세스 2세의 상</t>
  </si>
  <si>
    <t>디아나상</t>
  </si>
  <si>
    <t>바위새상</t>
  </si>
  <si>
    <t>아누비스 선수상</t>
  </si>
  <si>
    <t>바하무트상</t>
  </si>
  <si>
    <t>브리트라상</t>
  </si>
  <si>
    <t>일루얀카스상</t>
  </si>
  <si>
    <t>시서펜트상</t>
  </si>
  <si>
    <t>팔바티상</t>
  </si>
  <si>
    <t>비너스상</t>
  </si>
  <si>
    <t>아프로디테상</t>
  </si>
  <si>
    <t>넵투누스상</t>
  </si>
  <si>
    <t>피우스 황제상</t>
  </si>
  <si>
    <t>하드리아누스 황제상</t>
  </si>
  <si>
    <t>오디세우스의 상</t>
  </si>
  <si>
    <t>아르키메데스상</t>
  </si>
  <si>
    <t>소크라테스상</t>
  </si>
  <si>
    <t>마우상</t>
  </si>
  <si>
    <t>안드로메다상</t>
  </si>
  <si>
    <t>오니상</t>
  </si>
  <si>
    <t>펜리르상</t>
  </si>
  <si>
    <t>에로스상</t>
  </si>
  <si>
    <t>성마그달레나상</t>
  </si>
  <si>
    <t>성페테로상</t>
  </si>
  <si>
    <t>큐피트상</t>
  </si>
  <si>
    <t>사자상</t>
  </si>
  <si>
    <t>헤라상</t>
  </si>
  <si>
    <t>아르테미스상</t>
  </si>
  <si>
    <t>성커스버트상</t>
  </si>
  <si>
    <t>나무 충각</t>
  </si>
  <si>
    <t>무쇠 충각</t>
  </si>
  <si>
    <t>라우타로의 불</t>
  </si>
  <si>
    <t>폴암형 충각</t>
  </si>
  <si>
    <t>해신의 창 충각</t>
  </si>
  <si>
    <t>반달도끼 충각</t>
  </si>
  <si>
    <t>철퇴형 충각</t>
  </si>
  <si>
    <t>마카나 충각</t>
  </si>
  <si>
    <t>우아한 은제 충각</t>
  </si>
  <si>
    <t>초승달형 충각</t>
  </si>
  <si>
    <t>헤라클레스의 철권</t>
  </si>
  <si>
    <t>별을 찾는 자</t>
  </si>
  <si>
    <t>장팔사모 충각</t>
  </si>
  <si>
    <t>기사의 투구 충각</t>
  </si>
  <si>
    <t>스웨덴제 쇠구슬 충각</t>
  </si>
  <si>
    <t>기사의 랜스 충각</t>
  </si>
  <si>
    <t>집게발 충각</t>
  </si>
  <si>
    <t>오단 노선형 쐐기</t>
  </si>
  <si>
    <t>갈퀴 충각</t>
  </si>
  <si>
    <t>니레카 충각</t>
  </si>
  <si>
    <t>할라디 충각</t>
  </si>
  <si>
    <t>무한의 호른</t>
  </si>
  <si>
    <t>톱날 충각</t>
  </si>
  <si>
    <t>일각고래의 뿔</t>
  </si>
  <si>
    <t>파도 무늬 황금 충각</t>
  </si>
  <si>
    <t>술리톱 충각</t>
  </si>
  <si>
    <t>묠니르 충각</t>
  </si>
  <si>
    <t>청룡언월도 충각</t>
  </si>
  <si>
    <t>소림사 금강저 충각</t>
  </si>
  <si>
    <t>프랑스식 방패 충각</t>
  </si>
  <si>
    <t>바이킹 투구 충각</t>
  </si>
  <si>
    <t>니드호그의 발톱</t>
  </si>
  <si>
    <t>그리핀의 부리</t>
  </si>
  <si>
    <t>구르즈 충각</t>
  </si>
  <si>
    <t>피톤의 머리</t>
  </si>
  <si>
    <t>황금 코브라 충각</t>
  </si>
  <si>
    <t>흑전갈 충각</t>
  </si>
  <si>
    <t>타란튤라 충각</t>
  </si>
  <si>
    <t>메두사의 쐐기</t>
  </si>
  <si>
    <t>청새치 충각</t>
  </si>
  <si>
    <t>역날형 다이아몬드 충각</t>
  </si>
  <si>
    <t>닻_더미</t>
  </si>
  <si>
    <t>목재 닻</t>
  </si>
  <si>
    <t>인어 닻</t>
  </si>
  <si>
    <t>사신 닻</t>
  </si>
  <si>
    <t>쌍둥이 뱀 닻</t>
  </si>
  <si>
    <t>고대 닻</t>
  </si>
  <si>
    <t>녹슨 철재 닻</t>
  </si>
  <si>
    <t>돌고래 닻</t>
  </si>
  <si>
    <t>무쇠 닻</t>
  </si>
  <si>
    <t>쌍둥이 닻</t>
  </si>
  <si>
    <t>쌍둥이 돌고래 닻</t>
  </si>
  <si>
    <t>철재 닻</t>
  </si>
  <si>
    <t>철재 도검 닻</t>
  </si>
  <si>
    <t>초승달 닻</t>
  </si>
  <si>
    <t>키장식 닻</t>
  </si>
  <si>
    <t>하트 닻</t>
  </si>
  <si>
    <t>다이아몬드 닻</t>
  </si>
  <si>
    <t>목묘</t>
  </si>
  <si>
    <t>사조철묘</t>
  </si>
  <si>
    <t>상어 닻</t>
  </si>
  <si>
    <t>석정</t>
  </si>
  <si>
    <t>호미모양 닻</t>
  </si>
  <si>
    <t>해골 닻</t>
  </si>
  <si>
    <t>뱀 닻</t>
  </si>
  <si>
    <t>조선 목묘</t>
  </si>
  <si>
    <t>대형 목묘</t>
  </si>
  <si>
    <t>크라켄 닻</t>
  </si>
  <si>
    <t>카누 닻</t>
  </si>
  <si>
    <t>선박외형장식_아시아_A</t>
  </si>
  <si>
    <t>선박외형장식_아시아_B</t>
  </si>
  <si>
    <t>선박외형장식_아시아_C</t>
  </si>
  <si>
    <t>선박외형장식_아시아_D</t>
  </si>
  <si>
    <t>선박외형장식_아시아_E</t>
  </si>
  <si>
    <t>선박외형장식_아시아_F</t>
  </si>
  <si>
    <t>선박외형장식_아시아_G</t>
  </si>
  <si>
    <t>선박외형장식_아시아_H</t>
  </si>
  <si>
    <t>동양램프_일본1</t>
  </si>
  <si>
    <t>더제번</t>
    <phoneticPr fontId="5" type="noConversion"/>
  </si>
  <si>
    <t>SK_Ship_DeZeven_Sail</t>
  </si>
  <si>
    <t>더제번돛</t>
  </si>
  <si>
    <t>더제번돛</t>
    <phoneticPr fontId="5" type="noConversion"/>
  </si>
  <si>
    <t>SK_Ship_DeZeven_Body</t>
  </si>
  <si>
    <t>클리퍼돛</t>
  </si>
  <si>
    <t>클리퍼돛</t>
    <phoneticPr fontId="5" type="noConversion"/>
  </si>
  <si>
    <t>SK_Ship_Clipper_Sail</t>
  </si>
  <si>
    <t>클리퍼</t>
    <phoneticPr fontId="5" type="noConversion"/>
  </si>
  <si>
    <t>SK_Ship_Clipper_Body</t>
  </si>
  <si>
    <t>서프라이즈돛</t>
  </si>
  <si>
    <t>서프라이즈돛</t>
    <phoneticPr fontId="5" type="noConversion"/>
  </si>
  <si>
    <t>SK_Ship_Surprise_Sail</t>
  </si>
  <si>
    <t>서프라이즈</t>
    <phoneticPr fontId="5" type="noConversion"/>
  </si>
  <si>
    <t>SK_Ship_Surprise_Body</t>
  </si>
  <si>
    <t>주가돛</t>
  </si>
  <si>
    <t>주가돛</t>
    <phoneticPr fontId="5" type="noConversion"/>
  </si>
  <si>
    <t>SK_Ship_Zouge_Sail</t>
  </si>
  <si>
    <t>주가노</t>
  </si>
  <si>
    <t>주가노</t>
    <phoneticPr fontId="5" type="noConversion"/>
  </si>
  <si>
    <t>SK_Ship_Zouge_Paddle</t>
  </si>
  <si>
    <t>주가</t>
    <phoneticPr fontId="5" type="noConversion"/>
  </si>
  <si>
    <t>SK_Ship_Zouge_Body</t>
  </si>
  <si>
    <t>몽충돛</t>
  </si>
  <si>
    <t>몽충돛</t>
    <phoneticPr fontId="5" type="noConversion"/>
  </si>
  <si>
    <t>SK_Ship_MengChong_Sail</t>
  </si>
  <si>
    <t>SK_Ship_MengChong_Paddle</t>
  </si>
  <si>
    <t>몽충노</t>
  </si>
  <si>
    <t>몽충노</t>
    <phoneticPr fontId="5" type="noConversion"/>
  </si>
  <si>
    <t>몽충</t>
    <phoneticPr fontId="5" type="noConversion"/>
  </si>
  <si>
    <t>SK_Ship_MengChong_Body</t>
  </si>
  <si>
    <t>SK_Ship_ManilaGalleon_Sail</t>
    <phoneticPr fontId="5" type="noConversion"/>
  </si>
  <si>
    <t>마닐라갤리온돛</t>
  </si>
  <si>
    <t>마닐라갤리온돛</t>
    <phoneticPr fontId="5" type="noConversion"/>
  </si>
  <si>
    <t>마닐라 갤리온</t>
    <phoneticPr fontId="5" type="noConversion"/>
  </si>
  <si>
    <t>SK_Ship_ManilaGalleon_Body</t>
    <phoneticPr fontId="5" type="noConversion"/>
  </si>
  <si>
    <t>SK_Ship_SantisimaTrinidad_Sail</t>
  </si>
  <si>
    <t>산티시마 트리니나드돛</t>
  </si>
  <si>
    <t>산티시마 트리니나드돛</t>
    <phoneticPr fontId="5" type="noConversion"/>
  </si>
  <si>
    <t>SK_Ship_SantisimaTrinidad_Body</t>
  </si>
  <si>
    <t>비글돛</t>
  </si>
  <si>
    <t>비글돛</t>
    <phoneticPr fontId="5" type="noConversion"/>
  </si>
  <si>
    <t>SK_Ship_Beagle_Sail</t>
  </si>
  <si>
    <t>비글</t>
    <phoneticPr fontId="5" type="noConversion"/>
  </si>
  <si>
    <t>SK_Ship_Beagle_Body</t>
  </si>
  <si>
    <t>SK_Ship_GhanjahDhow_Sail</t>
  </si>
  <si>
    <t>간자 다우</t>
    <phoneticPr fontId="5" type="noConversion"/>
  </si>
  <si>
    <t>간자 다우돛</t>
  </si>
  <si>
    <t>간자 다우돛</t>
    <phoneticPr fontId="5" type="noConversion"/>
  </si>
  <si>
    <t>SK_Ship_GhanjahDhow_Body</t>
  </si>
  <si>
    <t>SK_Ship_Esmeralda_Sail</t>
  </si>
  <si>
    <t>에스메랄다돛</t>
  </si>
  <si>
    <t>에스메랄다돛</t>
    <phoneticPr fontId="5" type="noConversion"/>
  </si>
  <si>
    <t>에스메랄다</t>
    <phoneticPr fontId="5" type="noConversion"/>
  </si>
  <si>
    <t>SK_Ship_Esmeralda_Body</t>
  </si>
  <si>
    <t>SK_Ship_StLawrence_Sail</t>
  </si>
  <si>
    <t>세인트로렌스돛</t>
  </si>
  <si>
    <t>세인트로렌스돛</t>
    <phoneticPr fontId="5" type="noConversion"/>
  </si>
  <si>
    <t>SK_Ship_StLawrence_Body</t>
  </si>
  <si>
    <t>SK_Ship_Hainan_Sail</t>
    <phoneticPr fontId="5" type="noConversion"/>
  </si>
  <si>
    <t>해남선돛</t>
  </si>
  <si>
    <t>해남선돛</t>
    <phoneticPr fontId="5" type="noConversion"/>
  </si>
  <si>
    <t>해남선</t>
    <phoneticPr fontId="5" type="noConversion"/>
  </si>
  <si>
    <t>SK_Ship_Hainan_Body</t>
    <phoneticPr fontId="5" type="noConversion"/>
  </si>
  <si>
    <t>SK_Ship_Adventure_Galley_Sail</t>
  </si>
  <si>
    <t>어드벤처 갤리돛</t>
  </si>
  <si>
    <t>어드벤처 갤리돛</t>
    <phoneticPr fontId="5" type="noConversion"/>
  </si>
  <si>
    <t>어드벤처 갤리노</t>
    <phoneticPr fontId="5" type="noConversion"/>
  </si>
  <si>
    <t>SK_Ship_Adventure_Galley_Paddle</t>
  </si>
  <si>
    <t>SK_Ship_Adventure_Galley_Body</t>
  </si>
  <si>
    <t>어드벤처 갤리</t>
    <phoneticPr fontId="5" type="noConversion"/>
  </si>
  <si>
    <t>어드벤처 갤리노</t>
  </si>
  <si>
    <t>바운티돛</t>
  </si>
  <si>
    <t>바운티돛</t>
    <phoneticPr fontId="5" type="noConversion"/>
  </si>
  <si>
    <t>SK_Ship_Bounty_Sail</t>
    <phoneticPr fontId="5" type="noConversion"/>
  </si>
  <si>
    <t>바운티</t>
    <phoneticPr fontId="5" type="noConversion"/>
  </si>
  <si>
    <t>SK_Ship_Bounty_Body</t>
  </si>
  <si>
    <t>촬영용 아군 산 펠리페</t>
  </si>
  <si>
    <t>촬영용 아군 그랑 안 프류트</t>
  </si>
  <si>
    <t>촬영용 아군 더제번</t>
  </si>
  <si>
    <t>촬영용 아군 베네치안 갤리스</t>
  </si>
  <si>
    <t>촬영용 아군 핀네스</t>
  </si>
  <si>
    <t>촬영용 적군 코르벳</t>
  </si>
  <si>
    <t>촬영용 적군 전열함</t>
  </si>
  <si>
    <t>촬영용 적군 오스만 갤리온</t>
  </si>
  <si>
    <t>촬영용 적군 대형 갤리온</t>
  </si>
  <si>
    <t>SK_Ship_Corvette_Body</t>
  </si>
  <si>
    <t>SK_Ship_Vaisseau_Body</t>
  </si>
  <si>
    <t>SK_Ship_Galleon_Body</t>
  </si>
  <si>
    <t>촬영용 적군 로만 갤리</t>
  </si>
  <si>
    <t>SK_Ship_Pinnace_Sail</t>
  </si>
  <si>
    <t>SK_Ship_Corvette_Sail</t>
  </si>
  <si>
    <t>SK_Ship_Vaisseau_Sail</t>
  </si>
  <si>
    <t>SK_Ship_OsmanGalleon_Sail</t>
  </si>
  <si>
    <t>촬영용 적군 코르벳</t>
    <phoneticPr fontId="5" type="noConversion"/>
  </si>
  <si>
    <t>0Xffc34b</t>
  </si>
  <si>
    <t>0X66b366</t>
  </si>
  <si>
    <t>0Xff7f4c</t>
  </si>
  <si>
    <t>0X51b8bb</t>
  </si>
  <si>
    <t>0X461818</t>
  </si>
  <si>
    <t>0X5d3a3d</t>
  </si>
  <si>
    <t>0X654c4f</t>
  </si>
  <si>
    <t>0Xffaa00</t>
  </si>
  <si>
    <t>0Xe44c53</t>
  </si>
  <si>
    <t>0Xfffcf4</t>
  </si>
  <si>
    <t>0Xc03737</t>
  </si>
  <si>
    <t>0Xc6534e</t>
  </si>
  <si>
    <t>촬영용 아군 산 펠리페2</t>
    <phoneticPr fontId="5" type="noConversion"/>
  </si>
  <si>
    <t>촬영용 적군 코르벳2</t>
    <phoneticPr fontId="5" type="noConversion"/>
  </si>
  <si>
    <t>촬영용 적군 오스만 갤리온2</t>
    <phoneticPr fontId="5" type="noConversion"/>
  </si>
  <si>
    <t>인게르마늘란트돛</t>
  </si>
  <si>
    <t>인게르마늘란트돛</t>
    <phoneticPr fontId="5" type="noConversion"/>
  </si>
  <si>
    <t>SK_Ship_Ingermanland_Sail</t>
    <phoneticPr fontId="5" type="noConversion"/>
  </si>
  <si>
    <t>SK_Ship_Ingermanland_Body</t>
  </si>
  <si>
    <t>인게르마늘란트</t>
    <phoneticPr fontId="5" type="noConversion"/>
  </si>
  <si>
    <t>정성공의 해남선돛</t>
  </si>
  <si>
    <t>정성공의 해남선돛</t>
    <phoneticPr fontId="5" type="noConversion"/>
  </si>
  <si>
    <t>SK_Ship_Chenggong_Sail</t>
  </si>
  <si>
    <t>정성공의 해남선</t>
    <phoneticPr fontId="5" type="noConversion"/>
  </si>
  <si>
    <t>SK_Ship_Chenggong_Body</t>
  </si>
  <si>
    <t>솔레이유 로열돛</t>
  </si>
  <si>
    <t>솔레이유 로열돛</t>
    <phoneticPr fontId="5" type="noConversion"/>
  </si>
  <si>
    <t>Sk_Ship_SoleilRoyal_Sail</t>
    <phoneticPr fontId="5" type="noConversion"/>
  </si>
  <si>
    <t>솔레이유 로열</t>
    <phoneticPr fontId="5" type="noConversion"/>
  </si>
  <si>
    <t>Sk_Ship_SoleilRoyal_Body</t>
    <phoneticPr fontId="5" type="noConversion"/>
  </si>
  <si>
    <t>크로난돛</t>
  </si>
  <si>
    <t>크로난돛</t>
    <phoneticPr fontId="5" type="noConversion"/>
  </si>
  <si>
    <t>SK_Ship_Kronan_Sail</t>
  </si>
  <si>
    <t>크로난</t>
    <phoneticPr fontId="5" type="noConversion"/>
  </si>
  <si>
    <t>SK_Ship_Kronan_Body</t>
  </si>
  <si>
    <t>부첸타우르</t>
    <phoneticPr fontId="5" type="noConversion"/>
  </si>
  <si>
    <t>SK_Ship_Bucentaur_Sail</t>
  </si>
  <si>
    <t>부첸타우르노</t>
  </si>
  <si>
    <t>부첸타우르노</t>
    <phoneticPr fontId="5" type="noConversion"/>
  </si>
  <si>
    <t>SK_Ship_Bucentaur_Paddle</t>
  </si>
  <si>
    <t>SK_Ship_Bucentaur_Body</t>
  </si>
  <si>
    <t>부첸타우르돛</t>
  </si>
  <si>
    <t>부첸타우르돛</t>
    <phoneticPr fontId="5" type="noConversion"/>
  </si>
  <si>
    <t>빅토리돛</t>
  </si>
  <si>
    <t>빅토리돛</t>
    <phoneticPr fontId="5" type="noConversion"/>
  </si>
  <si>
    <t>SK_Ship_Victory_Sail</t>
    <phoneticPr fontId="5" type="noConversion"/>
  </si>
  <si>
    <t>빅토리</t>
    <phoneticPr fontId="5" type="noConversion"/>
  </si>
  <si>
    <t>SK_Ship_Victory_Body</t>
    <phoneticPr fontId="5" type="noConversion"/>
  </si>
  <si>
    <t>도팽 로열돛</t>
  </si>
  <si>
    <t>도팽 로열돛</t>
    <phoneticPr fontId="5" type="noConversion"/>
  </si>
  <si>
    <t>SK_Ship_DauphinRoyal_Sail</t>
  </si>
  <si>
    <t>도팽 로열</t>
    <phoneticPr fontId="5" type="noConversion"/>
  </si>
  <si>
    <t>SK_Ship_DauphinRoyal_Body</t>
  </si>
  <si>
    <t>누선돛</t>
  </si>
  <si>
    <t>누선돛</t>
    <phoneticPr fontId="5" type="noConversion"/>
  </si>
  <si>
    <t>SK_Ship_Louchuan_Sail</t>
    <phoneticPr fontId="5" type="noConversion"/>
  </si>
  <si>
    <t>누선노</t>
  </si>
  <si>
    <t>누선노</t>
    <phoneticPr fontId="5" type="noConversion"/>
  </si>
  <si>
    <t>SK_Ship_Louchuan_Paddle</t>
    <phoneticPr fontId="5" type="noConversion"/>
  </si>
  <si>
    <t>누선</t>
    <phoneticPr fontId="5" type="noConversion"/>
  </si>
  <si>
    <t>SK_Ship_Louchuan_Body</t>
    <phoneticPr fontId="5" type="noConversion"/>
  </si>
  <si>
    <t>캘리코 잭</t>
    <phoneticPr fontId="5" type="noConversion"/>
  </si>
  <si>
    <t>Texture_Sail_Crest_160</t>
    <phoneticPr fontId="5" type="noConversion"/>
  </si>
  <si>
    <t>Texture_Sail_Crest_161</t>
    <phoneticPr fontId="5" type="noConversion"/>
  </si>
  <si>
    <t>Icon_Sail_Crest_161_Sprite</t>
    <phoneticPr fontId="5" type="noConversion"/>
  </si>
  <si>
    <t>만선돛</t>
  </si>
  <si>
    <t>만선돛</t>
    <phoneticPr fontId="5" type="noConversion"/>
  </si>
  <si>
    <t>SK_Ship_ManSeon_Sail</t>
    <phoneticPr fontId="5" type="noConversion"/>
  </si>
  <si>
    <t>만선</t>
    <phoneticPr fontId="5" type="noConversion"/>
  </si>
  <si>
    <t>SK_Ship_ManSeon_Body</t>
    <phoneticPr fontId="5" type="noConversion"/>
  </si>
  <si>
    <t>key:47600000~47699999</t>
    <phoneticPr fontId="5" type="noConversion"/>
  </si>
  <si>
    <t>string</t>
    <phoneticPr fontId="5" type="noConversion"/>
  </si>
  <si>
    <t>wakeType</t>
    <phoneticPr fontId="5" type="noConversion"/>
  </si>
  <si>
    <t>Player</t>
  </si>
  <si>
    <t>Player</t>
    <phoneticPr fontId="5" type="noConversion"/>
  </si>
  <si>
    <t>Cutscene</t>
  </si>
  <si>
    <t>NPC</t>
  </si>
  <si>
    <t>NPC</t>
    <phoneticPr fontId="5" type="noConversion"/>
  </si>
  <si>
    <t>Cutscene</t>
    <phoneticPr fontId="5" type="noConversion"/>
  </si>
  <si>
    <t>플레이어용</t>
    <phoneticPr fontId="5" type="noConversion"/>
  </si>
  <si>
    <t>NPC용</t>
    <phoneticPr fontId="5" type="noConversion"/>
  </si>
  <si>
    <t>컷씬용</t>
    <phoneticPr fontId="5" type="noConversion"/>
  </si>
  <si>
    <t>type</t>
    <phoneticPr fontId="5" type="noConversion"/>
  </si>
  <si>
    <t>P_E_Water_Splash_Player</t>
    <phoneticPr fontId="5" type="noConversion"/>
  </si>
  <si>
    <t>P_E_Water_Splash</t>
    <phoneticPr fontId="5" type="noConversion"/>
  </si>
  <si>
    <t>P_E_Water_Splash_CutScene</t>
    <phoneticPr fontId="5" type="noConversion"/>
  </si>
  <si>
    <t>wakeSocket</t>
    <phoneticPr fontId="5" type="noConversion"/>
  </si>
  <si>
    <t>naval_ram</t>
    <phoneticPr fontId="5" type="noConversion"/>
  </si>
  <si>
    <t>bAutoScale</t>
    <phoneticPr fontId="5" type="noConversion"/>
  </si>
  <si>
    <t>bool</t>
    <phoneticPr fontId="5" type="noConversion"/>
  </si>
  <si>
    <t>idleParticle</t>
    <phoneticPr fontId="5" type="noConversion"/>
  </si>
  <si>
    <t>string</t>
    <phoneticPr fontId="5" type="noConversion"/>
  </si>
  <si>
    <t>P_E_Water_Splash_ShipIdle</t>
    <phoneticPr fontId="5" type="noConversion"/>
  </si>
  <si>
    <t>-</t>
    <phoneticPr fontId="5" type="noConversion"/>
  </si>
  <si>
    <t>wakeScaleX</t>
    <phoneticPr fontId="5" type="noConversion"/>
  </si>
  <si>
    <t>wakeScaleY</t>
    <phoneticPr fontId="5" type="noConversion"/>
  </si>
  <si>
    <t>number</t>
    <phoneticPr fontId="5" type="noConversion"/>
  </si>
  <si>
    <t>idleScaleX</t>
    <phoneticPr fontId="5" type="noConversion"/>
  </si>
  <si>
    <t>idleScaleY</t>
    <phoneticPr fontId="5" type="noConversion"/>
  </si>
  <si>
    <t>wakeNPC</t>
    <phoneticPr fontId="5" type="noConversion"/>
  </si>
  <si>
    <t>wakeCutscene</t>
    <phoneticPr fontId="5" type="noConversion"/>
  </si>
  <si>
    <t>number</t>
    <phoneticPr fontId="5" type="noConversion"/>
  </si>
  <si>
    <t>"ShipWakeFX"</t>
    <phoneticPr fontId="5" type="noConversion"/>
  </si>
  <si>
    <t>디폴트 : ID 가 변경되면 반드시 CMSEx.SHIP_WAKE_DEFAULT_CMS_ID 도 변경해 주어야 합니다.</t>
    <phoneticPr fontId="5" type="noConversion"/>
  </si>
  <si>
    <t>wakeParticle</t>
    <phoneticPr fontId="5" type="noConversion"/>
  </si>
  <si>
    <t>:asset</t>
    <phoneticPr fontId="5" type="noConversion"/>
  </si>
  <si>
    <t>wakePlayer</t>
    <phoneticPr fontId="5" type="noConversion"/>
  </si>
  <si>
    <t>참고 : https://wiki.line.games/pages/viewpage.action?pageId=83584522</t>
    <phoneticPr fontId="5" type="noConversion"/>
  </si>
  <si>
    <t>진공선돛</t>
  </si>
  <si>
    <t>진공선돛</t>
    <phoneticPr fontId="5" type="noConversion"/>
  </si>
  <si>
    <t>SK_Ship_Ryukyuship_Sail</t>
  </si>
  <si>
    <t>진공선</t>
    <phoneticPr fontId="5" type="noConversion"/>
  </si>
  <si>
    <t>SK_Ship_Ryukyuship_Body</t>
  </si>
  <si>
    <t>정화함대의 선수상</t>
    <phoneticPr fontId="5" type="noConversion"/>
  </si>
  <si>
    <t>케살코아틀상</t>
    <phoneticPr fontId="5" type="noConversion"/>
  </si>
  <si>
    <t>쿠크르칸상</t>
    <phoneticPr fontId="5" type="noConversion"/>
  </si>
  <si>
    <t>코끼리상</t>
    <phoneticPr fontId="5" type="noConversion"/>
  </si>
  <si>
    <t>성아가타상</t>
    <phoneticPr fontId="5" type="noConversion"/>
  </si>
  <si>
    <t>성바바라상</t>
    <phoneticPr fontId="5" type="noConversion"/>
  </si>
  <si>
    <t>이시스상</t>
    <phoneticPr fontId="5" type="noConversion"/>
  </si>
  <si>
    <t>성니코라우스상</t>
    <phoneticPr fontId="5" type="noConversion"/>
  </si>
  <si>
    <t>용사상</t>
    <phoneticPr fontId="5" type="noConversion"/>
  </si>
  <si>
    <t>성모상</t>
    <phoneticPr fontId="5" type="noConversion"/>
  </si>
  <si>
    <t>에우로페상</t>
    <phoneticPr fontId="5" type="noConversion"/>
  </si>
  <si>
    <t>파리스상</t>
    <phoneticPr fontId="5" type="noConversion"/>
  </si>
  <si>
    <t>트라야누스 황제상</t>
    <phoneticPr fontId="5" type="noConversion"/>
  </si>
  <si>
    <t>네르바 황제상</t>
    <phoneticPr fontId="5" type="noConversion"/>
  </si>
  <si>
    <t>살라딘의 상</t>
    <phoneticPr fontId="5" type="noConversion"/>
  </si>
  <si>
    <t>라 선수상</t>
    <phoneticPr fontId="5" type="noConversion"/>
  </si>
  <si>
    <t>아디 다하카상</t>
    <phoneticPr fontId="5" type="noConversion"/>
  </si>
  <si>
    <t>티아마트상</t>
    <phoneticPr fontId="5" type="noConversion"/>
  </si>
  <si>
    <t>성인상</t>
    <phoneticPr fontId="5" type="noConversion"/>
  </si>
  <si>
    <t>익스타브상</t>
    <phoneticPr fontId="5" type="noConversion"/>
  </si>
  <si>
    <t>리바이어던상</t>
    <phoneticPr fontId="5" type="noConversion"/>
  </si>
  <si>
    <t>세이렌상</t>
    <phoneticPr fontId="5" type="noConversion"/>
  </si>
  <si>
    <t>왕자상</t>
    <phoneticPr fontId="5" type="noConversion"/>
  </si>
  <si>
    <t>해수상</t>
    <phoneticPr fontId="5" type="noConversion"/>
  </si>
  <si>
    <t>여신상</t>
    <phoneticPr fontId="5" type="noConversion"/>
  </si>
  <si>
    <t>금독수리상</t>
    <phoneticPr fontId="5" type="noConversion"/>
  </si>
  <si>
    <t>라크슈미의상</t>
    <phoneticPr fontId="5" type="noConversion"/>
  </si>
  <si>
    <t>SM_Ship_FigureHead_Zhenghesfleet</t>
    <phoneticPr fontId="5" type="noConversion"/>
  </si>
  <si>
    <t>SM_Ship_FigureHead_Quetzalcoatl</t>
    <phoneticPr fontId="5" type="noConversion"/>
  </si>
  <si>
    <t>SM_Ship_FigureHead_Kukulkan</t>
    <phoneticPr fontId="5" type="noConversion"/>
  </si>
  <si>
    <t>SM_Ship_FigureHead_Elephant</t>
    <phoneticPr fontId="5" type="noConversion"/>
  </si>
  <si>
    <t>SM_Ship_FigureHead_SaintAgatha</t>
    <phoneticPr fontId="5" type="noConversion"/>
  </si>
  <si>
    <t>SM_Ship_FigureHead_SaintBarbara</t>
    <phoneticPr fontId="5" type="noConversion"/>
  </si>
  <si>
    <t>SM_Ship_FigureHead_Isis</t>
    <phoneticPr fontId="5" type="noConversion"/>
  </si>
  <si>
    <t>SM_Ship_FigureHead_SaintNicholas</t>
    <phoneticPr fontId="5" type="noConversion"/>
  </si>
  <si>
    <t>SM_Ship_FigureHead_Warrior</t>
    <phoneticPr fontId="5" type="noConversion"/>
  </si>
  <si>
    <t>SM_Ship_FigureHead_VirginMary</t>
    <phoneticPr fontId="5" type="noConversion"/>
  </si>
  <si>
    <t>SM_Ship_FigureHead_Europa</t>
    <phoneticPr fontId="5" type="noConversion"/>
  </si>
  <si>
    <t>SM_Ship_FigureHead_Paris</t>
    <phoneticPr fontId="5" type="noConversion"/>
  </si>
  <si>
    <t>SM_Ship_FigureHead_Trajan</t>
    <phoneticPr fontId="5" type="noConversion"/>
  </si>
  <si>
    <t>SM_Ship_FigureHead_Nerva</t>
    <phoneticPr fontId="5" type="noConversion"/>
  </si>
  <si>
    <t>SM_Ship_FigureHead_Saladin</t>
    <phoneticPr fontId="5" type="noConversion"/>
  </si>
  <si>
    <t>SM_Ship_FigureHead_Ra</t>
    <phoneticPr fontId="5" type="noConversion"/>
  </si>
  <si>
    <t>SM_Ship_FigureHead_AziDahaka</t>
    <phoneticPr fontId="5" type="noConversion"/>
  </si>
  <si>
    <t>SM_Ship_FigureHead_Tiamat</t>
    <phoneticPr fontId="5" type="noConversion"/>
  </si>
  <si>
    <t>SM_Ship_FigureHead_Saint</t>
    <phoneticPr fontId="5" type="noConversion"/>
  </si>
  <si>
    <t>SM_Ship_FigureHead_Ixtab</t>
    <phoneticPr fontId="5" type="noConversion"/>
  </si>
  <si>
    <t>SM_Ship_FigureHead_Leviathan</t>
    <phoneticPr fontId="5" type="noConversion"/>
  </si>
  <si>
    <t>SM_Ship_FigureHead_Siren</t>
    <phoneticPr fontId="5" type="noConversion"/>
  </si>
  <si>
    <t>SM_Ship_FigureHead_Ruler</t>
    <phoneticPr fontId="5" type="noConversion"/>
  </si>
  <si>
    <t>SM_Ship_FigureHead_SeaMonster</t>
    <phoneticPr fontId="5" type="noConversion"/>
  </si>
  <si>
    <t>SM_Ship_FigureHead_Goddess</t>
    <phoneticPr fontId="5" type="noConversion"/>
  </si>
  <si>
    <t>SM_Ship_FigureHead_GoldenEagle</t>
    <phoneticPr fontId="5" type="noConversion"/>
  </si>
  <si>
    <t>SM_Ship_FigureHead_Lakshmi</t>
    <phoneticPr fontId="5" type="noConversion"/>
  </si>
  <si>
    <t>산티시마 트리니다드</t>
  </si>
  <si>
    <t>세인트 로런스</t>
  </si>
  <si>
    <t>벨로나돛</t>
  </si>
  <si>
    <t>벨로나돛</t>
    <phoneticPr fontId="5" type="noConversion"/>
  </si>
  <si>
    <t>SK_Ship_Bellona_Sail</t>
  </si>
  <si>
    <t>벨로나</t>
    <phoneticPr fontId="5" type="noConversion"/>
  </si>
  <si>
    <t>SK_Ship_Bellona_Body</t>
  </si>
  <si>
    <t>SK_Ship_Whydah_Sail</t>
  </si>
  <si>
    <t>위더돛</t>
  </si>
  <si>
    <t>위더돛</t>
    <phoneticPr fontId="5" type="noConversion"/>
  </si>
  <si>
    <t>위더</t>
    <phoneticPr fontId="5" type="noConversion"/>
  </si>
  <si>
    <t>SK_Ship_Whydah_Body</t>
  </si>
  <si>
    <t>천지환돛</t>
  </si>
  <si>
    <t>천지환돛</t>
    <phoneticPr fontId="5" type="noConversion"/>
  </si>
  <si>
    <t>SK_Ship_Tenchimaru_Sail</t>
    <phoneticPr fontId="5" type="noConversion"/>
  </si>
  <si>
    <t>천지환</t>
    <phoneticPr fontId="5" type="noConversion"/>
  </si>
  <si>
    <t>SK_Ship_Tenchimaru_Body</t>
    <phoneticPr fontId="5" type="noConversion"/>
  </si>
  <si>
    <t>SM_Ship_Liburna_Embolon_Ram</t>
    <phoneticPr fontId="5" type="noConversion"/>
  </si>
  <si>
    <t>니레카 충각</t>
    <phoneticPr fontId="5" type="noConversion"/>
  </si>
  <si>
    <t>대포_중</t>
    <phoneticPr fontId="5" type="noConversion"/>
  </si>
  <si>
    <t>사신 닻</t>
    <phoneticPr fontId="5" type="noConversion"/>
  </si>
  <si>
    <t>질서의 수호자 돛</t>
    <phoneticPr fontId="5" type="noConversion"/>
  </si>
  <si>
    <t>질서의 수호자</t>
    <phoneticPr fontId="5" type="noConversion"/>
  </si>
  <si>
    <t>흰머리 독수리상</t>
    <phoneticPr fontId="5" type="noConversion"/>
  </si>
  <si>
    <t>SK_Ship_Victoria_Body</t>
    <phoneticPr fontId="5" type="noConversion"/>
  </si>
  <si>
    <t>프롤로그_빅토리아돛</t>
    <phoneticPr fontId="5" type="noConversion"/>
  </si>
  <si>
    <t>프롤로그_아군빅토리아</t>
    <phoneticPr fontId="5" type="noConversion"/>
  </si>
  <si>
    <t>SK_Ship_Victoria_Sail</t>
    <phoneticPr fontId="5" type="noConversion"/>
  </si>
  <si>
    <t>SK_Ship_Cutter_Sail</t>
    <phoneticPr fontId="5" type="noConversion"/>
  </si>
  <si>
    <t>SK_Ship_Fluyt_Sail</t>
    <phoneticPr fontId="5" type="noConversion"/>
  </si>
  <si>
    <t>프롤로그_적군커터</t>
    <phoneticPr fontId="5" type="noConversion"/>
  </si>
  <si>
    <t>프롤로그_적군프류트</t>
    <phoneticPr fontId="5" type="noConversion"/>
  </si>
  <si>
    <t>SK_Ship_Cutter_Body</t>
    <phoneticPr fontId="5" type="noConversion"/>
  </si>
  <si>
    <t>SK_Ship_Fluyt_Body</t>
    <phoneticPr fontId="5" type="noConversion"/>
  </si>
  <si>
    <t>프롤로그_커터돛</t>
    <phoneticPr fontId="5" type="noConversion"/>
  </si>
  <si>
    <t>프롤로그_프류트돛</t>
    <phoneticPr fontId="5" type="noConversion"/>
  </si>
  <si>
    <t>유령선서양돛</t>
  </si>
  <si>
    <t>유령선서양돛</t>
    <phoneticPr fontId="5" type="noConversion"/>
  </si>
  <si>
    <t>SK_Ship_GhostShipWest_Sail</t>
  </si>
  <si>
    <t>유령선서양</t>
    <phoneticPr fontId="5" type="noConversion"/>
  </si>
  <si>
    <t>SK_Ship_GhostShipWest_Body</t>
    <phoneticPr fontId="5" type="noConversion"/>
  </si>
  <si>
    <t>몽동돛</t>
  </si>
  <si>
    <t>몽동돛</t>
    <phoneticPr fontId="5" type="noConversion"/>
  </si>
  <si>
    <t>SK_Ship_Mongdong_Sail</t>
  </si>
  <si>
    <t>몽동노</t>
  </si>
  <si>
    <t>몽동노</t>
    <phoneticPr fontId="5" type="noConversion"/>
  </si>
  <si>
    <t>SK_Ship_Mongdong_Paddle</t>
  </si>
  <si>
    <t>SK_Ship_Mongdong_Body</t>
  </si>
  <si>
    <t>유령선동양돛</t>
  </si>
  <si>
    <t>유령선동양돛</t>
    <phoneticPr fontId="5" type="noConversion"/>
  </si>
  <si>
    <t>SK_Ship_GhostShipEast_Sail</t>
    <phoneticPr fontId="5" type="noConversion"/>
  </si>
  <si>
    <t>유령선동양</t>
    <phoneticPr fontId="5" type="noConversion"/>
  </si>
  <si>
    <t>SK_Ship_GhostShipEast_Body</t>
    <phoneticPr fontId="5" type="noConversion"/>
  </si>
  <si>
    <t>화랑상</t>
    <phoneticPr fontId="5" type="noConversion"/>
  </si>
  <si>
    <t>해골상</t>
    <phoneticPr fontId="5" type="noConversion"/>
  </si>
  <si>
    <t>코뿔소상</t>
    <phoneticPr fontId="5" type="noConversion"/>
  </si>
  <si>
    <t>장비상</t>
    <phoneticPr fontId="5" type="noConversion"/>
  </si>
  <si>
    <t>관우상</t>
    <phoneticPr fontId="5" type="noConversion"/>
  </si>
  <si>
    <t>동자승상</t>
    <phoneticPr fontId="5" type="noConversion"/>
  </si>
  <si>
    <t>용상</t>
    <phoneticPr fontId="5" type="noConversion"/>
  </si>
  <si>
    <t>SM_Ship_FigureHead_HwaRang</t>
    <phoneticPr fontId="5" type="noConversion"/>
  </si>
  <si>
    <t>SM_Ship_FigureHead_Skull</t>
    <phoneticPr fontId="5" type="noConversion"/>
  </si>
  <si>
    <t>SM_Ship_FigureHead_Rhino</t>
    <phoneticPr fontId="5" type="noConversion"/>
  </si>
  <si>
    <t>SM_Ship_FigureHead_ZhangFei</t>
    <phoneticPr fontId="5" type="noConversion"/>
  </si>
  <si>
    <t>SM_Ship_FigureHead_GuanYu</t>
    <phoneticPr fontId="5" type="noConversion"/>
  </si>
  <si>
    <t>SM_Ship_FigureHead_YoungMonk</t>
    <phoneticPr fontId="5" type="noConversion"/>
  </si>
  <si>
    <t>SM_Ship_FigureHead_Dragon</t>
    <phoneticPr fontId="5" type="noConversion"/>
  </si>
  <si>
    <t>SM_Ship_FigureHead_KingSejong</t>
    <phoneticPr fontId="5" type="noConversion"/>
  </si>
  <si>
    <t>SM_Ship_FigureHead_ImperialEagle</t>
  </si>
  <si>
    <t>석가모니상</t>
    <phoneticPr fontId="5" type="noConversion"/>
  </si>
  <si>
    <t>해태상</t>
    <phoneticPr fontId="5" type="noConversion"/>
  </si>
  <si>
    <t>사무라이상</t>
    <phoneticPr fontId="5" type="noConversion"/>
  </si>
  <si>
    <t>SM_Ship_FigureHead_GenghisKhan</t>
    <phoneticPr fontId="5" type="noConversion"/>
  </si>
  <si>
    <t>SM_Ship_FigureHead_Buddha</t>
    <phoneticPr fontId="5" type="noConversion"/>
  </si>
  <si>
    <t>SM_Ship_FigureHead_Haetae</t>
    <phoneticPr fontId="5" type="noConversion"/>
  </si>
  <si>
    <t>SM_Ship_FigureHead_TheSamurai</t>
    <phoneticPr fontId="5" type="noConversion"/>
  </si>
  <si>
    <t>0x5f0300</t>
  </si>
  <si>
    <t>0x8e0700</t>
  </si>
  <si>
    <t>0xbb0c00</t>
  </si>
  <si>
    <t>0xe43f3b</t>
  </si>
  <si>
    <t>0xf56664</t>
  </si>
  <si>
    <t>0xfb8e8d</t>
  </si>
  <si>
    <t>0x5f4000</t>
  </si>
  <si>
    <t>0x8e6200</t>
  </si>
  <si>
    <t>0xb17b00</t>
  </si>
  <si>
    <t>0xcd8f00</t>
  </si>
  <si>
    <t>0xf2b048</t>
  </si>
  <si>
    <t>0xf8c07a</t>
  </si>
  <si>
    <t>0x5f4a00</t>
  </si>
  <si>
    <t>0x866a00</t>
  </si>
  <si>
    <t>0xbd9600</t>
  </si>
  <si>
    <t>0xe2b400</t>
  </si>
  <si>
    <t>0xf3ca65</t>
  </si>
  <si>
    <t>0xfdd989</t>
  </si>
  <si>
    <t>0x5f5a00</t>
  </si>
  <si>
    <t>0x958f00</t>
  </si>
  <si>
    <t>0xc2ba00</t>
  </si>
  <si>
    <t>0xe1d826</t>
  </si>
  <si>
    <t>0xf0e862</t>
  </si>
  <si>
    <t>0xfbf47a</t>
  </si>
  <si>
    <t>0x525f00</t>
  </si>
  <si>
    <t>0x869a00</t>
  </si>
  <si>
    <t>0xa7c000</t>
  </si>
  <si>
    <t>0xc6e400</t>
  </si>
  <si>
    <t>0xd3ed67</t>
  </si>
  <si>
    <t>0xe1fa86</t>
  </si>
  <si>
    <t>0x345400</t>
  </si>
  <si>
    <t>0x5c8f00</t>
  </si>
  <si>
    <t>0x7bbd00</t>
  </si>
  <si>
    <t>0x8ed900</t>
  </si>
  <si>
    <t>0xabf259</t>
  </si>
  <si>
    <t>0xbffa86</t>
  </si>
  <si>
    <t>0x114f37</t>
  </si>
  <si>
    <t>0x008a58</t>
  </si>
  <si>
    <t>0x00ad6f</t>
  </si>
  <si>
    <t>0x00cf86</t>
  </si>
  <si>
    <t>0x41eda1</t>
  </si>
  <si>
    <t>0x7bfaba</t>
  </si>
  <si>
    <t>0x0f534f</t>
  </si>
  <si>
    <t>0x218b85</t>
  </si>
  <si>
    <t>0x2ebdb6</t>
  </si>
  <si>
    <t>0x38e1d9</t>
  </si>
  <si>
    <t>0x6ceee6</t>
  </si>
  <si>
    <t>0x8ffaf2</t>
  </si>
  <si>
    <t>0x10414f</t>
  </si>
  <si>
    <t>0x7899</t>
  </si>
  <si>
    <t>0x009ec8</t>
  </si>
  <si>
    <t>0x38beed</t>
  </si>
  <si>
    <t>0x81cef3</t>
  </si>
  <si>
    <t>0xa4defd</t>
  </si>
  <si>
    <t>0x121852</t>
  </si>
  <si>
    <t>0x192598</t>
  </si>
  <si>
    <t>0x2433c8</t>
  </si>
  <si>
    <t>0x5059ea</t>
  </si>
  <si>
    <t>0x7a7ff8</t>
  </si>
  <si>
    <t>0xa1a4ff</t>
  </si>
  <si>
    <t>0x290753</t>
  </si>
  <si>
    <t>0x4e1495</t>
  </si>
  <si>
    <t>0x6d1fcc</t>
  </si>
  <si>
    <t>0x8126f0</t>
  </si>
  <si>
    <t>0xa177f5</t>
  </si>
  <si>
    <t>0xbda3fe</t>
  </si>
  <si>
    <t>0x431a53</t>
  </si>
  <si>
    <t>0x7a3595</t>
  </si>
  <si>
    <t>0x9f47c2</t>
  </si>
  <si>
    <t>0xbb54e4</t>
  </si>
  <si>
    <t>0xcc6ff4</t>
  </si>
  <si>
    <t>0xd88bfc</t>
  </si>
  <si>
    <t>0x511253</t>
  </si>
  <si>
    <t>0x942898</t>
  </si>
  <si>
    <t>0xbf36c4</t>
  </si>
  <si>
    <t>0xe341e8</t>
  </si>
  <si>
    <t>0xf372f8</t>
  </si>
  <si>
    <t>0xf69bfa</t>
  </si>
  <si>
    <t>0x54152c</t>
  </si>
  <si>
    <t>0x972c53</t>
  </si>
  <si>
    <t>0xc53c6e</t>
  </si>
  <si>
    <t>0xe85789</t>
  </si>
  <si>
    <t>0xf87aa1</t>
  </si>
  <si>
    <t>0xfea0ba</t>
  </si>
  <si>
    <t>0x2c2c2c</t>
  </si>
  <si>
    <t>0x585858</t>
  </si>
  <si>
    <t>0x828282</t>
  </si>
  <si>
    <t>0xa3a3a3</t>
  </si>
  <si>
    <t>0xc7c7c7</t>
  </si>
  <si>
    <t>0xe4e4e4</t>
  </si>
  <si>
    <t>컬러 46</t>
  </si>
  <si>
    <t>컬러 47</t>
  </si>
  <si>
    <t>컬러 48</t>
  </si>
  <si>
    <t>컬러 49</t>
  </si>
  <si>
    <t>컬러 50</t>
  </si>
  <si>
    <t>컬러 51</t>
  </si>
  <si>
    <t>컬러 52</t>
  </si>
  <si>
    <t>컬러 53</t>
  </si>
  <si>
    <t>컬러 54</t>
  </si>
  <si>
    <t>컬러 55</t>
  </si>
  <si>
    <t>컬러 56</t>
  </si>
  <si>
    <t>컬러 57</t>
  </si>
  <si>
    <t>컬러 58</t>
  </si>
  <si>
    <t>컬러 59</t>
  </si>
  <si>
    <t>컬러 60</t>
  </si>
  <si>
    <t>컬러 61</t>
  </si>
  <si>
    <t>컬러 62</t>
  </si>
  <si>
    <t>컬러 63</t>
  </si>
  <si>
    <t>컬러 64</t>
  </si>
  <si>
    <t>컬러 65</t>
  </si>
  <si>
    <t>컬러 66</t>
  </si>
  <si>
    <t>컬러 67</t>
  </si>
  <si>
    <t>컬러 68</t>
  </si>
  <si>
    <t>컬러 69</t>
  </si>
  <si>
    <t>컬러 70</t>
  </si>
  <si>
    <t>컬러 71</t>
  </si>
  <si>
    <t>컬러 72</t>
  </si>
  <si>
    <t>컬러 73</t>
  </si>
  <si>
    <t>컬러 74</t>
  </si>
  <si>
    <t>컬러 75</t>
  </si>
  <si>
    <t>컬러 76</t>
  </si>
  <si>
    <t>컬러 77</t>
  </si>
  <si>
    <t>컬러 78</t>
  </si>
  <si>
    <t>컬러 79</t>
  </si>
  <si>
    <t>컬러 80</t>
  </si>
  <si>
    <t>컬러 81</t>
  </si>
  <si>
    <t>컬러 82</t>
  </si>
  <si>
    <t>컬러 83</t>
  </si>
  <si>
    <t>컬러 84</t>
  </si>
  <si>
    <t>컬러 85</t>
  </si>
  <si>
    <t>컬러 86</t>
  </si>
  <si>
    <t>컬러 87</t>
  </si>
  <si>
    <t>컬러 88</t>
  </si>
  <si>
    <t>컬러 89</t>
  </si>
  <si>
    <t>컬러 90</t>
  </si>
  <si>
    <t>등급</t>
    <phoneticPr fontId="5" type="noConversion"/>
  </si>
  <si>
    <t>비용</t>
    <phoneticPr fontId="5" type="noConversion"/>
  </si>
  <si>
    <t>제거</t>
    <phoneticPr fontId="5" type="noConversion"/>
  </si>
  <si>
    <t>X</t>
    <phoneticPr fontId="5" type="noConversion"/>
  </si>
  <si>
    <t>가치</t>
    <phoneticPr fontId="5" type="noConversion"/>
  </si>
  <si>
    <t>상어상</t>
    <phoneticPr fontId="5" type="noConversion"/>
  </si>
  <si>
    <t>천룡상</t>
    <phoneticPr fontId="5" type="noConversion"/>
  </si>
  <si>
    <t>SM_Ship_FigureHead_Shark</t>
    <phoneticPr fontId="5" type="noConversion"/>
  </si>
  <si>
    <t>SM_Ship_Figurehead_SkyDragon</t>
  </si>
  <si>
    <t>잔 다르크상</t>
    <phoneticPr fontId="5" type="noConversion"/>
  </si>
  <si>
    <t>세종대왕상</t>
    <phoneticPr fontId="5" type="noConversion"/>
  </si>
  <si>
    <t>칭기즈칸 상</t>
    <phoneticPr fontId="5" type="noConversion"/>
  </si>
  <si>
    <t>황제 독수리상</t>
    <phoneticPr fontId="5" type="noConversion"/>
  </si>
  <si>
    <t>SK_Ship_GoldenHansaCog_Sail</t>
    <phoneticPr fontId="5" type="noConversion"/>
  </si>
  <si>
    <t>SK_Ship_GoldenHansaCog_Body</t>
    <phoneticPr fontId="5" type="noConversion"/>
  </si>
  <si>
    <t>황금 한자 코그</t>
    <phoneticPr fontId="5" type="noConversion"/>
  </si>
  <si>
    <t>황금 한자 코그돛</t>
  </si>
  <si>
    <t>황금 한자 코그돛</t>
    <phoneticPr fontId="5" type="noConversion"/>
  </si>
  <si>
    <t>Sail_Pattern_11</t>
    <phoneticPr fontId="5" type="noConversion"/>
  </si>
  <si>
    <t>Sail_Pattern_16</t>
    <phoneticPr fontId="5" type="noConversion"/>
  </si>
  <si>
    <t>아라키돛</t>
  </si>
  <si>
    <t>아라키돛</t>
    <phoneticPr fontId="5" type="noConversion"/>
  </si>
  <si>
    <t>SK_Ship_Araki_Sail</t>
  </si>
  <si>
    <t>SK_Ship_Araki_Body</t>
  </si>
  <si>
    <t>공용</t>
    <phoneticPr fontId="5" type="noConversion"/>
  </si>
  <si>
    <t>소조선</t>
  </si>
  <si>
    <t>소형</t>
    <phoneticPr fontId="5" type="noConversion"/>
  </si>
  <si>
    <t>중형</t>
    <phoneticPr fontId="5" type="noConversion"/>
  </si>
  <si>
    <t>대형</t>
    <phoneticPr fontId="5" type="noConversion"/>
  </si>
  <si>
    <t>초대형</t>
    <phoneticPr fontId="5" type="noConversion"/>
  </si>
  <si>
    <t>초소형</t>
    <phoneticPr fontId="5" type="noConversion"/>
  </si>
  <si>
    <t>P_E_Water_Splash_Player_XS</t>
    <phoneticPr fontId="5" type="noConversion"/>
  </si>
  <si>
    <t>P_E_Water_Splash_Player_S</t>
    <phoneticPr fontId="5" type="noConversion"/>
  </si>
  <si>
    <t>P_E_Water_Splash_Player_M</t>
    <phoneticPr fontId="5" type="noConversion"/>
  </si>
  <si>
    <t>P_E_Water_Splash_Player_L</t>
    <phoneticPr fontId="5" type="noConversion"/>
  </si>
  <si>
    <t>P_E_Water_Splash_Player_XL</t>
    <phoneticPr fontId="5" type="noConversion"/>
  </si>
  <si>
    <t>보선돛</t>
  </si>
  <si>
    <t>보선돛</t>
    <phoneticPr fontId="5" type="noConversion"/>
  </si>
  <si>
    <t>SK_Ship_Baochuan_Sail</t>
    <phoneticPr fontId="5" type="noConversion"/>
  </si>
  <si>
    <t>보선</t>
    <phoneticPr fontId="5" type="noConversion"/>
  </si>
  <si>
    <t>SK_Ship_Baochuan_Body</t>
    <phoneticPr fontId="5" type="noConversion"/>
  </si>
  <si>
    <t>양선돛</t>
  </si>
  <si>
    <t>양선돛</t>
    <phoneticPr fontId="5" type="noConversion"/>
  </si>
  <si>
    <t>SK_Ship_YangSeon_Sail</t>
  </si>
  <si>
    <t>양선</t>
    <phoneticPr fontId="5" type="noConversion"/>
  </si>
  <si>
    <t>SK_Ship_YangSeon_Body</t>
  </si>
  <si>
    <t>대판옥선돛</t>
  </si>
  <si>
    <t>대판옥선돛</t>
    <phoneticPr fontId="5" type="noConversion"/>
  </si>
  <si>
    <t>SK_Ship_DaePanOkSeon_Sail</t>
  </si>
  <si>
    <t>대판옥선</t>
    <phoneticPr fontId="5" type="noConversion"/>
  </si>
  <si>
    <t>SK_Ship_DaePanOkSeon_Body</t>
  </si>
  <si>
    <t>대판옥선노</t>
  </si>
  <si>
    <t>대판옥선노</t>
    <phoneticPr fontId="5" type="noConversion"/>
  </si>
  <si>
    <t>SK_Ship_DaePanOkSeon_Paddle</t>
  </si>
  <si>
    <t>병선</t>
    <phoneticPr fontId="5" type="noConversion"/>
  </si>
  <si>
    <t>SK_Ship_Byeongseon_Sail</t>
    <phoneticPr fontId="5" type="noConversion"/>
  </si>
  <si>
    <t>병선노</t>
  </si>
  <si>
    <t>병선노</t>
    <phoneticPr fontId="5" type="noConversion"/>
  </si>
  <si>
    <t>SK_Ship_Byeongseon_Paddle</t>
    <phoneticPr fontId="5" type="noConversion"/>
  </si>
  <si>
    <t>SK_Ship_Byeongseon_Body</t>
    <phoneticPr fontId="5" type="noConversion"/>
  </si>
  <si>
    <t>병선돛</t>
  </si>
  <si>
    <t>병선돛</t>
    <phoneticPr fontId="5" type="noConversion"/>
  </si>
  <si>
    <t>SK_Ship_Daihieu_Sail</t>
  </si>
  <si>
    <t>대효선</t>
    <phoneticPr fontId="5" type="noConversion"/>
  </si>
  <si>
    <t>대효선돛</t>
  </si>
  <si>
    <t>대효선돛</t>
    <phoneticPr fontId="5" type="noConversion"/>
  </si>
  <si>
    <t>SK_Ship_Daihieu_Body</t>
  </si>
  <si>
    <t>종돛</t>
  </si>
  <si>
    <t>종돛</t>
    <phoneticPr fontId="5" type="noConversion"/>
  </si>
  <si>
    <t>SK_Ship_Djong_Sail</t>
  </si>
  <si>
    <t>종</t>
    <phoneticPr fontId="5" type="noConversion"/>
  </si>
  <si>
    <t>SK_Ship_Djong_Body</t>
  </si>
  <si>
    <t>key:47700000~47799999</t>
    <phoneticPr fontId="5" type="noConversion"/>
  </si>
  <si>
    <t>key:47800000~47899999</t>
    <phoneticPr fontId="5" type="noConversion"/>
  </si>
  <si>
    <t>key:47900000~47999999</t>
    <phoneticPr fontId="5" type="noConversion"/>
  </si>
  <si>
    <t>투함돛</t>
  </si>
  <si>
    <t>투함돛</t>
    <phoneticPr fontId="5" type="noConversion"/>
  </si>
  <si>
    <t>SK_Ship_Doujian_Sail</t>
  </si>
  <si>
    <t>투함노</t>
  </si>
  <si>
    <t>투함노</t>
    <phoneticPr fontId="5" type="noConversion"/>
  </si>
  <si>
    <t>SK_Ship_Doujian_Paddle</t>
    <phoneticPr fontId="5" type="noConversion"/>
  </si>
  <si>
    <t>투함</t>
    <phoneticPr fontId="5" type="noConversion"/>
  </si>
  <si>
    <t>SK_Ship_Doujian_Body</t>
    <phoneticPr fontId="5" type="noConversion"/>
  </si>
  <si>
    <t>누전선돛</t>
  </si>
  <si>
    <t>누전선돛</t>
    <phoneticPr fontId="5" type="noConversion"/>
  </si>
  <si>
    <t>SK_Ship_NooJeonSeon_Sail</t>
  </si>
  <si>
    <t>누전선</t>
    <phoneticPr fontId="5" type="noConversion"/>
  </si>
  <si>
    <t>SK_Ship_NooJeonSeon_Body</t>
  </si>
  <si>
    <t>누전선노</t>
  </si>
  <si>
    <t>누전선노</t>
    <phoneticPr fontId="5" type="noConversion"/>
  </si>
  <si>
    <t>SK_Ship_NooJeonSeon_Paddle</t>
  </si>
  <si>
    <t>평전선돛</t>
  </si>
  <si>
    <t>평전선돛</t>
    <phoneticPr fontId="5" type="noConversion"/>
  </si>
  <si>
    <t>SK_Ship_PyeongJeonSeon_Sail</t>
  </si>
  <si>
    <t>SK_Ship_PyeongJeonSeon_Paddle</t>
  </si>
  <si>
    <t>평전선</t>
    <phoneticPr fontId="5" type="noConversion"/>
  </si>
  <si>
    <t>SK_Ship_PyeongJeonSeon_Body</t>
    <phoneticPr fontId="5" type="noConversion"/>
  </si>
  <si>
    <t>평전선노</t>
  </si>
  <si>
    <t>평전선노</t>
    <phoneticPr fontId="5" type="noConversion"/>
  </si>
  <si>
    <t>정크 스쿠너돛</t>
  </si>
  <si>
    <t>정크 스쿠너돛</t>
    <phoneticPr fontId="5" type="noConversion"/>
  </si>
  <si>
    <t>SK_Ship_Junk_Schooner_Sail</t>
  </si>
  <si>
    <t>정크 스쿠너</t>
    <phoneticPr fontId="5" type="noConversion"/>
  </si>
  <si>
    <t>SK_Ship_Junk_Schooner_Body</t>
  </si>
  <si>
    <t>버저로</t>
    <phoneticPr fontId="5" type="noConversion"/>
  </si>
  <si>
    <t>버저로돛</t>
    <phoneticPr fontId="5" type="noConversion"/>
  </si>
  <si>
    <t>버저로노</t>
    <phoneticPr fontId="5" type="noConversion"/>
  </si>
  <si>
    <t>아라키선</t>
    <phoneticPr fontId="5" type="noConversion"/>
  </si>
  <si>
    <t>용주돛</t>
  </si>
  <si>
    <t>용주돛</t>
    <phoneticPr fontId="5" type="noConversion"/>
  </si>
  <si>
    <t>SK_Ship_SuiYangDragonBoat_Sail</t>
    <phoneticPr fontId="5" type="noConversion"/>
  </si>
  <si>
    <t>용주노</t>
  </si>
  <si>
    <t>용주노</t>
    <phoneticPr fontId="5" type="noConversion"/>
  </si>
  <si>
    <t>SK_Ship_SuiYangDragonBoat_Paddle</t>
    <phoneticPr fontId="5" type="noConversion"/>
  </si>
  <si>
    <t>용주</t>
    <phoneticPr fontId="5" type="noConversion"/>
  </si>
  <si>
    <t>SK_Ship_SuiYangDragonBoat_Body</t>
    <phoneticPr fontId="5" type="noConversion"/>
  </si>
  <si>
    <t/>
  </si>
  <si>
    <t>가을의 금문장 도안</t>
  </si>
  <si>
    <t>겨울의 금문장 도안</t>
  </si>
  <si>
    <t>봄의 금문장 도안</t>
  </si>
  <si>
    <t>여름의 금문장 도안</t>
  </si>
  <si>
    <t>대해적 문장 도안</t>
  </si>
  <si>
    <t>가네샤 문장 도안</t>
  </si>
  <si>
    <t>가루다 문장 도안</t>
  </si>
  <si>
    <t>보야쥬 문장 도안</t>
  </si>
  <si>
    <t>고래 문장 도안</t>
  </si>
  <si>
    <t>바이킹 문장 도안</t>
  </si>
  <si>
    <t>그리폰 문장 도안</t>
  </si>
  <si>
    <t>나스카 문장 도안</t>
  </si>
  <si>
    <t>드래곤 문장 도안</t>
  </si>
  <si>
    <t>라의 눈 문장 도안</t>
  </si>
  <si>
    <t>쌍두독수리 문장 도안</t>
  </si>
  <si>
    <t>메두사 문장 도안</t>
  </si>
  <si>
    <t>모아이 문장 도안</t>
  </si>
  <si>
    <t>사자 문장 도안</t>
  </si>
  <si>
    <t>샐러맨더 문장 도안</t>
  </si>
  <si>
    <t>성마르코 사자 문장 도안</t>
  </si>
  <si>
    <t>소녀 문장 도안</t>
  </si>
  <si>
    <t>야수 문장 도안</t>
  </si>
  <si>
    <t>용 문장 도안</t>
  </si>
  <si>
    <t>용사냥의 문장 도안</t>
  </si>
  <si>
    <t>유니콘 문장 도안</t>
  </si>
  <si>
    <t>유인원 문장 도안</t>
  </si>
  <si>
    <t>제독 문장 도안</t>
  </si>
  <si>
    <t>케살코아틀 문장 도안</t>
  </si>
  <si>
    <t>페어리 문장 도안</t>
  </si>
  <si>
    <t>폭스 문장 도안</t>
  </si>
  <si>
    <t>호랑이 문장 도안</t>
  </si>
  <si>
    <t>기사 문장 도안</t>
  </si>
  <si>
    <t>미들튼 가문의 문장 도안</t>
  </si>
  <si>
    <t>바다 여단 문장 도안</t>
  </si>
  <si>
    <t>발바리아 해적 문장 도안</t>
  </si>
  <si>
    <t>베르니에 자작가 문장 도안</t>
  </si>
  <si>
    <t>살미엔트 길드 문장 도안</t>
  </si>
  <si>
    <t>여인 문장 도안</t>
  </si>
  <si>
    <t>장식 문장 도안</t>
  </si>
  <si>
    <t>탈출 문장 도안</t>
  </si>
  <si>
    <t>흑고래 용병함대 문장 도안</t>
  </si>
  <si>
    <t>청룡 문장 도안</t>
  </si>
  <si>
    <t>현무 문장 도안</t>
  </si>
  <si>
    <t>백호 문장 도안</t>
  </si>
  <si>
    <t>주작 문장 도안</t>
  </si>
  <si>
    <t>도깨비 문장 도안</t>
  </si>
  <si>
    <t>캘리코 잭 도안</t>
  </si>
  <si>
    <t>가을의 은문장 도안</t>
  </si>
  <si>
    <t>겨울의 은문장 도안</t>
  </si>
  <si>
    <t>봄의 은문장 도안</t>
  </si>
  <si>
    <t>여름의 은문장 도안</t>
  </si>
  <si>
    <t>해적 문장 도안</t>
  </si>
  <si>
    <t>펭귄 문장 도안</t>
  </si>
  <si>
    <t>피닉스 문장 도안</t>
  </si>
  <si>
    <t>해룡 문장 도안</t>
  </si>
  <si>
    <t>화염방패 문장 도안</t>
  </si>
  <si>
    <t>거미 문장 도안</t>
  </si>
  <si>
    <t>나비 문장 도안</t>
  </si>
  <si>
    <t>스콜피온 문장 도안</t>
  </si>
  <si>
    <t>크로스소드 문장 도안</t>
  </si>
  <si>
    <t>다이아몬드 문장 도안</t>
  </si>
  <si>
    <t>델핀 문장 도안</t>
  </si>
  <si>
    <t>바다뱀 문장 도안</t>
  </si>
  <si>
    <t>백합 문장 도안</t>
  </si>
  <si>
    <t>성요한 기사단 문장 도안</t>
  </si>
  <si>
    <t>스페이드 문장 도안</t>
  </si>
  <si>
    <t>써클크로스 문장 도안</t>
  </si>
  <si>
    <t>앵커 문장 도안</t>
  </si>
  <si>
    <t>어부 문장 도안</t>
  </si>
  <si>
    <t>일광 문장 도안</t>
  </si>
  <si>
    <t>장미 문장 도안</t>
  </si>
  <si>
    <t>조개 문장 도안</t>
  </si>
  <si>
    <t>캥거루 문장 도안</t>
  </si>
  <si>
    <t>크로스 문장 도안</t>
  </si>
  <si>
    <t>클로버 문장 도안</t>
  </si>
  <si>
    <t>태양 문장 도안</t>
  </si>
  <si>
    <t>트라이덴트 문장 도안</t>
  </si>
  <si>
    <t>페가수스 문장 도안</t>
  </si>
  <si>
    <t>하트 문장 도안</t>
  </si>
  <si>
    <t>헬름 문장 도안</t>
  </si>
  <si>
    <t>호박벌 문장 도안</t>
  </si>
  <si>
    <t>네덜란드 문장 도안</t>
  </si>
  <si>
    <t>베네치아 문장 도안</t>
  </si>
  <si>
    <t>오스만 투르크 문장 도안</t>
  </si>
  <si>
    <t>포르투갈 문장 도안</t>
  </si>
  <si>
    <t>프랑스 문장 도안</t>
  </si>
  <si>
    <t>학문양 문장 도안</t>
  </si>
  <si>
    <t>잉어 문장 도안</t>
  </si>
  <si>
    <t>태극 문장 도안</t>
  </si>
  <si>
    <t>모란 문장 도안</t>
  </si>
  <si>
    <t>벚꽃 문장 도안</t>
  </si>
  <si>
    <t>연꽃 문장 도안</t>
  </si>
  <si>
    <t>국화 문장 도안</t>
  </si>
  <si>
    <t>매화 문장 도안</t>
  </si>
  <si>
    <t>복 문장 도안</t>
  </si>
  <si>
    <t>구름 문장 도안</t>
  </si>
  <si>
    <t>기린 문장 도안</t>
  </si>
  <si>
    <t>해태 문장 도안</t>
  </si>
  <si>
    <t>대나무 문장 도안</t>
  </si>
  <si>
    <t>창틀 문장 도안</t>
  </si>
  <si>
    <t>복숭아 문장 도안</t>
  </si>
  <si>
    <t>고급 원단</t>
  </si>
  <si>
    <t>중급 원단</t>
  </si>
  <si>
    <t>하급 원단</t>
  </si>
  <si>
    <t>최고급 원단</t>
  </si>
  <si>
    <t>한줄 가로무늬 도안</t>
  </si>
  <si>
    <t>한줄 세로무늬 도안</t>
  </si>
  <si>
    <t>한줄 사선무늬 도안</t>
  </si>
  <si>
    <t>두줄 세로 무늬 도안</t>
  </si>
  <si>
    <t>두줄 가로 무늬 도안</t>
  </si>
  <si>
    <t>한줄 물결 무늬 도안</t>
  </si>
  <si>
    <t>세로 스트라이프 도안</t>
  </si>
  <si>
    <t>가로 스트라이프 도안</t>
  </si>
  <si>
    <t>두줄 사선 무늬 도안</t>
  </si>
  <si>
    <t>큰 마름모 무늬 도안</t>
  </si>
  <si>
    <t>작은 마름모 무늬 도안</t>
  </si>
  <si>
    <t>V 자 무늬 도안</t>
  </si>
  <si>
    <t>격자 무늬 도안</t>
  </si>
  <si>
    <t>풍차 무늬 도안</t>
  </si>
  <si>
    <t>큰 사각 무늬 도안</t>
  </si>
  <si>
    <t>삼각 무늬 도안</t>
  </si>
  <si>
    <t>계단 무늬 도안</t>
  </si>
  <si>
    <t>세로 물결 무늬 도안</t>
  </si>
  <si>
    <t>가로 물결 무늬 도안</t>
  </si>
  <si>
    <t>빛 모양 무늬 도안</t>
  </si>
  <si>
    <t>체크 무늬 도안</t>
  </si>
  <si>
    <t>삼각형 무늬 도안</t>
  </si>
  <si>
    <t>마름모 무늬 도안</t>
  </si>
  <si>
    <t>벽돌 무늬 도안</t>
  </si>
  <si>
    <t>구불구불 무늬 도안</t>
  </si>
  <si>
    <t>물결 무늬 도안</t>
  </si>
  <si>
    <t>사각 무늬 도안</t>
  </si>
  <si>
    <t>체스판 무늬 도안</t>
  </si>
  <si>
    <t>십자 무늬 도안</t>
  </si>
  <si>
    <t>원 무늬 도안</t>
  </si>
  <si>
    <t>비늘 무늬 도안</t>
  </si>
  <si>
    <t>육각 무늬 도안</t>
  </si>
  <si>
    <t>제비꽃 무늬 도안</t>
  </si>
  <si>
    <t>혼돈 무늬 도안</t>
  </si>
  <si>
    <t>백합 무늬 도안</t>
  </si>
  <si>
    <t>점 무늬 도안</t>
  </si>
  <si>
    <t>달 무늬 도안</t>
  </si>
  <si>
    <t>얼룩 무늬 도안</t>
  </si>
  <si>
    <t>모래알 무늬 도안</t>
  </si>
  <si>
    <t>별 무늬 도안</t>
  </si>
  <si>
    <t>중급 염색약</t>
  </si>
  <si>
    <t>상급 염색약</t>
  </si>
  <si>
    <t>하급 염색약</t>
  </si>
  <si>
    <t>최상급 염색약</t>
  </si>
  <si>
    <t>체크 무늬</t>
  </si>
  <si>
    <t>마름모 무늬</t>
  </si>
  <si>
    <t>백합 무늬</t>
  </si>
  <si>
    <t>Sail_Pattern_00</t>
  </si>
  <si>
    <t>Icon_Sail_Pattern_0_Sprite</t>
  </si>
  <si>
    <t>Icon_Sail_Pattern_1_Sprite</t>
  </si>
  <si>
    <t>Sail_Pattern_2</t>
  </si>
  <si>
    <t>Texture_Sail_Crest_CBT</t>
    <phoneticPr fontId="5" type="noConversion"/>
  </si>
  <si>
    <t>대항해시대 오리진</t>
    <phoneticPr fontId="5" type="noConversion"/>
  </si>
  <si>
    <t>대항해시대 오리진 도안</t>
    <phoneticPr fontId="5" type="noConversion"/>
  </si>
  <si>
    <t>블록 무늬 도안</t>
  </si>
  <si>
    <t>데칼코마니 무늬 도안</t>
  </si>
  <si>
    <t>나비 무늬 도안</t>
  </si>
  <si>
    <t>장미 무늬 도안</t>
  </si>
  <si>
    <t>특수 무늬 도안</t>
  </si>
  <si>
    <t>동양풍 무늬 도안</t>
  </si>
  <si>
    <t>Icon_Sail_Crest_CBT_Sprite</t>
    <phoneticPr fontId="5" type="noConversion"/>
  </si>
  <si>
    <t>컬러 91</t>
  </si>
  <si>
    <t>컬러 92</t>
  </si>
  <si>
    <t>컬러 93</t>
  </si>
  <si>
    <t>컬러 94</t>
  </si>
  <si>
    <t>컬러 95</t>
  </si>
  <si>
    <t>컬러 96</t>
  </si>
  <si>
    <t>컬러 97</t>
  </si>
  <si>
    <t>컬러 98</t>
  </si>
  <si>
    <t>컬러 99</t>
  </si>
  <si>
    <t>컬러 100</t>
  </si>
  <si>
    <t>컬러 101</t>
  </si>
  <si>
    <t>컬러 102</t>
  </si>
  <si>
    <t>SK_Ship_GoldenTalette_Body</t>
    <phoneticPr fontId="5" type="noConversion"/>
  </si>
  <si>
    <t>황금 타렛테</t>
    <phoneticPr fontId="5" type="noConversion"/>
  </si>
  <si>
    <t>큰 방울 무늬</t>
  </si>
  <si>
    <t>작은 방울 무늬</t>
  </si>
  <si>
    <t>사각 마름모 무늬</t>
  </si>
  <si>
    <t>한줄 사선무늬</t>
  </si>
  <si>
    <t>한줄 물결 무늬</t>
  </si>
  <si>
    <t>두줄 사선 무늬</t>
  </si>
  <si>
    <t>큰 사각 무늬</t>
  </si>
  <si>
    <t>세로 물결 무늬</t>
  </si>
  <si>
    <t>가로 물결 무늬</t>
  </si>
  <si>
    <t>벽돌 무늬</t>
  </si>
  <si>
    <t>구불구불 무늬</t>
  </si>
  <si>
    <t>물결 무늬</t>
  </si>
  <si>
    <t>육각 무늬</t>
  </si>
  <si>
    <t>블록 무늬</t>
  </si>
  <si>
    <t>데칼코마니 무늬</t>
  </si>
  <si>
    <t>나비 무늬</t>
  </si>
  <si>
    <t>장미 무늬</t>
  </si>
  <si>
    <t>특수 무늬</t>
  </si>
  <si>
    <t>동양풍 무늬</t>
  </si>
  <si>
    <t>컬러 1</t>
  </si>
  <si>
    <t>가로 톱니 무늬</t>
    <phoneticPr fontId="5" type="noConversion"/>
  </si>
  <si>
    <t>세로 톱니 무늬</t>
    <phoneticPr fontId="5" type="noConversion"/>
  </si>
  <si>
    <t>number</t>
    <phoneticPr fontId="5" type="noConversion"/>
  </si>
  <si>
    <t>SK_Ship_DanChuan_Sail</t>
  </si>
  <si>
    <t>단선돛</t>
  </si>
  <si>
    <t>단선돛</t>
    <phoneticPr fontId="5" type="noConversion"/>
  </si>
  <si>
    <t>단선</t>
    <phoneticPr fontId="5" type="noConversion"/>
  </si>
  <si>
    <t>SK_Ship_DanChuan_Body</t>
    <phoneticPr fontId="5" type="noConversion"/>
  </si>
  <si>
    <t>가로 톱니 무늬 도안</t>
  </si>
  <si>
    <t>세로 톱니 무늬 도안</t>
  </si>
  <si>
    <t>큰 방울 무늬 도안</t>
  </si>
  <si>
    <t>작은 방울 무늬 도안</t>
  </si>
  <si>
    <t>사각 마름모 무늬 도안</t>
  </si>
  <si>
    <t>목제 꺾쇠 충각</t>
  </si>
  <si>
    <t>목제 꺾쇠 충각</t>
    <phoneticPr fontId="5" type="noConversion"/>
  </si>
  <si>
    <t>에스파냐 문장 도안</t>
    <phoneticPr fontId="5" type="noConversion"/>
  </si>
  <si>
    <t>출항의 닻</t>
    <phoneticPr fontId="5" type="noConversion"/>
  </si>
  <si>
    <t>SK_Ship_Anchor_DepartureAnchor</t>
    <phoneticPr fontId="5" type="noConversion"/>
  </si>
  <si>
    <t>바다 기사단의 충각</t>
    <phoneticPr fontId="5" type="noConversion"/>
  </si>
  <si>
    <t>SM_Ship_OceanKnight_Ram</t>
    <phoneticPr fontId="5" type="noConversion"/>
  </si>
  <si>
    <t>buoyancyOffsetZ["display"]</t>
    <phoneticPr fontId="5" type="noConversion"/>
  </si>
  <si>
    <t>buoyancyOffsetZ["sail"]</t>
    <phoneticPr fontId="5" type="noConversion"/>
  </si>
  <si>
    <t>새내기 제독의 선수상</t>
    <phoneticPr fontId="5" type="noConversion"/>
  </si>
  <si>
    <t>SM_Ship_Shipparts_NewbieKite</t>
    <phoneticPr fontId="5" type="noConversion"/>
  </si>
  <si>
    <t>새내기 제독의 충각</t>
    <phoneticPr fontId="5" type="noConversion"/>
  </si>
  <si>
    <t>SM_Ship_Shipparts_NewbieRam</t>
    <phoneticPr fontId="5" type="noConversion"/>
  </si>
  <si>
    <t>새내기 제독의 닻</t>
    <phoneticPr fontId="5" type="noConversion"/>
  </si>
  <si>
    <t>SK_Ship_Anchor_NewbieAnchor</t>
    <phoneticPr fontId="5" type="noConversion"/>
  </si>
  <si>
    <t>넵튠돛</t>
  </si>
  <si>
    <t>넵튠돛</t>
    <phoneticPr fontId="5" type="noConversion"/>
  </si>
  <si>
    <t>SK_Ship_Neptune_Sail</t>
  </si>
  <si>
    <t>SK_Ship_Neptune_Body</t>
    <phoneticPr fontId="5" type="noConversion"/>
  </si>
  <si>
    <t>넵튠</t>
    <phoneticPr fontId="5" type="noConversion"/>
  </si>
  <si>
    <t>붉은 산호섬의 자애상</t>
    <phoneticPr fontId="5" type="noConversion"/>
  </si>
  <si>
    <t>붉은 산호섬의 보호상</t>
    <phoneticPr fontId="5" type="noConversion"/>
  </si>
  <si>
    <t>붉은 산호섬의 평화상</t>
    <phoneticPr fontId="5" type="noConversion"/>
  </si>
  <si>
    <t>붉은 산호섬의 수호상</t>
    <phoneticPr fontId="5" type="noConversion"/>
  </si>
  <si>
    <t>SM_Ship_FigureHead_RedCoralIslandCharity</t>
    <phoneticPr fontId="5" type="noConversion"/>
  </si>
  <si>
    <t>SM_Ship_FigureHead_RedCoralIslandProtect</t>
    <phoneticPr fontId="5" type="noConversion"/>
  </si>
  <si>
    <t>SM_Ship_FigureHead_RedCoralIslandPeace</t>
    <phoneticPr fontId="5" type="noConversion"/>
  </si>
  <si>
    <t>SM_Ship_FigureHead_RedCoralIslandGuardian</t>
    <phoneticPr fontId="5" type="noConversion"/>
  </si>
  <si>
    <t>상단 연합섬의 분쇄 충각</t>
    <phoneticPr fontId="5" type="noConversion"/>
  </si>
  <si>
    <t>상단 연합섬의 돌진 충각</t>
    <phoneticPr fontId="5" type="noConversion"/>
  </si>
  <si>
    <t>SM_Ship_FirmUnionSmash_Ram</t>
    <phoneticPr fontId="5" type="noConversion"/>
  </si>
  <si>
    <t>SM_Ship_FirmUnionRush_Ram</t>
    <phoneticPr fontId="5" type="noConversion"/>
  </si>
  <si>
    <t>빙하 선단의 닻</t>
    <phoneticPr fontId="5" type="noConversion"/>
  </si>
  <si>
    <t>SK_Ship_Anchor_GlacierFleet</t>
    <phoneticPr fontId="5" type="noConversion"/>
  </si>
  <si>
    <t>진주섬의 보호상</t>
    <phoneticPr fontId="5" type="noConversion"/>
  </si>
  <si>
    <t>진주섬의 자애상</t>
    <phoneticPr fontId="5" type="noConversion"/>
  </si>
  <si>
    <t>진주섬의 평화상</t>
    <phoneticPr fontId="5" type="noConversion"/>
  </si>
  <si>
    <t>SM_Ship_FigureHead_PearlIslandProtect</t>
    <phoneticPr fontId="5" type="noConversion"/>
  </si>
  <si>
    <t>SM_Ship_FigureHead_PearlIslandCharity</t>
    <phoneticPr fontId="5" type="noConversion"/>
  </si>
  <si>
    <t>SM_Ship_FigureHead_PearlIslandPeace</t>
    <phoneticPr fontId="5" type="noConversion"/>
  </si>
  <si>
    <t>폭풍 선단의 전투 충각</t>
    <phoneticPr fontId="5" type="noConversion"/>
  </si>
  <si>
    <t>폭풍 선단의 돌진 충각</t>
    <phoneticPr fontId="5" type="noConversion"/>
  </si>
  <si>
    <t>폭풍 선단의 분쇄 충각</t>
    <phoneticPr fontId="5" type="noConversion"/>
  </si>
  <si>
    <t>SM_Ship_StormFleetBattle_Ram</t>
    <phoneticPr fontId="5" type="noConversion"/>
  </si>
  <si>
    <t>SM_Ship_StormFleetRush_Ram</t>
    <phoneticPr fontId="5" type="noConversion"/>
  </si>
  <si>
    <t>SM_Ship_StormFleetSmash_Ram</t>
    <phoneticPr fontId="5" type="noConversion"/>
  </si>
  <si>
    <t>북해 연합의 닻</t>
    <phoneticPr fontId="5" type="noConversion"/>
  </si>
  <si>
    <t>SK_Ship_Anchor_NorthSeaUnionAnchor</t>
    <phoneticPr fontId="5" type="noConversion"/>
  </si>
  <si>
    <t>ParticleSystem</t>
    <phoneticPr fontId="5" type="noConversion"/>
  </si>
  <si>
    <t>-</t>
    <phoneticPr fontId="5" type="noConversion"/>
  </si>
  <si>
    <t>drawDistance</t>
    <phoneticPr fontId="5" type="noConversion"/>
  </si>
  <si>
    <t xml:space="preserve">거리를 지정하지 않으면 디폴트가 사용 됩니다.
기본 추천 값
* 소형 : 3000
* 중형 : 5000
* 대형 : 7000
</t>
    <phoneticPr fontId="5" type="noConversion"/>
  </si>
  <si>
    <t>Deco_15</t>
  </si>
  <si>
    <t>보물선 상시 이팩트</t>
  </si>
  <si>
    <t>보물선 상시 이팩트</t>
    <phoneticPr fontId="5" type="noConversion"/>
  </si>
  <si>
    <t>ParticleSystem</t>
  </si>
  <si>
    <t>P_Ship_Event_Goldgoblin</t>
    <phoneticPr fontId="5" type="noConversion"/>
  </si>
  <si>
    <t>SK_Ship_Body_Bone</t>
    <phoneticPr fontId="5" type="noConversion"/>
  </si>
  <si>
    <t>황금 타렛테_G</t>
    <phoneticPr fontId="5" type="noConversion"/>
  </si>
  <si>
    <t>황금 한자 코그_G</t>
    <phoneticPr fontId="5" type="noConversion"/>
  </si>
  <si>
    <t>황금 삼판_G</t>
    <phoneticPr fontId="5" type="noConversion"/>
  </si>
  <si>
    <t>황금 바르카_G</t>
    <phoneticPr fontId="5" type="noConversion"/>
  </si>
  <si>
    <t>보석 왕관</t>
    <phoneticPr fontId="5" type="noConversion"/>
  </si>
  <si>
    <t>Icon_Sail_Crest_164_Sprite</t>
    <phoneticPr fontId="5" type="noConversion"/>
  </si>
  <si>
    <t>Texture_Sail_Crest_164</t>
    <phoneticPr fontId="5" type="noConversion"/>
  </si>
  <si>
    <t>유령선 상시 이팩트</t>
  </si>
  <si>
    <t>유령선 상시 이팩트</t>
    <phoneticPr fontId="5" type="noConversion"/>
  </si>
  <si>
    <t>Deco_14</t>
  </si>
  <si>
    <t>P_Ghost_Battle_Idle</t>
    <phoneticPr fontId="5" type="noConversion"/>
  </si>
  <si>
    <t>보석 왕관 도안</t>
    <phoneticPr fontId="5" type="noConversion"/>
  </si>
  <si>
    <t>루돌프 선수상</t>
    <phoneticPr fontId="5" type="noConversion"/>
  </si>
  <si>
    <t>SM_Ship_FigureHead_ChristmasRudolphFigure</t>
    <phoneticPr fontId="5" type="noConversion"/>
  </si>
  <si>
    <t>산타 섬 특제 닻</t>
    <phoneticPr fontId="5" type="noConversion"/>
  </si>
  <si>
    <t>SK_Ship_Anchor_ChristmasKranzAnchor</t>
    <phoneticPr fontId="5" type="noConversion"/>
  </si>
  <si>
    <t>SK_Ship_SpecialLorcha_Sail</t>
    <phoneticPr fontId="5" type="noConversion"/>
  </si>
  <si>
    <t>특수 로르샤</t>
    <phoneticPr fontId="5" type="noConversion"/>
  </si>
  <si>
    <t>특수 로르샤돛</t>
  </si>
  <si>
    <t>특수 로르샤돛</t>
    <phoneticPr fontId="5" type="noConversion"/>
  </si>
  <si>
    <t>SK_Ship_SpecialLorcha_Body</t>
    <phoneticPr fontId="5" type="noConversion"/>
  </si>
  <si>
    <t>보스 앤 여왕의 복수돛</t>
  </si>
  <si>
    <t>보스 앤 여왕의 복수돛</t>
    <phoneticPr fontId="5" type="noConversion"/>
  </si>
  <si>
    <t>SK_Ship_QueenAnneRevenge_Sail</t>
  </si>
  <si>
    <t>보스 앤 여왕의 복수</t>
    <phoneticPr fontId="5" type="noConversion"/>
  </si>
  <si>
    <t>SK_Ship_QueenAnneRevenge_Body</t>
    <phoneticPr fontId="5" type="noConversion"/>
  </si>
  <si>
    <t>Texture_Sail_Crest_Christmas0</t>
    <phoneticPr fontId="5" type="noConversion"/>
  </si>
  <si>
    <t>Icon_Sail_Crest_Christmas0_Sprite</t>
    <phoneticPr fontId="5" type="noConversion"/>
  </si>
  <si>
    <t>루돌프 썰매 문장</t>
    <phoneticPr fontId="5" type="noConversion"/>
  </si>
  <si>
    <t>루돌프 썰매 문장 도안</t>
    <phoneticPr fontId="5" type="noConversion"/>
  </si>
  <si>
    <t>key:48000000~48999999</t>
    <phoneticPr fontId="5" type="noConversion"/>
  </si>
  <si>
    <t>Sk_Ship_QueenAnneRevenge_Reward_Sail</t>
    <phoneticPr fontId="5" type="noConversion"/>
  </si>
  <si>
    <t>장식이팩트_바디</t>
    <phoneticPr fontId="5" type="noConversion"/>
  </si>
  <si>
    <t>장식이팩트_선수</t>
    <phoneticPr fontId="5" type="noConversion"/>
  </si>
  <si>
    <t>장식이팩트_선미</t>
    <phoneticPr fontId="5" type="noConversion"/>
  </si>
  <si>
    <t>장식이팩트_파츠용</t>
    <phoneticPr fontId="5" type="noConversion"/>
  </si>
  <si>
    <t>티치의 프리깃돛</t>
  </si>
  <si>
    <t>티치의 프리깃돛</t>
    <phoneticPr fontId="5" type="noConversion"/>
  </si>
  <si>
    <t>티치의 프리깃</t>
    <phoneticPr fontId="5" type="noConversion"/>
  </si>
  <si>
    <t>흑토끼의 충각</t>
    <phoneticPr fontId="5" type="noConversion"/>
  </si>
  <si>
    <t>SM_Ship_blackRabbit_Ram</t>
    <phoneticPr fontId="5" type="noConversion"/>
  </si>
  <si>
    <t>P_Ship_Ornament_BlackSmoke_Body</t>
  </si>
  <si>
    <t>P_Ship_Ornament_SnowWind_Body</t>
  </si>
  <si>
    <t>검은 수염의 흑연</t>
    <phoneticPr fontId="5" type="noConversion"/>
  </si>
  <si>
    <t>겨울 바람</t>
    <phoneticPr fontId="5" type="noConversion"/>
  </si>
  <si>
    <t>scaleS</t>
    <phoneticPr fontId="5" type="noConversion"/>
  </si>
  <si>
    <t>scaleM</t>
    <phoneticPr fontId="5" type="noConversion"/>
  </si>
  <si>
    <t>scaleL</t>
    <phoneticPr fontId="5" type="noConversion"/>
  </si>
  <si>
    <t>scaleXL</t>
    <phoneticPr fontId="5" type="noConversion"/>
  </si>
  <si>
    <t>특수 골든 하인드돛</t>
  </si>
  <si>
    <t>특수 골든 하인드돛</t>
    <phoneticPr fontId="5" type="noConversion"/>
  </si>
  <si>
    <t>SK_Ship_SpecialGoldenHind_Sail</t>
    <phoneticPr fontId="5" type="noConversion"/>
  </si>
  <si>
    <t>특수 골든 하인드</t>
    <phoneticPr fontId="5" type="noConversion"/>
  </si>
  <si>
    <t>SK_Ship_SpecialGoldenHind_Body</t>
    <phoneticPr fontId="5" type="noConversion"/>
  </si>
  <si>
    <t>르 넵튜느돛</t>
  </si>
  <si>
    <t>르 넵튜느돛</t>
    <phoneticPr fontId="5" type="noConversion"/>
  </si>
  <si>
    <t>SK_Ship_LeNeptune_Sail</t>
    <phoneticPr fontId="5" type="noConversion"/>
  </si>
  <si>
    <t>르 넵튜느</t>
    <phoneticPr fontId="5" type="noConversion"/>
  </si>
  <si>
    <t>SK_Ship_LeNeptune_Body</t>
    <phoneticPr fontId="5" type="noConversion"/>
  </si>
  <si>
    <t>넵튜노돛</t>
  </si>
  <si>
    <t>넵튜노돛</t>
    <phoneticPr fontId="5" type="noConversion"/>
  </si>
  <si>
    <t>SK_Ship_Neptuno_Sail</t>
    <phoneticPr fontId="5" type="noConversion"/>
  </si>
  <si>
    <t>넵튜노</t>
    <phoneticPr fontId="5" type="noConversion"/>
  </si>
  <si>
    <t>Sk_Ship_Neptuno_Body</t>
  </si>
  <si>
    <t>Sk_Ship_QueenAnneRevenge_Reward_Body</t>
    <phoneticPr fontId="5" type="noConversion"/>
  </si>
  <si>
    <t>SK_Ship_Body_Bone</t>
  </si>
  <si>
    <t>앤 여왕의 복수 문장</t>
    <phoneticPr fontId="5" type="noConversion"/>
  </si>
  <si>
    <t>Texture_Sail_edward_teach</t>
    <phoneticPr fontId="5" type="noConversion"/>
  </si>
  <si>
    <t>Icon_Sail_edward_teach_Sprite</t>
    <phoneticPr fontId="5" type="noConversion"/>
  </si>
  <si>
    <t>앤 여왕의 복수 문장 도안</t>
    <phoneticPr fontId="5" type="noConversion"/>
  </si>
  <si>
    <t>SM_Ship_bossRaidCuauhtemoc_Kite</t>
    <phoneticPr fontId="5" type="noConversion"/>
  </si>
  <si>
    <t>용맹한 독수리 호의 선수상</t>
    <phoneticPr fontId="5" type="noConversion"/>
  </si>
  <si>
    <t>용맹한 독수리 호의 충각</t>
    <phoneticPr fontId="5" type="noConversion"/>
  </si>
  <si>
    <t>SM_Ship_Cuauhtemoc_Ram</t>
    <phoneticPr fontId="5" type="noConversion"/>
  </si>
  <si>
    <t>용맹한 독수리 호의 닻</t>
    <phoneticPr fontId="5" type="noConversion"/>
  </si>
  <si>
    <t>SK_Ship_Anchor_BossRaidCuauhtemoc</t>
    <phoneticPr fontId="5" type="noConversion"/>
  </si>
  <si>
    <t>용맹한 독수리노</t>
  </si>
  <si>
    <t>용맹한 독수리노</t>
    <phoneticPr fontId="5" type="noConversion"/>
  </si>
  <si>
    <t>SK_Ship_BraveEagle_Paddle</t>
    <phoneticPr fontId="5" type="noConversion"/>
  </si>
  <si>
    <t>용맹한 독수리돛</t>
  </si>
  <si>
    <t>용맹한 독수리돛</t>
    <phoneticPr fontId="5" type="noConversion"/>
  </si>
  <si>
    <t>SK_Ship_BraveEagle_Sail</t>
    <phoneticPr fontId="5" type="noConversion"/>
  </si>
  <si>
    <t>보스 용맹한 독수리</t>
    <phoneticPr fontId="5" type="noConversion"/>
  </si>
  <si>
    <t>SK_Ship_BraveEagle_Body</t>
    <phoneticPr fontId="5" type="noConversion"/>
  </si>
  <si>
    <t>M_Ship_BraveEagle_Sail_Inst</t>
  </si>
  <si>
    <t>M_Ship_BraveEagle_Sail2_Inst</t>
  </si>
  <si>
    <t>보상용_용맹한 독수리돛</t>
  </si>
  <si>
    <t>보상용_용맹한 독수리돛</t>
    <phoneticPr fontId="5" type="noConversion"/>
  </si>
  <si>
    <t>보상용_용맹한 독수리노</t>
  </si>
  <si>
    <t>보상용_용맹한 독수리노</t>
    <phoneticPr fontId="5" type="noConversion"/>
  </si>
  <si>
    <t>보상용 용맹한 독수리</t>
    <phoneticPr fontId="5" type="noConversion"/>
  </si>
  <si>
    <t>P_Ship_Ornament_AztecForce_Body</t>
    <phoneticPr fontId="5" type="noConversion"/>
  </si>
  <si>
    <t>봄의 발자취</t>
    <phoneticPr fontId="5" type="noConversion"/>
  </si>
  <si>
    <t>200일 기념의 문장</t>
    <phoneticPr fontId="5" type="noConversion"/>
  </si>
  <si>
    <t>200일 기념의 문장 도안</t>
    <phoneticPr fontId="5" type="noConversion"/>
  </si>
  <si>
    <t>축제의 시작</t>
    <phoneticPr fontId="5" type="noConversion"/>
  </si>
  <si>
    <t>Texture_Sail_Crest_200D</t>
    <phoneticPr fontId="5" type="noConversion"/>
  </si>
  <si>
    <t>Icon_Sail_Crest_200D_Sprite</t>
    <phoneticPr fontId="5" type="noConversion"/>
  </si>
  <si>
    <t>P_Ship_Ornament_Festival_Body</t>
    <phoneticPr fontId="5" type="noConversion"/>
  </si>
  <si>
    <t>주작선</t>
    <phoneticPr fontId="5" type="noConversion"/>
  </si>
  <si>
    <t>어좌선</t>
    <phoneticPr fontId="5" type="noConversion"/>
  </si>
  <si>
    <t>르 뷔상토르</t>
    <phoneticPr fontId="5" type="noConversion"/>
  </si>
  <si>
    <t>르두타블르</t>
    <phoneticPr fontId="5" type="noConversion"/>
  </si>
  <si>
    <t>주작선돛</t>
  </si>
  <si>
    <t>주작선돛</t>
    <phoneticPr fontId="5" type="noConversion"/>
  </si>
  <si>
    <t>어좌선돛</t>
  </si>
  <si>
    <t>어좌선돛</t>
    <phoneticPr fontId="5" type="noConversion"/>
  </si>
  <si>
    <t>르 뷔상토르돛</t>
  </si>
  <si>
    <t>르 뷔상토르돛</t>
    <phoneticPr fontId="5" type="noConversion"/>
  </si>
  <si>
    <t>르두타블르돛</t>
  </si>
  <si>
    <t>르두타블르돛</t>
    <phoneticPr fontId="5" type="noConversion"/>
  </si>
  <si>
    <t>SK_Ship_SuiYangPheonixBoat_Sail</t>
    <phoneticPr fontId="5" type="noConversion"/>
  </si>
  <si>
    <t>SK_Ship_Gozabune_Sail</t>
    <phoneticPr fontId="5" type="noConversion"/>
  </si>
  <si>
    <t>SK_Ship_LeBucentaur_Sail</t>
    <phoneticPr fontId="5" type="noConversion"/>
  </si>
  <si>
    <t>SK_Ship_Redoubtable_Sail</t>
    <phoneticPr fontId="5" type="noConversion"/>
  </si>
  <si>
    <t>주작선노</t>
  </si>
  <si>
    <t>주작선노</t>
    <phoneticPr fontId="5" type="noConversion"/>
  </si>
  <si>
    <t>어좌선노</t>
  </si>
  <si>
    <t>어좌선노</t>
    <phoneticPr fontId="5" type="noConversion"/>
  </si>
  <si>
    <t>SK_Ship_SuiYangPheonixBoat_Paddle</t>
    <phoneticPr fontId="5" type="noConversion"/>
  </si>
  <si>
    <t>SK_Ship_Gozabune_Paddle</t>
    <phoneticPr fontId="5" type="noConversion"/>
  </si>
  <si>
    <t>SK_Ship_SuiYangPheonixBoat_Body</t>
    <phoneticPr fontId="5" type="noConversion"/>
  </si>
  <si>
    <t>SK_Ship_Gozabune_Body</t>
    <phoneticPr fontId="5" type="noConversion"/>
  </si>
  <si>
    <t>SK_Ship_LeBucentaur_Body</t>
    <phoneticPr fontId="5" type="noConversion"/>
  </si>
  <si>
    <t>SK_Ship_Redoubtable_Body</t>
    <phoneticPr fontId="5" type="noConversion"/>
  </si>
  <si>
    <t>대형 몽충</t>
    <phoneticPr fontId="5" type="noConversion"/>
  </si>
  <si>
    <t>P_Ship_Ornament_SpringFootprint_Body</t>
    <phoneticPr fontId="5" type="noConversion"/>
  </si>
  <si>
    <t>아스테카의 바람</t>
    <phoneticPr fontId="5" type="noConversion"/>
  </si>
  <si>
    <t>봄 향기의 닻</t>
    <phoneticPr fontId="5" type="noConversion"/>
  </si>
  <si>
    <t>SK_Ship_Anchor_SpringScent</t>
    <phoneticPr fontId="5" type="noConversion"/>
  </si>
  <si>
    <t>봄의 나비상</t>
    <phoneticPr fontId="5" type="noConversion"/>
  </si>
  <si>
    <t>SM_Ship_FigureHead_springButterflyFigure</t>
    <phoneticPr fontId="5" type="noConversion"/>
  </si>
  <si>
    <t>보스 아미티</t>
    <phoneticPr fontId="5" type="noConversion"/>
  </si>
  <si>
    <t>보상용 아미티</t>
    <phoneticPr fontId="5" type="noConversion"/>
  </si>
  <si>
    <t>서양램프_유럽1</t>
    <phoneticPr fontId="5" type="noConversion"/>
  </si>
  <si>
    <t>SK_Ship_Amity_Body</t>
    <phoneticPr fontId="5" type="noConversion"/>
  </si>
  <si>
    <t>버뮤다 슬루프돛</t>
    <phoneticPr fontId="5" type="noConversion"/>
  </si>
  <si>
    <t>SK_Ship_Amity_Boss_Body</t>
    <phoneticPr fontId="5" type="noConversion"/>
  </si>
  <si>
    <t>보스 아미티돛</t>
  </si>
  <si>
    <t>보스 아미티돛</t>
    <phoneticPr fontId="5" type="noConversion"/>
  </si>
  <si>
    <t>보상용 아미티돛</t>
  </si>
  <si>
    <t>보상용 아미티돛</t>
    <phoneticPr fontId="5" type="noConversion"/>
  </si>
  <si>
    <t>SK_Ship_Amity_Boss_Sail</t>
    <phoneticPr fontId="5" type="noConversion"/>
  </si>
  <si>
    <t>SK_Ship_Amity_Sail</t>
    <phoneticPr fontId="5" type="noConversion"/>
  </si>
  <si>
    <t>아미티호의 불꽃</t>
    <phoneticPr fontId="5" type="noConversion"/>
  </si>
  <si>
    <t>P_Ship_Ornament_AmityFlame_Body</t>
    <phoneticPr fontId="5" type="noConversion"/>
  </si>
  <si>
    <t>P_Ship_Ornament_Test001_Body</t>
    <phoneticPr fontId="5" type="noConversion"/>
  </si>
  <si>
    <t>P_Ship_Ornament_Test002_Body</t>
    <phoneticPr fontId="5" type="noConversion"/>
  </si>
  <si>
    <t>쌍어 문장 그림</t>
    <phoneticPr fontId="5" type="noConversion"/>
  </si>
  <si>
    <t>Texture_Sail_Crest_166</t>
    <phoneticPr fontId="5" type="noConversion"/>
  </si>
  <si>
    <t>Icon_Sail_Crest_166_Sprite</t>
    <phoneticPr fontId="5" type="noConversion"/>
  </si>
  <si>
    <t>로마의 불</t>
    <phoneticPr fontId="5" type="noConversion"/>
  </si>
  <si>
    <t>P_Ship_Ornament_RomeFire_Body</t>
    <phoneticPr fontId="5" type="noConversion"/>
  </si>
  <si>
    <t>Deco_13</t>
  </si>
  <si>
    <t>P_GhostElite_Battle_Idle</t>
    <phoneticPr fontId="5" type="noConversion"/>
  </si>
  <si>
    <t>SK_Ship_GhostShipEastElite_Sail</t>
    <phoneticPr fontId="5" type="noConversion"/>
  </si>
  <si>
    <t>정예유령선동양돛</t>
  </si>
  <si>
    <t>정예유령선동양돛</t>
    <phoneticPr fontId="5" type="noConversion"/>
  </si>
  <si>
    <t>정예유령선동양</t>
    <phoneticPr fontId="5" type="noConversion"/>
  </si>
  <si>
    <t>SK_Ship_GhostShipEastElite_Body</t>
    <phoneticPr fontId="5" type="noConversion"/>
  </si>
  <si>
    <t>정예유령선 상시 이팩트</t>
  </si>
  <si>
    <t>정예유령선 상시 이팩트</t>
    <phoneticPr fontId="5" type="noConversion"/>
  </si>
  <si>
    <t>쌍어 문장 도안</t>
    <phoneticPr fontId="5" type="noConversion"/>
  </si>
  <si>
    <t>P_Ship_Ornament_PrimaBallerina_Body</t>
    <phoneticPr fontId="5" type="noConversion"/>
  </si>
  <si>
    <t>프리마 발레리나</t>
    <phoneticPr fontId="5" type="noConversion"/>
  </si>
  <si>
    <t>Texture_sail_Crest_Amity</t>
  </si>
  <si>
    <t>Icon_sail_Crest_Amity_Sprite</t>
  </si>
  <si>
    <t>아미티 문장</t>
    <phoneticPr fontId="5" type="noConversion"/>
  </si>
  <si>
    <t>아미티 문장 도안</t>
    <phoneticPr fontId="5" type="noConversion"/>
  </si>
  <si>
    <t>아미티 문장</t>
  </si>
  <si>
    <t>decorations[0]["name"]</t>
    <phoneticPr fontId="5" type="noConversion"/>
  </si>
  <si>
    <t>decorations[0]["socket"]</t>
    <phoneticPr fontId="5" type="noConversion"/>
  </si>
  <si>
    <t>decorations[1]["name"]</t>
    <phoneticPr fontId="5" type="noConversion"/>
  </si>
  <si>
    <t>decorations[1]["socket"]</t>
    <phoneticPr fontId="5" type="noConversion"/>
  </si>
  <si>
    <t>decorations[2]["name"]</t>
    <phoneticPr fontId="5" type="noConversion"/>
  </si>
  <si>
    <t>decorations[2]["socket"]</t>
    <phoneticPr fontId="5" type="noConversion"/>
  </si>
  <si>
    <t>decorations[3]["name"]</t>
    <phoneticPr fontId="5" type="noConversion"/>
  </si>
  <si>
    <t>decorations[3]["socket"]</t>
    <phoneticPr fontId="5" type="noConversion"/>
  </si>
  <si>
    <t>decorations[4]["name"]</t>
    <phoneticPr fontId="5" type="noConversion"/>
  </si>
  <si>
    <t>decorations[4]["socket"]</t>
    <phoneticPr fontId="5" type="noConversion"/>
  </si>
  <si>
    <t>RubberDuck_A</t>
    <phoneticPr fontId="5" type="noConversion"/>
  </si>
  <si>
    <t>RubberDuck_B</t>
    <phoneticPr fontId="5" type="noConversion"/>
  </si>
  <si>
    <t>무리의 우두머리</t>
    <phoneticPr fontId="5" type="noConversion"/>
  </si>
  <si>
    <t>은하의 흔적</t>
    <phoneticPr fontId="5" type="noConversion"/>
  </si>
  <si>
    <t>P_Ship_Ornament_Galaxy_Body</t>
    <phoneticPr fontId="5" type="noConversion"/>
  </si>
  <si>
    <t>SOCKET_SK_Ship_Body_FXCostume_Front</t>
    <phoneticPr fontId="5" type="noConversion"/>
  </si>
  <si>
    <t>SOCKET_SK_Ship_Body_FXCostume_Back1</t>
    <phoneticPr fontId="5" type="noConversion"/>
  </si>
  <si>
    <t>SOCKET_SK_Ship_Body_FXCostume_Back2</t>
    <phoneticPr fontId="5" type="noConversion"/>
  </si>
  <si>
    <t>SOCKET_SK_Ship_Body_FXCostume_Back3</t>
    <phoneticPr fontId="5" type="noConversion"/>
  </si>
  <si>
    <t>SOCKET_SK_Ship_Body_FXCostume_SideL</t>
    <phoneticPr fontId="5" type="noConversion"/>
  </si>
  <si>
    <t>SOCKET_SK_Ship_Body_FXCostume_SideR</t>
    <phoneticPr fontId="5" type="noConversion"/>
  </si>
  <si>
    <t>SOCKET_SK_Ship_Body_FXCostume_Top</t>
    <phoneticPr fontId="5" type="noConversion"/>
  </si>
  <si>
    <t>FX코스튬_선미1(바다)</t>
    <phoneticPr fontId="5" type="noConversion"/>
  </si>
  <si>
    <t>FX코스튬_선미2(배후미상판끝)</t>
    <phoneticPr fontId="5" type="noConversion"/>
  </si>
  <si>
    <t>FX코스튬_선미3(배하단끝)</t>
    <phoneticPr fontId="5" type="noConversion"/>
  </si>
  <si>
    <t>FX코스튬_선수(앞)</t>
    <phoneticPr fontId="5" type="noConversion"/>
  </si>
  <si>
    <t>FX코스튬_측면(왼쪽)</t>
    <phoneticPr fontId="5" type="noConversion"/>
  </si>
  <si>
    <t>FX코스튬_측면(오른쪽)</t>
    <phoneticPr fontId="5" type="noConversion"/>
  </si>
  <si>
    <t>FX코스튬_돛(상단)</t>
    <phoneticPr fontId="5" type="noConversion"/>
  </si>
  <si>
    <t>P_Ship_Ornament_Test001_Body</t>
  </si>
  <si>
    <t>RubberDuck_C</t>
    <phoneticPr fontId="5" type="noConversion"/>
  </si>
  <si>
    <t>FXCostume_Back1</t>
    <phoneticPr fontId="5" type="noConversion"/>
  </si>
  <si>
    <t>SK_Ship_DateMaru_Sail</t>
  </si>
  <si>
    <t>SK_Ship_DateMaru_Body</t>
    <phoneticPr fontId="5" type="noConversion"/>
  </si>
  <si>
    <t>다테마루갤리온</t>
    <phoneticPr fontId="5" type="noConversion"/>
  </si>
  <si>
    <t>다테마루갤리온돛</t>
  </si>
  <si>
    <t>다테마루갤리온돛</t>
    <phoneticPr fontId="5" type="noConversion"/>
  </si>
  <si>
    <t>산 부에나 벤투라</t>
    <phoneticPr fontId="5" type="noConversion"/>
  </si>
  <si>
    <t>산 부에나 벤투라돛</t>
    <phoneticPr fontId="5" type="noConversion"/>
  </si>
  <si>
    <t>FXCostume_Front</t>
    <phoneticPr fontId="5" type="noConversion"/>
  </si>
  <si>
    <t>ShipDecoration_Horse</t>
    <phoneticPr fontId="5" type="noConversion"/>
  </si>
  <si>
    <t>FX코스튬_테스트_말</t>
    <phoneticPr fontId="5" type="noConversion"/>
  </si>
  <si>
    <t>백야</t>
    <phoneticPr fontId="5" type="noConversion"/>
  </si>
  <si>
    <t>천사의 기도</t>
    <phoneticPr fontId="5" type="noConversion"/>
  </si>
  <si>
    <t>P_Ship_Ornament_AngelPrayer_Body</t>
    <phoneticPr fontId="5" type="noConversion"/>
  </si>
  <si>
    <t>P_Ship_Ornament_WhiteNight_Body</t>
    <phoneticPr fontId="5" type="noConversion"/>
  </si>
  <si>
    <t>끓어오르는 바다</t>
    <phoneticPr fontId="5" type="noConversion"/>
  </si>
  <si>
    <t>P_Ship_Ornament_LavaSea_Body</t>
    <phoneticPr fontId="5" type="noConversion"/>
  </si>
  <si>
    <t>삼백선돛</t>
  </si>
  <si>
    <t>삼백선돛</t>
    <phoneticPr fontId="5" type="noConversion"/>
  </si>
  <si>
    <t>SK_Ship_Sambaek_Sail</t>
    <phoneticPr fontId="5" type="noConversion"/>
  </si>
  <si>
    <t>삼백선</t>
    <phoneticPr fontId="5" type="noConversion"/>
  </si>
  <si>
    <t>SK_Ship_Sambaek_Body</t>
    <phoneticPr fontId="5" type="noConversion"/>
  </si>
  <si>
    <t>SOCKET_SK_Ship_Body_figure_head2</t>
    <phoneticPr fontId="5" type="noConversion"/>
  </si>
  <si>
    <t>여름 축제의 닻</t>
    <phoneticPr fontId="5" type="noConversion"/>
  </si>
  <si>
    <t>적룡 문장</t>
    <phoneticPr fontId="5" type="noConversion"/>
  </si>
  <si>
    <t>적룡 문장 도안</t>
    <phoneticPr fontId="5" type="noConversion"/>
  </si>
  <si>
    <t>적룡상</t>
    <phoneticPr fontId="5" type="noConversion"/>
  </si>
  <si>
    <t>다섯 발톱 닻</t>
    <phoneticPr fontId="5" type="noConversion"/>
  </si>
  <si>
    <t>붉은 발톱 닻</t>
    <phoneticPr fontId="5" type="noConversion"/>
  </si>
  <si>
    <t>앰버잭 문장 도안</t>
    <phoneticPr fontId="5" type="noConversion"/>
  </si>
  <si>
    <t>앰버잭 문장</t>
    <phoneticPr fontId="5" type="noConversion"/>
  </si>
  <si>
    <t>SM_Ship_FigureHead_2023SummerF</t>
    <phoneticPr fontId="5" type="noConversion"/>
  </si>
  <si>
    <t>여름 축제의 선수상</t>
    <phoneticPr fontId="5" type="noConversion"/>
  </si>
  <si>
    <t>여름 축제의 충각</t>
    <phoneticPr fontId="5" type="noConversion"/>
  </si>
  <si>
    <t>SM_Ship_2023SummerR_Ram</t>
    <phoneticPr fontId="5" type="noConversion"/>
  </si>
  <si>
    <t>SK_Ship_Anchor_2023SummerA</t>
    <phoneticPr fontId="5" type="noConversion"/>
  </si>
  <si>
    <t>SK_Ship_Anchor_DBF01</t>
    <phoneticPr fontId="5" type="noConversion"/>
  </si>
  <si>
    <t>SK_Ship_Anchor_DBF02</t>
    <phoneticPr fontId="5" type="noConversion"/>
  </si>
  <si>
    <t>도깨비 갤리</t>
    <phoneticPr fontId="5" type="noConversion"/>
  </si>
  <si>
    <t>SK_Ship_AvatarGoblin_Sail</t>
    <phoneticPr fontId="5" type="noConversion"/>
  </si>
  <si>
    <t>도깨비 갤리노</t>
  </si>
  <si>
    <t>도깨비 갤리노</t>
    <phoneticPr fontId="5" type="noConversion"/>
  </si>
  <si>
    <t>SK_Ship_AvatarGoblin_Paddle</t>
    <phoneticPr fontId="5" type="noConversion"/>
  </si>
  <si>
    <t>도깨비 갤리돛</t>
  </si>
  <si>
    <t>도깨비 갤리돛</t>
    <phoneticPr fontId="5" type="noConversion"/>
  </si>
  <si>
    <t>SK_Ship_AvatarGoblin_Body</t>
    <phoneticPr fontId="5" type="noConversion"/>
  </si>
  <si>
    <t>SM_Ship_FigureHead_DragonBoatFestival</t>
    <phoneticPr fontId="5" type="noConversion"/>
  </si>
  <si>
    <t>소라게 돛</t>
  </si>
  <si>
    <t>소라게 돛</t>
    <phoneticPr fontId="5" type="noConversion"/>
  </si>
  <si>
    <t>SK_Ship_Avatar_HermitCrab_Sail</t>
    <phoneticPr fontId="5" type="noConversion"/>
  </si>
  <si>
    <t>아바타램프_소라게</t>
  </si>
  <si>
    <t>아바타램프_소라게</t>
    <phoneticPr fontId="5" type="noConversion"/>
  </si>
  <si>
    <t>SM_Lamp_HermitCrab1</t>
    <phoneticPr fontId="5" type="noConversion"/>
  </si>
  <si>
    <t>소라게</t>
    <phoneticPr fontId="5" type="noConversion"/>
  </si>
  <si>
    <t>SK_Ship_Avatar_HermitCrab_Body</t>
    <phoneticPr fontId="5" type="noConversion"/>
  </si>
  <si>
    <t>최초의 거북선돛</t>
  </si>
  <si>
    <t>최초의 거북선돛</t>
    <phoneticPr fontId="5" type="noConversion"/>
  </si>
  <si>
    <t>SK_Ship_1stTurtleShip_Sail</t>
    <phoneticPr fontId="5" type="noConversion"/>
  </si>
  <si>
    <t>최초의 거북선</t>
    <phoneticPr fontId="5" type="noConversion"/>
  </si>
  <si>
    <t>SK_Ship_1stTurtleShip_Paddle</t>
    <phoneticPr fontId="5" type="noConversion"/>
  </si>
  <si>
    <t>SK_Ship_1stTurtleShip_Body</t>
    <phoneticPr fontId="5" type="noConversion"/>
  </si>
  <si>
    <t>최초의 거북선노</t>
  </si>
  <si>
    <t>최초의 거북선노</t>
    <phoneticPr fontId="5" type="noConversion"/>
  </si>
  <si>
    <t>최초의 거북선 상시 이팩트</t>
  </si>
  <si>
    <t>최초의 거북선 상시 이팩트</t>
    <phoneticPr fontId="5" type="noConversion"/>
  </si>
  <si>
    <t>P_Ship_Event_1stTurtleShip_Smoke</t>
    <phoneticPr fontId="5" type="noConversion"/>
  </si>
  <si>
    <t>오크통 뗏목돛</t>
  </si>
  <si>
    <t>오크통 뗏목돛</t>
    <phoneticPr fontId="5" type="noConversion"/>
  </si>
  <si>
    <t>SK_Ship_Avatar_OakCask_Sail</t>
    <phoneticPr fontId="5" type="noConversion"/>
  </si>
  <si>
    <t>오크통 뗏목</t>
    <phoneticPr fontId="5" type="noConversion"/>
  </si>
  <si>
    <t>SK_Ship_Avatar_OakCask_Body</t>
  </si>
  <si>
    <t>통나무 뗏목돛</t>
  </si>
  <si>
    <t>통나무 뗏목돛</t>
    <phoneticPr fontId="5" type="noConversion"/>
  </si>
  <si>
    <t>SK_Ship_Avatar_Log_Sail</t>
    <phoneticPr fontId="5" type="noConversion"/>
  </si>
  <si>
    <t>통나무 뗏목</t>
    <phoneticPr fontId="5" type="noConversion"/>
  </si>
  <si>
    <t>SK_Ship_Avatar_Log_Body</t>
    <phoneticPr fontId="5" type="noConversion"/>
  </si>
  <si>
    <t>용맹한 인어상</t>
    <phoneticPr fontId="5" type="noConversion"/>
  </si>
  <si>
    <t>SM_Ship_FigureHead_MermaidWarrior</t>
    <phoneticPr fontId="5" type="noConversion"/>
  </si>
  <si>
    <t>축하의 왕관 문장</t>
    <phoneticPr fontId="5" type="noConversion"/>
  </si>
  <si>
    <t>Texture_Sail_Crest_1stAnniversary</t>
    <phoneticPr fontId="5" type="noConversion"/>
  </si>
  <si>
    <t>축하의 왕관 문장 도안</t>
    <phoneticPr fontId="5" type="noConversion"/>
  </si>
  <si>
    <t>BP_FX_Ornament_PrimeOfEngland</t>
    <phoneticPr fontId="5" type="noConversion"/>
  </si>
  <si>
    <t>BP_FX_Ornament_PrimeOfEspana</t>
    <phoneticPr fontId="5" type="noConversion"/>
  </si>
  <si>
    <t>BP_FX_Ornament_PrimeOfKorea</t>
    <phoneticPr fontId="5" type="noConversion"/>
  </si>
  <si>
    <t>BP_FX_Ornament_PrimeOfMyoung</t>
    <phoneticPr fontId="5" type="noConversion"/>
  </si>
  <si>
    <t>BP_FX_Ornament_PrimeOfNetherlands</t>
    <phoneticPr fontId="5" type="noConversion"/>
  </si>
  <si>
    <t>BP_FX_Ornament_PrimeOfOttoman</t>
    <phoneticPr fontId="5" type="noConversion"/>
  </si>
  <si>
    <t>BP_FX_Ornament_PrimeOfPortugal</t>
    <phoneticPr fontId="5" type="noConversion"/>
  </si>
  <si>
    <t>P_Ship_Ornament_Prime_Body</t>
    <phoneticPr fontId="5" type="noConversion"/>
  </si>
  <si>
    <t>FXCostume_Top</t>
    <phoneticPr fontId="5" type="noConversion"/>
  </si>
  <si>
    <t>총리FX 잉글랜드</t>
    <phoneticPr fontId="5" type="noConversion"/>
  </si>
  <si>
    <t>총리FX 에스파냐</t>
    <phoneticPr fontId="5" type="noConversion"/>
  </si>
  <si>
    <t>총리FX 조선</t>
    <phoneticPr fontId="5" type="noConversion"/>
  </si>
  <si>
    <t>총리FX 명</t>
    <phoneticPr fontId="5" type="noConversion"/>
  </si>
  <si>
    <t>총리FX 네덜란드</t>
    <phoneticPr fontId="5" type="noConversion"/>
  </si>
  <si>
    <t>총리FX 오스만</t>
    <phoneticPr fontId="5" type="noConversion"/>
  </si>
  <si>
    <t>총리FX 포르투갈</t>
    <phoneticPr fontId="5" type="noConversion"/>
  </si>
  <si>
    <t>총리FX 일본</t>
    <phoneticPr fontId="5" type="noConversion"/>
  </si>
  <si>
    <t>BP_FX_Ornament_PrimeOfJapan</t>
    <phoneticPr fontId="5" type="noConversion"/>
  </si>
  <si>
    <t>Icon_Sail_Crest_1stAnniversary_Sprite</t>
    <phoneticPr fontId="5" type="noConversion"/>
  </si>
  <si>
    <t>스핑크스 갤리</t>
    <phoneticPr fontId="5" type="noConversion"/>
  </si>
  <si>
    <t>스핑크스 갤리돛</t>
  </si>
  <si>
    <t>스핑크스 갤리돛</t>
    <phoneticPr fontId="5" type="noConversion"/>
  </si>
  <si>
    <t>스핑크스 갤리노</t>
  </si>
  <si>
    <t>종이선(배)돛1</t>
  </si>
  <si>
    <t>종이선(배)돛1</t>
    <phoneticPr fontId="5" type="noConversion"/>
  </si>
  <si>
    <t>종이선(배)돛2</t>
  </si>
  <si>
    <t>종이선(배)돛2</t>
    <phoneticPr fontId="5" type="noConversion"/>
  </si>
  <si>
    <t>종이선(배)돛3</t>
  </si>
  <si>
    <t>종이선(배)돛3</t>
    <phoneticPr fontId="5" type="noConversion"/>
  </si>
  <si>
    <t>SK_Ship_Avatar_Paper1_Sail</t>
    <phoneticPr fontId="5" type="noConversion"/>
  </si>
  <si>
    <t>SK_Ship_Avatar_Paper2_Sail</t>
    <phoneticPr fontId="5" type="noConversion"/>
  </si>
  <si>
    <t>SK_Ship_Avatar_Paper3_Sail</t>
    <phoneticPr fontId="5" type="noConversion"/>
  </si>
  <si>
    <t>종이선(배)1</t>
    <phoneticPr fontId="5" type="noConversion"/>
  </si>
  <si>
    <t>종이선(배)2</t>
  </si>
  <si>
    <t>종이선(배)3</t>
  </si>
  <si>
    <t>SK_Ship_Avatar_Paper1_Body</t>
    <phoneticPr fontId="5" type="noConversion"/>
  </si>
  <si>
    <t>SK_Ship_Avatar_Paper2_Body</t>
    <phoneticPr fontId="5" type="noConversion"/>
  </si>
  <si>
    <t>SK_Ship_Avatar_Paper3_Body</t>
    <phoneticPr fontId="5" type="noConversion"/>
  </si>
  <si>
    <t>구명선돛</t>
  </si>
  <si>
    <t>구명선돛</t>
    <phoneticPr fontId="5" type="noConversion"/>
  </si>
  <si>
    <t>구명선</t>
    <phoneticPr fontId="5" type="noConversion"/>
  </si>
  <si>
    <t>신기루</t>
    <phoneticPr fontId="5" type="noConversion"/>
  </si>
  <si>
    <t>P_Ship_Ornament_Mirage_Body</t>
    <phoneticPr fontId="5" type="noConversion"/>
  </si>
  <si>
    <t>SK_Ship_Avatar_Leaf_Sail</t>
    <phoneticPr fontId="5" type="noConversion"/>
  </si>
  <si>
    <t>풀잎선</t>
    <phoneticPr fontId="5" type="noConversion"/>
  </si>
  <si>
    <t>SK_Ship_Avatar_Leaf_Body</t>
    <phoneticPr fontId="5" type="noConversion"/>
  </si>
  <si>
    <t>풀잎선돛</t>
  </si>
  <si>
    <t>풀잎선돛</t>
    <phoneticPr fontId="5" type="noConversion"/>
  </si>
  <si>
    <t>비행 선박</t>
    <phoneticPr fontId="5" type="noConversion"/>
  </si>
  <si>
    <t>P_Ship_Ornament_FlyingShip_Body</t>
    <phoneticPr fontId="5" type="noConversion"/>
  </si>
  <si>
    <t>폭풍의 제왕</t>
    <phoneticPr fontId="5" type="noConversion"/>
  </si>
  <si>
    <t>P_Ship_Ornament_StormLord_Body</t>
    <phoneticPr fontId="5" type="noConversion"/>
  </si>
  <si>
    <t>달리는 토끼 선수상</t>
    <phoneticPr fontId="5" type="noConversion"/>
  </si>
  <si>
    <t>SM_Ship_FigureHead_2309LiveEventFigure</t>
    <phoneticPr fontId="5" type="noConversion"/>
  </si>
  <si>
    <t>연등 닻</t>
    <phoneticPr fontId="5" type="noConversion"/>
  </si>
  <si>
    <t>SK_Ship_Anchor_2309LiveEventFigure</t>
    <phoneticPr fontId="5" type="noConversion"/>
  </si>
  <si>
    <t>SK_Ship_Avatar_FullMoonFestival_Sail</t>
    <phoneticPr fontId="5" type="noConversion"/>
  </si>
  <si>
    <t>보름달 축제선돛</t>
  </si>
  <si>
    <t>보름달 축제선돛</t>
    <phoneticPr fontId="5" type="noConversion"/>
  </si>
  <si>
    <t>SK_Ship_Avatar_FullMoonFestival_Body</t>
    <phoneticPr fontId="5" type="noConversion"/>
  </si>
  <si>
    <t>보름달 축제선</t>
    <phoneticPr fontId="5" type="noConversion"/>
  </si>
  <si>
    <t>콜로세움 갤리</t>
    <phoneticPr fontId="5" type="noConversion"/>
  </si>
  <si>
    <t>콜로세움 갤리돛</t>
  </si>
  <si>
    <t>콜로세움 갤리돛</t>
    <phoneticPr fontId="5" type="noConversion"/>
  </si>
  <si>
    <t>SK_Ship_Avatar_Colosseum_Sail</t>
    <phoneticPr fontId="5" type="noConversion"/>
  </si>
  <si>
    <t>SK_Ship_Avatar_Colosseum_Paddle</t>
    <phoneticPr fontId="5" type="noConversion"/>
  </si>
  <si>
    <t>콜로세움 갤리노</t>
  </si>
  <si>
    <t>콜로세움 갤리노</t>
    <phoneticPr fontId="5" type="noConversion"/>
  </si>
  <si>
    <t>SK_Ship_Avatar_Colosseum_Body</t>
    <phoneticPr fontId="5" type="noConversion"/>
  </si>
  <si>
    <t>장난감선(배)</t>
    <phoneticPr fontId="5" type="noConversion"/>
  </si>
  <si>
    <t>SK_Ship_Avatar_Toy_Sail</t>
    <phoneticPr fontId="5" type="noConversion"/>
  </si>
  <si>
    <t>장난감선(배)돛</t>
  </si>
  <si>
    <t>장난감선(배)돛</t>
    <phoneticPr fontId="5" type="noConversion"/>
  </si>
  <si>
    <t>SK_Ship_Avatar_Toy_Body</t>
    <phoneticPr fontId="5" type="noConversion"/>
  </si>
  <si>
    <t>특수 바운티돛</t>
  </si>
  <si>
    <t>특수 바운티돛</t>
    <phoneticPr fontId="5" type="noConversion"/>
  </si>
  <si>
    <t>SK_Ship_SpecialBounty_Sail</t>
    <phoneticPr fontId="5" type="noConversion"/>
  </si>
  <si>
    <t>특수 바운티</t>
    <phoneticPr fontId="5" type="noConversion"/>
  </si>
  <si>
    <t>SK_Ship_SpecialBounty_Body</t>
    <phoneticPr fontId="5" type="noConversion"/>
  </si>
  <si>
    <t>호박등 닻</t>
    <phoneticPr fontId="5" type="noConversion"/>
  </si>
  <si>
    <t>SK_Ship_Anchor_2310LiveEventFigure</t>
    <phoneticPr fontId="5" type="noConversion"/>
  </si>
  <si>
    <t>사탕 충각</t>
    <phoneticPr fontId="5" type="noConversion"/>
  </si>
  <si>
    <t>SM_Ship_2310LiveEvent_Ram</t>
    <phoneticPr fontId="5" type="noConversion"/>
  </si>
  <si>
    <t>마녀 문장</t>
    <phoneticPr fontId="5" type="noConversion"/>
  </si>
  <si>
    <t>Texture_Sail_Crest_172</t>
    <phoneticPr fontId="5" type="noConversion"/>
  </si>
  <si>
    <t>Icon_Sail_Crest_172_Sprite</t>
    <phoneticPr fontId="5" type="noConversion"/>
  </si>
  <si>
    <t>마녀 문장 도안</t>
    <phoneticPr fontId="5" type="noConversion"/>
  </si>
  <si>
    <t>SK_Ship_Anchor_BlackSea</t>
    <phoneticPr fontId="5" type="noConversion"/>
  </si>
  <si>
    <t>검은 바다의 닻</t>
    <phoneticPr fontId="5" type="noConversion"/>
  </si>
  <si>
    <t>SM_Ship_FigureHead_BlackSeaAdventure</t>
    <phoneticPr fontId="5" type="noConversion"/>
  </si>
  <si>
    <t>SM_Ship_FigureHead_BlackSeaBattle</t>
    <phoneticPr fontId="5" type="noConversion"/>
  </si>
  <si>
    <t>검은 바다의 전쟁 선수상</t>
    <phoneticPr fontId="5" type="noConversion"/>
  </si>
  <si>
    <t>검은 바다의 항해 선수상</t>
    <phoneticPr fontId="5" type="noConversion"/>
  </si>
  <si>
    <t>SM_Ship_BlackSeaAdventureRam</t>
  </si>
  <si>
    <t>SM_Ship_BlackSeaBattlel_Ram</t>
    <phoneticPr fontId="5" type="noConversion"/>
  </si>
  <si>
    <t>검은 바다의 항해 충각</t>
  </si>
  <si>
    <t>검은 바다의 전쟁 충각</t>
    <phoneticPr fontId="5" type="noConversion"/>
  </si>
  <si>
    <t>천수각 안택선돛</t>
  </si>
  <si>
    <t>천수각 안택선돛</t>
    <phoneticPr fontId="5" type="noConversion"/>
  </si>
  <si>
    <t>SK_Ship_Avatar_Tenshu_Sail</t>
    <phoneticPr fontId="5" type="noConversion"/>
  </si>
  <si>
    <t>천수각 안택선노</t>
  </si>
  <si>
    <t>천수각 안택선노</t>
    <phoneticPr fontId="5" type="noConversion"/>
  </si>
  <si>
    <t>SK_Ship_Avatar_Tenshu_Paddle</t>
    <phoneticPr fontId="5" type="noConversion"/>
  </si>
  <si>
    <t>천수각 안택선</t>
    <phoneticPr fontId="5" type="noConversion"/>
  </si>
  <si>
    <t>SK_Ship_Avatar_Tenshu_Body</t>
    <phoneticPr fontId="5" type="noConversion"/>
  </si>
  <si>
    <t>날치선돛</t>
  </si>
  <si>
    <t>날치선돛</t>
    <phoneticPr fontId="5" type="noConversion"/>
  </si>
  <si>
    <t>SK_Ship_Avatar_FlyingFish_Sail</t>
    <phoneticPr fontId="5" type="noConversion"/>
  </si>
  <si>
    <t>날치선</t>
    <phoneticPr fontId="5" type="noConversion"/>
  </si>
  <si>
    <t>SK_Ship_Avatar_FlyingFish_Body</t>
    <phoneticPr fontId="5" type="noConversion"/>
  </si>
  <si>
    <t>특수 정크스쿠너돛</t>
  </si>
  <si>
    <t>특수 정크스쿠너돛</t>
    <phoneticPr fontId="5" type="noConversion"/>
  </si>
  <si>
    <t>SK_Ship_SpecialJunkSchooner_Sail</t>
    <phoneticPr fontId="5" type="noConversion"/>
  </si>
  <si>
    <t>특수 정크스쿠너</t>
    <phoneticPr fontId="5" type="noConversion"/>
  </si>
  <si>
    <t>SK_Ship_SpecialJunkSchooner_Body</t>
    <phoneticPr fontId="5" type="noConversion"/>
  </si>
  <si>
    <t>SM_Ship_FigureHead_LgneousAdventureFigure</t>
    <phoneticPr fontId="5" type="noConversion"/>
  </si>
  <si>
    <t>SM_Ship_FigureHead_LgneousBattle</t>
    <phoneticPr fontId="5" type="noConversion"/>
  </si>
  <si>
    <t>화성 기사단의 항해 선수상</t>
    <phoneticPr fontId="5" type="noConversion"/>
  </si>
  <si>
    <t>화성 기사단의 전쟁 선수상</t>
    <phoneticPr fontId="5" type="noConversion"/>
  </si>
  <si>
    <t>SM_Ship_LgneousAdventureRam</t>
    <phoneticPr fontId="5" type="noConversion"/>
  </si>
  <si>
    <t>SM_Ship_LgneousBattleRam</t>
    <phoneticPr fontId="5" type="noConversion"/>
  </si>
  <si>
    <t>화성 기사단의 항해 충각</t>
    <phoneticPr fontId="5" type="noConversion"/>
  </si>
  <si>
    <t>화성 기사단의 전쟁 충각</t>
    <phoneticPr fontId="5" type="noConversion"/>
  </si>
  <si>
    <t>화성 기사단의 닻</t>
    <phoneticPr fontId="5" type="noConversion"/>
  </si>
  <si>
    <t>SK_Ship_Anchor_LgneousAnchor</t>
    <phoneticPr fontId="5" type="noConversion"/>
  </si>
  <si>
    <t>SK_Ship_Anchor_Snowman</t>
  </si>
  <si>
    <t>눈사람 닻</t>
    <phoneticPr fontId="5" type="noConversion"/>
  </si>
  <si>
    <t>SK_Ship_Yisunsin_Sail</t>
    <phoneticPr fontId="5" type="noConversion"/>
  </si>
  <si>
    <t>SK_Ship_Yisunsin_Paddle</t>
    <phoneticPr fontId="5" type="noConversion"/>
  </si>
  <si>
    <t>이순신의 판옥선노</t>
  </si>
  <si>
    <t>이순신의 판옥선노</t>
    <phoneticPr fontId="5" type="noConversion"/>
  </si>
  <si>
    <t>SK_Ship_Yisunsin_Body</t>
    <phoneticPr fontId="5" type="noConversion"/>
  </si>
  <si>
    <t>이순신의 판옥선돛</t>
  </si>
  <si>
    <t>이순신의 판옥선돛</t>
    <phoneticPr fontId="5" type="noConversion"/>
  </si>
  <si>
    <t>특수종돛</t>
  </si>
  <si>
    <t>특수종돛</t>
    <phoneticPr fontId="5" type="noConversion"/>
  </si>
  <si>
    <t>SK_Ship_SpecialDjong_Sail</t>
    <phoneticPr fontId="5" type="noConversion"/>
  </si>
  <si>
    <t>특수종</t>
    <phoneticPr fontId="5" type="noConversion"/>
  </si>
  <si>
    <t>SK_Ship_SpecialDjong_Body</t>
    <phoneticPr fontId="5" type="noConversion"/>
  </si>
  <si>
    <t>특수 거북선</t>
    <phoneticPr fontId="5" type="noConversion"/>
  </si>
  <si>
    <t>특수 거북선돛</t>
  </si>
  <si>
    <t>특수 거북선돛</t>
    <phoneticPr fontId="5" type="noConversion"/>
  </si>
  <si>
    <t>SK_Ship_SpecialTurtleShip_Sail</t>
    <phoneticPr fontId="5" type="noConversion"/>
  </si>
  <si>
    <t>특수 거북선노</t>
  </si>
  <si>
    <t>특수 거북선노</t>
    <phoneticPr fontId="5" type="noConversion"/>
  </si>
  <si>
    <t>SK_Ship_SpecialTurtleShip_Paddle</t>
    <phoneticPr fontId="5" type="noConversion"/>
  </si>
  <si>
    <t>SK_Ship_SpecialTurtleShip_Body</t>
    <phoneticPr fontId="5" type="noConversion"/>
  </si>
  <si>
    <t>향유고래 모양 충각</t>
    <phoneticPr fontId="5" type="noConversion"/>
  </si>
  <si>
    <t>SM_Ship_WhiteWhaleFigure_Ram</t>
    <phoneticPr fontId="5" type="noConversion"/>
  </si>
  <si>
    <t>홍소령기 문장</t>
    <phoneticPr fontId="5" type="noConversion"/>
  </si>
  <si>
    <t>Texture_Sail_Crest_175</t>
    <phoneticPr fontId="5" type="noConversion"/>
  </si>
  <si>
    <t>Icon_Sail_Crest_175_Sprite</t>
    <phoneticPr fontId="5" type="noConversion"/>
  </si>
  <si>
    <t>홍소령기 문장 도안</t>
    <phoneticPr fontId="5" type="noConversion"/>
  </si>
  <si>
    <t>P_Ship_SpecialTurtleShip_Smoke</t>
    <phoneticPr fontId="5" type="noConversion"/>
  </si>
  <si>
    <t>특수 거북선 상시 이팩트</t>
  </si>
  <si>
    <t>특수 거북선 상시 이팩트</t>
    <phoneticPr fontId="5" type="noConversion"/>
  </si>
  <si>
    <t>용맹한 독수리 문장</t>
    <phoneticPr fontId="5" type="noConversion"/>
  </si>
  <si>
    <t>Texture_Sail_Crest_Cuauhtemoc</t>
    <phoneticPr fontId="5" type="noConversion"/>
  </si>
  <si>
    <t>용맹한 독수리 문장 도안</t>
    <phoneticPr fontId="5" type="noConversion"/>
  </si>
  <si>
    <t>Icon_Sail_Crest_Cuauhtemoc_Sprite</t>
    <phoneticPr fontId="5" type="noConversion"/>
  </si>
  <si>
    <t>야크선돛</t>
  </si>
  <si>
    <t>야크선돛</t>
    <phoneticPr fontId="5" type="noConversion"/>
  </si>
  <si>
    <t>야크선</t>
    <phoneticPr fontId="5" type="noConversion"/>
  </si>
  <si>
    <t>문어선돛</t>
  </si>
  <si>
    <t>문어선돛</t>
    <phoneticPr fontId="5" type="noConversion"/>
  </si>
  <si>
    <t>문어선</t>
    <phoneticPr fontId="5" type="noConversion"/>
  </si>
  <si>
    <t>꼬마 고래</t>
    <phoneticPr fontId="5" type="noConversion"/>
  </si>
  <si>
    <t>SmallWhale_A</t>
    <phoneticPr fontId="5" type="noConversion"/>
  </si>
  <si>
    <t>대해적 마리벨</t>
    <phoneticPr fontId="5" type="noConversion"/>
  </si>
  <si>
    <t>Texture_Sail_Crest_174</t>
    <phoneticPr fontId="5" type="noConversion"/>
  </si>
  <si>
    <t>Icon_Sail_Crest_174_Sprite</t>
    <phoneticPr fontId="5" type="noConversion"/>
  </si>
  <si>
    <t>대해적 마리벨 문장 도안</t>
    <phoneticPr fontId="5" type="noConversion"/>
  </si>
  <si>
    <t>모비딕</t>
  </si>
  <si>
    <t>바다의 분수</t>
    <phoneticPr fontId="5" type="noConversion"/>
  </si>
  <si>
    <t>모비딕 토벌의 증표</t>
    <phoneticPr fontId="5" type="noConversion"/>
  </si>
  <si>
    <t>SK_Ship_SpecialFlyingCloud_sail</t>
    <phoneticPr fontId="5" type="noConversion"/>
  </si>
  <si>
    <t>특수 플라잉 클라우드돛</t>
  </si>
  <si>
    <t>특수 플라잉 클라우드돛</t>
    <phoneticPr fontId="5" type="noConversion"/>
  </si>
  <si>
    <t>특수 플라잉 클라우드</t>
    <phoneticPr fontId="5" type="noConversion"/>
  </si>
  <si>
    <t>SK_Ship_SpecialFlyingCloud_body</t>
    <phoneticPr fontId="5" type="noConversion"/>
  </si>
  <si>
    <t>천사선돛</t>
  </si>
  <si>
    <t>천사선돛</t>
    <phoneticPr fontId="5" type="noConversion"/>
  </si>
  <si>
    <t>SK_Ship_Avatar_Angel_Sail</t>
    <phoneticPr fontId="5" type="noConversion"/>
  </si>
  <si>
    <t>천사선</t>
    <phoneticPr fontId="5" type="noConversion"/>
  </si>
  <si>
    <t>SK_Ship_Avatar_Angel_Body</t>
    <phoneticPr fontId="5" type="noConversion"/>
  </si>
  <si>
    <t>SmallWhale_B</t>
    <phoneticPr fontId="5" type="noConversion"/>
  </si>
  <si>
    <t>모비 딕 토벌 로고</t>
    <phoneticPr fontId="5" type="noConversion"/>
  </si>
  <si>
    <t>모비 딕 토벌 선체</t>
    <phoneticPr fontId="5" type="noConversion"/>
  </si>
  <si>
    <t xml:space="preserve"> P_Ship_Ornament_WhiteWhale_Top</t>
    <phoneticPr fontId="5" type="noConversion"/>
  </si>
  <si>
    <t>P_Ship_Ornament_WhiteWhale_Body</t>
    <phoneticPr fontId="5" type="noConversion"/>
  </si>
  <si>
    <t>SK_Ship_Body_Bone</t>
    <phoneticPr fontId="5" type="noConversion"/>
  </si>
  <si>
    <t>Texture_sail_Crest_MobyDick</t>
  </si>
  <si>
    <t>Icon_sail_Crest_MobyDick_Sprite</t>
    <phoneticPr fontId="5" type="noConversion"/>
  </si>
  <si>
    <t>모비딕 문장 도안</t>
    <phoneticPr fontId="5" type="noConversion"/>
  </si>
  <si>
    <t>SK_Boss_Mobydick</t>
    <phoneticPr fontId="5" type="noConversion"/>
  </si>
  <si>
    <t>구름 사제의 항해 선수상</t>
  </si>
  <si>
    <t>구름 사제의 전쟁 선수상</t>
    <phoneticPr fontId="5" type="noConversion"/>
  </si>
  <si>
    <t>SM_Ship_CloudTemplerAdventureFigure</t>
    <phoneticPr fontId="5" type="noConversion"/>
  </si>
  <si>
    <t>SM_Ship_CloudTemplerBattleFigure</t>
    <phoneticPr fontId="5" type="noConversion"/>
  </si>
  <si>
    <t>구름 사제의 항해 충각</t>
    <phoneticPr fontId="5" type="noConversion"/>
  </si>
  <si>
    <t>구름 사제의 전쟁 충각</t>
    <phoneticPr fontId="5" type="noConversion"/>
  </si>
  <si>
    <t>SM_Ship_CloudTempleAdventure_Ram</t>
    <phoneticPr fontId="5" type="noConversion"/>
  </si>
  <si>
    <t>SM_Ship_CloudTempleBattle_Ram</t>
    <phoneticPr fontId="5" type="noConversion"/>
  </si>
  <si>
    <t>구름 사제의 닻</t>
    <phoneticPr fontId="5" type="noConversion"/>
  </si>
  <si>
    <t>SK_Ship_Anchor_CloudTempler</t>
    <phoneticPr fontId="5" type="noConversion"/>
  </si>
  <si>
    <t>춤추는 인형</t>
    <phoneticPr fontId="5" type="noConversion"/>
  </si>
  <si>
    <t>P_Ship_Ornament_DancingMan_Top</t>
    <phoneticPr fontId="5" type="noConversion"/>
  </si>
  <si>
    <t>창세기전 마장기 라</t>
    <phoneticPr fontId="5" type="noConversion"/>
  </si>
  <si>
    <t>SK_Battle_Ra</t>
    <phoneticPr fontId="5" type="noConversion"/>
  </si>
  <si>
    <t>복어선돛</t>
  </si>
  <si>
    <t>복어선돛</t>
    <phoneticPr fontId="5" type="noConversion"/>
  </si>
  <si>
    <t>바캉스선돛</t>
  </si>
  <si>
    <t>바캉스선돛</t>
    <phoneticPr fontId="5" type="noConversion"/>
  </si>
  <si>
    <t>복어선</t>
    <phoneticPr fontId="5" type="noConversion"/>
  </si>
  <si>
    <t>바캉스선</t>
    <phoneticPr fontId="5" type="noConversion"/>
  </si>
  <si>
    <t>일년선</t>
    <phoneticPr fontId="5" type="noConversion"/>
  </si>
  <si>
    <t>로드 오브 리베리아</t>
    <phoneticPr fontId="5" type="noConversion"/>
  </si>
  <si>
    <t>로드 오브 리베리아돛</t>
  </si>
  <si>
    <t>로드 오브 리베리아돛</t>
    <phoneticPr fontId="5" type="noConversion"/>
  </si>
  <si>
    <t>SK_Ship_Riberia_Sail</t>
    <phoneticPr fontId="5" type="noConversion"/>
  </si>
  <si>
    <t>린 아마디오돛</t>
  </si>
  <si>
    <t>린 아마디오돛</t>
    <phoneticPr fontId="5" type="noConversion"/>
  </si>
  <si>
    <t>SK_Ship_RinAmadio_Sail</t>
    <phoneticPr fontId="5" type="noConversion"/>
  </si>
  <si>
    <t>SK_Ship_KelberosA_Sail</t>
    <phoneticPr fontId="5" type="noConversion"/>
  </si>
  <si>
    <t>켈베로스돛</t>
  </si>
  <si>
    <t>켈베로스돛</t>
    <phoneticPr fontId="5" type="noConversion"/>
  </si>
  <si>
    <t>린 아마디오</t>
    <phoneticPr fontId="5" type="noConversion"/>
  </si>
  <si>
    <t>켈베로스</t>
    <phoneticPr fontId="5" type="noConversion"/>
  </si>
  <si>
    <t>SK_Ship_Riberia_Body</t>
    <phoneticPr fontId="5" type="noConversion"/>
  </si>
  <si>
    <t>SK_Ship_RinAmadio_Body</t>
    <phoneticPr fontId="5" type="noConversion"/>
  </si>
  <si>
    <t>SK_Ship_KelberosA_Body</t>
    <phoneticPr fontId="5" type="noConversion"/>
  </si>
  <si>
    <t>태엽배돛</t>
  </si>
  <si>
    <t>태엽배돛</t>
    <phoneticPr fontId="5" type="noConversion"/>
  </si>
  <si>
    <t>태엽배</t>
    <phoneticPr fontId="5" type="noConversion"/>
  </si>
  <si>
    <t>SK_Ship_Illyeon_Body</t>
    <phoneticPr fontId="5" type="noConversion"/>
  </si>
  <si>
    <t>안타리아의 힘</t>
    <phoneticPr fontId="5" type="noConversion"/>
  </si>
  <si>
    <t>P_Ship_Ornament_MagicSquare_Body</t>
    <phoneticPr fontId="5" type="noConversion"/>
  </si>
  <si>
    <t>아이스크림선돛</t>
  </si>
  <si>
    <t>아이스크림선돛</t>
    <phoneticPr fontId="5" type="noConversion"/>
  </si>
  <si>
    <t>아이스크림선</t>
    <phoneticPr fontId="5" type="noConversion"/>
  </si>
  <si>
    <t>SK_Ship_Avatar_RubberDuck_Sail</t>
    <phoneticPr fontId="5" type="noConversion"/>
  </si>
  <si>
    <t>SK_Ship_Avatar_RubberDuck_Body</t>
    <phoneticPr fontId="5" type="noConversion"/>
  </si>
  <si>
    <t>대형 오리선</t>
    <phoneticPr fontId="5" type="noConversion"/>
  </si>
  <si>
    <t>대형 오리선돛</t>
    <phoneticPr fontId="5" type="noConversion"/>
  </si>
  <si>
    <t>대형 오리선돛</t>
  </si>
  <si>
    <t>최초의 판옥선</t>
    <phoneticPr fontId="5" type="noConversion"/>
  </si>
  <si>
    <t>선상 카페 마카롱돛</t>
  </si>
  <si>
    <t>선상 카페 마카롱돛</t>
    <phoneticPr fontId="5" type="noConversion"/>
  </si>
  <si>
    <t>SK_Ship_Avatar_Macaron_Sail</t>
    <phoneticPr fontId="5" type="noConversion"/>
  </si>
  <si>
    <t>선상 카페 마카롱</t>
    <phoneticPr fontId="5" type="noConversion"/>
  </si>
  <si>
    <t>SK_Ship_Avatar_Macaron_Paddle</t>
    <phoneticPr fontId="5" type="noConversion"/>
  </si>
  <si>
    <t>SK_Ship_Avatar_Macaron_Body</t>
    <phoneticPr fontId="5" type="noConversion"/>
  </si>
  <si>
    <t>선상 카페 마카롱노</t>
  </si>
  <si>
    <t>선상 카페 마카롱노</t>
    <phoneticPr fontId="5" type="noConversion"/>
  </si>
  <si>
    <t>사신</t>
    <phoneticPr fontId="5" type="noConversion"/>
  </si>
  <si>
    <t>BP_FX_Ornament_Death</t>
    <phoneticPr fontId="5" type="noConversion"/>
  </si>
  <si>
    <t>스킬라 인간형</t>
    <phoneticPr fontId="5" type="noConversion"/>
  </si>
  <si>
    <t>스킬라 용머리</t>
    <phoneticPr fontId="5" type="noConversion"/>
  </si>
  <si>
    <t>SK_Boss_Battle_Scylla</t>
    <phoneticPr fontId="5" type="noConversion"/>
  </si>
  <si>
    <t>SK_Boss_Battle_Scylla_DragonHead</t>
    <phoneticPr fontId="5" type="noConversion"/>
  </si>
  <si>
    <t>*파티클 FX코스튬 만 등록 가능
- BP FX코스튬은 뒤쪽 슬롯에 추가해야함</t>
    <phoneticPr fontId="5" type="noConversion"/>
  </si>
  <si>
    <t>BP로 만들어진 FX코스튬은 여기부터 등록</t>
    <phoneticPr fontId="5" type="noConversion"/>
  </si>
  <si>
    <t>폭죽 대포</t>
    <phoneticPr fontId="5" type="noConversion"/>
  </si>
  <si>
    <t>BP_FX_Ornament_Firecracker_Side_L</t>
    <phoneticPr fontId="5" type="noConversion"/>
  </si>
  <si>
    <t>FXCostume_SideL</t>
    <phoneticPr fontId="5" type="noConversion"/>
  </si>
  <si>
    <t>BP_FX_Ornament_Firecracker_Side_R</t>
    <phoneticPr fontId="5" type="noConversion"/>
  </si>
  <si>
    <t>FXCostume_SideR</t>
    <phoneticPr fontId="5" type="noConversion"/>
  </si>
  <si>
    <t>스킬라</t>
    <phoneticPr fontId="5" type="noConversion"/>
  </si>
  <si>
    <t>DragonHead</t>
    <phoneticPr fontId="5" type="noConversion"/>
  </si>
  <si>
    <t>스킬라 닻</t>
    <phoneticPr fontId="5" type="noConversion"/>
  </si>
  <si>
    <t>SK_Ship_Anchor_Scylla</t>
    <phoneticPr fontId="5" type="noConversion"/>
  </si>
  <si>
    <t>스킬라 선수상</t>
    <phoneticPr fontId="5" type="noConversion"/>
  </si>
  <si>
    <t>SM_Ship_Shipparts_ScyllaFigure</t>
    <phoneticPr fontId="5" type="noConversion"/>
  </si>
  <si>
    <t>Texture_Sail_Crest_171</t>
    <phoneticPr fontId="5" type="noConversion"/>
  </si>
  <si>
    <t>Icon_Sail_Crest_171_Sprite</t>
    <phoneticPr fontId="5" type="noConversion"/>
  </si>
  <si>
    <t>신록의 항해 선수상</t>
    <phoneticPr fontId="5" type="noConversion"/>
  </si>
  <si>
    <t>신록의 전투 선수상</t>
    <phoneticPr fontId="5" type="noConversion"/>
  </si>
  <si>
    <t>신록의 항해 충각</t>
    <phoneticPr fontId="5" type="noConversion"/>
  </si>
  <si>
    <t>신록의 전투 충각</t>
    <phoneticPr fontId="5" type="noConversion"/>
  </si>
  <si>
    <t>신록의 닻</t>
    <phoneticPr fontId="5" type="noConversion"/>
  </si>
  <si>
    <t>SM_Ship_NewGreeneryAdventureFigure</t>
    <phoneticPr fontId="5" type="noConversion"/>
  </si>
  <si>
    <t>SK_Ship_Anchor_NewGreeneryAnchor</t>
    <phoneticPr fontId="5" type="noConversion"/>
  </si>
  <si>
    <t>SM_Ship_FigureHead_NewGreeneryBattleFigure</t>
    <phoneticPr fontId="5" type="noConversion"/>
  </si>
  <si>
    <t>SM_Ship_NewGreeneryBattleRam</t>
    <phoneticPr fontId="5" type="noConversion"/>
  </si>
  <si>
    <t>SM_Ship_NewGreeneryAdventure_Ram</t>
    <phoneticPr fontId="5" type="noConversion"/>
  </si>
  <si>
    <t>거대 가오리</t>
    <phoneticPr fontId="5" type="noConversion"/>
  </si>
  <si>
    <t>가오리</t>
    <phoneticPr fontId="5" type="noConversion"/>
  </si>
  <si>
    <t>SM_Ship_StingRay_Ram</t>
    <phoneticPr fontId="5" type="noConversion"/>
  </si>
  <si>
    <t>거대 가오리 충각</t>
    <phoneticPr fontId="5" type="noConversion"/>
  </si>
  <si>
    <t>SK_Ship_Anchor_StingRayAnchor</t>
    <phoneticPr fontId="5" type="noConversion"/>
  </si>
  <si>
    <t>거대 가오리 닻</t>
    <phoneticPr fontId="5" type="noConversion"/>
  </si>
  <si>
    <t>SK_Boss_Stingray1</t>
    <phoneticPr fontId="5" type="noConversion"/>
  </si>
  <si>
    <t>SK_Boss_Stingray2</t>
    <phoneticPr fontId="5" type="noConversion"/>
  </si>
  <si>
    <t>소다섬 여전사 선수상</t>
    <phoneticPr fontId="5" type="noConversion"/>
  </si>
  <si>
    <t>SM_Ship_FigureHead_2024Summer</t>
    <phoneticPr fontId="5" type="noConversion"/>
  </si>
  <si>
    <t>황금 용수선돛</t>
  </si>
  <si>
    <t>황금 용수선돛</t>
    <phoneticPr fontId="5" type="noConversion"/>
  </si>
  <si>
    <t>SK_Ship_GoldenDragonHeadShip_Sail</t>
    <phoneticPr fontId="5" type="noConversion"/>
  </si>
  <si>
    <t>SK_Ship_GoldenDragonHeadShip_Body</t>
    <phoneticPr fontId="5" type="noConversion"/>
  </si>
  <si>
    <t>황금 용수선</t>
    <phoneticPr fontId="5" type="noConversion"/>
  </si>
  <si>
    <t>황금 거북선돛</t>
  </si>
  <si>
    <t>황금 거북선돛</t>
    <phoneticPr fontId="5" type="noConversion"/>
  </si>
  <si>
    <t>황금 보선돛</t>
  </si>
  <si>
    <t>황금 보선돛</t>
    <phoneticPr fontId="5" type="noConversion"/>
  </si>
  <si>
    <t>SK_Ship_GoldenTurtleShip_Sail</t>
    <phoneticPr fontId="5" type="noConversion"/>
  </si>
  <si>
    <t>SK_Ship_GoldenBaochuan_Sail</t>
    <phoneticPr fontId="5" type="noConversion"/>
  </si>
  <si>
    <t>황금 거북선노</t>
  </si>
  <si>
    <t>황금 거북선노</t>
    <phoneticPr fontId="5" type="noConversion"/>
  </si>
  <si>
    <t>SK_Ship_GoldenTurtleShip_Paddle</t>
    <phoneticPr fontId="5" type="noConversion"/>
  </si>
  <si>
    <t>황금 거북선</t>
    <phoneticPr fontId="5" type="noConversion"/>
  </si>
  <si>
    <t>SK_Ship_GoldenTurtleShip_Body</t>
    <phoneticPr fontId="5" type="noConversion"/>
  </si>
  <si>
    <t>황금 보선</t>
    <phoneticPr fontId="5" type="noConversion"/>
  </si>
  <si>
    <t>SK_Ship_GoldenBaochuan_Body</t>
    <phoneticPr fontId="5" type="noConversion"/>
  </si>
  <si>
    <t>정조황금 거북선 상시 이팩트</t>
  </si>
  <si>
    <t>정조황금 거북선 상시 이팩트</t>
    <phoneticPr fontId="5" type="noConversion"/>
  </si>
  <si>
    <t>P_Ship_Event_JungjosTurtleShip_Smoke</t>
    <phoneticPr fontId="5" type="noConversion"/>
  </si>
  <si>
    <t>황금 오스만 겔리온</t>
    <phoneticPr fontId="5" type="noConversion"/>
  </si>
  <si>
    <t>SK_Ship_GoldOsmanGalleon_Sail</t>
    <phoneticPr fontId="5" type="noConversion"/>
  </si>
  <si>
    <t>황금 오스만 겔리온노</t>
  </si>
  <si>
    <t>황금 오스만 겔리온노</t>
    <phoneticPr fontId="5" type="noConversion"/>
  </si>
  <si>
    <t>SK_Ship_GoldOsmanGalleon_Paddle</t>
    <phoneticPr fontId="5" type="noConversion"/>
  </si>
  <si>
    <t>SK_Ship_GoldOsmanGalleon_Body</t>
    <phoneticPr fontId="5" type="noConversion"/>
  </si>
  <si>
    <t>황금 오스만 겔리온돛</t>
  </si>
  <si>
    <t>황금 오스만 겔리온돛</t>
    <phoneticPr fontId="5" type="noConversion"/>
  </si>
  <si>
    <t>황금 넵투노돛</t>
  </si>
  <si>
    <t>황금 넵투노돛</t>
    <phoneticPr fontId="5" type="noConversion"/>
  </si>
  <si>
    <t>Sk_Ship_GoldenNeptuno_Sail</t>
    <phoneticPr fontId="5" type="noConversion"/>
  </si>
  <si>
    <t>황금 넵투노</t>
    <phoneticPr fontId="5" type="noConversion"/>
  </si>
  <si>
    <t>Sk_Ship_GoldenNeptuno_Body</t>
    <phoneticPr fontId="5" type="noConversion"/>
  </si>
  <si>
    <t>황금 서프라이즈돛</t>
    <phoneticPr fontId="5" type="noConversion"/>
  </si>
  <si>
    <t>SK_Ship_GoldenSurprise_Sail</t>
    <phoneticPr fontId="5" type="noConversion"/>
  </si>
  <si>
    <t>황금 서프라이즈</t>
    <phoneticPr fontId="5" type="noConversion"/>
  </si>
  <si>
    <t>SK_Ship_GoldenSurprise_Body</t>
    <phoneticPr fontId="5" type="noConversion"/>
  </si>
  <si>
    <t>황금 서프라이즈돛</t>
  </si>
  <si>
    <t>불꽃놀이</t>
    <phoneticPr fontId="5" type="noConversion"/>
  </si>
  <si>
    <t>P_Ship_Ornament_Firework_Head</t>
    <phoneticPr fontId="5" type="noConversion"/>
  </si>
  <si>
    <t>황금향의 전쟁 선수상</t>
    <phoneticPr fontId="5" type="noConversion"/>
  </si>
  <si>
    <t>SM_Ship_ElDoradoBattleFigure</t>
    <phoneticPr fontId="5" type="noConversion"/>
  </si>
  <si>
    <t>SM_Ship_ElDoradoAdventure_Ram</t>
    <phoneticPr fontId="5" type="noConversion"/>
  </si>
  <si>
    <t>황금향의 항해 충각</t>
    <phoneticPr fontId="5" type="noConversion"/>
  </si>
  <si>
    <t>황금향의 닻</t>
    <phoneticPr fontId="5" type="noConversion"/>
  </si>
  <si>
    <t>SK_Ship_Anchor_ElDoradoSpecialAnchor</t>
    <phoneticPr fontId="5" type="noConversion"/>
  </si>
  <si>
    <t>황금 누선돛</t>
  </si>
  <si>
    <t>황금 누선돛</t>
    <phoneticPr fontId="5" type="noConversion"/>
  </si>
  <si>
    <t>SK_Ship_GoldenLouchuan_Sail</t>
    <phoneticPr fontId="5" type="noConversion"/>
  </si>
  <si>
    <t>황금 누선노</t>
  </si>
  <si>
    <t>황금 누선노</t>
    <phoneticPr fontId="5" type="noConversion"/>
  </si>
  <si>
    <t>SK_Ship_GoldenLouchuan_Paddle</t>
    <phoneticPr fontId="5" type="noConversion"/>
  </si>
  <si>
    <t>황금 누선</t>
    <phoneticPr fontId="5" type="noConversion"/>
  </si>
  <si>
    <t>SK_Ship_GoldenLouchuan_Body</t>
    <phoneticPr fontId="5" type="noConversion"/>
  </si>
  <si>
    <t>SM_Ship_FigureHead_ElDoradoAdventureFigure</t>
    <phoneticPr fontId="5" type="noConversion"/>
  </si>
  <si>
    <t>황금향의 항해 선수상</t>
    <phoneticPr fontId="5" type="noConversion"/>
  </si>
  <si>
    <t>연등</t>
    <phoneticPr fontId="5" type="noConversion"/>
  </si>
  <si>
    <t>P_Ship_Ornament_Lantern_Back</t>
    <phoneticPr fontId="5" type="noConversion"/>
  </si>
  <si>
    <t>SM_Ship_ElDoradoBattle_Ram</t>
    <phoneticPr fontId="5" type="noConversion"/>
  </si>
  <si>
    <t>황금향의 전투 충각</t>
    <phoneticPr fontId="5" type="noConversion"/>
  </si>
  <si>
    <t>황금 철갑선돛</t>
  </si>
  <si>
    <t>황금 철갑선돛</t>
    <phoneticPr fontId="5" type="noConversion"/>
  </si>
  <si>
    <t>SK_Ship_GoldenTekkosen_Sail</t>
    <phoneticPr fontId="5" type="noConversion"/>
  </si>
  <si>
    <t>황금 철갑선노</t>
  </si>
  <si>
    <t>황금 철갑선노</t>
    <phoneticPr fontId="5" type="noConversion"/>
  </si>
  <si>
    <t>SK_Ship_GoldenTekkosen_Paddle</t>
    <phoneticPr fontId="5" type="noConversion"/>
  </si>
  <si>
    <t>황금 철갑선</t>
    <phoneticPr fontId="5" type="noConversion"/>
  </si>
  <si>
    <t>SK_Ship_GoldenTekkosen_Body</t>
    <phoneticPr fontId="5" type="noConversion"/>
  </si>
  <si>
    <t>SM_Ship_AetherFigure</t>
    <phoneticPr fontId="5" type="noConversion"/>
  </si>
  <si>
    <t>인양된 고대의 선수상</t>
    <phoneticPr fontId="5" type="noConversion"/>
  </si>
  <si>
    <t>SK_Ship_Anchor_AeherAnchor</t>
    <phoneticPr fontId="5" type="noConversion"/>
  </si>
  <si>
    <t>인양된 고대의 닻</t>
    <phoneticPr fontId="5" type="noConversion"/>
  </si>
  <si>
    <t>황금 테메레르돛</t>
  </si>
  <si>
    <t>황금 테메레르돛</t>
    <phoneticPr fontId="5" type="noConversion"/>
  </si>
  <si>
    <t>Sk_Ship_GoldenTemeraire_Sail</t>
    <phoneticPr fontId="5" type="noConversion"/>
  </si>
  <si>
    <t>Sk_Ship_GoldenTemeraire_Body</t>
    <phoneticPr fontId="5" type="noConversion"/>
  </si>
  <si>
    <t>황금 테메레르</t>
    <phoneticPr fontId="5" type="noConversion"/>
  </si>
  <si>
    <t>인양된 고대의 충각</t>
    <phoneticPr fontId="5" type="noConversion"/>
  </si>
  <si>
    <t>SM_Ship_AetherRam</t>
    <phoneticPr fontId="5" type="noConversion"/>
  </si>
  <si>
    <t>남소령기 문장</t>
    <phoneticPr fontId="5" type="noConversion"/>
  </si>
  <si>
    <t>남소령기 문장 도안</t>
    <phoneticPr fontId="5" type="noConversion"/>
  </si>
  <si>
    <t>모비딕 문장</t>
    <phoneticPr fontId="5" type="noConversion"/>
  </si>
  <si>
    <t>Texture_Sail_Crest_176</t>
    <phoneticPr fontId="5" type="noConversion"/>
  </si>
  <si>
    <t>Icon_Sail_Crest_176_Sprite</t>
    <phoneticPr fontId="5" type="noConversion"/>
  </si>
  <si>
    <t>BP_FX_Ornament_AutumnScenery_Back</t>
    <phoneticPr fontId="5" type="noConversion"/>
  </si>
  <si>
    <t>P_Ship_Ornament_AutumnScenery_Body</t>
    <phoneticPr fontId="5" type="noConversion"/>
  </si>
  <si>
    <t>가을 풍경 반려 단풍나무</t>
    <phoneticPr fontId="5" type="noConversion"/>
  </si>
  <si>
    <t>BP_FX_Ornament_AutumnScenery_Top</t>
    <phoneticPr fontId="5" type="noConversion"/>
  </si>
  <si>
    <t>가을 풍경 흐르는 단풍잎</t>
    <phoneticPr fontId="5" type="noConversion"/>
  </si>
  <si>
    <t>가을 풍경 가을 타는 허수아비</t>
    <phoneticPr fontId="5" type="noConversion"/>
  </si>
  <si>
    <t>cflag</t>
    <phoneticPr fontId="5" type="noConversion"/>
  </si>
  <si>
    <t>BP_FX_Ornament_AutumnSceneryB_Back</t>
    <phoneticPr fontId="5" type="noConversion"/>
  </si>
  <si>
    <t>황금 진공선돛</t>
  </si>
  <si>
    <t>황금 진공선돛</t>
    <phoneticPr fontId="5" type="noConversion"/>
  </si>
  <si>
    <t>SK_Ship_GoldenRyukyuship_Sail</t>
    <phoneticPr fontId="5" type="noConversion"/>
  </si>
  <si>
    <t>황금 진공선</t>
    <phoneticPr fontId="5" type="noConversion"/>
  </si>
  <si>
    <t>SK_Ship_GoldenRyukyuship_Body</t>
    <phoneticPr fontId="5" type="noConversion"/>
  </si>
  <si>
    <t>천지환노</t>
  </si>
  <si>
    <t>천지환노</t>
    <phoneticPr fontId="5" type="noConversion"/>
  </si>
  <si>
    <t>황금 천지환노</t>
  </si>
  <si>
    <t>황금 천지환노</t>
    <phoneticPr fontId="5" type="noConversion"/>
  </si>
  <si>
    <t>SK_Ship_Tenchimaru_Paddle</t>
    <phoneticPr fontId="5" type="noConversion"/>
  </si>
  <si>
    <t>SK_Ship_GoldenTenchimaru_Paddle</t>
    <phoneticPr fontId="5" type="noConversion"/>
  </si>
  <si>
    <t>황금 천지환돛</t>
  </si>
  <si>
    <t>황금 천지환돛</t>
    <phoneticPr fontId="5" type="noConversion"/>
  </si>
  <si>
    <t>SK_Ship_GoldenTenchimaru_Sail</t>
    <phoneticPr fontId="5" type="noConversion"/>
  </si>
  <si>
    <t>황금 천지환</t>
    <phoneticPr fontId="5" type="noConversion"/>
  </si>
  <si>
    <t>SK_Ship_GoldenTenchimaru_Body</t>
    <phoneticPr fontId="5" type="noConversion"/>
  </si>
  <si>
    <t>황금 인데버돛</t>
  </si>
  <si>
    <t>황금 인데버돛</t>
    <phoneticPr fontId="5" type="noConversion"/>
  </si>
  <si>
    <t>SK_Ship_GoldenEndeavour_Sail</t>
    <phoneticPr fontId="5" type="noConversion"/>
  </si>
  <si>
    <t>황금 인데버</t>
    <phoneticPr fontId="5" type="noConversion"/>
  </si>
  <si>
    <t>SK_Ship_GoldenEndeavour_Body</t>
    <phoneticPr fontId="5" type="noConversion"/>
  </si>
  <si>
    <t>황금 플라잉클라우드</t>
    <phoneticPr fontId="5" type="noConversion"/>
  </si>
  <si>
    <t>SK_Ship_GoldenFlyingCloud_Sail</t>
    <phoneticPr fontId="5" type="noConversion"/>
  </si>
  <si>
    <t>황금 플라잉클라우드돛</t>
  </si>
  <si>
    <t>황금 플라잉클라우드돛</t>
    <phoneticPr fontId="5" type="noConversion"/>
  </si>
  <si>
    <t>SK_Ship_GoldenFlyingCloud_Body</t>
    <phoneticPr fontId="5" type="noConversion"/>
  </si>
  <si>
    <t>황금 크로난</t>
    <phoneticPr fontId="5" type="noConversion"/>
  </si>
  <si>
    <t>SK_Ship_GoldenKronan_Sail</t>
    <phoneticPr fontId="5" type="noConversion"/>
  </si>
  <si>
    <t>SK_Ship_GoldenKronan_Body</t>
    <phoneticPr fontId="5" type="noConversion"/>
  </si>
  <si>
    <t>황금 크로난돛</t>
  </si>
  <si>
    <t>황금 크로난돛</t>
    <phoneticPr fontId="5" type="noConversion"/>
  </si>
  <si>
    <t>창공의 닻</t>
    <phoneticPr fontId="5" type="noConversion"/>
  </si>
  <si>
    <t>SK_Ship_Anchor_BlueSkyAnchor</t>
    <phoneticPr fontId="5" type="noConversion"/>
  </si>
  <si>
    <t>SM_Ship_BlueSkyAdventure_Ram</t>
    <phoneticPr fontId="5" type="noConversion"/>
  </si>
  <si>
    <t>SM_Shipparts_BlueSkyBattle_Ram</t>
    <phoneticPr fontId="5" type="noConversion"/>
  </si>
  <si>
    <t>창공의 항해 충각</t>
    <phoneticPr fontId="5" type="noConversion"/>
  </si>
  <si>
    <t>창공의 전투 충각</t>
    <phoneticPr fontId="5" type="noConversion"/>
  </si>
  <si>
    <t>창공의 항해 선수상</t>
    <phoneticPr fontId="5" type="noConversion"/>
  </si>
  <si>
    <t>창공의 전투 선수상</t>
    <phoneticPr fontId="5" type="noConversion"/>
  </si>
  <si>
    <t>SM_Ship_FigureHead_BlueSkyAdventureFigure</t>
    <phoneticPr fontId="5" type="noConversion"/>
  </si>
  <si>
    <t>SM_Ship_FigureHead_BlueSkyBattleFigure</t>
    <phoneticPr fontId="5" type="noConversion"/>
  </si>
  <si>
    <t>SOCKET_SK_Ship_Body_BackFlag</t>
    <phoneticPr fontId="5" type="noConversion"/>
  </si>
  <si>
    <t>SM_Ship_ChristmasKranz_A</t>
    <phoneticPr fontId="5" type="noConversion"/>
  </si>
  <si>
    <t>이벤트 선박 파츠</t>
  </si>
  <si>
    <t>이벤트 선박 파츠</t>
    <phoneticPr fontId="5" type="noConversion"/>
  </si>
  <si>
    <t>SOCKET_SK_Ship_Body_FXCostume_Figurehead</t>
    <phoneticPr fontId="5" type="noConversion"/>
  </si>
  <si>
    <t>크리스마스 이벤트용 갤리온</t>
    <phoneticPr fontId="5" type="noConversion"/>
  </si>
  <si>
    <t>크리스마스 장식</t>
    <phoneticPr fontId="5" type="noConversion"/>
  </si>
  <si>
    <t>크리스마스 별</t>
    <phoneticPr fontId="5" type="noConversion"/>
  </si>
  <si>
    <t>크리스마스 선물 보트</t>
    <phoneticPr fontId="5" type="noConversion"/>
  </si>
  <si>
    <t>BP_FX_Ornament_ChristmasDecor_Head</t>
    <phoneticPr fontId="5" type="noConversion"/>
  </si>
  <si>
    <t>BP_FX_Ornament_ChristmasStar_Top</t>
    <phoneticPr fontId="5" type="noConversion"/>
  </si>
  <si>
    <t>FXCostume_Figurehead</t>
    <phoneticPr fontId="5" type="noConversion"/>
  </si>
  <si>
    <t>BP_FX_Ornament_ChristmasBoat_Back</t>
    <phoneticPr fontId="5" type="noConversion"/>
  </si>
  <si>
    <t>Backflag</t>
  </si>
  <si>
    <t>Backflag</t>
    <phoneticPr fontId="5" type="noConversion"/>
  </si>
  <si>
    <t>후미깃발</t>
    <phoneticPr fontId="5" type="noConversion"/>
  </si>
  <si>
    <t>후미 깃발_잉글랜드</t>
    <phoneticPr fontId="5" type="noConversion"/>
  </si>
  <si>
    <t>후미 깃발_에스파냐</t>
    <phoneticPr fontId="5" type="noConversion"/>
  </si>
  <si>
    <t>후미 깃발_일본</t>
    <phoneticPr fontId="5" type="noConversion"/>
  </si>
  <si>
    <t>후미 깃발_조선</t>
    <phoneticPr fontId="5" type="noConversion"/>
  </si>
  <si>
    <t>후미 깃발_명</t>
    <phoneticPr fontId="5" type="noConversion"/>
  </si>
  <si>
    <t>후미 깃발_네덜란드</t>
    <phoneticPr fontId="5" type="noConversion"/>
  </si>
  <si>
    <t>후미 깃발_오스만</t>
    <phoneticPr fontId="5" type="noConversion"/>
  </si>
  <si>
    <t>후미 깃발_포르투갈</t>
    <phoneticPr fontId="5" type="noConversion"/>
  </si>
  <si>
    <t>후미 깃발_탐험</t>
    <phoneticPr fontId="5" type="noConversion"/>
  </si>
  <si>
    <t>후미 깃발_전투</t>
    <phoneticPr fontId="5" type="noConversion"/>
  </si>
  <si>
    <t>후미 깃발_등대</t>
    <phoneticPr fontId="5" type="noConversion"/>
  </si>
  <si>
    <t>후미 깃발_교역</t>
    <phoneticPr fontId="5" type="noConversion"/>
  </si>
  <si>
    <t>시즌 0 참가자 문장</t>
    <phoneticPr fontId="5" type="noConversion"/>
  </si>
  <si>
    <t>시즌 1의 주역 문장</t>
    <phoneticPr fontId="5" type="noConversion"/>
  </si>
  <si>
    <t>시즌 1의 기여자 문장</t>
    <phoneticPr fontId="5" type="noConversion"/>
  </si>
  <si>
    <t>시즌 1의 참가자 문장</t>
    <phoneticPr fontId="5" type="noConversion"/>
  </si>
  <si>
    <t>-</t>
    <phoneticPr fontId="5" type="noConversion"/>
  </si>
  <si>
    <t>overrideMeshScale</t>
    <phoneticPr fontId="5" type="noConversion"/>
  </si>
  <si>
    <t>황금 정크스쿠너돛</t>
  </si>
  <si>
    <t>황금 정크스쿠너돛</t>
    <phoneticPr fontId="5" type="noConversion"/>
  </si>
  <si>
    <t>SK_Ship_GoldenJunkSchooner_Sail</t>
    <phoneticPr fontId="5" type="noConversion"/>
  </si>
  <si>
    <t>황금 정크스쿠너</t>
    <phoneticPr fontId="5" type="noConversion"/>
  </si>
  <si>
    <t>SK_Ship_GoldenJunkSchooner_Body</t>
    <phoneticPr fontId="5" type="noConversion"/>
  </si>
  <si>
    <t>황금 판옥선돛</t>
  </si>
  <si>
    <t>황금 판옥선돛</t>
    <phoneticPr fontId="5" type="noConversion"/>
  </si>
  <si>
    <t>SK_Ship_GoldenPanOkSeon_Sail</t>
    <phoneticPr fontId="5" type="noConversion"/>
  </si>
  <si>
    <t>황금 판옥선노</t>
  </si>
  <si>
    <t>황금 판옥선노</t>
    <phoneticPr fontId="5" type="noConversion"/>
  </si>
  <si>
    <t>SK_Ship_GoldenPanOkSeon_Paddle</t>
    <phoneticPr fontId="5" type="noConversion"/>
  </si>
  <si>
    <t>황금 판옥선</t>
    <phoneticPr fontId="5" type="noConversion"/>
  </si>
  <si>
    <t>SK_Ship_GoldenPanOkSeon_Body</t>
    <phoneticPr fontId="5" type="noConversion"/>
  </si>
  <si>
    <t>시즌 1의 주역 문장_교역</t>
    <phoneticPr fontId="5" type="noConversion"/>
  </si>
  <si>
    <t>시즌 1의 주역 문장_전투</t>
    <phoneticPr fontId="5" type="noConversion"/>
  </si>
  <si>
    <t>알제의 분노돛</t>
  </si>
  <si>
    <t>알제의 분노돛</t>
    <phoneticPr fontId="5" type="noConversion"/>
  </si>
  <si>
    <t>SK_Ship_RageOfAlgiers_Sail</t>
    <phoneticPr fontId="5" type="noConversion"/>
  </si>
  <si>
    <t>알제의 분노노</t>
  </si>
  <si>
    <t>알제의 분노노</t>
    <phoneticPr fontId="5" type="noConversion"/>
  </si>
  <si>
    <t>SK_Ship_RageOfAlgiers_Paddle</t>
    <phoneticPr fontId="5" type="noConversion"/>
  </si>
  <si>
    <t>-</t>
    <phoneticPr fontId="5" type="noConversion"/>
  </si>
  <si>
    <t>알제의 분노</t>
    <phoneticPr fontId="5" type="noConversion"/>
  </si>
  <si>
    <t>SK_Ship_RageOfAlgiers_Body</t>
    <phoneticPr fontId="5" type="noConversion"/>
  </si>
  <si>
    <t>M_BigFlagpole_Adventure_Inst</t>
    <phoneticPr fontId="5" type="noConversion"/>
  </si>
  <si>
    <t>M_BigFlagpole_Battle_Inst</t>
    <phoneticPr fontId="5" type="noConversion"/>
  </si>
  <si>
    <t>M_BigFlagpole_England_Inst</t>
    <phoneticPr fontId="5" type="noConversion"/>
  </si>
  <si>
    <t>M_BigFlagpole_Espana_Inst</t>
    <phoneticPr fontId="5" type="noConversion"/>
  </si>
  <si>
    <t>M_BigFlagpole_Japan_Inst</t>
    <phoneticPr fontId="5" type="noConversion"/>
  </si>
  <si>
    <t>M_BigFlagpole_Korea_Inst</t>
    <phoneticPr fontId="5" type="noConversion"/>
  </si>
  <si>
    <t>M_BigFlagpole_Myoung_Inst</t>
    <phoneticPr fontId="5" type="noConversion"/>
  </si>
  <si>
    <t>M_BigFlagpole_Netherlands_Inst</t>
    <phoneticPr fontId="5" type="noConversion"/>
  </si>
  <si>
    <t>M_BigFlagpole_Ottoman_Inst</t>
    <phoneticPr fontId="5" type="noConversion"/>
  </si>
  <si>
    <t>M_BigFlagpole_Portugal_Inst</t>
    <phoneticPr fontId="5" type="noConversion"/>
  </si>
  <si>
    <t>M_BigFlagpole_lighthouse_Inst</t>
    <phoneticPr fontId="5" type="noConversion"/>
  </si>
  <si>
    <t>M_BigFlagpole_Trade_Inst</t>
    <phoneticPr fontId="5" type="noConversion"/>
  </si>
  <si>
    <t>M_BigFlagpole_InvestSeason0_01_Inst</t>
    <phoneticPr fontId="5" type="noConversion"/>
  </si>
  <si>
    <t>M_BigFlagpole_InvestSeason1_01_Inst</t>
    <phoneticPr fontId="5" type="noConversion"/>
  </si>
  <si>
    <t>M_BigFlagpole_InvestSeason1_02_Inst</t>
    <phoneticPr fontId="5" type="noConversion"/>
  </si>
  <si>
    <t>M_BigFlagpole_InvestSeason1_03_Inst</t>
    <phoneticPr fontId="5" type="noConversion"/>
  </si>
  <si>
    <t>M_BigFlagpole_InvestSeason1_04_Inst</t>
    <phoneticPr fontId="5" type="noConversion"/>
  </si>
  <si>
    <t>M_BigFlagpole_InvestSeason1_05_Inst</t>
    <phoneticPr fontId="5" type="noConversion"/>
  </si>
  <si>
    <t>SK_Ship_BackFlag_Default</t>
    <phoneticPr fontId="5" type="noConversion"/>
  </si>
  <si>
    <t>SK_Ship_BackFlag_Short</t>
    <phoneticPr fontId="5" type="noConversion"/>
  </si>
  <si>
    <t>금사자 선수상</t>
    <phoneticPr fontId="5" type="noConversion"/>
  </si>
  <si>
    <t>SM_Ship_FigureHead_GoldenLionFigure</t>
    <phoneticPr fontId="5" type="noConversion"/>
  </si>
  <si>
    <t>용 연</t>
    <phoneticPr fontId="5" type="noConversion"/>
  </si>
  <si>
    <t>잉어 연</t>
    <phoneticPr fontId="5" type="noConversion"/>
  </si>
  <si>
    <t>가오리 연</t>
    <phoneticPr fontId="5" type="noConversion"/>
  </si>
  <si>
    <t>BP_FX_Ornament_DragonKite_Top</t>
    <phoneticPr fontId="5" type="noConversion"/>
  </si>
  <si>
    <t>BP_FX_Ornament_FishKite_Top</t>
    <phoneticPr fontId="5" type="noConversion"/>
  </si>
  <si>
    <t>BP_FX_Ornament_StingrayKite_Top</t>
    <phoneticPr fontId="5" type="noConversion"/>
  </si>
  <si>
    <t>뱀 불꽃놀이</t>
    <phoneticPr fontId="5" type="noConversion"/>
  </si>
  <si>
    <t>P_FX_Ornament_SnakeFirework_Side_L</t>
    <phoneticPr fontId="5" type="noConversion"/>
  </si>
  <si>
    <t>푸른 뱀 등불</t>
    <phoneticPr fontId="5" type="noConversion"/>
  </si>
  <si>
    <t>BP_FX_Ornament_SnakeLantern_Head</t>
    <phoneticPr fontId="5" type="noConversion"/>
  </si>
  <si>
    <t>황금 노부나가의 철갑선돛</t>
  </si>
  <si>
    <t>황금 노부나가의 철갑선돛</t>
    <phoneticPr fontId="5" type="noConversion"/>
  </si>
  <si>
    <t>SK_Ship_GoldenNobunagas_Tekkosen_Sail</t>
    <phoneticPr fontId="5" type="noConversion"/>
  </si>
  <si>
    <t>SK_Ship_GoldenGozabune_Sail</t>
    <phoneticPr fontId="5" type="noConversion"/>
  </si>
  <si>
    <t>황금 노부나가의 철갑선노</t>
  </si>
  <si>
    <t>황금 노부나가의 철갑선노</t>
    <phoneticPr fontId="5" type="noConversion"/>
  </si>
  <si>
    <t>황금 어좌선노</t>
  </si>
  <si>
    <t>황금 어좌선노</t>
    <phoneticPr fontId="5" type="noConversion"/>
  </si>
  <si>
    <t>황금 어좌선돛</t>
  </si>
  <si>
    <t>황금 어좌선돛</t>
    <phoneticPr fontId="5" type="noConversion"/>
  </si>
  <si>
    <t>SK_Ship_GoldenGozabune_Paddle</t>
    <phoneticPr fontId="5" type="noConversion"/>
  </si>
  <si>
    <t>SK_Ship_GoldenNobunagas_Tekkosen_Paddle</t>
    <phoneticPr fontId="5" type="noConversion"/>
  </si>
  <si>
    <t>황금 노부나가의 철갑선</t>
    <phoneticPr fontId="5" type="noConversion"/>
  </si>
  <si>
    <t>황금 어좌선</t>
    <phoneticPr fontId="5" type="noConversion"/>
  </si>
  <si>
    <t>SK_Ship_GoldenNobunagas_Tekkosen_Body</t>
    <phoneticPr fontId="5" type="noConversion"/>
  </si>
  <si>
    <t>SK_Ship_GoldenGozabune_Body</t>
    <phoneticPr fontId="5" type="noConversion"/>
  </si>
  <si>
    <t>나팔 깃발L</t>
    <phoneticPr fontId="5" type="noConversion"/>
  </si>
  <si>
    <t>나팔 깃발R</t>
    <phoneticPr fontId="5" type="noConversion"/>
  </si>
  <si>
    <t>BP_FX_Ornament_SRTrumpetFlag_Side_L</t>
  </si>
  <si>
    <t>FXCostume_AbeamL1</t>
  </si>
  <si>
    <t>FXCostume_AbeamL2</t>
    <phoneticPr fontId="5" type="noConversion"/>
  </si>
  <si>
    <t>FXCostume_AbeamL3</t>
    <phoneticPr fontId="5" type="noConversion"/>
  </si>
  <si>
    <t>BP_FX_Ornament_SRTrumpetFlag_Side_R</t>
    <phoneticPr fontId="5" type="noConversion"/>
  </si>
  <si>
    <t>FXCostume_AbeamR1</t>
    <phoneticPr fontId="5" type="noConversion"/>
  </si>
  <si>
    <t>FXCostume_AbeamR3</t>
    <phoneticPr fontId="5" type="noConversion"/>
  </si>
  <si>
    <t>FXCostume_AbeamR2</t>
    <phoneticPr fontId="5" type="noConversion"/>
  </si>
  <si>
    <t>시즌 축하 폭죽</t>
    <phoneticPr fontId="5" type="noConversion"/>
  </si>
  <si>
    <t>P_FX_Ornament_SRCrownFirework_Front</t>
    <phoneticPr fontId="5" type="noConversion"/>
  </si>
  <si>
    <t>SOCKET_SK_Ship_Body_FXCostume_Foremast</t>
    <phoneticPr fontId="5" type="noConversion"/>
  </si>
  <si>
    <t>시즌1 보상 선박 2등돛</t>
  </si>
  <si>
    <t>시즌1 보상 선박 2등돛</t>
    <phoneticPr fontId="5" type="noConversion"/>
  </si>
  <si>
    <t>시즌1 보상 선박 1등돛</t>
  </si>
  <si>
    <t>시즌1 보상 선박 1등돛</t>
    <phoneticPr fontId="5" type="noConversion"/>
  </si>
  <si>
    <t>시즌1 보상 선박 3등돛</t>
  </si>
  <si>
    <t>시즌1 보상 선박 3등돛</t>
    <phoneticPr fontId="5" type="noConversion"/>
  </si>
  <si>
    <t>시즌1 보상 위장 1등돛</t>
  </si>
  <si>
    <t>시즌1 보상 위장 1등돛</t>
    <phoneticPr fontId="5" type="noConversion"/>
  </si>
  <si>
    <t>시즌1 보상 위장 2등돛</t>
  </si>
  <si>
    <t>시즌1 보상 위장 2등돛</t>
    <phoneticPr fontId="5" type="noConversion"/>
  </si>
  <si>
    <t>시즌1 보상 위장 3등돛</t>
  </si>
  <si>
    <t>시즌1 보상 위장 3등돛</t>
    <phoneticPr fontId="5" type="noConversion"/>
  </si>
  <si>
    <t>SK_Ship_SkeidG_Sail</t>
    <phoneticPr fontId="5" type="noConversion"/>
  </si>
  <si>
    <t>SK_Ship_SkeidS_Sail</t>
    <phoneticPr fontId="5" type="noConversion"/>
  </si>
  <si>
    <t>SK_Ship_SkeidB_Sail</t>
    <phoneticPr fontId="5" type="noConversion"/>
  </si>
  <si>
    <t>SK_Ship_Avater_SkeidG_Sail</t>
    <phoneticPr fontId="5" type="noConversion"/>
  </si>
  <si>
    <t>SK_Ship_Avater_SkeidS_Sail</t>
    <phoneticPr fontId="5" type="noConversion"/>
  </si>
  <si>
    <t>SK_Ship_Avater_SkeidB_Sail</t>
    <phoneticPr fontId="5" type="noConversion"/>
  </si>
  <si>
    <t>시즌1 보상 선박 1등</t>
  </si>
  <si>
    <t>시즌1 보상 선박 2등</t>
  </si>
  <si>
    <t>시즌1 보상 선박 3등</t>
  </si>
  <si>
    <t>시즌1 보상 위장 1등</t>
    <phoneticPr fontId="5" type="noConversion"/>
  </si>
  <si>
    <t>시즌1 보상 위장 2등</t>
  </si>
  <si>
    <t>시즌1 보상 위장 3등</t>
  </si>
  <si>
    <t>SK_Ship_Avater_Skeid_Body</t>
    <phoneticPr fontId="5" type="noConversion"/>
  </si>
  <si>
    <t>SK_Ship_Skeid_Body</t>
    <phoneticPr fontId="5" type="noConversion"/>
  </si>
  <si>
    <t>은하의 전쟁 충각</t>
    <phoneticPr fontId="5" type="noConversion"/>
  </si>
  <si>
    <t>은하의 항해 충각</t>
    <phoneticPr fontId="5" type="noConversion"/>
  </si>
  <si>
    <t>SM_Ship_GalaxyAdventure_Ram</t>
    <phoneticPr fontId="5" type="noConversion"/>
  </si>
  <si>
    <t>SM_Ship_GalaxyBattle_Ram</t>
    <phoneticPr fontId="5" type="noConversion"/>
  </si>
  <si>
    <t>은하의 닻</t>
    <phoneticPr fontId="5" type="noConversion"/>
  </si>
  <si>
    <t>SK_Ship_Anchor_Galaxy</t>
    <phoneticPr fontId="5" type="noConversion"/>
  </si>
  <si>
    <t>은하의 항해 선수상</t>
    <phoneticPr fontId="5" type="noConversion"/>
  </si>
  <si>
    <t>은하의 전투 선수상</t>
    <phoneticPr fontId="5" type="noConversion"/>
  </si>
  <si>
    <t>SM_Ship_FigureHead_GalaxyAdventureFigure</t>
    <phoneticPr fontId="5" type="noConversion"/>
  </si>
  <si>
    <t>SM_Ship_FigureHead_GalaxyBattleFigure</t>
    <phoneticPr fontId="5" type="noConversion"/>
  </si>
  <si>
    <t>SK_Ship_GoldenThermopylae_Sail</t>
    <phoneticPr fontId="5" type="noConversion"/>
  </si>
  <si>
    <t>황금 테르모필레</t>
    <phoneticPr fontId="5" type="noConversion"/>
  </si>
  <si>
    <t>황금 테르모필레돛</t>
  </si>
  <si>
    <t>황금 테르모필레돛</t>
    <phoneticPr fontId="5" type="noConversion"/>
  </si>
  <si>
    <t>SK_Ship_GoldenThermopylae_Body</t>
    <phoneticPr fontId="5" type="noConversion"/>
  </si>
  <si>
    <t>시즌 2의 모험 문장</t>
    <phoneticPr fontId="5" type="noConversion"/>
  </si>
  <si>
    <t>시즌 2의 교역 문장</t>
    <phoneticPr fontId="5" type="noConversion"/>
  </si>
  <si>
    <t>시즌 2의 전투 문장</t>
    <phoneticPr fontId="5" type="noConversion"/>
  </si>
  <si>
    <t>M_BigFlagpole_InvestSeason2_01_Inst</t>
    <phoneticPr fontId="5" type="noConversion"/>
  </si>
  <si>
    <t>M_BigFlagpole_InvestSeason2_02_Inst</t>
    <phoneticPr fontId="5" type="noConversion"/>
  </si>
  <si>
    <t>M_BigFlagpole_InvestSeason2_03_Inst</t>
    <phoneticPr fontId="5" type="noConversion"/>
  </si>
  <si>
    <t>황금(특수) 선박 사이즈 조절용(1.5)</t>
    <phoneticPr fontId="5" type="noConversion"/>
  </si>
  <si>
    <t>황금 라모르</t>
    <phoneticPr fontId="5" type="noConversion"/>
  </si>
  <si>
    <t>SK_Ship_GoldenLaMort_Sail</t>
    <phoneticPr fontId="5" type="noConversion"/>
  </si>
  <si>
    <t>황금 라모르돛</t>
  </si>
  <si>
    <t>황금 라모르돛</t>
    <phoneticPr fontId="5" type="noConversion"/>
  </si>
  <si>
    <t>황금 라모르노</t>
  </si>
  <si>
    <t>황금 라모르노</t>
    <phoneticPr fontId="5" type="noConversion"/>
  </si>
  <si>
    <t>SK_Ship_GoldenLaMort_Paddle</t>
    <phoneticPr fontId="5" type="noConversion"/>
  </si>
  <si>
    <t>SK_Ship_GoldenLaMort_Body</t>
    <phoneticPr fontId="5" type="noConversion"/>
  </si>
  <si>
    <t xml:space="preserve"> 황금 아이언 사이즈돛</t>
  </si>
  <si>
    <t xml:space="preserve"> 황금 아이언 사이즈돛</t>
    <phoneticPr fontId="5" type="noConversion"/>
  </si>
  <si>
    <t>Sk_Ship_GoldenIronsides_Sail</t>
    <phoneticPr fontId="5" type="noConversion"/>
  </si>
  <si>
    <t>Sk_Ship_GoldenIronsides_Body</t>
    <phoneticPr fontId="5" type="noConversion"/>
  </si>
  <si>
    <t xml:space="preserve"> 황금 아이언 사이즈</t>
    <phoneticPr fontId="5" type="noConversion"/>
  </si>
  <si>
    <t>불꽃 모양 충각</t>
    <phoneticPr fontId="5" type="noConversion"/>
  </si>
  <si>
    <t>SM_Ship_FlameRam</t>
    <phoneticPr fontId="5" type="noConversion"/>
  </si>
  <si>
    <t>강화 아미티 보스</t>
    <phoneticPr fontId="5" type="noConversion"/>
  </si>
  <si>
    <t>강화 아미티 보상돛</t>
  </si>
  <si>
    <t>강화 아미티 보상돛</t>
    <phoneticPr fontId="5" type="noConversion"/>
  </si>
  <si>
    <t>강화 아미티 보스돛</t>
    <phoneticPr fontId="5" type="noConversion"/>
  </si>
  <si>
    <t>강화 아미티 보상</t>
    <phoneticPr fontId="5" type="noConversion"/>
  </si>
  <si>
    <t>SK_Ship_EnchantedAmity_Body</t>
    <phoneticPr fontId="5" type="noConversion"/>
  </si>
  <si>
    <t>SK_Ship_EnchantedAmity_Sail</t>
    <phoneticPr fontId="5" type="noConversion"/>
  </si>
  <si>
    <t>SK_Ship_GoldenEnchantedAmity_Sail</t>
    <phoneticPr fontId="5" type="noConversion"/>
  </si>
  <si>
    <t>SK_Ship_GoldenEnchantedAmity_Body</t>
    <phoneticPr fontId="5" type="noConversion"/>
  </si>
  <si>
    <t>황금 강화 아미티 보상</t>
    <phoneticPr fontId="5" type="noConversion"/>
  </si>
  <si>
    <t>황금 강화 아미티 보상돛</t>
  </si>
  <si>
    <t>황금 강화 아미티 보상돛</t>
    <phoneticPr fontId="5" type="noConversion"/>
  </si>
  <si>
    <t>SK_Ship_EnchantedAmityBoss_Sail</t>
    <phoneticPr fontId="5" type="noConversion"/>
  </si>
  <si>
    <t>SK_Ship_EnchantedAmityBoss_Body</t>
    <phoneticPr fontId="5" type="noConversion"/>
  </si>
  <si>
    <t>강화 아미티 보스돛</t>
  </si>
  <si>
    <t>SK_Ship_Avatar_GMRubberDuck_Sail</t>
    <phoneticPr fontId="5" type="noConversion"/>
  </si>
  <si>
    <t>SK_Ship_Avatar_GMRubberDuck_Body</t>
    <phoneticPr fontId="5" type="noConversion"/>
  </si>
  <si>
    <t>GM 선박_GM 오리배돛</t>
  </si>
  <si>
    <t>GM 선박_GM 오리배돛</t>
    <phoneticPr fontId="5" type="noConversion"/>
  </si>
  <si>
    <t>GM 선박_GM 오리배</t>
    <phoneticPr fontId="5" type="noConversion"/>
  </si>
  <si>
    <t>BP_FX_Ornament_HotAirBalloon_Back</t>
    <phoneticPr fontId="5" type="noConversion"/>
  </si>
  <si>
    <t>FXCostume_Back2</t>
    <phoneticPr fontId="5" type="noConversion"/>
  </si>
  <si>
    <t>최초의 열기구</t>
    <phoneticPr fontId="5" type="noConversion"/>
  </si>
  <si>
    <t>오크통</t>
    <phoneticPr fontId="5" type="noConversion"/>
  </si>
  <si>
    <t>황금 양선 돛</t>
  </si>
  <si>
    <t>황금 양선 돛</t>
    <phoneticPr fontId="5" type="noConversion"/>
  </si>
  <si>
    <t>SK_Ship_GoldenYangSeon_Sail</t>
    <phoneticPr fontId="5" type="noConversion"/>
  </si>
  <si>
    <t>황금 양선</t>
    <phoneticPr fontId="5" type="noConversion"/>
  </si>
  <si>
    <t>SK_Ship_GoldenYangSeon_Body</t>
    <phoneticPr fontId="5" type="noConversion"/>
  </si>
  <si>
    <t>P_Ship_Ornament_OakCask_Side</t>
    <phoneticPr fontId="5" type="noConversion"/>
  </si>
  <si>
    <t>반려 벚꽃나무</t>
    <phoneticPr fontId="5" type="noConversion"/>
  </si>
  <si>
    <t>BP_FX_Ornament_CherryBlossom_Back</t>
    <phoneticPr fontId="5" type="noConversion"/>
  </si>
  <si>
    <t>BP_FX_Ornament_CherryBlossomB_Back</t>
    <phoneticPr fontId="5" type="noConversion"/>
  </si>
  <si>
    <t>문어</t>
    <phoneticPr fontId="5" type="noConversion"/>
  </si>
  <si>
    <t>BP_FX_Ornament_Octopus_Back</t>
    <phoneticPr fontId="5" type="noConversion"/>
  </si>
  <si>
    <t>황금 베네치안 갤리스 돛</t>
  </si>
  <si>
    <t>황금 베네치안 갤리스 돛</t>
    <phoneticPr fontId="5" type="noConversion"/>
  </si>
  <si>
    <t>SK_Ship_GoldenVenetianGalleass_Sail</t>
    <phoneticPr fontId="5" type="noConversion"/>
  </si>
  <si>
    <t>황금 베네치안 갤리스노</t>
  </si>
  <si>
    <t>황금 베네치안 갤리스노</t>
    <phoneticPr fontId="5" type="noConversion"/>
  </si>
  <si>
    <t>SK_Ship_GoldenVenetianGalleass_Paddle</t>
    <phoneticPr fontId="5" type="noConversion"/>
  </si>
  <si>
    <t>황금 베네치안 갤리스</t>
    <phoneticPr fontId="5" type="noConversion"/>
  </si>
  <si>
    <t>SK_Ship_GoldenVenetianGalleass_Body</t>
    <phoneticPr fontId="5" type="noConversion"/>
  </si>
  <si>
    <t>영광의 성 가브리엘돛</t>
  </si>
  <si>
    <t>영광의 성 가브리엘돛</t>
    <phoneticPr fontId="5" type="noConversion"/>
  </si>
  <si>
    <t>승리의 성 가브리엘돛</t>
  </si>
  <si>
    <t>승리의 성 가브리엘돛</t>
    <phoneticPr fontId="5" type="noConversion"/>
  </si>
  <si>
    <t>특별한 성 가브리엘돛</t>
  </si>
  <si>
    <t>특별한 성 가브리엘돛</t>
    <phoneticPr fontId="5" type="noConversion"/>
  </si>
  <si>
    <t>SK_Ship_RewardGoldenSaintGarbriel_Sail</t>
    <phoneticPr fontId="5" type="noConversion"/>
  </si>
  <si>
    <t>SK_Ship_RewardSilverSaintGarbriel_Sail</t>
    <phoneticPr fontId="5" type="noConversion"/>
  </si>
  <si>
    <t>SK_Ship_RewardCopperSaintGarbriel_Sail</t>
    <phoneticPr fontId="5" type="noConversion"/>
  </si>
  <si>
    <t>영광의 성 가브리엘</t>
    <phoneticPr fontId="5" type="noConversion"/>
  </si>
  <si>
    <t>승리의 성 가브리엘</t>
    <phoneticPr fontId="5" type="noConversion"/>
  </si>
  <si>
    <t>특별한 성 가브리엘</t>
    <phoneticPr fontId="5" type="noConversion"/>
  </si>
  <si>
    <t>SK_Ship_RewardSaintGarbriel_Body</t>
  </si>
  <si>
    <t>SK_Ship_GoldenAdlervonLubeck_Sail</t>
    <phoneticPr fontId="5" type="noConversion"/>
  </si>
  <si>
    <t>SK_Ship_GoldenAdlervonLubeck_Body</t>
    <phoneticPr fontId="5" type="noConversion"/>
  </si>
  <si>
    <t xml:space="preserve"> 황금 애들러</t>
    <phoneticPr fontId="5" type="noConversion"/>
  </si>
  <si>
    <t>황금 애들러돛</t>
  </si>
  <si>
    <t>황금 애들러돛</t>
    <phoneticPr fontId="5" type="noConversion"/>
  </si>
  <si>
    <t>황금 마닐라 갤리온돛</t>
  </si>
  <si>
    <t>황금 마닐라 갤리온돛</t>
    <phoneticPr fontId="5" type="noConversion"/>
  </si>
  <si>
    <t>SK_Ship_GoldenManilaGalleon_Sail</t>
    <phoneticPr fontId="5" type="noConversion"/>
  </si>
  <si>
    <t>황금 마닐라 갤리온</t>
    <phoneticPr fontId="5" type="noConversion"/>
  </si>
  <si>
    <t>SK_Ship_GoldenManilaGalleon_Body</t>
    <phoneticPr fontId="5" type="noConversion"/>
  </si>
  <si>
    <t>SM_Ship_FigureHead_SpiritGemFigure</t>
    <phoneticPr fontId="5" type="noConversion"/>
  </si>
  <si>
    <t>영옥의 선수상</t>
    <phoneticPr fontId="5" type="noConversion"/>
  </si>
  <si>
    <t>SM_Shipparts_SpiritGemRam</t>
    <phoneticPr fontId="5" type="noConversion"/>
  </si>
  <si>
    <t>영옥의 충각</t>
    <phoneticPr fontId="5" type="noConversion"/>
  </si>
  <si>
    <t>시즌 3의 모험 문장</t>
    <phoneticPr fontId="5" type="noConversion"/>
  </si>
  <si>
    <t>시즌 3의 교역 문장</t>
    <phoneticPr fontId="5" type="noConversion"/>
  </si>
  <si>
    <t>시즌 3의 전투 문장</t>
    <phoneticPr fontId="5" type="noConversion"/>
  </si>
  <si>
    <t>M_BigFlagpole_InvestSeason3_01_Inst</t>
    <phoneticPr fontId="5" type="noConversion"/>
  </si>
  <si>
    <t>M_BigFlagpole_InvestSeason3_02_Inst</t>
    <phoneticPr fontId="5" type="noConversion"/>
  </si>
  <si>
    <t>M_BigFlagpole_InvestSeason3_03_Inst</t>
    <phoneticPr fontId="5" type="noConversion"/>
  </si>
  <si>
    <t>SK_Ship_Anchor_SpiritGem</t>
    <phoneticPr fontId="5" type="noConversion"/>
  </si>
  <si>
    <t>영옥의 닻</t>
    <phoneticPr fontId="5" type="noConversion"/>
  </si>
  <si>
    <t>영웅의 포성</t>
    <phoneticPr fontId="5" type="noConversion"/>
  </si>
  <si>
    <t>BP_FX_Ornament_SRHeroicSalvo_Side_L</t>
    <phoneticPr fontId="5" type="noConversion"/>
  </si>
  <si>
    <t>BP_FX_Ornament_SRHeroicSalvo_Side_R</t>
    <phoneticPr fontId="5" type="noConversion"/>
  </si>
  <si>
    <t>SK_Ship_GoldenDjong_Sail</t>
    <phoneticPr fontId="5" type="noConversion"/>
  </si>
  <si>
    <t>SK_Ship_GoldenLargeJunk_Sail</t>
    <phoneticPr fontId="5" type="noConversion"/>
  </si>
  <si>
    <t>황금 종</t>
    <phoneticPr fontId="5" type="noConversion"/>
  </si>
  <si>
    <t>황금 종돛</t>
  </si>
  <si>
    <t>황금 종돛</t>
    <phoneticPr fontId="5" type="noConversion"/>
  </si>
  <si>
    <t>황금 대복선돛</t>
  </si>
  <si>
    <t>황금 대복선돛</t>
    <phoneticPr fontId="5" type="noConversion"/>
  </si>
  <si>
    <t>SK_Ship_GoldenDjong_Body</t>
    <phoneticPr fontId="5" type="noConversion"/>
  </si>
  <si>
    <t>황금 대복선</t>
    <phoneticPr fontId="5" type="noConversion"/>
  </si>
  <si>
    <t>SK_Ship_GoldenLargeJunk_Body</t>
    <phoneticPr fontId="5" type="noConversion"/>
  </si>
  <si>
    <t>SK_Ship_GloriousSantaMaria_Sail</t>
  </si>
  <si>
    <t>SK_Ship_VictoriousSantaMaria_Sail</t>
    <phoneticPr fontId="5" type="noConversion"/>
  </si>
  <si>
    <t>SK_Ship_SpecialSantaMaria_Sail</t>
    <phoneticPr fontId="5" type="noConversion"/>
  </si>
  <si>
    <t>영광의 산타 마리아 돛</t>
  </si>
  <si>
    <t>영광의 산타 마리아 돛</t>
    <phoneticPr fontId="5" type="noConversion"/>
  </si>
  <si>
    <t>승리의 산타 마리아 돛</t>
  </si>
  <si>
    <t>승리의 산타 마리아 돛</t>
    <phoneticPr fontId="5" type="noConversion"/>
  </si>
  <si>
    <t>특별한 산타 마리아 돛</t>
  </si>
  <si>
    <t>특별한 산타 마리아 돛</t>
    <phoneticPr fontId="5" type="noConversion"/>
  </si>
  <si>
    <t>시즌3 보상 영광의 산타 마리아</t>
    <phoneticPr fontId="5" type="noConversion"/>
  </si>
  <si>
    <t>시즌3 보상 승리의 산타 마리아</t>
    <phoneticPr fontId="5" type="noConversion"/>
  </si>
  <si>
    <t>시즌3 보상 특별한 산타 마리아</t>
    <phoneticPr fontId="5" type="noConversion"/>
  </si>
  <si>
    <t>시즌3 보상 위장 영광의 산타 마리아</t>
    <phoneticPr fontId="5" type="noConversion"/>
  </si>
  <si>
    <t>시즌3 보상 위장 승리의 산타 마리아</t>
    <phoneticPr fontId="5" type="noConversion"/>
  </si>
  <si>
    <t>시즌3 보상 위장 특별한 산타 마리아</t>
    <phoneticPr fontId="5" type="noConversion"/>
  </si>
  <si>
    <t>SK_Ship_Avatar_RewardSantaMaria_Body</t>
  </si>
  <si>
    <t>SK_Ship_RewardSantaMaria_Body</t>
  </si>
  <si>
    <t>황금 솔레이유 로열돛</t>
  </si>
  <si>
    <t>황금 솔레이유 로열돛</t>
    <phoneticPr fontId="5" type="noConversion"/>
  </si>
  <si>
    <t>SK_Ship_GoldenSoleilRoyal_Sail</t>
    <phoneticPr fontId="5" type="noConversion"/>
  </si>
  <si>
    <t>황금 솔레이유 로열</t>
    <phoneticPr fontId="5" type="noConversion"/>
  </si>
  <si>
    <t>SK_Ship_GoldenSoleilRoyal_Body</t>
    <phoneticPr fontId="5" type="noConversion"/>
  </si>
  <si>
    <t>황금의 시대</t>
    <phoneticPr fontId="5" type="noConversion"/>
  </si>
  <si>
    <t>BP_FX_Ornament_SRGoldIngotChest_Back</t>
    <phoneticPr fontId="5" type="noConversion"/>
  </si>
  <si>
    <t>BP_FX_Ornament_SRGoldIngotChestB_Back</t>
    <phoneticPr fontId="5" type="noConversion"/>
  </si>
  <si>
    <t>이카로스 깃발</t>
    <phoneticPr fontId="5" type="noConversion"/>
  </si>
  <si>
    <t>SK_Ship_BackFlag_C</t>
    <phoneticPr fontId="5" type="noConversion"/>
  </si>
  <si>
    <t>SK_Ship_Anchor_Icarus</t>
    <phoneticPr fontId="5" type="noConversion"/>
  </si>
  <si>
    <t>이카로스 닻</t>
    <phoneticPr fontId="5" type="noConversion"/>
  </si>
  <si>
    <t>3주년 깃발</t>
    <phoneticPr fontId="5" type="noConversion"/>
  </si>
  <si>
    <t>SK_Ship_GoldenWave_Sail</t>
    <phoneticPr fontId="5" type="noConversion"/>
  </si>
  <si>
    <t>바다의 정복자돛</t>
  </si>
  <si>
    <t>바다의 정복자돛</t>
    <phoneticPr fontId="5" type="noConversion"/>
  </si>
  <si>
    <t>바다의 정복자</t>
    <phoneticPr fontId="5" type="noConversion"/>
  </si>
  <si>
    <t>SK_Ship_GoldenWave_Body</t>
    <phoneticPr fontId="5" type="noConversion"/>
  </si>
  <si>
    <t>신규 문장 추가 후, CN 빌드 미포함 시 isExposure 값을 false로 설정</t>
    <phoneticPr fontId="5" type="noConversion"/>
  </si>
  <si>
    <t>금 아나콘다 상</t>
    <phoneticPr fontId="5" type="noConversion"/>
  </si>
  <si>
    <t>SM_Ship_FigureHead_YellowAnacondaFigure</t>
    <phoneticPr fontId="5" type="noConversion"/>
  </si>
  <si>
    <t>보상 바다의 정복자돛</t>
  </si>
  <si>
    <t>보상 바다의 정복자돛</t>
    <phoneticPr fontId="5" type="noConversion"/>
  </si>
  <si>
    <t>황금 바다의 정복자돛</t>
  </si>
  <si>
    <t>황금 바다의 정복자돛</t>
    <phoneticPr fontId="5" type="noConversion"/>
  </si>
  <si>
    <t>SK_Ship_GoldenWaveReward_Sail</t>
    <phoneticPr fontId="5" type="noConversion"/>
  </si>
  <si>
    <t>SK_Ship_GoldenGoldenWave_Sail</t>
    <phoneticPr fontId="5" type="noConversion"/>
  </si>
  <si>
    <t>보상 바다의 정복자</t>
    <phoneticPr fontId="5" type="noConversion"/>
  </si>
  <si>
    <t>황금 바다의 정복자</t>
    <phoneticPr fontId="5" type="noConversion"/>
  </si>
  <si>
    <t>SK_Ship_GoldenGoldenWave_Body</t>
    <phoneticPr fontId="5" type="noConversion"/>
  </si>
  <si>
    <t>SK_Ship_GoldenWaveReward_Body</t>
    <phoneticPr fontId="5" type="noConversion"/>
  </si>
  <si>
    <t>SK_Ship_Avatar_R_Angel_Sail</t>
  </si>
  <si>
    <t>SK_Ship_Avatar_R_Angel_Body</t>
    <phoneticPr fontId="5" type="noConversion"/>
  </si>
  <si>
    <t>SK_Ship_R_Angel_Sail</t>
    <phoneticPr fontId="5" type="noConversion"/>
  </si>
  <si>
    <t>SK_Ship_R_Angel_Body</t>
    <phoneticPr fontId="5" type="noConversion"/>
  </si>
  <si>
    <t>순백의 세라프</t>
    <phoneticPr fontId="5" type="noConversion"/>
  </si>
  <si>
    <t>순백의 세라프돛</t>
  </si>
  <si>
    <t>순백의 세라프돛</t>
    <phoneticPr fontId="5" type="noConversion"/>
  </si>
  <si>
    <t>위장_순백의 세라프돛</t>
    <phoneticPr fontId="5" type="noConversion"/>
  </si>
  <si>
    <t>위장_순백의 세라프</t>
    <phoneticPr fontId="5" type="noConversion"/>
  </si>
  <si>
    <t>위장_순백의 세라프돛</t>
  </si>
  <si>
    <t>시즌 4의 모험 깃발</t>
  </si>
  <si>
    <t>시즌 4의 교역 깃발</t>
    <phoneticPr fontId="5" type="noConversion"/>
  </si>
  <si>
    <t>시즌 4의 전투 깃발</t>
    <phoneticPr fontId="5" type="noConversion"/>
  </si>
  <si>
    <t>M_BigFlagpole_InvestSeason4_01_Inst</t>
    <phoneticPr fontId="5" type="noConversion"/>
  </si>
  <si>
    <t>M_BigFlagpole_InvestSeason4_02_Inst</t>
    <phoneticPr fontId="5" type="noConversion"/>
  </si>
  <si>
    <t>M_BigFlagpole_InvestSeason4_03_Inst</t>
    <phoneticPr fontId="5" type="noConversion"/>
  </si>
  <si>
    <t>SK_Ship_GoldenBucentaur_Sail</t>
    <phoneticPr fontId="5" type="noConversion"/>
  </si>
  <si>
    <t>황금 부첸타우르돛</t>
  </si>
  <si>
    <t>황금 부첸타우르돛</t>
    <phoneticPr fontId="5" type="noConversion"/>
  </si>
  <si>
    <t>SK_Ship_GoldenBucentaur_Paddle</t>
    <phoneticPr fontId="5" type="noConversion"/>
  </si>
  <si>
    <t>황금 부첸타우르노</t>
  </si>
  <si>
    <t>황금 부첸타우르노</t>
    <phoneticPr fontId="5" type="noConversion"/>
  </si>
  <si>
    <t>황금 부첸타우르</t>
    <phoneticPr fontId="5" type="noConversion"/>
  </si>
  <si>
    <t>SK_Ship_GoldenBucentaur_Body</t>
    <phoneticPr fontId="5" type="noConversion"/>
  </si>
  <si>
    <t>광륜의 선수상</t>
    <phoneticPr fontId="5" type="noConversion"/>
  </si>
  <si>
    <t>SM_Ship_FigureHead_GlowingRingFigure</t>
    <phoneticPr fontId="5" type="noConversion"/>
  </si>
  <si>
    <t>SOCKET_SK_Ship_Body_figure_head2</t>
    <phoneticPr fontId="5" type="noConversion"/>
  </si>
  <si>
    <t>광륜의 충각</t>
    <phoneticPr fontId="5" type="noConversion"/>
  </si>
  <si>
    <t>SM_Shipparts_GlowingRingRam</t>
    <phoneticPr fontId="5" type="noConversion"/>
  </si>
  <si>
    <t>Sk_Ship_GoldenSanFelipe_Sail</t>
    <phoneticPr fontId="5" type="noConversion"/>
  </si>
  <si>
    <t>황금 산 펠리페돛</t>
  </si>
  <si>
    <t>황금 산 펠리페돛</t>
    <phoneticPr fontId="5" type="noConversion"/>
  </si>
  <si>
    <t>황금 산 펠리페</t>
    <phoneticPr fontId="5" type="noConversion"/>
  </si>
  <si>
    <t>Sk_Ship_GoldenSanFelipe_Body</t>
    <phoneticPr fontId="5" type="noConversion"/>
  </si>
  <si>
    <t>SK_Ship_RetroFuturismCorvette_Sail</t>
    <phoneticPr fontId="5" type="noConversion"/>
  </si>
  <si>
    <t>레트로 퓨처 코르벳돛</t>
  </si>
  <si>
    <t>레트로 퓨처 코르벳돛</t>
    <phoneticPr fontId="5" type="noConversion"/>
  </si>
  <si>
    <t>레트로 퓨처 코르벳</t>
    <phoneticPr fontId="5" type="noConversion"/>
  </si>
  <si>
    <t>황금 레트로 퓨처 코르벳돛</t>
  </si>
  <si>
    <t>황금 레트로 퓨처 코르벳돛</t>
    <phoneticPr fontId="5" type="noConversion"/>
  </si>
  <si>
    <t>SK_Ship_GoldenRetroFuturismCorvette_Sail</t>
    <phoneticPr fontId="5" type="noConversion"/>
  </si>
  <si>
    <t>황금 레트로 퓨처 코르벳</t>
    <phoneticPr fontId="5" type="noConversion"/>
  </si>
  <si>
    <t>SK_Ship_GoldenRetroFuturismCorvette_Body</t>
    <phoneticPr fontId="5" type="noConversion"/>
  </si>
  <si>
    <t>SK_Ship_RetroFuturismCorvette_Body</t>
    <phoneticPr fontId="5" type="noConversion"/>
  </si>
  <si>
    <t>SK_Ship_Anchor_GlowingRing</t>
    <phoneticPr fontId="5" type="noConversion"/>
  </si>
  <si>
    <t>광륜의 닻</t>
    <phoneticPr fontId="5" type="noConversion"/>
  </si>
  <si>
    <t>황금 정성공의 해남선돛</t>
  </si>
  <si>
    <t>황금 정성공의 해남선돛</t>
    <phoneticPr fontId="5" type="noConversion"/>
  </si>
  <si>
    <t>SK_Ship_GoldenChenggong_Sail</t>
    <phoneticPr fontId="5" type="noConversion"/>
  </si>
  <si>
    <t>황금 정성공의 해남선</t>
    <phoneticPr fontId="5" type="noConversion"/>
  </si>
  <si>
    <t>SK_Ship_GoldenChenggong_Body</t>
    <phoneticPr fontId="5" type="noConversion"/>
  </si>
  <si>
    <t>황금 바사돛</t>
  </si>
  <si>
    <t>황금 바사돛</t>
    <phoneticPr fontId="5" type="noConversion"/>
  </si>
  <si>
    <t>SK_Ship_GoldenVasa_Sail</t>
    <phoneticPr fontId="5" type="noConversion"/>
  </si>
  <si>
    <t>황금 바사</t>
    <phoneticPr fontId="5" type="noConversion"/>
  </si>
  <si>
    <t>SK_Ship_GoldenVasa_Body</t>
    <phoneticPr fontId="5" type="noConversion"/>
  </si>
  <si>
    <t>황금 더 제번돛</t>
  </si>
  <si>
    <t>황금 더 제번돛</t>
    <phoneticPr fontId="5" type="noConversion"/>
  </si>
  <si>
    <t>SK_Ship_GoldenDeZeven_Sail</t>
    <phoneticPr fontId="5" type="noConversion"/>
  </si>
  <si>
    <t>황금 더 제번</t>
    <phoneticPr fontId="5" type="noConversion"/>
  </si>
  <si>
    <t>SK_Ship_GoldenDeZeven_Body</t>
    <phoneticPr fontId="5" type="noConversion"/>
  </si>
  <si>
    <t>M_BigFlagpole_3yearFlag_Inst</t>
    <phoneticPr fontId="5" type="noConversion"/>
  </si>
  <si>
    <t>할로윈 역병의사연</t>
    <phoneticPr fontId="5" type="noConversion"/>
  </si>
  <si>
    <t>BP_FX_Ornament_PlagueDoctor_Top</t>
    <phoneticPr fontId="5" type="noConversion"/>
  </si>
  <si>
    <t>할로윈 호박등L</t>
    <phoneticPr fontId="5" type="noConversion"/>
  </si>
  <si>
    <t>BP_FX_Ornament_JackOLantern_SideA_L</t>
    <phoneticPr fontId="5" type="noConversion"/>
  </si>
  <si>
    <t>BP_FX_Ornament_JackOLantern_SideB_L</t>
    <phoneticPr fontId="5" type="noConversion"/>
  </si>
  <si>
    <t>BP_FX_Ornament_JackOLantern_SideC_L</t>
    <phoneticPr fontId="5" type="noConversion"/>
  </si>
  <si>
    <t>BP_FX_Ornament_JackOLantern_SideA_R</t>
    <phoneticPr fontId="5" type="noConversion"/>
  </si>
  <si>
    <t>BP_FX_Ornament_JackOLantern_SideB_R</t>
    <phoneticPr fontId="5" type="noConversion"/>
  </si>
  <si>
    <t>BP_FX_Ornament_JackOLantern_SideC_R</t>
    <phoneticPr fontId="5" type="noConversion"/>
  </si>
  <si>
    <t>할로윈 호박등R</t>
    <phoneticPr fontId="5" type="noConversion"/>
  </si>
  <si>
    <t>할로윈 박쥐</t>
    <phoneticPr fontId="5" type="noConversion"/>
  </si>
  <si>
    <t>P_FX_Ornament_BatColony_Body</t>
    <phoneticPr fontId="5" type="noConversion"/>
  </si>
  <si>
    <t xml:space="preserve"> 할로윈 이벤트 정예유령선서양</t>
    <phoneticPr fontId="5" type="noConversion"/>
  </si>
  <si>
    <t>P_HalloweenGhostElite_Battle_Idle</t>
    <phoneticPr fontId="5" type="noConversion"/>
  </si>
  <si>
    <t>25년 할로윈 유령선강적 상시 이팩트</t>
    <phoneticPr fontId="5" type="noConversion"/>
  </si>
  <si>
    <t>25년 할로윈 유령선강적 상시 이팩트</t>
    <phoneticPr fontId="5" type="noConversion"/>
  </si>
  <si>
    <t>SK_Ship_Avatar_R_Ghost_Sail</t>
    <phoneticPr fontId="5" type="noConversion"/>
  </si>
  <si>
    <t>할로윈 유령선돛</t>
  </si>
  <si>
    <t>할로윈 유령선돛</t>
    <phoneticPr fontId="5" type="noConversion"/>
  </si>
  <si>
    <t>SK_Ship_Avatar_R_Ghost_Body</t>
    <phoneticPr fontId="5" type="noConversion"/>
  </si>
  <si>
    <t>위장_할로윈 유령선</t>
    <phoneticPr fontId="5" type="noConversion"/>
  </si>
  <si>
    <t xml:space="preserve"> 황금 인게르마늘란트돛</t>
  </si>
  <si>
    <t xml:space="preserve"> 황금 인게르마늘란트돛</t>
    <phoneticPr fontId="5" type="noConversion"/>
  </si>
  <si>
    <t>SK_Ship_GoldenIngermanland_Sail</t>
    <phoneticPr fontId="5" type="noConversion"/>
  </si>
  <si>
    <t>황금 인게르마늘란트</t>
    <phoneticPr fontId="5" type="noConversion"/>
  </si>
  <si>
    <t>SK_Ship_GoldenIngermanland_Body</t>
    <phoneticPr fontId="5" type="noConversion"/>
  </si>
  <si>
    <t>영광의 광선돛</t>
  </si>
  <si>
    <t>영광의 광선돛</t>
    <phoneticPr fontId="5" type="noConversion"/>
  </si>
  <si>
    <t>승리의 광선</t>
    <phoneticPr fontId="5" type="noConversion"/>
  </si>
  <si>
    <t>특별한 광선</t>
    <phoneticPr fontId="5" type="noConversion"/>
  </si>
  <si>
    <t>승리의 광선돛</t>
  </si>
  <si>
    <t>승리의 광선돛</t>
    <phoneticPr fontId="5" type="noConversion"/>
  </si>
  <si>
    <t>Sail</t>
    <phoneticPr fontId="5" type="noConversion"/>
  </si>
  <si>
    <t>특별한 광선돛</t>
  </si>
  <si>
    <t>특별한 광선돛</t>
    <phoneticPr fontId="5" type="noConversion"/>
  </si>
  <si>
    <t>SK_Ship_GloriousJunk_Sail</t>
    <phoneticPr fontId="5" type="noConversion"/>
  </si>
  <si>
    <t>SK_Ship_VictoriousJunk_Sail</t>
    <phoneticPr fontId="5" type="noConversion"/>
  </si>
  <si>
    <t>SK_Ship_SpecialJunk_Sail</t>
    <phoneticPr fontId="5" type="noConversion"/>
  </si>
  <si>
    <t>영광의 광선</t>
    <phoneticPr fontId="5" type="noConversion"/>
  </si>
  <si>
    <t>위장 영광의 광선</t>
    <phoneticPr fontId="5" type="noConversion"/>
  </si>
  <si>
    <t>위장 승리의 광선</t>
    <phoneticPr fontId="5" type="noConversion"/>
  </si>
  <si>
    <t>위장 특별한 광선</t>
    <phoneticPr fontId="5" type="noConversion"/>
  </si>
  <si>
    <t>SK_Ship_GloriousJunk_Body</t>
  </si>
  <si>
    <t>SK_Ship_Avatar_GloriousJunk_Body</t>
    <phoneticPr fontId="5" type="noConversion"/>
  </si>
  <si>
    <t>동방의 물결</t>
    <phoneticPr fontId="5" type="noConversion"/>
  </si>
  <si>
    <t>BP_FX_Ornarment_SRGiraffe_Top</t>
    <phoneticPr fontId="5" type="noConversion"/>
  </si>
  <si>
    <t>시즌 5의 모험 깃발</t>
    <phoneticPr fontId="5" type="noConversion"/>
  </si>
  <si>
    <t>시즌 5의 교역 깃발</t>
    <phoneticPr fontId="5" type="noConversion"/>
  </si>
  <si>
    <t>시즌 5의 전투 깃발</t>
    <phoneticPr fontId="5" type="noConversion"/>
  </si>
  <si>
    <t>M_BigFlagpole_InvestSeason5_01_Inst</t>
    <phoneticPr fontId="5" type="noConversion"/>
  </si>
  <si>
    <t>M_BigFlagpole_InvestSeason5_02_Inst</t>
    <phoneticPr fontId="5" type="noConversion"/>
  </si>
  <si>
    <t>M_BigFlagpole_InvestSeason5_03_Inst</t>
    <phoneticPr fontId="5" type="noConversion"/>
  </si>
  <si>
    <t>새벽성의 닻</t>
    <phoneticPr fontId="5" type="noConversion"/>
  </si>
  <si>
    <t>SK_Ship_Aurora_Anchor</t>
    <phoneticPr fontId="5" type="noConversion"/>
  </si>
  <si>
    <t>새벽성의 충각</t>
    <phoneticPr fontId="5" type="noConversion"/>
  </si>
  <si>
    <t>SM_Ship_Aurora_Ram</t>
    <phoneticPr fontId="5" type="noConversion"/>
  </si>
  <si>
    <t>새벽성의 선수상</t>
    <phoneticPr fontId="5" type="noConversion"/>
  </si>
  <si>
    <t>SM_Ship_FigureHead_AuroraFigure</t>
    <phoneticPr fontId="5" type="noConversion"/>
  </si>
  <si>
    <t>현조생상 문장</t>
    <phoneticPr fontId="5" type="noConversion"/>
  </si>
  <si>
    <t>Texture_sail_Crest_CN_Bird</t>
    <phoneticPr fontId="5" type="noConversion"/>
  </si>
  <si>
    <t>Icon_sail_Crest_CN_Bird_Sprite</t>
    <phoneticPr fontId="5" type="noConversion"/>
  </si>
  <si>
    <t>현조생상 문장 도안</t>
    <phoneticPr fontId="5" type="noConversion"/>
  </si>
  <si>
    <t>크리스마스 양말L</t>
    <phoneticPr fontId="5" type="noConversion"/>
  </si>
  <si>
    <t>크리스마스 양말R</t>
    <phoneticPr fontId="5" type="noConversion"/>
  </si>
  <si>
    <t>크리스마스 눈송이</t>
    <phoneticPr fontId="5" type="noConversion"/>
  </si>
  <si>
    <t>P_FX_Ornament_ChristmasSnow_Body</t>
    <phoneticPr fontId="5" type="noConversion"/>
  </si>
  <si>
    <t>BP_FX_Ornament_ChristmasSocks_SideA_L</t>
    <phoneticPr fontId="5" type="noConversion"/>
  </si>
  <si>
    <t>BP_FX_Ornament_ChristmasSocks_SideB_L</t>
    <phoneticPr fontId="5" type="noConversion"/>
  </si>
  <si>
    <t>BP_FX_Ornament_ChristmasSocks_SideC_L</t>
    <phoneticPr fontId="5" type="noConversion"/>
  </si>
  <si>
    <t>BP_FX_Ornament_ChristmasSocks_SideA_R</t>
    <phoneticPr fontId="5" type="noConversion"/>
  </si>
  <si>
    <t>BP_FX_Ornament_ChristmasSocks_SideB_R</t>
    <phoneticPr fontId="5" type="noConversion"/>
  </si>
  <si>
    <t>BP_FX_Ornament_ChristmasSocks_SideC_R</t>
    <phoneticPr fontId="5" type="noConversion"/>
  </si>
  <si>
    <t>밤낮의 눈</t>
    <phoneticPr fontId="5" type="noConversion"/>
  </si>
  <si>
    <t>BP_FX_Ornament_DNEyes_Top</t>
    <phoneticPr fontId="5" type="noConversion"/>
  </si>
  <si>
    <t>SK_Ship_Avatar_PresentOfChristmas_Sail</t>
    <phoneticPr fontId="5" type="noConversion"/>
  </si>
  <si>
    <t>위장_크리스마스의 선물돛</t>
  </si>
  <si>
    <t>위장_크리스마스의 선물돛</t>
    <phoneticPr fontId="5" type="noConversion"/>
  </si>
  <si>
    <t>크리스마스의 선물</t>
    <phoneticPr fontId="5" type="noConversion"/>
  </si>
  <si>
    <t>SK_Ship_Avatar_PresentOfChristmas_Body</t>
    <phoneticPr fontId="5" type="noConversion"/>
  </si>
  <si>
    <t>미다스왕의 선수상</t>
    <phoneticPr fontId="5" type="noConversion"/>
  </si>
  <si>
    <t>SK_Ship_RedDragon_Sail</t>
    <phoneticPr fontId="5" type="noConversion"/>
  </si>
  <si>
    <t>적룡호돛</t>
  </si>
  <si>
    <t>적룡호돛</t>
    <phoneticPr fontId="5" type="noConversion"/>
  </si>
  <si>
    <t>적룡호</t>
    <phoneticPr fontId="5" type="noConversion"/>
  </si>
  <si>
    <t>SK_Ship_RedDragon_Body</t>
    <phoneticPr fontId="5" type="noConversion"/>
  </si>
  <si>
    <t>춘절_폭죽</t>
    <phoneticPr fontId="5" type="noConversion"/>
  </si>
  <si>
    <t>춘절_홍등L</t>
    <phoneticPr fontId="5" type="noConversion"/>
  </si>
  <si>
    <t>춘절_홍등R</t>
    <phoneticPr fontId="5" type="noConversion"/>
  </si>
  <si>
    <t>P_FX_Ornament_CNFirework_Front</t>
    <phoneticPr fontId="5" type="noConversion"/>
  </si>
  <si>
    <t>BP_FX_Ornament_CNRedLantern_SideA_L</t>
  </si>
  <si>
    <t>BP_FX_Ornament_CNRedLantern_SideB_L</t>
    <phoneticPr fontId="5" type="noConversion"/>
  </si>
  <si>
    <t>BP_FX_Ornament_CNRedLantern_SideC_L</t>
    <phoneticPr fontId="5" type="noConversion"/>
  </si>
  <si>
    <t>BP_FX_Ornament_CNRedLantern_SideA_R</t>
    <phoneticPr fontId="5" type="noConversion"/>
  </si>
  <si>
    <t>BP_FX_Ornament_CNRedLantern_SideB_R</t>
    <phoneticPr fontId="5" type="noConversion"/>
  </si>
  <si>
    <t>BP_FX_Ornament_CNRedLantern_SideC_R</t>
    <phoneticPr fontId="5" type="noConversion"/>
  </si>
  <si>
    <t>위장_화방선돛</t>
  </si>
  <si>
    <t>위장_화방선돛</t>
    <phoneticPr fontId="5" type="noConversion"/>
  </si>
  <si>
    <t>SK_Ship_Avatar_CN_PAvilionBoat_Sail</t>
    <phoneticPr fontId="5" type="noConversion"/>
  </si>
  <si>
    <t>위장_화방선노</t>
    <phoneticPr fontId="5" type="noConversion"/>
  </si>
  <si>
    <t>SK_Ship_Avatar_CN_PAvilionBoat_Paddle</t>
    <phoneticPr fontId="5" type="noConversion"/>
  </si>
  <si>
    <t>위장_화방선</t>
    <phoneticPr fontId="5" type="noConversion"/>
  </si>
  <si>
    <t>SK_Ship_Avatar_CN_PAvilionBoat_Body</t>
    <phoneticPr fontId="5" type="noConversion"/>
  </si>
  <si>
    <t>위장_화방선노</t>
  </si>
  <si>
    <t>말라킹 카라코아돛</t>
  </si>
  <si>
    <t>말라킹 카라코아돛</t>
    <phoneticPr fontId="5" type="noConversion"/>
  </si>
  <si>
    <t>SK_Ship_LargeKarakoa_Sail</t>
    <phoneticPr fontId="5" type="noConversion"/>
  </si>
  <si>
    <t>황금 말라킹 카라코아돛</t>
  </si>
  <si>
    <t>황금 말라킹 카라코아돛</t>
    <phoneticPr fontId="5" type="noConversion"/>
  </si>
  <si>
    <t>SK_Ship_GoldenLargeKarakoa_Sail</t>
    <phoneticPr fontId="5" type="noConversion"/>
  </si>
  <si>
    <t>말라킹 카라코아노</t>
    <phoneticPr fontId="5" type="noConversion"/>
  </si>
  <si>
    <t>황금 말라킹 카라코아노</t>
    <phoneticPr fontId="5" type="noConversion"/>
  </si>
  <si>
    <t>SK_Ship_GoldenLargeKarakoa_Paddle</t>
    <phoneticPr fontId="5" type="noConversion"/>
  </si>
  <si>
    <t>SK_Ship_LargeKarakoa_Paddle</t>
    <phoneticPr fontId="5" type="noConversion"/>
  </si>
  <si>
    <t>말라킹 카라코아</t>
    <phoneticPr fontId="5" type="noConversion"/>
  </si>
  <si>
    <t>SK_Ship_LargeKarakoa_Body</t>
    <phoneticPr fontId="5" type="noConversion"/>
  </si>
  <si>
    <t>황금 말라킹 카라코아</t>
    <phoneticPr fontId="5" type="noConversion"/>
  </si>
  <si>
    <t>SK_Ship_GoldenLargeKarakoa_Body</t>
    <phoneticPr fontId="5" type="noConversion"/>
  </si>
  <si>
    <t>말라킹 카라코아노</t>
  </si>
  <si>
    <t>황금 말라킹 카라코아노</t>
  </si>
  <si>
    <t>산호 닻</t>
    <phoneticPr fontId="5" type="noConversion"/>
  </si>
  <si>
    <t>SK_Ship_Anchor_CoralAnchor</t>
    <phoneticPr fontId="5" type="noConversion"/>
  </si>
  <si>
    <t>해괴한 충각</t>
    <phoneticPr fontId="5" type="noConversion"/>
  </si>
  <si>
    <t>SM_Shipparts_Bizarreram</t>
    <phoneticPr fontId="5" type="noConversion"/>
  </si>
  <si>
    <t>인양된 심연의 닻</t>
    <phoneticPr fontId="5" type="noConversion"/>
  </si>
  <si>
    <t>인양된 심연의 충각</t>
    <phoneticPr fontId="5" type="noConversion"/>
  </si>
  <si>
    <t>SM_Ship_DeepRam</t>
    <phoneticPr fontId="5" type="noConversion"/>
  </si>
  <si>
    <t>인양된 심연의 선수상</t>
    <phoneticPr fontId="5" type="noConversion"/>
  </si>
  <si>
    <t>SM_Ship_FigureHead_DeepFigure</t>
    <phoneticPr fontId="5" type="noConversion"/>
  </si>
  <si>
    <t>SK_Ship_Anchor_DeepAnchor</t>
    <phoneticPr fontId="5" type="noConversion"/>
  </si>
  <si>
    <t>축제 닻</t>
    <phoneticPr fontId="5" type="noConversion"/>
  </si>
  <si>
    <t>SK_Ship_Anchor_Festival</t>
    <phoneticPr fontId="5" type="noConversion"/>
  </si>
  <si>
    <t>SM_Shipparts_ValiantlionRam</t>
    <phoneticPr fontId="5" type="noConversion"/>
  </si>
  <si>
    <t>용맹한 사자 충각</t>
    <phoneticPr fontId="5" type="noConversion"/>
  </si>
  <si>
    <t>북해의 연맹</t>
    <phoneticPr fontId="5" type="noConversion"/>
  </si>
  <si>
    <t>P_FX_Ornament_SRNorthUnion_Body</t>
    <phoneticPr fontId="5" type="noConversion"/>
  </si>
  <si>
    <t>탐사형 간자 다우돛</t>
  </si>
  <si>
    <t>탐사형 간자 다우돛</t>
    <phoneticPr fontId="5" type="noConversion"/>
  </si>
  <si>
    <t>황금 탐사형 간자 다우돛</t>
  </si>
  <si>
    <t>황금 탐사형 간자 다우돛</t>
    <phoneticPr fontId="5" type="noConversion"/>
  </si>
  <si>
    <t>SK_Ship_GoldenLargeGhanjahDhow_Sail</t>
    <phoneticPr fontId="5" type="noConversion"/>
  </si>
  <si>
    <t>SK_Ship_LargeGhanjahDhow_Sail</t>
    <phoneticPr fontId="5" type="noConversion"/>
  </si>
  <si>
    <t xml:space="preserve"> 탐사형 간자 다우</t>
    <phoneticPr fontId="5" type="noConversion"/>
  </si>
  <si>
    <t>SK_Ship_LargeGhanjahDhow_Body</t>
    <phoneticPr fontId="5" type="noConversion"/>
  </si>
  <si>
    <t>SK_Ship_GoldenLargeGhanjahDhow_Body</t>
    <phoneticPr fontId="5" type="noConversion"/>
  </si>
  <si>
    <t>향운의 선수상</t>
    <phoneticPr fontId="5" type="noConversion"/>
  </si>
  <si>
    <t>SM_Ship_FigureHead_CefiroFigure</t>
    <phoneticPr fontId="5" type="noConversion"/>
  </si>
  <si>
    <t>향운의 충각</t>
    <phoneticPr fontId="5" type="noConversion"/>
  </si>
  <si>
    <t>SM_Shipparts_CefiroRam</t>
    <phoneticPr fontId="5" type="noConversion"/>
  </si>
  <si>
    <t>사랑의 하트 닻</t>
    <phoneticPr fontId="5" type="noConversion"/>
  </si>
  <si>
    <t>SK_Ship_SweetHeart_Anchor</t>
    <phoneticPr fontId="5" type="noConversion"/>
  </si>
  <si>
    <t>황금 라 쿠론돛</t>
  </si>
  <si>
    <t>황금 라 쿠론돛</t>
    <phoneticPr fontId="5" type="noConversion"/>
  </si>
  <si>
    <t>SK_Ship_GoldenLaCouronne_Sail</t>
    <phoneticPr fontId="5" type="noConversion"/>
  </si>
  <si>
    <t>황금 라 쿠론</t>
    <phoneticPr fontId="5" type="noConversion"/>
  </si>
  <si>
    <t>SK_Ship_GoldenLaCouronne_Body</t>
    <phoneticPr fontId="5" type="noConversion"/>
  </si>
  <si>
    <t>메데이아의 마법진 깃발</t>
    <phoneticPr fontId="5" type="noConversion"/>
  </si>
  <si>
    <t>M_BigFlagpole_Medea_Inst</t>
    <phoneticPr fontId="5" type="noConversion"/>
  </si>
  <si>
    <t>드래곤 하트 랜턴</t>
    <phoneticPr fontId="5" type="noConversion"/>
  </si>
  <si>
    <t>블랙 드래곤 실드L</t>
    <phoneticPr fontId="5" type="noConversion"/>
  </si>
  <si>
    <t>블랙 드래곤 실드R</t>
    <phoneticPr fontId="5" type="noConversion"/>
  </si>
  <si>
    <t>BP_FX_Ornament_DragonLantern_Head</t>
    <phoneticPr fontId="5" type="noConversion"/>
  </si>
  <si>
    <t>BP_FX_Ornament_BlackDragonShield_Side_L</t>
    <phoneticPr fontId="5" type="noConversion"/>
  </si>
  <si>
    <t>BP_FX_Ornament_BlackDragonShield_Side_R</t>
    <phoneticPr fontId="5" type="noConversion"/>
  </si>
  <si>
    <t>제국의 카디르가돛</t>
  </si>
  <si>
    <t>제국의 카디르가돛</t>
    <phoneticPr fontId="5" type="noConversion"/>
  </si>
  <si>
    <t>황금 제국의 카디르가돛</t>
  </si>
  <si>
    <t>황금 제국의 카디르가돛</t>
    <phoneticPr fontId="5" type="noConversion"/>
  </si>
  <si>
    <t>SK_Ship_ImperialGalleys_Sail</t>
    <phoneticPr fontId="5" type="noConversion"/>
  </si>
  <si>
    <t>SK_Ship_GoldenImperialGalleys_Sail</t>
    <phoneticPr fontId="5" type="noConversion"/>
  </si>
  <si>
    <t>제국의 카디르가노</t>
    <phoneticPr fontId="5" type="noConversion"/>
  </si>
  <si>
    <t>황금 제국의 카디르가노</t>
    <phoneticPr fontId="5" type="noConversion"/>
  </si>
  <si>
    <t>SK_Ship_ImperialGalleys_Paddle</t>
    <phoneticPr fontId="5" type="noConversion"/>
  </si>
  <si>
    <t>SK_Ship_GoldenImperialGalleys_Paddle</t>
    <phoneticPr fontId="5" type="noConversion"/>
  </si>
  <si>
    <t>제국의 카디르가</t>
    <phoneticPr fontId="5" type="noConversion"/>
  </si>
  <si>
    <t>황금 제국의 카디르가</t>
    <phoneticPr fontId="5" type="noConversion"/>
  </si>
  <si>
    <t>SK_Ship_ImperialGalleys_Body</t>
    <phoneticPr fontId="5" type="noConversion"/>
  </si>
  <si>
    <t>SK_Ship_GoldenImperialGalleys_Body</t>
    <phoneticPr fontId="5" type="noConversion"/>
  </si>
  <si>
    <t>제국의 카디르가노</t>
  </si>
  <si>
    <t>황금 제국의 카디르가노</t>
  </si>
  <si>
    <t>향운의 닻</t>
    <phoneticPr fontId="5" type="noConversion"/>
  </si>
  <si>
    <t>SK_Ship_Cefiro_Anchor</t>
    <phoneticPr fontId="5" type="noConversion"/>
  </si>
  <si>
    <t>황금 위더돛</t>
  </si>
  <si>
    <t>황금 위더돛</t>
    <phoneticPr fontId="5" type="noConversion"/>
  </si>
  <si>
    <t>SK_Ship_GoldenWhydah_Sail</t>
    <phoneticPr fontId="5" type="noConversion"/>
  </si>
  <si>
    <t>황금 위더</t>
    <phoneticPr fontId="5" type="noConversion"/>
  </si>
  <si>
    <t>SK_Ship_GoldenWhydah_Body</t>
    <phoneticPr fontId="5" type="noConversion"/>
  </si>
  <si>
    <t>SK_Ship_LargeBattleManSeon_Sail</t>
    <phoneticPr fontId="5" type="noConversion"/>
  </si>
  <si>
    <t>전투형 대형 만선돛</t>
  </si>
  <si>
    <t>전투형 대형 만선돛</t>
    <phoneticPr fontId="5" type="noConversion"/>
  </si>
  <si>
    <t>황금 전투형 대형 만선돛</t>
  </si>
  <si>
    <t>황금 전투형 대형 만선돛</t>
    <phoneticPr fontId="5" type="noConversion"/>
  </si>
  <si>
    <t>SK_Ship_GoldenLargeBattleManSeon_Sail</t>
    <phoneticPr fontId="5" type="noConversion"/>
  </si>
  <si>
    <t>전투형 대형 만선</t>
    <phoneticPr fontId="5" type="noConversion"/>
  </si>
  <si>
    <t>황금 전투형 대형 만선</t>
    <phoneticPr fontId="5" type="noConversion"/>
  </si>
  <si>
    <t>SK_Ship_GoldenLargeBattleManSeon_Body</t>
  </si>
  <si>
    <t>SK_Ship_LargeBattleManSeon_Body</t>
    <phoneticPr fontId="5" type="noConversion"/>
  </si>
  <si>
    <t>동맹의 갤리아스돛</t>
  </si>
  <si>
    <t>동맹의 갤리아스돛</t>
    <phoneticPr fontId="5" type="noConversion"/>
  </si>
  <si>
    <t xml:space="preserve"> 황금 동맹의 갤리아스돛</t>
  </si>
  <si>
    <t xml:space="preserve"> 황금 동맹의 갤리아스돛</t>
    <phoneticPr fontId="5" type="noConversion"/>
  </si>
  <si>
    <t>SK_Ship_AlliedGalleys_Sail</t>
    <phoneticPr fontId="5" type="noConversion"/>
  </si>
  <si>
    <t>SK_Ship_GoldenAlliedGalleys_Sail</t>
    <phoneticPr fontId="5" type="noConversion"/>
  </si>
  <si>
    <t>황금 동맹의 갤리아스노</t>
  </si>
  <si>
    <t>황금 동맹의 갤리아스노</t>
    <phoneticPr fontId="5" type="noConversion"/>
  </si>
  <si>
    <t>동맹의 갤리아스노</t>
  </si>
  <si>
    <t>동맹의 갤리아스노</t>
    <phoneticPr fontId="5" type="noConversion"/>
  </si>
  <si>
    <t>SK_Ship_GoldenAlliedGalleys_Paddle</t>
    <phoneticPr fontId="5" type="noConversion"/>
  </si>
  <si>
    <t>SK_Ship_AlliedGalleys_Paddle</t>
    <phoneticPr fontId="5" type="noConversion"/>
  </si>
  <si>
    <t>황금 동맹의 갤리아스</t>
    <phoneticPr fontId="5" type="noConversion"/>
  </si>
  <si>
    <t>동맹의 갤리아스</t>
    <phoneticPr fontId="5" type="noConversion"/>
  </si>
  <si>
    <t>SK_Ship_GoldenAlliedGalleys_Body</t>
    <phoneticPr fontId="5" type="noConversion"/>
  </si>
  <si>
    <t>SK_Ship_AlliedGalleys_Body</t>
    <phoneticPr fontId="5" type="noConversion"/>
  </si>
  <si>
    <t>SK_Ship_Barca_Body</t>
    <phoneticPr fontId="5" type="noConversion"/>
  </si>
  <si>
    <t>SK_Ship_ImperialGalleysBoss_Sail</t>
    <phoneticPr fontId="5" type="noConversion"/>
  </si>
  <si>
    <t>SK_Ship_AlliedGalleysBoss_Sail</t>
    <phoneticPr fontId="5" type="noConversion"/>
  </si>
  <si>
    <t>토벌_동맹의 갤리아스돛</t>
  </si>
  <si>
    <t>토벌_동맹의 갤리아스돛</t>
    <phoneticPr fontId="5" type="noConversion"/>
  </si>
  <si>
    <t>토벌_카디르가돛</t>
  </si>
  <si>
    <t>토벌_카디르가돛</t>
    <phoneticPr fontId="5" type="noConversion"/>
  </si>
  <si>
    <t>토벌_카디르가노</t>
  </si>
  <si>
    <t>토벌_카디르가노</t>
    <phoneticPr fontId="5" type="noConversion"/>
  </si>
  <si>
    <t>토벌_동맹의 갤리아스노</t>
  </si>
  <si>
    <t>토벌_동맹의 갤리아스노</t>
    <phoneticPr fontId="5" type="noConversion"/>
  </si>
  <si>
    <t>SK_Ship_AlliedGalleysBoss_Paddle</t>
    <phoneticPr fontId="5" type="noConversion"/>
  </si>
  <si>
    <t>SK_Ship_ImperialGalleysBoss_Paddle</t>
    <phoneticPr fontId="5" type="noConversion"/>
  </si>
  <si>
    <t>토벌_카디르가</t>
    <phoneticPr fontId="5" type="noConversion"/>
  </si>
  <si>
    <t>토벌_동맹의 갤리아스</t>
    <phoneticPr fontId="5" type="noConversion"/>
  </si>
  <si>
    <t>SK_Ship_ImperialGalleysBoss_Body</t>
    <phoneticPr fontId="5" type="noConversion"/>
  </si>
  <si>
    <t>SK_Ship_AlliedGalleysBoss_Body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</si>
</sst>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);[Red]\(0\)"/>
  </numFmts>
  <fonts count="35">
    <font>
      <sz val="10"/>
      <color rgb="FF000000"/>
      <name val="Arial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돋움"/>
      <family val="3"/>
      <charset val="129"/>
    </font>
    <font>
      <sz val="11"/>
      <color rgb="FF9C0006"/>
      <name val="맑은 고딕"/>
      <family val="2"/>
      <charset val="129"/>
      <scheme val="minor"/>
    </font>
    <font>
      <sz val="10"/>
      <color rgb="FF000000"/>
      <name val="Arial"/>
      <family val="2"/>
    </font>
    <font>
      <sz val="11"/>
      <name val="나눔고딕코딩"/>
      <family val="3"/>
      <charset val="129"/>
    </font>
    <font>
      <sz val="9"/>
      <name val="나눔고딕코딩"/>
      <family val="3"/>
      <charset val="129"/>
    </font>
    <font>
      <sz val="10"/>
      <color theme="0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sz val="10"/>
      <color rgb="FF000000"/>
      <name val="맑은 고딕"/>
      <family val="3"/>
      <charset val="129"/>
      <scheme val="minor"/>
    </font>
    <font>
      <sz val="10"/>
      <color rgb="FF000000"/>
      <name val="나눔고딕코딩"/>
      <family val="3"/>
      <charset val="129"/>
    </font>
    <font>
      <sz val="10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10"/>
      <color rgb="FFFFFFFF"/>
      <name val="맑은 고딕"/>
      <family val="3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0"/>
      <color rgb="FF9C0006"/>
      <name val="맑은 고딕"/>
      <family val="2"/>
      <charset val="129"/>
      <scheme val="minor"/>
    </font>
    <font>
      <sz val="10"/>
      <color rgb="FF000000"/>
      <name val="맑은 고딕"/>
      <family val="3"/>
      <charset val="129"/>
    </font>
    <font>
      <sz val="10"/>
      <color theme="1"/>
      <name val="맑은 고딕"/>
      <family val="2"/>
      <charset val="129"/>
      <scheme val="minor"/>
    </font>
    <font>
      <b/>
      <sz val="12"/>
      <color indexed="81"/>
      <name val="돋움"/>
      <family val="3"/>
      <charset val="129"/>
    </font>
    <font>
      <b/>
      <sz val="12"/>
      <color indexed="81"/>
      <name val="Tahoma"/>
      <family val="2"/>
    </font>
    <font>
      <b/>
      <sz val="11"/>
      <color rgb="FFFFFF00"/>
      <name val="나눔고딕코딩"/>
      <family val="3"/>
      <charset val="129"/>
    </font>
    <font>
      <sz val="10"/>
      <color rgb="FF1D1C1D"/>
      <name val="맑은 고딕"/>
      <family val="3"/>
      <charset val="129"/>
    </font>
    <font>
      <sz val="10"/>
      <name val="맑은 고딕"/>
      <family val="3"/>
      <charset val="129"/>
    </font>
    <font>
      <sz val="10"/>
      <name val="맑은 고딕"/>
      <family val="2"/>
      <charset val="129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9"/>
      <color indexed="81"/>
      <name val="돋움"/>
      <family val="3"/>
      <charset val="129"/>
    </font>
    <font>
      <b/>
      <sz val="10"/>
      <color rgb="FF006100"/>
      <name val="맑은 고딕"/>
      <family val="3"/>
      <charset val="129"/>
      <scheme val="minor"/>
    </font>
    <font>
      <sz val="10"/>
      <color rgb="FF000000"/>
      <name val="맑은 고딕"/>
      <family val="3"/>
      <charset val="129"/>
      <scheme val="major"/>
    </font>
    <font>
      <sz val="11"/>
      <color rgb="FF1D1C1D"/>
      <name val="Arial"/>
      <family val="2"/>
    </font>
    <font>
      <sz val="10"/>
      <color rgb="FF1D1C1D"/>
      <name val="맑은 고딕"/>
      <family val="3"/>
      <charset val="129"/>
      <scheme val="major"/>
    </font>
    <font>
      <b/>
      <sz val="11"/>
      <name val="나눔고딕코딩"/>
      <family val="3"/>
      <charset val="129"/>
    </font>
  </fonts>
  <fills count="170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CCCCFF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A7A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E9B8"/>
        <bgColor indexed="64"/>
      </patternFill>
    </fill>
    <fill>
      <patternFill patternType="solid">
        <fgColor rgb="FFFDB23F"/>
        <bgColor indexed="64"/>
      </patternFill>
    </fill>
    <fill>
      <patternFill patternType="solid">
        <fgColor rgb="FFF15F16"/>
        <bgColor indexed="64"/>
      </patternFill>
    </fill>
    <fill>
      <patternFill patternType="solid">
        <fgColor rgb="FFBF1D08"/>
        <bgColor indexed="64"/>
      </patternFill>
    </fill>
    <fill>
      <patternFill patternType="solid">
        <fgColor rgb="FFF30505"/>
        <bgColor indexed="64"/>
      </patternFill>
    </fill>
    <fill>
      <patternFill patternType="solid">
        <fgColor rgb="FF5C0001"/>
        <bgColor indexed="64"/>
      </patternFill>
    </fill>
    <fill>
      <patternFill patternType="solid">
        <fgColor rgb="FFA7D982"/>
        <bgColor indexed="64"/>
      </patternFill>
    </fill>
    <fill>
      <patternFill patternType="solid">
        <fgColor rgb="FFC5EE0E"/>
        <bgColor indexed="64"/>
      </patternFill>
    </fill>
    <fill>
      <patternFill patternType="solid">
        <fgColor rgb="FFF8EB10"/>
        <bgColor indexed="64"/>
      </patternFill>
    </fill>
    <fill>
      <patternFill patternType="solid">
        <fgColor rgb="FFE1C219"/>
        <bgColor indexed="64"/>
      </patternFill>
    </fill>
    <fill>
      <patternFill patternType="solid">
        <fgColor rgb="FF83A602"/>
        <bgColor indexed="64"/>
      </patternFill>
    </fill>
    <fill>
      <patternFill patternType="solid">
        <fgColor rgb="FF375903"/>
        <bgColor indexed="64"/>
      </patternFill>
    </fill>
    <fill>
      <patternFill patternType="solid">
        <fgColor rgb="FF0276C3"/>
        <bgColor indexed="64"/>
      </patternFill>
    </fill>
    <fill>
      <patternFill patternType="solid">
        <fgColor rgb="FF02AFCD"/>
        <bgColor indexed="64"/>
      </patternFill>
    </fill>
    <fill>
      <patternFill patternType="solid">
        <fgColor rgb="FF02C13D"/>
        <bgColor indexed="64"/>
      </patternFill>
    </fill>
    <fill>
      <patternFill patternType="solid">
        <fgColor rgb="FF088C03"/>
        <bgColor indexed="64"/>
      </patternFill>
    </fill>
    <fill>
      <patternFill patternType="solid">
        <fgColor rgb="FF1C5D59"/>
        <bgColor indexed="64"/>
      </patternFill>
    </fill>
    <fill>
      <patternFill patternType="solid">
        <fgColor rgb="FF1D3A3E"/>
        <bgColor indexed="64"/>
      </patternFill>
    </fill>
    <fill>
      <patternFill patternType="solid">
        <fgColor rgb="FF0540F2"/>
        <bgColor indexed="64"/>
      </patternFill>
    </fill>
    <fill>
      <patternFill patternType="solid">
        <fgColor rgb="FF034D8C"/>
        <bgColor indexed="64"/>
      </patternFill>
    </fill>
    <fill>
      <patternFill patternType="solid">
        <fgColor rgb="FF0583F2"/>
        <bgColor indexed="64"/>
      </patternFill>
    </fill>
    <fill>
      <patternFill patternType="solid">
        <fgColor rgb="FF6BBEF2"/>
        <bgColor indexed="64"/>
      </patternFill>
    </fill>
    <fill>
      <patternFill patternType="solid">
        <fgColor rgb="FF84D3F2"/>
        <bgColor indexed="64"/>
      </patternFill>
    </fill>
    <fill>
      <patternFill patternType="solid">
        <fgColor rgb="FF2DCCD2"/>
        <bgColor indexed="64"/>
      </patternFill>
    </fill>
    <fill>
      <patternFill patternType="solid">
        <fgColor rgb="FF410080"/>
        <bgColor indexed="64"/>
      </patternFill>
    </fill>
    <fill>
      <patternFill patternType="solid">
        <fgColor rgb="FF6100BF"/>
        <bgColor indexed="64"/>
      </patternFill>
    </fill>
    <fill>
      <patternFill patternType="solid">
        <fgColor rgb="FF7F00FF"/>
        <bgColor indexed="64"/>
      </patternFill>
    </fill>
    <fill>
      <patternFill patternType="solid">
        <fgColor rgb="FF99A7F2"/>
        <bgColor indexed="64"/>
      </patternFill>
    </fill>
    <fill>
      <patternFill patternType="solid">
        <fgColor rgb="FF36DFFF"/>
        <bgColor indexed="64"/>
      </patternFill>
    </fill>
    <fill>
      <patternFill patternType="solid">
        <fgColor rgb="FFF20CB6"/>
        <bgColor indexed="64"/>
      </patternFill>
    </fill>
    <fill>
      <patternFill patternType="solid">
        <fgColor rgb="FFA7058C"/>
        <bgColor indexed="64"/>
      </patternFill>
    </fill>
    <fill>
      <patternFill patternType="solid">
        <fgColor rgb="FFE7578A"/>
        <bgColor indexed="64"/>
      </patternFill>
    </fill>
    <fill>
      <patternFill patternType="solid">
        <fgColor rgb="FFD8004B"/>
        <bgColor indexed="64"/>
      </patternFill>
    </fill>
    <fill>
      <patternFill patternType="solid">
        <fgColor rgb="FF85002F"/>
        <bgColor indexed="64"/>
      </patternFill>
    </fill>
    <fill>
      <patternFill patternType="solid">
        <fgColor rgb="FFF2B6C1"/>
        <bgColor indexed="64"/>
      </patternFill>
    </fill>
    <fill>
      <patternFill patternType="solid">
        <fgColor rgb="FFD9BFDA"/>
        <bgColor indexed="64"/>
      </patternFill>
    </fill>
    <fill>
      <patternFill patternType="solid">
        <fgColor rgb="FFD8A8DC"/>
        <bgColor indexed="64"/>
      </patternFill>
    </fill>
    <fill>
      <patternFill patternType="solid">
        <fgColor rgb="FF667FB7"/>
        <bgColor indexed="64"/>
      </patternFill>
    </fill>
    <fill>
      <patternFill patternType="solid">
        <fgColor rgb="FF71BBC6"/>
        <bgColor indexed="64"/>
      </patternFill>
    </fill>
    <fill>
      <patternFill patternType="solid">
        <fgColor rgb="FF3C4C59"/>
        <bgColor indexed="64"/>
      </patternFill>
    </fill>
    <fill>
      <patternFill patternType="solid">
        <fgColor rgb="FF9FB0C0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737373"/>
        <bgColor indexed="64"/>
      </patternFill>
    </fill>
    <fill>
      <patternFill patternType="solid">
        <fgColor rgb="FF404040"/>
        <bgColor indexed="64"/>
      </patternFill>
    </fill>
    <fill>
      <patternFill patternType="solid">
        <fgColor rgb="FF0D0D0D"/>
        <bgColor indexed="64"/>
      </patternFill>
    </fill>
    <fill>
      <patternFill patternType="solid">
        <fgColor rgb="FFAD8A6C"/>
        <bgColor indexed="64"/>
      </patternFill>
    </fill>
    <fill>
      <patternFill patternType="solid">
        <fgColor rgb="FF82B652"/>
        <bgColor indexed="64"/>
      </patternFill>
    </fill>
    <fill>
      <patternFill patternType="solid">
        <fgColor rgb="FF555555"/>
        <bgColor indexed="64"/>
      </patternFill>
    </fill>
    <fill>
      <patternFill patternType="solid">
        <fgColor rgb="FFC6EFCE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5F0300"/>
        <bgColor indexed="64"/>
      </patternFill>
    </fill>
    <fill>
      <patternFill patternType="solid">
        <fgColor rgb="FF8E0700"/>
        <bgColor indexed="64"/>
      </patternFill>
    </fill>
    <fill>
      <patternFill patternType="solid">
        <fgColor rgb="FFBB0C00"/>
        <bgColor indexed="64"/>
      </patternFill>
    </fill>
    <fill>
      <patternFill patternType="solid">
        <fgColor rgb="FFF56664"/>
        <bgColor indexed="64"/>
      </patternFill>
    </fill>
    <fill>
      <patternFill patternType="solid">
        <fgColor rgb="FFFB8E8D"/>
        <bgColor indexed="64"/>
      </patternFill>
    </fill>
    <fill>
      <patternFill patternType="solid">
        <fgColor rgb="FF5F4000"/>
        <bgColor indexed="64"/>
      </patternFill>
    </fill>
    <fill>
      <patternFill patternType="solid">
        <fgColor rgb="FF8E6200"/>
        <bgColor indexed="64"/>
      </patternFill>
    </fill>
    <fill>
      <patternFill patternType="solid">
        <fgColor rgb="FFB17B00"/>
        <bgColor indexed="64"/>
      </patternFill>
    </fill>
    <fill>
      <patternFill patternType="solid">
        <fgColor rgb="FFCD8F00"/>
        <bgColor indexed="64"/>
      </patternFill>
    </fill>
    <fill>
      <patternFill patternType="solid">
        <fgColor rgb="FFF2B048"/>
        <bgColor indexed="64"/>
      </patternFill>
    </fill>
    <fill>
      <patternFill patternType="solid">
        <fgColor rgb="FFF8C07A"/>
        <bgColor indexed="64"/>
      </patternFill>
    </fill>
    <fill>
      <patternFill patternType="solid">
        <fgColor rgb="FF5F4A00"/>
        <bgColor indexed="64"/>
      </patternFill>
    </fill>
    <fill>
      <patternFill patternType="solid">
        <fgColor rgb="FF866A00"/>
        <bgColor indexed="64"/>
      </patternFill>
    </fill>
    <fill>
      <patternFill patternType="solid">
        <fgColor rgb="FFBD9600"/>
        <bgColor indexed="64"/>
      </patternFill>
    </fill>
    <fill>
      <patternFill patternType="solid">
        <fgColor rgb="FFE2B400"/>
        <bgColor indexed="64"/>
      </patternFill>
    </fill>
    <fill>
      <patternFill patternType="solid">
        <fgColor rgb="FFF3CA65"/>
        <bgColor indexed="64"/>
      </patternFill>
    </fill>
    <fill>
      <patternFill patternType="solid">
        <fgColor rgb="FF5F5A00"/>
        <bgColor indexed="64"/>
      </patternFill>
    </fill>
    <fill>
      <patternFill patternType="solid">
        <fgColor rgb="FF958F00"/>
        <bgColor indexed="64"/>
      </patternFill>
    </fill>
    <fill>
      <patternFill patternType="solid">
        <fgColor rgb="FFC2BA00"/>
        <bgColor indexed="64"/>
      </patternFill>
    </fill>
    <fill>
      <patternFill patternType="solid">
        <fgColor rgb="FFE1D826"/>
        <bgColor indexed="64"/>
      </patternFill>
    </fill>
    <fill>
      <patternFill patternType="solid">
        <fgColor rgb="FFF0E862"/>
        <bgColor indexed="64"/>
      </patternFill>
    </fill>
    <fill>
      <patternFill patternType="solid">
        <fgColor rgb="FFFBF47A"/>
        <bgColor indexed="64"/>
      </patternFill>
    </fill>
    <fill>
      <patternFill patternType="solid">
        <fgColor rgb="FF525F00"/>
        <bgColor indexed="64"/>
      </patternFill>
    </fill>
    <fill>
      <patternFill patternType="solid">
        <fgColor rgb="FF869A00"/>
        <bgColor indexed="64"/>
      </patternFill>
    </fill>
    <fill>
      <patternFill patternType="solid">
        <fgColor rgb="FFA7C000"/>
        <bgColor indexed="64"/>
      </patternFill>
    </fill>
    <fill>
      <patternFill patternType="solid">
        <fgColor rgb="FFC6E400"/>
        <bgColor indexed="64"/>
      </patternFill>
    </fill>
    <fill>
      <patternFill patternType="solid">
        <fgColor rgb="FFD3ED67"/>
        <bgColor indexed="64"/>
      </patternFill>
    </fill>
    <fill>
      <patternFill patternType="solid">
        <fgColor rgb="FFE1FA86"/>
        <bgColor indexed="64"/>
      </patternFill>
    </fill>
    <fill>
      <patternFill patternType="solid">
        <fgColor rgb="FF345400"/>
        <bgColor indexed="64"/>
      </patternFill>
    </fill>
    <fill>
      <patternFill patternType="solid">
        <fgColor rgb="FF5C8F00"/>
        <bgColor indexed="64"/>
      </patternFill>
    </fill>
    <fill>
      <patternFill patternType="solid">
        <fgColor rgb="FF7BBD00"/>
        <bgColor indexed="64"/>
      </patternFill>
    </fill>
    <fill>
      <patternFill patternType="solid">
        <fgColor rgb="FF8ED900"/>
        <bgColor indexed="64"/>
      </patternFill>
    </fill>
    <fill>
      <patternFill patternType="solid">
        <fgColor rgb="FFABF259"/>
        <bgColor indexed="64"/>
      </patternFill>
    </fill>
    <fill>
      <patternFill patternType="solid">
        <fgColor rgb="FFBFFA86"/>
        <bgColor indexed="64"/>
      </patternFill>
    </fill>
    <fill>
      <patternFill patternType="solid">
        <fgColor rgb="FF114F37"/>
        <bgColor indexed="64"/>
      </patternFill>
    </fill>
    <fill>
      <patternFill patternType="solid">
        <fgColor rgb="FF008A58"/>
        <bgColor indexed="64"/>
      </patternFill>
    </fill>
    <fill>
      <patternFill patternType="solid">
        <fgColor rgb="FF00AD6F"/>
        <bgColor indexed="64"/>
      </patternFill>
    </fill>
    <fill>
      <patternFill patternType="solid">
        <fgColor rgb="FF00CF86"/>
        <bgColor indexed="64"/>
      </patternFill>
    </fill>
    <fill>
      <patternFill patternType="solid">
        <fgColor rgb="FF41EDA1"/>
        <bgColor indexed="64"/>
      </patternFill>
    </fill>
    <fill>
      <patternFill patternType="solid">
        <fgColor rgb="FF7BFABA"/>
        <bgColor indexed="64"/>
      </patternFill>
    </fill>
    <fill>
      <patternFill patternType="solid">
        <fgColor rgb="FF0F534F"/>
        <bgColor indexed="64"/>
      </patternFill>
    </fill>
    <fill>
      <patternFill patternType="solid">
        <fgColor rgb="FF218B85"/>
        <bgColor indexed="64"/>
      </patternFill>
    </fill>
    <fill>
      <patternFill patternType="solid">
        <fgColor rgb="FF2EBDB6"/>
        <bgColor indexed="64"/>
      </patternFill>
    </fill>
    <fill>
      <patternFill patternType="solid">
        <fgColor rgb="FF38E1D9"/>
        <bgColor indexed="64"/>
      </patternFill>
    </fill>
    <fill>
      <patternFill patternType="solid">
        <fgColor rgb="FF6CEEE6"/>
        <bgColor indexed="64"/>
      </patternFill>
    </fill>
    <fill>
      <patternFill patternType="solid">
        <fgColor rgb="FF8FFAF2"/>
        <bgColor indexed="64"/>
      </patternFill>
    </fill>
    <fill>
      <patternFill patternType="solid">
        <fgColor rgb="FF10414F"/>
        <bgColor indexed="64"/>
      </patternFill>
    </fill>
    <fill>
      <patternFill patternType="solid">
        <fgColor rgb="FF007899"/>
        <bgColor indexed="64"/>
      </patternFill>
    </fill>
    <fill>
      <patternFill patternType="solid">
        <fgColor rgb="FF009EC8"/>
        <bgColor indexed="64"/>
      </patternFill>
    </fill>
    <fill>
      <patternFill patternType="solid">
        <fgColor rgb="FF38BEED"/>
        <bgColor indexed="64"/>
      </patternFill>
    </fill>
    <fill>
      <patternFill patternType="solid">
        <fgColor rgb="FF81CEF3"/>
        <bgColor indexed="64"/>
      </patternFill>
    </fill>
    <fill>
      <patternFill patternType="solid">
        <fgColor rgb="FFA4DEFD"/>
        <bgColor indexed="64"/>
      </patternFill>
    </fill>
    <fill>
      <patternFill patternType="solid">
        <fgColor rgb="FF121852"/>
        <bgColor indexed="64"/>
      </patternFill>
    </fill>
    <fill>
      <patternFill patternType="solid">
        <fgColor rgb="FF192598"/>
        <bgColor indexed="64"/>
      </patternFill>
    </fill>
    <fill>
      <patternFill patternType="solid">
        <fgColor rgb="FF2433C8"/>
        <bgColor indexed="64"/>
      </patternFill>
    </fill>
    <fill>
      <patternFill patternType="solid">
        <fgColor rgb="FF5059EA"/>
        <bgColor indexed="64"/>
      </patternFill>
    </fill>
    <fill>
      <patternFill patternType="solid">
        <fgColor rgb="FF7A7FF8"/>
        <bgColor indexed="64"/>
      </patternFill>
    </fill>
    <fill>
      <patternFill patternType="solid">
        <fgColor rgb="FFA1A4FF"/>
        <bgColor indexed="64"/>
      </patternFill>
    </fill>
    <fill>
      <patternFill patternType="solid">
        <fgColor rgb="FF290753"/>
        <bgColor indexed="64"/>
      </patternFill>
    </fill>
    <fill>
      <patternFill patternType="solid">
        <fgColor rgb="FF4E1495"/>
        <bgColor indexed="64"/>
      </patternFill>
    </fill>
    <fill>
      <patternFill patternType="solid">
        <fgColor rgb="FF6D1FCC"/>
        <bgColor indexed="64"/>
      </patternFill>
    </fill>
    <fill>
      <patternFill patternType="solid">
        <fgColor rgb="FF8126F0"/>
        <bgColor indexed="64"/>
      </patternFill>
    </fill>
    <fill>
      <patternFill patternType="solid">
        <fgColor rgb="FFA177F5"/>
        <bgColor indexed="64"/>
      </patternFill>
    </fill>
    <fill>
      <patternFill patternType="solid">
        <fgColor rgb="FFBDA3FE"/>
        <bgColor indexed="64"/>
      </patternFill>
    </fill>
    <fill>
      <patternFill patternType="solid">
        <fgColor rgb="FF431A53"/>
        <bgColor indexed="64"/>
      </patternFill>
    </fill>
    <fill>
      <patternFill patternType="solid">
        <fgColor rgb="FF7A3595"/>
        <bgColor indexed="64"/>
      </patternFill>
    </fill>
    <fill>
      <patternFill patternType="solid">
        <fgColor rgb="FF9F47C2"/>
        <bgColor indexed="64"/>
      </patternFill>
    </fill>
    <fill>
      <patternFill patternType="solid">
        <fgColor rgb="FFBB54E4"/>
        <bgColor indexed="64"/>
      </patternFill>
    </fill>
    <fill>
      <patternFill patternType="solid">
        <fgColor rgb="FFCC6FF4"/>
        <bgColor indexed="64"/>
      </patternFill>
    </fill>
    <fill>
      <patternFill patternType="solid">
        <fgColor rgb="FFD88BFC"/>
        <bgColor indexed="64"/>
      </patternFill>
    </fill>
    <fill>
      <patternFill patternType="solid">
        <fgColor rgb="FF511253"/>
        <bgColor indexed="64"/>
      </patternFill>
    </fill>
    <fill>
      <patternFill patternType="solid">
        <fgColor rgb="FFBF36C4"/>
        <bgColor indexed="64"/>
      </patternFill>
    </fill>
    <fill>
      <patternFill patternType="solid">
        <fgColor rgb="FF942898"/>
        <bgColor indexed="64"/>
      </patternFill>
    </fill>
    <fill>
      <patternFill patternType="solid">
        <fgColor rgb="FFE341E8"/>
        <bgColor indexed="64"/>
      </patternFill>
    </fill>
    <fill>
      <patternFill patternType="solid">
        <fgColor rgb="FFF372F8"/>
        <bgColor indexed="64"/>
      </patternFill>
    </fill>
    <fill>
      <patternFill patternType="solid">
        <fgColor rgb="FFF69BFA"/>
        <bgColor indexed="64"/>
      </patternFill>
    </fill>
    <fill>
      <patternFill patternType="solid">
        <fgColor rgb="FF54152C"/>
        <bgColor indexed="64"/>
      </patternFill>
    </fill>
    <fill>
      <patternFill patternType="solid">
        <fgColor rgb="FF972C53"/>
        <bgColor indexed="64"/>
      </patternFill>
    </fill>
    <fill>
      <patternFill patternType="solid">
        <fgColor rgb="FFC53C6E"/>
        <bgColor indexed="64"/>
      </patternFill>
    </fill>
    <fill>
      <patternFill patternType="solid">
        <fgColor rgb="FFE85789"/>
        <bgColor indexed="64"/>
      </patternFill>
    </fill>
    <fill>
      <patternFill patternType="solid">
        <fgColor rgb="FFF87AA1"/>
        <bgColor indexed="64"/>
      </patternFill>
    </fill>
    <fill>
      <patternFill patternType="solid">
        <fgColor rgb="FFFEA0BA"/>
        <bgColor indexed="64"/>
      </patternFill>
    </fill>
    <fill>
      <patternFill patternType="solid">
        <fgColor rgb="FF2C2C2C"/>
        <bgColor indexed="64"/>
      </patternFill>
    </fill>
    <fill>
      <patternFill patternType="solid">
        <fgColor rgb="FF585858"/>
        <bgColor indexed="64"/>
      </patternFill>
    </fill>
    <fill>
      <patternFill patternType="solid">
        <fgColor rgb="FF828282"/>
        <bgColor indexed="64"/>
      </patternFill>
    </fill>
    <fill>
      <patternFill patternType="solid">
        <fgColor rgb="FFA3A3A3"/>
        <bgColor indexed="64"/>
      </patternFill>
    </fill>
    <fill>
      <patternFill patternType="solid">
        <fgColor rgb="FFC7C7C7"/>
        <bgColor indexed="64"/>
      </patternFill>
    </fill>
    <fill>
      <patternFill patternType="solid">
        <fgColor rgb="FFE4E4E4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0D30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3" tint="0.59999389629810485"/>
        <bgColor indexed="64"/>
      </patternFill>
    </fill>
  </fills>
  <borders count="16">
    <border>
      <left/>
      <right/>
      <top/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 tint="-0.249977111117893"/>
      </left>
      <right/>
      <top style="thin">
        <color theme="0" tint="-0.249977111117893"/>
      </top>
      <bottom style="thin">
        <color theme="0" tint="-0.249977111117893"/>
      </bottom>
      <diagonal/>
    </border>
    <border>
      <left/>
      <right/>
      <top style="thin">
        <color theme="0" tint="-0.249977111117893"/>
      </top>
      <bottom style="thin">
        <color theme="0" tint="-0.249977111117893"/>
      </bottom>
      <diagonal/>
    </border>
    <border>
      <left/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/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14999847407452621"/>
      </bottom>
      <diagonal/>
    </border>
    <border>
      <left style="thin">
        <color theme="2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theme="2"/>
      </left>
      <right style="thin">
        <color theme="0" tint="-0.14999847407452621"/>
      </right>
      <top/>
      <bottom style="thin">
        <color theme="2"/>
      </bottom>
      <diagonal/>
    </border>
    <border>
      <left style="thin">
        <color theme="0" tint="-0.14999847407452621"/>
      </left>
      <right style="thin">
        <color theme="0" tint="-0.249977111117893"/>
      </right>
      <top style="thin">
        <color theme="0" tint="-0.249977111117893"/>
      </top>
      <bottom style="thin">
        <color theme="0" tint="-0.14999847407452621"/>
      </bottom>
      <diagonal/>
    </border>
    <border>
      <left/>
      <right style="thin">
        <color theme="0" tint="-0.249977111117893"/>
      </right>
      <top/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/>
      <bottom style="thin">
        <color theme="0" tint="-0.14999847407452621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14999847407452621"/>
      </top>
      <bottom style="thin">
        <color theme="2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2"/>
      </top>
      <bottom style="thin">
        <color theme="0" tint="-0.14999847407452621"/>
      </bottom>
      <diagonal/>
    </border>
    <border>
      <left style="thin">
        <color theme="0" tint="-0.249977111117893"/>
      </left>
      <right style="thin">
        <color theme="0" tint="-0.249977111117893"/>
      </right>
      <top/>
      <bottom/>
      <diagonal/>
    </border>
  </borders>
  <cellStyleXfs count="10">
    <xf numFmtId="0" fontId="0" fillId="0" borderId="0"/>
    <xf numFmtId="0" fontId="6" fillId="2" borderId="0" applyNumberFormat="0" applyBorder="0" applyAlignment="0" applyProtection="0">
      <alignment vertical="center"/>
    </xf>
    <xf numFmtId="0" fontId="4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7" fillId="0" borderId="0"/>
    <xf numFmtId="0" fontId="2" fillId="0" borderId="0">
      <alignment vertical="center"/>
    </xf>
    <xf numFmtId="0" fontId="1" fillId="0" borderId="0">
      <alignment vertical="center"/>
    </xf>
    <xf numFmtId="0" fontId="17" fillId="65" borderId="0" applyNumberFormat="0" applyBorder="0" applyAlignment="0" applyProtection="0">
      <alignment vertical="center"/>
    </xf>
  </cellStyleXfs>
  <cellXfs count="236">
    <xf numFmtId="0" fontId="0" fillId="0" borderId="0" xfId="0" applyAlignment="1">
      <alignment wrapText="1"/>
    </xf>
    <xf numFmtId="0" fontId="8" fillId="0" borderId="1" xfId="0" applyFont="1" applyBorder="1" applyAlignment="1">
      <alignment wrapText="1"/>
    </xf>
    <xf numFmtId="0" fontId="9" fillId="0" borderId="1" xfId="0" applyFont="1" applyBorder="1" applyAlignment="1">
      <alignment wrapText="1"/>
    </xf>
    <xf numFmtId="0" fontId="10" fillId="8" borderId="1" xfId="0" applyFont="1" applyFill="1" applyBorder="1" applyAlignment="1">
      <alignment horizontal="center" vertical="center"/>
    </xf>
    <xf numFmtId="0" fontId="11" fillId="9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wrapText="1"/>
    </xf>
    <xf numFmtId="0" fontId="10" fillId="4" borderId="1" xfId="1" applyFont="1" applyFill="1" applyBorder="1" applyAlignment="1">
      <alignment horizontal="center" wrapText="1"/>
    </xf>
    <xf numFmtId="0" fontId="10" fillId="4" borderId="1" xfId="0" applyFont="1" applyFill="1" applyBorder="1" applyAlignment="1">
      <alignment horizontal="center" vertical="center"/>
    </xf>
    <xf numFmtId="0" fontId="10" fillId="7" borderId="1" xfId="1" applyFont="1" applyFill="1" applyBorder="1" applyAlignment="1">
      <alignment horizontal="center" wrapText="1"/>
    </xf>
    <xf numFmtId="0" fontId="10" fillId="7" borderId="1" xfId="0" applyFont="1" applyFill="1" applyBorder="1" applyAlignment="1">
      <alignment horizontal="center" vertical="center"/>
    </xf>
    <xf numFmtId="0" fontId="11" fillId="5" borderId="1" xfId="0" applyFont="1" applyFill="1" applyBorder="1" applyAlignment="1">
      <alignment horizontal="center" wrapText="1"/>
    </xf>
    <xf numFmtId="0" fontId="11" fillId="6" borderId="1" xfId="0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wrapText="1"/>
    </xf>
    <xf numFmtId="0" fontId="10" fillId="3" borderId="1" xfId="0" applyFont="1" applyFill="1" applyBorder="1" applyAlignment="1">
      <alignment horizontal="center" vertical="center"/>
    </xf>
    <xf numFmtId="0" fontId="10" fillId="8" borderId="2" xfId="0" applyFont="1" applyFill="1" applyBorder="1" applyAlignment="1">
      <alignment horizontal="center" vertical="center" wrapText="1"/>
    </xf>
    <xf numFmtId="0" fontId="11" fillId="0" borderId="2" xfId="0" applyFont="1" applyBorder="1" applyAlignment="1">
      <alignment horizontal="center" wrapText="1"/>
    </xf>
    <xf numFmtId="0" fontId="12" fillId="0" borderId="0" xfId="0" applyFont="1"/>
    <xf numFmtId="0" fontId="11" fillId="9" borderId="2" xfId="0" applyFont="1" applyFill="1" applyBorder="1" applyAlignment="1">
      <alignment horizontal="center" wrapText="1"/>
    </xf>
    <xf numFmtId="0" fontId="8" fillId="0" borderId="1" xfId="0" applyFont="1" applyBorder="1" applyAlignment="1">
      <alignment vertical="center" wrapText="1"/>
    </xf>
    <xf numFmtId="0" fontId="11" fillId="10" borderId="1" xfId="0" applyFont="1" applyFill="1" applyBorder="1" applyAlignment="1">
      <alignment horizontal="center" vertical="center"/>
    </xf>
    <xf numFmtId="0" fontId="11" fillId="11" borderId="2" xfId="0" applyFont="1" applyFill="1" applyBorder="1" applyAlignment="1">
      <alignment horizontal="center" wrapText="1"/>
    </xf>
    <xf numFmtId="0" fontId="13" fillId="0" borderId="5" xfId="0" applyFont="1" applyBorder="1" applyAlignment="1">
      <alignment vertical="center" wrapText="1"/>
    </xf>
    <xf numFmtId="0" fontId="11" fillId="12" borderId="1" xfId="0" applyFont="1" applyFill="1" applyBorder="1" applyAlignment="1">
      <alignment horizontal="center" vertical="center"/>
    </xf>
    <xf numFmtId="0" fontId="14" fillId="12" borderId="1" xfId="0" applyFont="1" applyFill="1" applyBorder="1" applyAlignment="1">
      <alignment horizontal="center" vertical="center"/>
    </xf>
    <xf numFmtId="0" fontId="11" fillId="13" borderId="1" xfId="0" applyFont="1" applyFill="1" applyBorder="1" applyAlignment="1">
      <alignment horizontal="center" vertical="center"/>
    </xf>
    <xf numFmtId="0" fontId="10" fillId="8" borderId="1" xfId="6" applyFont="1" applyFill="1" applyBorder="1" applyAlignment="1">
      <alignment horizontal="center" vertical="center"/>
    </xf>
    <xf numFmtId="0" fontId="10" fillId="4" borderId="1" xfId="6" applyFont="1" applyFill="1" applyBorder="1" applyAlignment="1">
      <alignment horizontal="center" vertical="center"/>
    </xf>
    <xf numFmtId="0" fontId="11" fillId="0" borderId="1" xfId="6" applyFont="1" applyBorder="1" applyAlignment="1">
      <alignment wrapText="1"/>
    </xf>
    <xf numFmtId="0" fontId="10" fillId="7" borderId="1" xfId="6" applyFont="1" applyFill="1" applyBorder="1" applyAlignment="1">
      <alignment horizontal="center" vertical="center"/>
    </xf>
    <xf numFmtId="0" fontId="11" fillId="5" borderId="1" xfId="6" applyFont="1" applyFill="1" applyBorder="1" applyAlignment="1">
      <alignment horizontal="center" wrapText="1"/>
    </xf>
    <xf numFmtId="0" fontId="11" fillId="9" borderId="1" xfId="6" applyFont="1" applyFill="1" applyBorder="1" applyAlignment="1">
      <alignment horizontal="center" vertical="center"/>
    </xf>
    <xf numFmtId="0" fontId="10" fillId="3" borderId="1" xfId="6" applyFont="1" applyFill="1" applyBorder="1" applyAlignment="1">
      <alignment horizontal="center" wrapText="1"/>
    </xf>
    <xf numFmtId="0" fontId="10" fillId="3" borderId="1" xfId="6" applyFont="1" applyFill="1" applyBorder="1" applyAlignment="1">
      <alignment horizontal="center" vertical="center"/>
    </xf>
    <xf numFmtId="0" fontId="11" fillId="6" borderId="1" xfId="6" applyFont="1" applyFill="1" applyBorder="1" applyAlignment="1">
      <alignment horizontal="center" vertical="center"/>
    </xf>
    <xf numFmtId="0" fontId="11" fillId="6" borderId="1" xfId="8" applyFont="1" applyFill="1" applyBorder="1" applyAlignment="1">
      <alignment horizontal="center" wrapText="1"/>
    </xf>
    <xf numFmtId="0" fontId="11" fillId="16" borderId="1" xfId="6" applyFont="1" applyFill="1" applyBorder="1" applyAlignment="1">
      <alignment horizontal="center" vertical="center"/>
    </xf>
    <xf numFmtId="0" fontId="18" fillId="2" borderId="1" xfId="1" applyFont="1" applyBorder="1" applyAlignment="1">
      <alignment horizontal="center" vertical="center"/>
    </xf>
    <xf numFmtId="0" fontId="11" fillId="66" borderId="1" xfId="0" applyFont="1" applyFill="1" applyBorder="1" applyAlignment="1">
      <alignment horizontal="center" vertical="center"/>
    </xf>
    <xf numFmtId="0" fontId="11" fillId="67" borderId="1" xfId="0" applyFont="1" applyFill="1" applyBorder="1" applyAlignment="1">
      <alignment horizontal="center" vertical="center"/>
    </xf>
    <xf numFmtId="0" fontId="11" fillId="68" borderId="1" xfId="0" applyFont="1" applyFill="1" applyBorder="1" applyAlignment="1">
      <alignment horizontal="center" vertical="center"/>
    </xf>
    <xf numFmtId="0" fontId="11" fillId="69" borderId="1" xfId="0" applyFont="1" applyFill="1" applyBorder="1" applyAlignment="1">
      <alignment horizontal="center" vertical="center"/>
    </xf>
    <xf numFmtId="0" fontId="11" fillId="70" borderId="1" xfId="0" applyFont="1" applyFill="1" applyBorder="1" applyAlignment="1">
      <alignment horizontal="center" vertical="center"/>
    </xf>
    <xf numFmtId="0" fontId="11" fillId="71" borderId="1" xfId="0" applyFont="1" applyFill="1" applyBorder="1" applyAlignment="1">
      <alignment horizontal="center" vertical="center"/>
    </xf>
    <xf numFmtId="0" fontId="11" fillId="72" borderId="1" xfId="0" applyFont="1" applyFill="1" applyBorder="1" applyAlignment="1">
      <alignment horizontal="center" vertical="center"/>
    </xf>
    <xf numFmtId="0" fontId="11" fillId="73" borderId="1" xfId="0" applyFont="1" applyFill="1" applyBorder="1" applyAlignment="1">
      <alignment horizontal="center" vertical="center"/>
    </xf>
    <xf numFmtId="0" fontId="19" fillId="0" borderId="0" xfId="0" applyFont="1" applyAlignment="1">
      <alignment horizontal="center" vertical="center" wrapText="1"/>
    </xf>
    <xf numFmtId="0" fontId="20" fillId="9" borderId="0" xfId="3" applyFont="1" applyFill="1" applyAlignment="1">
      <alignment horizontal="center" vertical="center"/>
    </xf>
    <xf numFmtId="0" fontId="23" fillId="74" borderId="1" xfId="0" applyFont="1" applyFill="1" applyBorder="1" applyAlignment="1">
      <alignment wrapText="1"/>
    </xf>
    <xf numFmtId="0" fontId="24" fillId="0" borderId="0" xfId="0" applyFont="1" applyAlignment="1">
      <alignment horizontal="center" wrapText="1"/>
    </xf>
    <xf numFmtId="176" fontId="11" fillId="10" borderId="1" xfId="6" applyNumberFormat="1" applyFont="1" applyFill="1" applyBorder="1" applyAlignment="1">
      <alignment horizontal="center" vertical="center"/>
    </xf>
    <xf numFmtId="0" fontId="11" fillId="10" borderId="1" xfId="6" applyFont="1" applyFill="1" applyBorder="1" applyAlignment="1">
      <alignment horizontal="center" vertical="center"/>
    </xf>
    <xf numFmtId="0" fontId="8" fillId="0" borderId="3" xfId="0" applyFont="1" applyBorder="1" applyAlignment="1">
      <alignment wrapText="1"/>
    </xf>
    <xf numFmtId="0" fontId="0" fillId="0" borderId="5" xfId="0" applyBorder="1" applyAlignment="1">
      <alignment wrapText="1"/>
    </xf>
    <xf numFmtId="0" fontId="25" fillId="0" borderId="0" xfId="0" applyFont="1" applyAlignment="1">
      <alignment horizontal="center" vertical="center"/>
    </xf>
    <xf numFmtId="0" fontId="25" fillId="0" borderId="0" xfId="0" applyFont="1" applyAlignment="1">
      <alignment horizontal="center"/>
    </xf>
    <xf numFmtId="0" fontId="26" fillId="0" borderId="1" xfId="1" applyFont="1" applyFill="1" applyBorder="1" applyAlignment="1">
      <alignment horizontal="center" vertical="center"/>
    </xf>
    <xf numFmtId="0" fontId="11" fillId="75" borderId="1" xfId="6" applyFont="1" applyFill="1" applyBorder="1" applyAlignment="1">
      <alignment horizontal="center" wrapText="1"/>
    </xf>
    <xf numFmtId="0" fontId="11" fillId="75" borderId="1" xfId="0" applyFont="1" applyFill="1" applyBorder="1" applyAlignment="1">
      <alignment horizontal="center" vertical="center"/>
    </xf>
    <xf numFmtId="0" fontId="11" fillId="75" borderId="1" xfId="6" applyFont="1" applyFill="1" applyBorder="1" applyAlignment="1">
      <alignment horizontal="center" vertical="center"/>
    </xf>
    <xf numFmtId="0" fontId="11" fillId="0" borderId="1" xfId="6" applyFont="1" applyBorder="1"/>
    <xf numFmtId="0" fontId="24" fillId="0" borderId="0" xfId="0" applyFont="1" applyAlignment="1">
      <alignment horizontal="center" vertical="center"/>
    </xf>
    <xf numFmtId="49" fontId="11" fillId="16" borderId="1" xfId="6" applyNumberFormat="1" applyFont="1" applyFill="1" applyBorder="1" applyAlignment="1">
      <alignment horizontal="center" vertical="center"/>
    </xf>
    <xf numFmtId="49" fontId="11" fillId="17" borderId="1" xfId="6" applyNumberFormat="1" applyFont="1" applyFill="1" applyBorder="1" applyAlignment="1">
      <alignment horizontal="center" vertical="center"/>
    </xf>
    <xf numFmtId="49" fontId="11" fillId="18" borderId="1" xfId="6" applyNumberFormat="1" applyFont="1" applyFill="1" applyBorder="1" applyAlignment="1">
      <alignment horizontal="center" vertical="center"/>
    </xf>
    <xf numFmtId="49" fontId="11" fillId="19" borderId="1" xfId="6" applyNumberFormat="1" applyFont="1" applyFill="1" applyBorder="1" applyAlignment="1">
      <alignment horizontal="center" vertical="center"/>
    </xf>
    <xf numFmtId="49" fontId="11" fillId="20" borderId="1" xfId="6" applyNumberFormat="1" applyFont="1" applyFill="1" applyBorder="1" applyAlignment="1">
      <alignment horizontal="center" vertical="center"/>
    </xf>
    <xf numFmtId="49" fontId="11" fillId="21" borderId="1" xfId="6" applyNumberFormat="1" applyFont="1" applyFill="1" applyBorder="1" applyAlignment="1">
      <alignment horizontal="center" vertical="center"/>
    </xf>
    <xf numFmtId="49" fontId="11" fillId="22" borderId="1" xfId="6" applyNumberFormat="1" applyFont="1" applyFill="1" applyBorder="1" applyAlignment="1">
      <alignment horizontal="center" vertical="center"/>
    </xf>
    <xf numFmtId="49" fontId="11" fillId="23" borderId="1" xfId="6" applyNumberFormat="1" applyFont="1" applyFill="1" applyBorder="1" applyAlignment="1">
      <alignment horizontal="center" vertical="center"/>
    </xf>
    <xf numFmtId="49" fontId="11" fillId="24" borderId="1" xfId="6" applyNumberFormat="1" applyFont="1" applyFill="1" applyBorder="1" applyAlignment="1">
      <alignment horizontal="center" vertical="center"/>
    </xf>
    <xf numFmtId="49" fontId="11" fillId="25" borderId="1" xfId="6" applyNumberFormat="1" applyFont="1" applyFill="1" applyBorder="1" applyAlignment="1">
      <alignment horizontal="center" vertical="center"/>
    </xf>
    <xf numFmtId="49" fontId="11" fillId="26" borderId="1" xfId="6" applyNumberFormat="1" applyFont="1" applyFill="1" applyBorder="1" applyAlignment="1">
      <alignment horizontal="center" vertical="center"/>
    </xf>
    <xf numFmtId="49" fontId="11" fillId="27" borderId="1" xfId="6" applyNumberFormat="1" applyFont="1" applyFill="1" applyBorder="1" applyAlignment="1">
      <alignment horizontal="center" vertical="center"/>
    </xf>
    <xf numFmtId="49" fontId="11" fillId="28" borderId="1" xfId="6" applyNumberFormat="1" applyFont="1" applyFill="1" applyBorder="1" applyAlignment="1">
      <alignment horizontal="center" vertical="center"/>
    </xf>
    <xf numFmtId="49" fontId="11" fillId="29" borderId="1" xfId="6" applyNumberFormat="1" applyFont="1" applyFill="1" applyBorder="1" applyAlignment="1">
      <alignment horizontal="center" vertical="center"/>
    </xf>
    <xf numFmtId="49" fontId="11" fillId="30" borderId="1" xfId="6" applyNumberFormat="1" applyFont="1" applyFill="1" applyBorder="1" applyAlignment="1">
      <alignment horizontal="center" vertical="center"/>
    </xf>
    <xf numFmtId="49" fontId="11" fillId="31" borderId="1" xfId="6" applyNumberFormat="1" applyFont="1" applyFill="1" applyBorder="1" applyAlignment="1">
      <alignment horizontal="center" vertical="center"/>
    </xf>
    <xf numFmtId="49" fontId="11" fillId="32" borderId="1" xfId="6" applyNumberFormat="1" applyFont="1" applyFill="1" applyBorder="1" applyAlignment="1">
      <alignment horizontal="center" vertical="center"/>
    </xf>
    <xf numFmtId="49" fontId="11" fillId="33" borderId="1" xfId="6" applyNumberFormat="1" applyFont="1" applyFill="1" applyBorder="1" applyAlignment="1">
      <alignment horizontal="center" vertical="center"/>
    </xf>
    <xf numFmtId="49" fontId="11" fillId="34" borderId="1" xfId="6" applyNumberFormat="1" applyFont="1" applyFill="1" applyBorder="1" applyAlignment="1">
      <alignment horizontal="center" vertical="center"/>
    </xf>
    <xf numFmtId="49" fontId="11" fillId="35" borderId="1" xfId="6" applyNumberFormat="1" applyFont="1" applyFill="1" applyBorder="1" applyAlignment="1">
      <alignment horizontal="center" vertical="center"/>
    </xf>
    <xf numFmtId="49" fontId="11" fillId="36" borderId="1" xfId="6" applyNumberFormat="1" applyFont="1" applyFill="1" applyBorder="1" applyAlignment="1">
      <alignment horizontal="center" vertical="center"/>
    </xf>
    <xf numFmtId="49" fontId="11" fillId="37" borderId="1" xfId="6" applyNumberFormat="1" applyFont="1" applyFill="1" applyBorder="1" applyAlignment="1">
      <alignment horizontal="center" vertical="center"/>
    </xf>
    <xf numFmtId="49" fontId="11" fillId="38" borderId="1" xfId="6" applyNumberFormat="1" applyFont="1" applyFill="1" applyBorder="1" applyAlignment="1">
      <alignment horizontal="center" vertical="center"/>
    </xf>
    <xf numFmtId="49" fontId="11" fillId="39" borderId="1" xfId="6" applyNumberFormat="1" applyFont="1" applyFill="1" applyBorder="1" applyAlignment="1">
      <alignment horizontal="center" vertical="center"/>
    </xf>
    <xf numFmtId="49" fontId="11" fillId="40" borderId="1" xfId="6" applyNumberFormat="1" applyFont="1" applyFill="1" applyBorder="1" applyAlignment="1">
      <alignment horizontal="center" vertical="center"/>
    </xf>
    <xf numFmtId="49" fontId="11" fillId="41" borderId="1" xfId="6" applyNumberFormat="1" applyFont="1" applyFill="1" applyBorder="1" applyAlignment="1">
      <alignment horizontal="center" vertical="center"/>
    </xf>
    <xf numFmtId="49" fontId="11" fillId="42" borderId="1" xfId="6" applyNumberFormat="1" applyFont="1" applyFill="1" applyBorder="1" applyAlignment="1">
      <alignment horizontal="center" vertical="center"/>
    </xf>
    <xf numFmtId="49" fontId="11" fillId="43" borderId="1" xfId="6" applyNumberFormat="1" applyFont="1" applyFill="1" applyBorder="1" applyAlignment="1">
      <alignment horizontal="center" vertical="center"/>
    </xf>
    <xf numFmtId="49" fontId="11" fillId="44" borderId="1" xfId="6" applyNumberFormat="1" applyFont="1" applyFill="1" applyBorder="1" applyAlignment="1">
      <alignment horizontal="center" vertical="center"/>
    </xf>
    <xf numFmtId="49" fontId="11" fillId="45" borderId="1" xfId="6" applyNumberFormat="1" applyFont="1" applyFill="1" applyBorder="1" applyAlignment="1">
      <alignment horizontal="center" vertical="center"/>
    </xf>
    <xf numFmtId="49" fontId="11" fillId="46" borderId="1" xfId="6" applyNumberFormat="1" applyFont="1" applyFill="1" applyBorder="1" applyAlignment="1">
      <alignment horizontal="center" vertical="center"/>
    </xf>
    <xf numFmtId="49" fontId="11" fillId="47" borderId="1" xfId="6" applyNumberFormat="1" applyFont="1" applyFill="1" applyBorder="1" applyAlignment="1">
      <alignment horizontal="center" vertical="center"/>
    </xf>
    <xf numFmtId="49" fontId="11" fillId="48" borderId="1" xfId="6" applyNumberFormat="1" applyFont="1" applyFill="1" applyBorder="1" applyAlignment="1">
      <alignment horizontal="center" vertical="center"/>
    </xf>
    <xf numFmtId="49" fontId="11" fillId="49" borderId="1" xfId="6" applyNumberFormat="1" applyFont="1" applyFill="1" applyBorder="1" applyAlignment="1">
      <alignment horizontal="center" vertical="center"/>
    </xf>
    <xf numFmtId="49" fontId="11" fillId="50" borderId="1" xfId="6" applyNumberFormat="1" applyFont="1" applyFill="1" applyBorder="1" applyAlignment="1">
      <alignment horizontal="center" vertical="center"/>
    </xf>
    <xf numFmtId="49" fontId="11" fillId="51" borderId="1" xfId="6" applyNumberFormat="1" applyFont="1" applyFill="1" applyBorder="1" applyAlignment="1">
      <alignment horizontal="center" vertical="center"/>
    </xf>
    <xf numFmtId="49" fontId="11" fillId="52" borderId="1" xfId="6" applyNumberFormat="1" applyFont="1" applyFill="1" applyBorder="1" applyAlignment="1">
      <alignment horizontal="center" vertical="center"/>
    </xf>
    <xf numFmtId="49" fontId="11" fillId="53" borderId="1" xfId="6" applyNumberFormat="1" applyFont="1" applyFill="1" applyBorder="1" applyAlignment="1">
      <alignment horizontal="center" vertical="center"/>
    </xf>
    <xf numFmtId="49" fontId="11" fillId="54" borderId="1" xfId="6" applyNumberFormat="1" applyFont="1" applyFill="1" applyBorder="1" applyAlignment="1">
      <alignment horizontal="center" vertical="center"/>
    </xf>
    <xf numFmtId="49" fontId="11" fillId="55" borderId="1" xfId="6" applyNumberFormat="1" applyFont="1" applyFill="1" applyBorder="1" applyAlignment="1">
      <alignment horizontal="center" vertical="center"/>
    </xf>
    <xf numFmtId="49" fontId="11" fillId="56" borderId="1" xfId="6" applyNumberFormat="1" applyFont="1" applyFill="1" applyBorder="1" applyAlignment="1">
      <alignment horizontal="center" vertical="center"/>
    </xf>
    <xf numFmtId="49" fontId="11" fillId="57" borderId="1" xfId="6" applyNumberFormat="1" applyFont="1" applyFill="1" applyBorder="1" applyAlignment="1">
      <alignment horizontal="center" vertical="center"/>
    </xf>
    <xf numFmtId="49" fontId="11" fillId="58" borderId="1" xfId="6" applyNumberFormat="1" applyFont="1" applyFill="1" applyBorder="1" applyAlignment="1">
      <alignment horizontal="center" vertical="center"/>
    </xf>
    <xf numFmtId="49" fontId="11" fillId="59" borderId="1" xfId="6" applyNumberFormat="1" applyFont="1" applyFill="1" applyBorder="1" applyAlignment="1">
      <alignment horizontal="center" vertical="center"/>
    </xf>
    <xf numFmtId="49" fontId="11" fillId="60" borderId="1" xfId="6" applyNumberFormat="1" applyFont="1" applyFill="1" applyBorder="1" applyAlignment="1">
      <alignment horizontal="center" vertical="center"/>
    </xf>
    <xf numFmtId="49" fontId="16" fillId="61" borderId="1" xfId="6" applyNumberFormat="1" applyFont="1" applyFill="1" applyBorder="1" applyAlignment="1">
      <alignment horizontal="center" vertical="center"/>
    </xf>
    <xf numFmtId="49" fontId="11" fillId="15" borderId="1" xfId="6" applyNumberFormat="1" applyFont="1" applyFill="1" applyBorder="1" applyAlignment="1">
      <alignment horizontal="center" vertical="center"/>
    </xf>
    <xf numFmtId="49" fontId="11" fillId="14" borderId="1" xfId="6" applyNumberFormat="1" applyFont="1" applyFill="1" applyBorder="1" applyAlignment="1">
      <alignment horizontal="center" vertical="center"/>
    </xf>
    <xf numFmtId="49" fontId="11" fillId="62" borderId="1" xfId="6" applyNumberFormat="1" applyFont="1" applyFill="1" applyBorder="1" applyAlignment="1">
      <alignment horizontal="center" vertical="center"/>
    </xf>
    <xf numFmtId="49" fontId="11" fillId="63" borderId="1" xfId="6" applyNumberFormat="1" applyFont="1" applyFill="1" applyBorder="1" applyAlignment="1">
      <alignment horizontal="center" vertical="center"/>
    </xf>
    <xf numFmtId="49" fontId="11" fillId="64" borderId="1" xfId="6" applyNumberFormat="1" applyFont="1" applyFill="1" applyBorder="1" applyAlignment="1">
      <alignment horizontal="center" vertical="center"/>
    </xf>
    <xf numFmtId="49" fontId="10" fillId="76" borderId="1" xfId="6" applyNumberFormat="1" applyFont="1" applyFill="1" applyBorder="1" applyAlignment="1">
      <alignment horizontal="center" vertical="center"/>
    </xf>
    <xf numFmtId="49" fontId="10" fillId="77" borderId="1" xfId="6" applyNumberFormat="1" applyFont="1" applyFill="1" applyBorder="1" applyAlignment="1">
      <alignment horizontal="center" vertical="center"/>
    </xf>
    <xf numFmtId="49" fontId="10" fillId="78" borderId="1" xfId="6" applyNumberFormat="1" applyFont="1" applyFill="1" applyBorder="1" applyAlignment="1">
      <alignment horizontal="center" vertical="center"/>
    </xf>
    <xf numFmtId="49" fontId="10" fillId="79" borderId="1" xfId="6" applyNumberFormat="1" applyFont="1" applyFill="1" applyBorder="1" applyAlignment="1">
      <alignment horizontal="center" vertical="center"/>
    </xf>
    <xf numFmtId="49" fontId="10" fillId="80" borderId="1" xfId="6" applyNumberFormat="1" applyFont="1" applyFill="1" applyBorder="1" applyAlignment="1">
      <alignment horizontal="center" vertical="center"/>
    </xf>
    <xf numFmtId="49" fontId="10" fillId="81" borderId="1" xfId="6" applyNumberFormat="1" applyFont="1" applyFill="1" applyBorder="1" applyAlignment="1">
      <alignment horizontal="center" vertical="center"/>
    </xf>
    <xf numFmtId="49" fontId="10" fillId="82" borderId="1" xfId="6" applyNumberFormat="1" applyFont="1" applyFill="1" applyBorder="1" applyAlignment="1">
      <alignment horizontal="center" vertical="center"/>
    </xf>
    <xf numFmtId="49" fontId="10" fillId="83" borderId="1" xfId="6" applyNumberFormat="1" applyFont="1" applyFill="1" applyBorder="1" applyAlignment="1">
      <alignment horizontal="center" vertical="center"/>
    </xf>
    <xf numFmtId="49" fontId="10" fillId="84" borderId="1" xfId="6" applyNumberFormat="1" applyFont="1" applyFill="1" applyBorder="1" applyAlignment="1">
      <alignment horizontal="center" vertical="center"/>
    </xf>
    <xf numFmtId="49" fontId="10" fillId="85" borderId="1" xfId="6" applyNumberFormat="1" applyFont="1" applyFill="1" applyBorder="1" applyAlignment="1">
      <alignment horizontal="center" vertical="center"/>
    </xf>
    <xf numFmtId="49" fontId="10" fillId="86" borderId="1" xfId="6" applyNumberFormat="1" applyFont="1" applyFill="1" applyBorder="1" applyAlignment="1">
      <alignment horizontal="center" vertical="center"/>
    </xf>
    <xf numFmtId="49" fontId="10" fillId="87" borderId="1" xfId="6" applyNumberFormat="1" applyFont="1" applyFill="1" applyBorder="1" applyAlignment="1">
      <alignment horizontal="center" vertical="center"/>
    </xf>
    <xf numFmtId="49" fontId="10" fillId="88" borderId="1" xfId="6" applyNumberFormat="1" applyFont="1" applyFill="1" applyBorder="1" applyAlignment="1">
      <alignment horizontal="center" vertical="center"/>
    </xf>
    <xf numFmtId="49" fontId="10" fillId="89" borderId="1" xfId="6" applyNumberFormat="1" applyFont="1" applyFill="1" applyBorder="1" applyAlignment="1">
      <alignment horizontal="center" vertical="center"/>
    </xf>
    <xf numFmtId="49" fontId="10" fillId="90" borderId="1" xfId="6" applyNumberFormat="1" applyFont="1" applyFill="1" applyBorder="1" applyAlignment="1">
      <alignment horizontal="center" vertical="center"/>
    </xf>
    <xf numFmtId="49" fontId="10" fillId="91" borderId="1" xfId="6" applyNumberFormat="1" applyFont="1" applyFill="1" applyBorder="1" applyAlignment="1">
      <alignment horizontal="center" vertical="center"/>
    </xf>
    <xf numFmtId="49" fontId="10" fillId="92" borderId="1" xfId="6" applyNumberFormat="1" applyFont="1" applyFill="1" applyBorder="1" applyAlignment="1">
      <alignment horizontal="center" vertical="center"/>
    </xf>
    <xf numFmtId="49" fontId="10" fillId="93" borderId="1" xfId="6" applyNumberFormat="1" applyFont="1" applyFill="1" applyBorder="1" applyAlignment="1">
      <alignment horizontal="center" vertical="center"/>
    </xf>
    <xf numFmtId="49" fontId="10" fillId="94" borderId="1" xfId="6" applyNumberFormat="1" applyFont="1" applyFill="1" applyBorder="1" applyAlignment="1">
      <alignment horizontal="center" vertical="center"/>
    </xf>
    <xf numFmtId="49" fontId="10" fillId="95" borderId="1" xfId="6" applyNumberFormat="1" applyFont="1" applyFill="1" applyBorder="1" applyAlignment="1">
      <alignment horizontal="center" vertical="center"/>
    </xf>
    <xf numFmtId="49" fontId="10" fillId="96" borderId="1" xfId="6" applyNumberFormat="1" applyFont="1" applyFill="1" applyBorder="1" applyAlignment="1">
      <alignment horizontal="center" vertical="center"/>
    </xf>
    <xf numFmtId="49" fontId="10" fillId="97" borderId="1" xfId="6" applyNumberFormat="1" applyFont="1" applyFill="1" applyBorder="1" applyAlignment="1">
      <alignment horizontal="center" vertical="center"/>
    </xf>
    <xf numFmtId="49" fontId="10" fillId="98" borderId="1" xfId="6" applyNumberFormat="1" applyFont="1" applyFill="1" applyBorder="1" applyAlignment="1">
      <alignment horizontal="center" vertical="center"/>
    </xf>
    <xf numFmtId="49" fontId="10" fillId="99" borderId="1" xfId="6" applyNumberFormat="1" applyFont="1" applyFill="1" applyBorder="1" applyAlignment="1">
      <alignment horizontal="center" vertical="center"/>
    </xf>
    <xf numFmtId="49" fontId="10" fillId="100" borderId="1" xfId="6" applyNumberFormat="1" applyFont="1" applyFill="1" applyBorder="1" applyAlignment="1">
      <alignment horizontal="center" vertical="center"/>
    </xf>
    <xf numFmtId="49" fontId="10" fillId="101" borderId="1" xfId="6" applyNumberFormat="1" applyFont="1" applyFill="1" applyBorder="1" applyAlignment="1">
      <alignment horizontal="center" vertical="center"/>
    </xf>
    <xf numFmtId="49" fontId="10" fillId="102" borderId="1" xfId="6" applyNumberFormat="1" applyFont="1" applyFill="1" applyBorder="1" applyAlignment="1">
      <alignment horizontal="center" vertical="center"/>
    </xf>
    <xf numFmtId="49" fontId="10" fillId="103" borderId="1" xfId="6" applyNumberFormat="1" applyFont="1" applyFill="1" applyBorder="1" applyAlignment="1">
      <alignment horizontal="center" vertical="center"/>
    </xf>
    <xf numFmtId="49" fontId="10" fillId="104" borderId="1" xfId="6" applyNumberFormat="1" applyFont="1" applyFill="1" applyBorder="1" applyAlignment="1">
      <alignment horizontal="center" vertical="center"/>
    </xf>
    <xf numFmtId="49" fontId="10" fillId="105" borderId="1" xfId="6" applyNumberFormat="1" applyFont="1" applyFill="1" applyBorder="1" applyAlignment="1">
      <alignment horizontal="center" vertical="center"/>
    </xf>
    <xf numFmtId="49" fontId="10" fillId="106" borderId="1" xfId="6" applyNumberFormat="1" applyFont="1" applyFill="1" applyBorder="1" applyAlignment="1">
      <alignment horizontal="center" vertical="center"/>
    </xf>
    <xf numFmtId="49" fontId="10" fillId="107" borderId="1" xfId="6" applyNumberFormat="1" applyFont="1" applyFill="1" applyBorder="1" applyAlignment="1">
      <alignment horizontal="center" vertical="center"/>
    </xf>
    <xf numFmtId="49" fontId="10" fillId="108" borderId="1" xfId="6" applyNumberFormat="1" applyFont="1" applyFill="1" applyBorder="1" applyAlignment="1">
      <alignment horizontal="center" vertical="center"/>
    </xf>
    <xf numFmtId="49" fontId="10" fillId="109" borderId="1" xfId="6" applyNumberFormat="1" applyFont="1" applyFill="1" applyBorder="1" applyAlignment="1">
      <alignment horizontal="center" vertical="center"/>
    </xf>
    <xf numFmtId="49" fontId="10" fillId="110" borderId="1" xfId="6" applyNumberFormat="1" applyFont="1" applyFill="1" applyBorder="1" applyAlignment="1">
      <alignment horizontal="center" vertical="center"/>
    </xf>
    <xf numFmtId="49" fontId="10" fillId="111" borderId="1" xfId="6" applyNumberFormat="1" applyFont="1" applyFill="1" applyBorder="1" applyAlignment="1">
      <alignment horizontal="center" vertical="center"/>
    </xf>
    <xf numFmtId="49" fontId="10" fillId="112" borderId="1" xfId="6" applyNumberFormat="1" applyFont="1" applyFill="1" applyBorder="1" applyAlignment="1">
      <alignment horizontal="center" vertical="center"/>
    </xf>
    <xf numFmtId="49" fontId="10" fillId="113" borderId="1" xfId="6" applyNumberFormat="1" applyFont="1" applyFill="1" applyBorder="1" applyAlignment="1">
      <alignment horizontal="center" vertical="center"/>
    </xf>
    <xf numFmtId="49" fontId="10" fillId="114" borderId="1" xfId="6" applyNumberFormat="1" applyFont="1" applyFill="1" applyBorder="1" applyAlignment="1">
      <alignment horizontal="center" vertical="center"/>
    </xf>
    <xf numFmtId="49" fontId="10" fillId="115" borderId="1" xfId="6" applyNumberFormat="1" applyFont="1" applyFill="1" applyBorder="1" applyAlignment="1">
      <alignment horizontal="center" vertical="center"/>
    </xf>
    <xf numFmtId="49" fontId="10" fillId="116" borderId="1" xfId="6" applyNumberFormat="1" applyFont="1" applyFill="1" applyBorder="1" applyAlignment="1">
      <alignment horizontal="center" vertical="center"/>
    </xf>
    <xf numFmtId="49" fontId="10" fillId="117" borderId="1" xfId="6" applyNumberFormat="1" applyFont="1" applyFill="1" applyBorder="1" applyAlignment="1">
      <alignment horizontal="center" vertical="center"/>
    </xf>
    <xf numFmtId="49" fontId="10" fillId="118" borderId="1" xfId="6" applyNumberFormat="1" applyFont="1" applyFill="1" applyBorder="1" applyAlignment="1">
      <alignment horizontal="center" vertical="center"/>
    </xf>
    <xf numFmtId="49" fontId="10" fillId="119" borderId="1" xfId="6" applyNumberFormat="1" applyFont="1" applyFill="1" applyBorder="1" applyAlignment="1">
      <alignment horizontal="center" vertical="center"/>
    </xf>
    <xf numFmtId="49" fontId="10" fillId="120" borderId="1" xfId="6" applyNumberFormat="1" applyFont="1" applyFill="1" applyBorder="1" applyAlignment="1">
      <alignment horizontal="center" vertical="center"/>
    </xf>
    <xf numFmtId="49" fontId="10" fillId="121" borderId="1" xfId="6" applyNumberFormat="1" applyFont="1" applyFill="1" applyBorder="1" applyAlignment="1">
      <alignment horizontal="center" vertical="center"/>
    </xf>
    <xf numFmtId="49" fontId="10" fillId="122" borderId="1" xfId="6" applyNumberFormat="1" applyFont="1" applyFill="1" applyBorder="1" applyAlignment="1">
      <alignment horizontal="center" vertical="center"/>
    </xf>
    <xf numFmtId="49" fontId="10" fillId="123" borderId="1" xfId="6" applyNumberFormat="1" applyFont="1" applyFill="1" applyBorder="1" applyAlignment="1">
      <alignment horizontal="center" vertical="center"/>
    </xf>
    <xf numFmtId="49" fontId="10" fillId="124" borderId="1" xfId="6" applyNumberFormat="1" applyFont="1" applyFill="1" applyBorder="1" applyAlignment="1">
      <alignment horizontal="center" vertical="center"/>
    </xf>
    <xf numFmtId="49" fontId="10" fillId="125" borderId="1" xfId="6" applyNumberFormat="1" applyFont="1" applyFill="1" applyBorder="1" applyAlignment="1">
      <alignment horizontal="center" vertical="center"/>
    </xf>
    <xf numFmtId="49" fontId="10" fillId="126" borderId="1" xfId="6" applyNumberFormat="1" applyFont="1" applyFill="1" applyBorder="1" applyAlignment="1">
      <alignment horizontal="center" vertical="center"/>
    </xf>
    <xf numFmtId="49" fontId="10" fillId="127" borderId="1" xfId="6" applyNumberFormat="1" applyFont="1" applyFill="1" applyBorder="1" applyAlignment="1">
      <alignment horizontal="center" vertical="center"/>
    </xf>
    <xf numFmtId="49" fontId="10" fillId="128" borderId="1" xfId="6" applyNumberFormat="1" applyFont="1" applyFill="1" applyBorder="1" applyAlignment="1">
      <alignment horizontal="center" vertical="center"/>
    </xf>
    <xf numFmtId="49" fontId="10" fillId="129" borderId="1" xfId="6" applyNumberFormat="1" applyFont="1" applyFill="1" applyBorder="1" applyAlignment="1">
      <alignment horizontal="center" vertical="center"/>
    </xf>
    <xf numFmtId="49" fontId="10" fillId="130" borderId="1" xfId="6" applyNumberFormat="1" applyFont="1" applyFill="1" applyBorder="1" applyAlignment="1">
      <alignment horizontal="center" vertical="center"/>
    </xf>
    <xf numFmtId="49" fontId="10" fillId="131" borderId="1" xfId="6" applyNumberFormat="1" applyFont="1" applyFill="1" applyBorder="1" applyAlignment="1">
      <alignment horizontal="center" vertical="center"/>
    </xf>
    <xf numFmtId="49" fontId="10" fillId="132" borderId="1" xfId="6" applyNumberFormat="1" applyFont="1" applyFill="1" applyBorder="1" applyAlignment="1">
      <alignment horizontal="center" vertical="center"/>
    </xf>
    <xf numFmtId="49" fontId="10" fillId="133" borderId="1" xfId="6" applyNumberFormat="1" applyFont="1" applyFill="1" applyBorder="1" applyAlignment="1">
      <alignment horizontal="center" vertical="center"/>
    </xf>
    <xf numFmtId="49" fontId="10" fillId="134" borderId="1" xfId="6" applyNumberFormat="1" applyFont="1" applyFill="1" applyBorder="1" applyAlignment="1">
      <alignment horizontal="center" vertical="center"/>
    </xf>
    <xf numFmtId="49" fontId="10" fillId="135" borderId="1" xfId="6" applyNumberFormat="1" applyFont="1" applyFill="1" applyBorder="1" applyAlignment="1">
      <alignment horizontal="center" vertical="center"/>
    </xf>
    <xf numFmtId="49" fontId="10" fillId="136" borderId="1" xfId="6" applyNumberFormat="1" applyFont="1" applyFill="1" applyBorder="1" applyAlignment="1">
      <alignment horizontal="center" vertical="center"/>
    </xf>
    <xf numFmtId="49" fontId="10" fillId="137" borderId="1" xfId="6" applyNumberFormat="1" applyFont="1" applyFill="1" applyBorder="1" applyAlignment="1">
      <alignment horizontal="center" vertical="center"/>
    </xf>
    <xf numFmtId="49" fontId="10" fillId="138" borderId="1" xfId="6" applyNumberFormat="1" applyFont="1" applyFill="1" applyBorder="1" applyAlignment="1">
      <alignment horizontal="center" vertical="center"/>
    </xf>
    <xf numFmtId="49" fontId="10" fillId="139" borderId="1" xfId="6" applyNumberFormat="1" applyFont="1" applyFill="1" applyBorder="1" applyAlignment="1">
      <alignment horizontal="center" vertical="center"/>
    </xf>
    <xf numFmtId="49" fontId="10" fillId="140" borderId="1" xfId="6" applyNumberFormat="1" applyFont="1" applyFill="1" applyBorder="1" applyAlignment="1">
      <alignment horizontal="center" vertical="center"/>
    </xf>
    <xf numFmtId="49" fontId="10" fillId="141" borderId="1" xfId="6" applyNumberFormat="1" applyFont="1" applyFill="1" applyBorder="1" applyAlignment="1">
      <alignment horizontal="center" vertical="center"/>
    </xf>
    <xf numFmtId="49" fontId="10" fillId="142" borderId="1" xfId="6" applyNumberFormat="1" applyFont="1" applyFill="1" applyBorder="1" applyAlignment="1">
      <alignment horizontal="center" vertical="center"/>
    </xf>
    <xf numFmtId="49" fontId="10" fillId="143" borderId="1" xfId="6" applyNumberFormat="1" applyFont="1" applyFill="1" applyBorder="1" applyAlignment="1">
      <alignment horizontal="center" vertical="center"/>
    </xf>
    <xf numFmtId="49" fontId="10" fillId="144" borderId="1" xfId="6" applyNumberFormat="1" applyFont="1" applyFill="1" applyBorder="1" applyAlignment="1">
      <alignment horizontal="center" vertical="center"/>
    </xf>
    <xf numFmtId="49" fontId="10" fillId="145" borderId="1" xfId="6" applyNumberFormat="1" applyFont="1" applyFill="1" applyBorder="1" applyAlignment="1">
      <alignment horizontal="center" vertical="center"/>
    </xf>
    <xf numFmtId="49" fontId="10" fillId="146" borderId="1" xfId="6" applyNumberFormat="1" applyFont="1" applyFill="1" applyBorder="1" applyAlignment="1">
      <alignment horizontal="center" vertical="center"/>
    </xf>
    <xf numFmtId="49" fontId="10" fillId="147" borderId="1" xfId="6" applyNumberFormat="1" applyFont="1" applyFill="1" applyBorder="1" applyAlignment="1">
      <alignment horizontal="center" vertical="center"/>
    </xf>
    <xf numFmtId="49" fontId="10" fillId="148" borderId="1" xfId="6" applyNumberFormat="1" applyFont="1" applyFill="1" applyBorder="1" applyAlignment="1">
      <alignment horizontal="center" vertical="center"/>
    </xf>
    <xf numFmtId="49" fontId="10" fillId="149" borderId="1" xfId="6" applyNumberFormat="1" applyFont="1" applyFill="1" applyBorder="1" applyAlignment="1">
      <alignment horizontal="center" vertical="center"/>
    </xf>
    <xf numFmtId="49" fontId="10" fillId="150" borderId="1" xfId="6" applyNumberFormat="1" applyFont="1" applyFill="1" applyBorder="1" applyAlignment="1">
      <alignment horizontal="center" vertical="center"/>
    </xf>
    <xf numFmtId="49" fontId="10" fillId="151" borderId="1" xfId="6" applyNumberFormat="1" applyFont="1" applyFill="1" applyBorder="1" applyAlignment="1">
      <alignment horizontal="center" vertical="center"/>
    </xf>
    <xf numFmtId="49" fontId="10" fillId="152" borderId="1" xfId="6" applyNumberFormat="1" applyFont="1" applyFill="1" applyBorder="1" applyAlignment="1">
      <alignment horizontal="center" vertical="center"/>
    </xf>
    <xf numFmtId="49" fontId="10" fillId="153" borderId="1" xfId="6" applyNumberFormat="1" applyFont="1" applyFill="1" applyBorder="1" applyAlignment="1">
      <alignment horizontal="center" vertical="center"/>
    </xf>
    <xf numFmtId="49" fontId="10" fillId="154" borderId="1" xfId="6" applyNumberFormat="1" applyFont="1" applyFill="1" applyBorder="1" applyAlignment="1">
      <alignment horizontal="center" vertical="center"/>
    </xf>
    <xf numFmtId="49" fontId="10" fillId="155" borderId="1" xfId="6" applyNumberFormat="1" applyFont="1" applyFill="1" applyBorder="1" applyAlignment="1">
      <alignment horizontal="center" vertical="center"/>
    </xf>
    <xf numFmtId="49" fontId="10" fillId="156" borderId="1" xfId="6" applyNumberFormat="1" applyFont="1" applyFill="1" applyBorder="1" applyAlignment="1">
      <alignment horizontal="center" vertical="center"/>
    </xf>
    <xf numFmtId="49" fontId="10" fillId="157" borderId="1" xfId="6" applyNumberFormat="1" applyFont="1" applyFill="1" applyBorder="1" applyAlignment="1">
      <alignment horizontal="center" vertical="center"/>
    </xf>
    <xf numFmtId="49" fontId="10" fillId="158" borderId="1" xfId="6" applyNumberFormat="1" applyFont="1" applyFill="1" applyBorder="1" applyAlignment="1">
      <alignment horizontal="center" vertical="center"/>
    </xf>
    <xf numFmtId="49" fontId="10" fillId="159" borderId="1" xfId="6" applyNumberFormat="1" applyFont="1" applyFill="1" applyBorder="1" applyAlignment="1">
      <alignment horizontal="center" vertical="center"/>
    </xf>
    <xf numFmtId="49" fontId="10" fillId="160" borderId="1" xfId="6" applyNumberFormat="1" applyFont="1" applyFill="1" applyBorder="1" applyAlignment="1">
      <alignment horizontal="center" vertical="center"/>
    </xf>
    <xf numFmtId="49" fontId="10" fillId="161" borderId="1" xfId="6" applyNumberFormat="1" applyFont="1" applyFill="1" applyBorder="1" applyAlignment="1">
      <alignment horizontal="center" vertical="center"/>
    </xf>
    <xf numFmtId="49" fontId="10" fillId="162" borderId="1" xfId="6" applyNumberFormat="1" applyFont="1" applyFill="1" applyBorder="1" applyAlignment="1">
      <alignment horizontal="center" vertical="center"/>
    </xf>
    <xf numFmtId="49" fontId="10" fillId="163" borderId="1" xfId="6" applyNumberFormat="1" applyFont="1" applyFill="1" applyBorder="1" applyAlignment="1">
      <alignment horizontal="center" vertical="center"/>
    </xf>
    <xf numFmtId="0" fontId="11" fillId="0" borderId="1" xfId="6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11" fillId="3" borderId="1" xfId="6" applyFont="1" applyFill="1" applyBorder="1" applyAlignment="1">
      <alignment horizontal="center" wrapText="1"/>
    </xf>
    <xf numFmtId="0" fontId="11" fillId="3" borderId="1" xfId="6" applyFont="1" applyFill="1" applyBorder="1" applyAlignment="1">
      <alignment horizontal="center" vertical="center"/>
    </xf>
    <xf numFmtId="0" fontId="30" fillId="65" borderId="1" xfId="9" applyFont="1" applyBorder="1" applyAlignment="1">
      <alignment horizontal="center" vertical="center"/>
    </xf>
    <xf numFmtId="0" fontId="11" fillId="0" borderId="1" xfId="6" applyFont="1" applyBorder="1" applyAlignment="1">
      <alignment horizontal="center" wrapText="1"/>
    </xf>
    <xf numFmtId="0" fontId="11" fillId="164" borderId="1" xfId="0" applyFont="1" applyFill="1" applyBorder="1" applyAlignment="1">
      <alignment horizontal="center" vertical="center"/>
    </xf>
    <xf numFmtId="0" fontId="11" fillId="165" borderId="1" xfId="0" applyFont="1" applyFill="1" applyBorder="1" applyAlignment="1">
      <alignment horizontal="center" vertical="center"/>
    </xf>
    <xf numFmtId="0" fontId="11" fillId="166" borderId="1" xfId="0" applyFont="1" applyFill="1" applyBorder="1" applyAlignment="1">
      <alignment horizontal="center" vertical="center"/>
    </xf>
    <xf numFmtId="0" fontId="11" fillId="9" borderId="1" xfId="0" applyFont="1" applyFill="1" applyBorder="1" applyAlignment="1">
      <alignment horizontal="center" vertical="center" wrapText="1"/>
    </xf>
    <xf numFmtId="0" fontId="31" fillId="0" borderId="0" xfId="0" applyFont="1" applyAlignment="1">
      <alignment horizontal="center" vertical="center"/>
    </xf>
    <xf numFmtId="0" fontId="32" fillId="0" borderId="0" xfId="0" applyFont="1" applyAlignment="1">
      <alignment wrapText="1"/>
    </xf>
    <xf numFmtId="3" fontId="8" fillId="0" borderId="1" xfId="0" applyNumberFormat="1" applyFont="1" applyBorder="1" applyAlignment="1">
      <alignment wrapText="1"/>
    </xf>
    <xf numFmtId="0" fontId="11" fillId="167" borderId="1" xfId="0" applyFont="1" applyFill="1" applyBorder="1" applyAlignment="1">
      <alignment horizontal="center" vertical="center" wrapText="1"/>
    </xf>
    <xf numFmtId="0" fontId="33" fillId="0" borderId="0" xfId="0" applyFont="1" applyAlignment="1">
      <alignment horizontal="center" vertical="center" wrapText="1"/>
    </xf>
    <xf numFmtId="0" fontId="11" fillId="9" borderId="5" xfId="0" applyFont="1" applyFill="1" applyBorder="1" applyAlignment="1">
      <alignment horizontal="center" vertical="center"/>
    </xf>
    <xf numFmtId="0" fontId="11" fillId="9" borderId="3" xfId="0" applyFont="1" applyFill="1" applyBorder="1" applyAlignment="1">
      <alignment horizontal="center" vertical="center" wrapText="1"/>
    </xf>
    <xf numFmtId="0" fontId="10" fillId="3" borderId="6" xfId="0" applyFont="1" applyFill="1" applyBorder="1" applyAlignment="1">
      <alignment horizontal="center" vertical="center"/>
    </xf>
    <xf numFmtId="0" fontId="11" fillId="10" borderId="7" xfId="0" applyFont="1" applyFill="1" applyBorder="1" applyAlignment="1">
      <alignment horizontal="center" vertical="center"/>
    </xf>
    <xf numFmtId="0" fontId="7" fillId="16" borderId="8" xfId="0" applyFont="1" applyFill="1" applyBorder="1" applyAlignment="1">
      <alignment horizontal="center" vertical="center" wrapText="1"/>
    </xf>
    <xf numFmtId="0" fontId="7" fillId="16" borderId="9" xfId="0" applyFont="1" applyFill="1" applyBorder="1" applyAlignment="1">
      <alignment horizontal="center" vertical="center" wrapText="1"/>
    </xf>
    <xf numFmtId="0" fontId="11" fillId="9" borderId="11" xfId="0" applyFont="1" applyFill="1" applyBorder="1" applyAlignment="1">
      <alignment horizontal="center" vertical="center"/>
    </xf>
    <xf numFmtId="0" fontId="11" fillId="9" borderId="10" xfId="0" applyFont="1" applyFill="1" applyBorder="1" applyAlignment="1">
      <alignment horizontal="center" vertical="center"/>
    </xf>
    <xf numFmtId="0" fontId="11" fillId="10" borderId="12" xfId="0" applyFont="1" applyFill="1" applyBorder="1" applyAlignment="1">
      <alignment horizontal="center" vertical="center"/>
    </xf>
    <xf numFmtId="0" fontId="8" fillId="168" borderId="1" xfId="0" applyFont="1" applyFill="1" applyBorder="1" applyAlignment="1">
      <alignment vertical="center" wrapText="1"/>
    </xf>
    <xf numFmtId="0" fontId="8" fillId="169" borderId="1" xfId="0" applyFont="1" applyFill="1" applyBorder="1" applyAlignment="1">
      <alignment horizontal="center" vertical="center" wrapText="1"/>
    </xf>
    <xf numFmtId="0" fontId="11" fillId="10" borderId="13" xfId="0" applyFont="1" applyFill="1" applyBorder="1" applyAlignment="1">
      <alignment horizontal="center" vertical="center"/>
    </xf>
    <xf numFmtId="0" fontId="11" fillId="10" borderId="14" xfId="0" applyFont="1" applyFill="1" applyBorder="1" applyAlignment="1">
      <alignment horizontal="center" vertical="center"/>
    </xf>
    <xf numFmtId="0" fontId="34" fillId="74" borderId="1" xfId="0" applyFont="1" applyFill="1" applyBorder="1" applyAlignment="1">
      <alignment horizontal="center" vertical="center" wrapText="1"/>
    </xf>
    <xf numFmtId="0" fontId="11" fillId="10" borderId="15" xfId="0" applyFont="1" applyFill="1" applyBorder="1" applyAlignment="1">
      <alignment horizontal="center" vertical="center"/>
    </xf>
    <xf numFmtId="0" fontId="11" fillId="169" borderId="1" xfId="0" applyFont="1" applyFill="1" applyBorder="1" applyAlignment="1">
      <alignment horizontal="center" vertical="center"/>
    </xf>
    <xf numFmtId="0" fontId="8" fillId="0" borderId="3" xfId="0" applyFont="1" applyBorder="1" applyAlignment="1">
      <alignment wrapText="1"/>
    </xf>
    <xf numFmtId="0" fontId="8" fillId="0" borderId="4" xfId="0" applyFont="1" applyBorder="1" applyAlignment="1">
      <alignment wrapText="1"/>
    </xf>
    <xf numFmtId="0" fontId="8" fillId="0" borderId="5" xfId="0" applyFont="1" applyBorder="1" applyAlignment="1">
      <alignment wrapText="1"/>
    </xf>
    <xf numFmtId="0" fontId="8" fillId="0" borderId="3" xfId="0" applyFont="1" applyBorder="1" applyAlignment="1">
      <alignment vertical="center" wrapText="1"/>
    </xf>
    <xf numFmtId="0" fontId="13" fillId="0" borderId="5" xfId="0" applyFont="1" applyBorder="1" applyAlignment="1">
      <alignment vertical="center" wrapText="1"/>
    </xf>
  </cellXfs>
  <cellStyles count="10">
    <cellStyle name="나쁨" xfId="1" builtinId="27"/>
    <cellStyle name="좋음" xfId="9" builtinId="26"/>
    <cellStyle name="표준" xfId="0" builtinId="0"/>
    <cellStyle name="표준 11" xfId="8" xr:uid="{00000000-0005-0000-0000-000003000000}"/>
    <cellStyle name="표준 2" xfId="2" xr:uid="{00000000-0005-0000-0000-000004000000}"/>
    <cellStyle name="표준 2 2" xfId="5" xr:uid="{00000000-0005-0000-0000-000005000000}"/>
    <cellStyle name="표준 3" xfId="3" xr:uid="{00000000-0005-0000-0000-000006000000}"/>
    <cellStyle name="표준 3 2" xfId="7" xr:uid="{00000000-0005-0000-0000-000007000000}"/>
    <cellStyle name="표준 4" xfId="4" xr:uid="{00000000-0005-0000-0000-000008000000}"/>
    <cellStyle name="표준 5" xfId="6" xr:uid="{00000000-0005-0000-0000-000009000000}"/>
  </cellStyles>
  <dxfs count="6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20CB6"/>
      <color rgb="FFF0D300"/>
      <color rgb="FFE4E4E4"/>
      <color rgb="FFC7C7C7"/>
      <color rgb="FFA3A3A3"/>
      <color rgb="FF585858"/>
      <color rgb="FF828282"/>
      <color rgb="FF2C2C2C"/>
      <color rgb="FFFEA0BA"/>
      <color rgb="FFF87AA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work\uwo\game\cms\xls\UWO_&#53580;&#51060;&#48660;.xlsb" TargetMode="External"/><Relationship Id="rId1" Type="http://schemas.openxmlformats.org/officeDocument/2006/relationships/externalLinkPath" Target="UWO_&#53580;&#51060;&#48660;.xlsb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ableIndex"/>
      <sheetName val="NationRankingEffect_New"/>
      <sheetName val="StaffRoll"/>
      <sheetName val="DefaultPoint"/>
      <sheetName val="DefaultMail_BCCN"/>
      <sheetName val="DefaultMail"/>
      <sheetName val="DefaultQuest"/>
      <sheetName val="DefaultSailCrest"/>
      <sheetName val="DefaultSailPattern"/>
      <sheetName val="DefaultSailPatternColor"/>
      <sheetName val="DefaultEquipDyeColor"/>
      <sheetName val="PushNotification"/>
      <sheetName val="DeviceLanguageTypes"/>
      <sheetName val="SoundPack"/>
      <sheetName val="Collection"/>
      <sheetName val="LoadingPage"/>
      <sheetName val="OceanDoodadAreaSpawner"/>
      <sheetName val="OceanDoodadAreaSpawner_BCCN"/>
      <sheetName val="EnterSeaArea"/>
      <sheetName val="OceanDoodad"/>
      <sheetName val="OceanDoodad_BCCN"/>
      <sheetName val="TaxFreePermit"/>
      <sheetName val="Reputation"/>
      <sheetName val="InvestRankTax"/>
      <sheetName val="Point"/>
      <sheetName val="Nation"/>
      <sheetName val="NationDiplomacy"/>
      <sheetName val="NationRankingEffect"/>
      <sheetName val="NationRankingEffect_BCCN"/>
      <sheetName val="CulturalArea"/>
      <sheetName val="Region"/>
      <sheetName val="Region_BCCN"/>
      <sheetName val="Region_BCGL_임시"/>
      <sheetName val="RegionName"/>
      <sheetName val="OceanZone"/>
      <sheetName val="Climate"/>
      <sheetName val="WeatherTile"/>
      <sheetName val="WeatherTileClimate"/>
      <sheetName val="WorldTile"/>
      <sheetName val="Weather"/>
      <sheetName val="Town"/>
      <sheetName val="Town_BCGL_백업"/>
      <sheetName val="Town_BCCN"/>
      <sheetName val="Canal"/>
      <sheetName val="FOWOpenContinentTown"/>
      <sheetName val="TownDevelopExp"/>
      <sheetName val="Emoticon"/>
      <sheetName val="SocialAnimation"/>
      <sheetName val="TownKick"/>
      <sheetName val="AdmissionNpc"/>
      <sheetName val="CompanyExp"/>
      <sheetName val="CompanyExp_BCCN"/>
      <sheetName val="SailMasteryExp"/>
      <sheetName val="OceanCamera"/>
      <sheetName val="WaveRate"/>
      <sheetName val="CurrentRate"/>
      <sheetName val="WindRate"/>
      <sheetName val="RoyalTitle"/>
      <sheetName val="CompanyJob"/>
      <sheetName val="ChannelState"/>
      <sheetName val="WorldState"/>
      <sheetName val="CompanyNameList"/>
      <sheetName val="OceanProtection"/>
      <sheetName val="OceanDisaster"/>
      <sheetName val="SailingDiary"/>
      <sheetName val="Research"/>
      <sheetName val="Research_BCCN"/>
      <sheetName val="Shop"/>
      <sheetName val="Shop_BCCN"/>
      <sheetName val="Shop_BCGL_백업"/>
      <sheetName val="BundleGoods"/>
      <sheetName val="Item"/>
      <sheetName val="ChangeItems"/>
      <sheetName val="SlotExpansion"/>
      <sheetName val="TileToolDefine"/>
      <sheetName val="InvestEventRanking"/>
      <sheetName val="DiscoveryRanking"/>
      <sheetName val="DiscoveryRanking_BCCN"/>
      <sheetName val="_DiscoveryRanking_BCGL"/>
      <sheetName val="PieceSwap"/>
      <sheetName val="PieceSwap_BCCN"/>
      <sheetName val="Religion"/>
      <sheetName val="BuildingBuff"/>
      <sheetName val="BuildingContentsUnlock"/>
      <sheetName val="BuildingMenu"/>
      <sheetName val="MainMenu"/>
      <sheetName val="ContentsTerms"/>
      <sheetName val="Shield"/>
      <sheetName val="ContentsResetHour"/>
      <sheetName val="Language"/>
      <sheetName val="BankInstallmentSavings"/>
      <sheetName val="Fortune"/>
      <sheetName val="BankInsurance"/>
      <sheetName val="DepartSupply"/>
      <sheetName val="BubbleEvent"/>
      <sheetName val="EnchantStatRatio"/>
      <sheetName val="EnchantSeparate"/>
      <sheetName val="SailorDraft"/>
      <sheetName val="AchievementPoint"/>
      <sheetName val="HotTimeBonus"/>
      <sheetName val="HotTimeBonus_BCGL"/>
      <sheetName val="Mail"/>
      <sheetName val="InvestCompanyRanking"/>
      <sheetName val="LoadageRatio"/>
      <sheetName val="StatOperator"/>
      <sheetName val="SystemMessage"/>
      <sheetName val="Ranking"/>
      <sheetName val="Ranking_BCCN"/>
      <sheetName val="Pet"/>
      <sheetName val="Karma"/>
      <sheetName val="_enum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>
        <row r="1">
          <cell r="A1" t="str">
            <v>id</v>
          </cell>
        </row>
        <row r="2">
          <cell r="A2" t="str">
            <v>key:23000000~23999999</v>
          </cell>
        </row>
        <row r="3">
          <cell r="A3" t="str">
            <v>:required</v>
          </cell>
        </row>
        <row r="4">
          <cell r="A4" t="str">
            <v>:min</v>
          </cell>
        </row>
        <row r="5">
          <cell r="A5" t="str">
            <v>:max</v>
          </cell>
        </row>
        <row r="6">
          <cell r="A6" t="str">
            <v>:enum</v>
          </cell>
        </row>
        <row r="7">
          <cell r="A7" t="str">
            <v>:links</v>
          </cell>
        </row>
        <row r="8">
          <cell r="A8">
            <v>23000001</v>
          </cell>
          <cell r="B8" t="str">
            <v>쥐약</v>
          </cell>
        </row>
        <row r="9">
          <cell r="A9">
            <v>23000002</v>
          </cell>
          <cell r="B9" t="str">
            <v>청소 도구</v>
          </cell>
        </row>
        <row r="10">
          <cell r="A10">
            <v>23000003</v>
          </cell>
          <cell r="B10" t="str">
            <v>소화 모래</v>
          </cell>
        </row>
        <row r="11">
          <cell r="A11">
            <v>23000004</v>
          </cell>
          <cell r="B11" t="str">
            <v>통</v>
          </cell>
        </row>
        <row r="12">
          <cell r="A12">
            <v>23000005</v>
          </cell>
          <cell r="B12" t="str">
            <v>라임 주스</v>
          </cell>
        </row>
        <row r="13">
          <cell r="A13">
            <v>23000006</v>
          </cell>
          <cell r="B13" t="str">
            <v>술통</v>
          </cell>
        </row>
        <row r="14">
          <cell r="A14">
            <v>23000007</v>
          </cell>
          <cell r="B14" t="str">
            <v>전염병 치료제</v>
          </cell>
        </row>
        <row r="15">
          <cell r="A15">
            <v>23000008</v>
          </cell>
          <cell r="B15" t="str">
            <v>귀마개</v>
          </cell>
        </row>
        <row r="16">
          <cell r="A16">
            <v>23000009</v>
          </cell>
          <cell r="B16" t="str">
            <v>예비 돛</v>
          </cell>
        </row>
        <row r="17">
          <cell r="A17">
            <v>23000010</v>
          </cell>
          <cell r="B17" t="str">
            <v>예비 키</v>
          </cell>
        </row>
        <row r="18">
          <cell r="A18">
            <v>23000011</v>
          </cell>
          <cell r="B18" t="str">
            <v>징벌의 밧줄</v>
          </cell>
        </row>
        <row r="19">
          <cell r="A19">
            <v>23000012</v>
          </cell>
          <cell r="B19" t="str">
            <v>해먹</v>
          </cell>
        </row>
        <row r="20">
          <cell r="A20">
            <v>23000013</v>
          </cell>
          <cell r="B20" t="str">
            <v>망향의 카리욘벨</v>
          </cell>
        </row>
        <row r="21">
          <cell r="A21">
            <v>23000014</v>
          </cell>
          <cell r="B21" t="str">
            <v>뱃노래 악보</v>
          </cell>
        </row>
        <row r="22">
          <cell r="A22">
            <v>23000025</v>
          </cell>
          <cell r="B22" t="str">
            <v>긴낫</v>
          </cell>
        </row>
        <row r="23">
          <cell r="A23">
            <v>23000028</v>
          </cell>
          <cell r="B23" t="str">
            <v>성스러운 향유</v>
          </cell>
        </row>
        <row r="24">
          <cell r="A24">
            <v>23000029</v>
          </cell>
          <cell r="B24" t="str">
            <v>해신의 부적</v>
          </cell>
        </row>
        <row r="25">
          <cell r="A25">
            <v>23000031</v>
          </cell>
          <cell r="B25" t="str">
            <v>풍신의 콩</v>
          </cell>
        </row>
        <row r="26">
          <cell r="A26">
            <v>23000032</v>
          </cell>
          <cell r="B26" t="str">
            <v>간이 나침반</v>
          </cell>
        </row>
        <row r="27">
          <cell r="A27">
            <v>23000033</v>
          </cell>
          <cell r="B27" t="str">
            <v>허수아비</v>
          </cell>
        </row>
        <row r="28">
          <cell r="A28">
            <v>23000038</v>
          </cell>
          <cell r="B28" t="str">
            <v>보온 도구</v>
          </cell>
        </row>
        <row r="29">
          <cell r="A29">
            <v>23100001</v>
          </cell>
          <cell r="B29" t="str">
            <v>세안약</v>
          </cell>
        </row>
        <row r="30">
          <cell r="A30">
            <v>23100004</v>
          </cell>
          <cell r="B30" t="str">
            <v>톱</v>
          </cell>
        </row>
        <row r="31">
          <cell r="A31">
            <v>23100009</v>
          </cell>
          <cell r="B31" t="str">
            <v>소화 세사</v>
          </cell>
        </row>
        <row r="32">
          <cell r="A32">
            <v>23100011</v>
          </cell>
          <cell r="B32" t="str">
            <v>협상 문서</v>
          </cell>
        </row>
        <row r="33">
          <cell r="A33">
            <v>23100012</v>
          </cell>
          <cell r="B33" t="str">
            <v>초선</v>
          </cell>
        </row>
        <row r="34">
          <cell r="A34">
            <v>23100016</v>
          </cell>
          <cell r="B34" t="str">
            <v>산삼</v>
          </cell>
        </row>
        <row r="35">
          <cell r="A35">
            <v>23100020</v>
          </cell>
          <cell r="B35" t="str">
            <v>간이 공구</v>
          </cell>
        </row>
        <row r="36">
          <cell r="A36">
            <v>23100021</v>
          </cell>
          <cell r="B36" t="str">
            <v>초급 공구</v>
          </cell>
        </row>
        <row r="37">
          <cell r="A37">
            <v>23100022</v>
          </cell>
          <cell r="B37" t="str">
            <v>중급 공구</v>
          </cell>
        </row>
        <row r="38">
          <cell r="A38">
            <v>23100023</v>
          </cell>
          <cell r="B38" t="str">
            <v>고급 공구</v>
          </cell>
        </row>
        <row r="39">
          <cell r="A39">
            <v>23100024</v>
          </cell>
          <cell r="B39" t="str">
            <v>명품 공구</v>
          </cell>
        </row>
        <row r="40">
          <cell r="A40">
            <v>23100025</v>
          </cell>
          <cell r="B40" t="str">
            <v>간이 구급함</v>
          </cell>
        </row>
        <row r="41">
          <cell r="A41">
            <v>23100026</v>
          </cell>
          <cell r="B41" t="str">
            <v>초급 구급함</v>
          </cell>
        </row>
        <row r="42">
          <cell r="A42">
            <v>23100027</v>
          </cell>
          <cell r="B42" t="str">
            <v>중급 구급함</v>
          </cell>
        </row>
        <row r="43">
          <cell r="A43">
            <v>23100028</v>
          </cell>
          <cell r="B43" t="str">
            <v>고급 구급함</v>
          </cell>
        </row>
        <row r="44">
          <cell r="A44">
            <v>23100029</v>
          </cell>
          <cell r="B44" t="str">
            <v>명품 구급함</v>
          </cell>
        </row>
        <row r="45">
          <cell r="A45">
            <v>23100030</v>
          </cell>
          <cell r="B45" t="str">
            <v>일기도</v>
          </cell>
        </row>
        <row r="46">
          <cell r="A46">
            <v>23100031</v>
          </cell>
          <cell r="B46" t="str">
            <v>천청 일기도</v>
          </cell>
        </row>
        <row r="47">
          <cell r="A47">
            <v>23100032</v>
          </cell>
          <cell r="B47" t="str">
            <v>강우 일기도</v>
          </cell>
        </row>
        <row r="48">
          <cell r="A48">
            <v>23100033</v>
          </cell>
          <cell r="B48" t="str">
            <v>폭우 일기도</v>
          </cell>
        </row>
        <row r="49">
          <cell r="A49">
            <v>23100034</v>
          </cell>
          <cell r="B49" t="str">
            <v>강설 일기도</v>
          </cell>
        </row>
        <row r="50">
          <cell r="A50">
            <v>23100035</v>
          </cell>
          <cell r="B50" t="str">
            <v>폭설 일기도</v>
          </cell>
        </row>
        <row r="51">
          <cell r="A51">
            <v>23100037</v>
          </cell>
          <cell r="B51" t="str">
            <v>정북 풍속도</v>
          </cell>
        </row>
        <row r="52">
          <cell r="A52">
            <v>23100038</v>
          </cell>
          <cell r="B52" t="str">
            <v>북동 풍속도</v>
          </cell>
        </row>
        <row r="53">
          <cell r="A53">
            <v>23100039</v>
          </cell>
          <cell r="B53" t="str">
            <v>남동 풍속도</v>
          </cell>
        </row>
        <row r="54">
          <cell r="A54">
            <v>23100040</v>
          </cell>
          <cell r="B54" t="str">
            <v>정남 풍속도</v>
          </cell>
        </row>
        <row r="55">
          <cell r="A55">
            <v>23100041</v>
          </cell>
          <cell r="B55" t="str">
            <v>남서 풍속도</v>
          </cell>
        </row>
        <row r="56">
          <cell r="A56">
            <v>23100042</v>
          </cell>
          <cell r="B56" t="str">
            <v>북서 풍속도</v>
          </cell>
        </row>
        <row r="57">
          <cell r="A57">
            <v>23100043</v>
          </cell>
          <cell r="B57" t="str">
            <v>파고도</v>
          </cell>
        </row>
        <row r="58">
          <cell r="A58">
            <v>23100044</v>
          </cell>
          <cell r="B58" t="str">
            <v>해류도</v>
          </cell>
        </row>
        <row r="59">
          <cell r="A59">
            <v>23100045</v>
          </cell>
          <cell r="B59" t="str">
            <v>마황액</v>
          </cell>
        </row>
        <row r="60">
          <cell r="A60">
            <v>23100046</v>
          </cell>
          <cell r="B60" t="str">
            <v>마황탕</v>
          </cell>
        </row>
        <row r="61">
          <cell r="A61">
            <v>23100047</v>
          </cell>
          <cell r="B61" t="str">
            <v>마행감석탕</v>
          </cell>
        </row>
        <row r="62">
          <cell r="A62">
            <v>23100048</v>
          </cell>
          <cell r="B62" t="str">
            <v>선원권리장서</v>
          </cell>
        </row>
        <row r="63">
          <cell r="A63">
            <v>23100049</v>
          </cell>
          <cell r="B63" t="str">
            <v>선상권리장서</v>
          </cell>
        </row>
        <row r="64">
          <cell r="A64">
            <v>23100050</v>
          </cell>
          <cell r="B64" t="str">
            <v>함대권리장서</v>
          </cell>
        </row>
        <row r="65">
          <cell r="A65">
            <v>23100051</v>
          </cell>
          <cell r="B65" t="str">
            <v>제연탄약</v>
          </cell>
        </row>
        <row r="66">
          <cell r="A66">
            <v>23100052</v>
          </cell>
          <cell r="B66" t="str">
            <v>제연탄</v>
          </cell>
        </row>
        <row r="67">
          <cell r="A67">
            <v>23100053</v>
          </cell>
          <cell r="B67" t="str">
            <v>대형 제연탄</v>
          </cell>
        </row>
        <row r="68">
          <cell r="A68">
            <v>23200020</v>
          </cell>
          <cell r="B68" t="str">
            <v>해독제</v>
          </cell>
        </row>
        <row r="69">
          <cell r="A69">
            <v>23200029</v>
          </cell>
          <cell r="B69" t="str">
            <v>뿔 나팔</v>
          </cell>
        </row>
        <row r="70">
          <cell r="A70">
            <v>23300000</v>
          </cell>
          <cell r="B70" t="str">
            <v>병 속에 담긴 편지</v>
          </cell>
        </row>
        <row r="71">
          <cell r="A71">
            <v>23300001</v>
          </cell>
          <cell r="B71" t="str">
            <v>보물지도 조각</v>
          </cell>
        </row>
        <row r="72">
          <cell r="A72">
            <v>23320000</v>
          </cell>
          <cell r="B72" t="str">
            <v>낡은 편지</v>
          </cell>
        </row>
        <row r="73">
          <cell r="A73">
            <v>23320001</v>
          </cell>
          <cell r="B73" t="str">
            <v>초보자의 편지</v>
          </cell>
        </row>
        <row r="74">
          <cell r="A74">
            <v>23320002</v>
          </cell>
          <cell r="B74" t="str">
            <v>중급자의 편지</v>
          </cell>
        </row>
        <row r="75">
          <cell r="A75">
            <v>23320003</v>
          </cell>
          <cell r="B75" t="str">
            <v>상급자의 편지</v>
          </cell>
        </row>
        <row r="76">
          <cell r="A76">
            <v>23320004</v>
          </cell>
          <cell r="B76" t="str">
            <v>특수한 편지</v>
          </cell>
        </row>
        <row r="77">
          <cell r="A77">
            <v>23320005</v>
          </cell>
          <cell r="B77" t="str">
            <v>전설적인 편지</v>
          </cell>
        </row>
        <row r="78">
          <cell r="A78">
            <v>23320006</v>
          </cell>
          <cell r="B78" t="str">
            <v>알려지지 않은 편지</v>
          </cell>
        </row>
        <row r="79">
          <cell r="A79">
            <v>23320007</v>
          </cell>
          <cell r="B79" t="str">
            <v>애호가 협회 전단지</v>
          </cell>
        </row>
        <row r="80">
          <cell r="A80">
            <v>23320008</v>
          </cell>
          <cell r="B80" t="str">
            <v>이름 모를 편지</v>
          </cell>
        </row>
        <row r="81">
          <cell r="A81">
            <v>23320009</v>
          </cell>
          <cell r="B81" t="str">
            <v>현상 수배 지령</v>
          </cell>
        </row>
        <row r="82">
          <cell r="A82">
            <v>23320010</v>
          </cell>
          <cell r="B82" t="str">
            <v>벵겔라로부터 온 편지</v>
          </cell>
        </row>
        <row r="83">
          <cell r="A83">
            <v>23320011</v>
          </cell>
          <cell r="B83" t="str">
            <v>요리사의 편지</v>
          </cell>
        </row>
        <row r="84">
          <cell r="A84">
            <v>23320012</v>
          </cell>
          <cell r="B84" t="str">
            <v>리차드의 편지</v>
          </cell>
        </row>
        <row r="85">
          <cell r="A85">
            <v>23320013</v>
          </cell>
          <cell r="B85" t="str">
            <v>리차드의 두 번째 편지</v>
          </cell>
        </row>
        <row r="86">
          <cell r="A86">
            <v>23320014</v>
          </cell>
          <cell r="B86" t="str">
            <v>리차드의 세 번째 편지</v>
          </cell>
        </row>
        <row r="87">
          <cell r="A87">
            <v>23320015</v>
          </cell>
          <cell r="B87" t="str">
            <v>리차드의 네 번째 편지</v>
          </cell>
        </row>
        <row r="88">
          <cell r="A88">
            <v>23320016</v>
          </cell>
          <cell r="B88" t="str">
            <v>개봉된 편지</v>
          </cell>
        </row>
        <row r="89">
          <cell r="A89">
            <v>23320017</v>
          </cell>
          <cell r="B89" t="str">
            <v>경주 증명서 1번</v>
          </cell>
        </row>
        <row r="90">
          <cell r="A90">
            <v>23320018</v>
          </cell>
          <cell r="B90" t="str">
            <v>경주 증명서 2번</v>
          </cell>
        </row>
        <row r="91">
          <cell r="A91">
            <v>23320019</v>
          </cell>
          <cell r="B91" t="str">
            <v>경주 증명서 3번</v>
          </cell>
        </row>
        <row r="92">
          <cell r="A92">
            <v>23320020</v>
          </cell>
          <cell r="B92" t="str">
            <v>경주 증명서 4번</v>
          </cell>
        </row>
        <row r="93">
          <cell r="A93">
            <v>23320021</v>
          </cell>
          <cell r="B93" t="str">
            <v>반납할 책</v>
          </cell>
        </row>
        <row r="94">
          <cell r="A94">
            <v>23320022</v>
          </cell>
          <cell r="B94" t="str">
            <v>대여한 책</v>
          </cell>
        </row>
        <row r="95">
          <cell r="A95">
            <v>23320023</v>
          </cell>
          <cell r="B95" t="str">
            <v>푸르나마가 받은 보자기</v>
          </cell>
        </row>
        <row r="96">
          <cell r="A96">
            <v>23320024</v>
          </cell>
          <cell r="B96" t="str">
            <v>수라바야의 부적</v>
          </cell>
        </row>
        <row r="97">
          <cell r="A97">
            <v>23320025</v>
          </cell>
          <cell r="B97" t="str">
            <v>서안의 증표</v>
          </cell>
        </row>
        <row r="98">
          <cell r="A98">
            <v>23320026</v>
          </cell>
          <cell r="B98" t="str">
            <v>중경의 증표</v>
          </cell>
        </row>
        <row r="99">
          <cell r="A99">
            <v>23320027</v>
          </cell>
          <cell r="B99" t="str">
            <v>엘레느가 준 포도주</v>
          </cell>
        </row>
        <row r="100">
          <cell r="A100">
            <v>23320028</v>
          </cell>
          <cell r="B100" t="str">
            <v>행운의 고양이</v>
          </cell>
        </row>
        <row r="101">
          <cell r="A101">
            <v>23320029</v>
          </cell>
          <cell r="B101" t="str">
            <v>에밀리아노의 편지</v>
          </cell>
        </row>
        <row r="102">
          <cell r="A102">
            <v>23320030</v>
          </cell>
          <cell r="B102" t="str">
            <v>타마야가 준 편지</v>
          </cell>
        </row>
        <row r="103">
          <cell r="A103">
            <v>23320031</v>
          </cell>
          <cell r="B103" t="str">
            <v>라디아에게 받은 달걀</v>
          </cell>
        </row>
        <row r="104">
          <cell r="A104">
            <v>23320032</v>
          </cell>
          <cell r="B104" t="str">
            <v>아조레스의 타임</v>
          </cell>
        </row>
        <row r="105">
          <cell r="A105">
            <v>23320033</v>
          </cell>
          <cell r="B105" t="str">
            <v>아르긴의 커피</v>
          </cell>
        </row>
        <row r="106">
          <cell r="A106">
            <v>23320034</v>
          </cell>
          <cell r="B106" t="str">
            <v>에든버러의 양</v>
          </cell>
        </row>
        <row r="107">
          <cell r="A107">
            <v>23320035</v>
          </cell>
          <cell r="B107" t="str">
            <v>매력의 반지</v>
          </cell>
        </row>
        <row r="108">
          <cell r="A108">
            <v>23320036</v>
          </cell>
          <cell r="B108" t="str">
            <v>은비녀</v>
          </cell>
        </row>
        <row r="109">
          <cell r="A109">
            <v>23320037</v>
          </cell>
          <cell r="B109" t="str">
            <v>거래 장부</v>
          </cell>
        </row>
        <row r="110">
          <cell r="A110">
            <v>23320038</v>
          </cell>
          <cell r="B110" t="str">
            <v>말린 대추야자</v>
          </cell>
        </row>
        <row r="111">
          <cell r="A111">
            <v>23320039</v>
          </cell>
          <cell r="B111" t="str">
            <v>여자 옷</v>
          </cell>
        </row>
        <row r="112">
          <cell r="A112">
            <v>23320040</v>
          </cell>
          <cell r="B112" t="str">
            <v>초심자용 에페</v>
          </cell>
        </row>
        <row r="113">
          <cell r="A113">
            <v>23320041</v>
          </cell>
          <cell r="B113" t="str">
            <v>기린 가면</v>
          </cell>
        </row>
        <row r="114">
          <cell r="A114">
            <v>23320042</v>
          </cell>
          <cell r="B114" t="str">
            <v>캘리코 잭 문장 그림</v>
          </cell>
        </row>
        <row r="115">
          <cell r="A115">
            <v>23320043</v>
          </cell>
          <cell r="B115" t="str">
            <v>제주 상단의 신용장</v>
          </cell>
        </row>
        <row r="116">
          <cell r="A116">
            <v>23320044</v>
          </cell>
          <cell r="B116" t="str">
            <v>백자 다완</v>
          </cell>
        </row>
        <row r="117">
          <cell r="A117">
            <v>23320045</v>
          </cell>
          <cell r="B117" t="str">
            <v>보물지도 조각 1</v>
          </cell>
        </row>
        <row r="118">
          <cell r="A118">
            <v>23320046</v>
          </cell>
          <cell r="B118" t="str">
            <v>보물지도 조각 2</v>
          </cell>
        </row>
        <row r="119">
          <cell r="A119">
            <v>23320047</v>
          </cell>
          <cell r="B119" t="str">
            <v>보물지도</v>
          </cell>
        </row>
        <row r="120">
          <cell r="A120">
            <v>23320048</v>
          </cell>
          <cell r="B120" t="str">
            <v>보물창고 열쇠</v>
          </cell>
        </row>
        <row r="121">
          <cell r="A121">
            <v>23320049</v>
          </cell>
          <cell r="B121" t="str">
            <v>깨진 유리세공</v>
          </cell>
        </row>
        <row r="122">
          <cell r="A122">
            <v>23320050</v>
          </cell>
          <cell r="B122" t="str">
            <v>미화의 장신구</v>
          </cell>
        </row>
        <row r="123">
          <cell r="A123">
            <v>23320051</v>
          </cell>
          <cell r="B123" t="str">
            <v>베네치아표 목재</v>
          </cell>
        </row>
        <row r="124">
          <cell r="A124">
            <v>23320052</v>
          </cell>
          <cell r="B124" t="str">
            <v>반쪽짜리 지도</v>
          </cell>
        </row>
        <row r="125">
          <cell r="A125">
            <v>23320053</v>
          </cell>
          <cell r="B125" t="str">
            <v>허브 향초</v>
          </cell>
        </row>
        <row r="126">
          <cell r="A126">
            <v>23320054</v>
          </cell>
          <cell r="B126" t="str">
            <v>미심쩍은 툼바가</v>
          </cell>
        </row>
        <row r="127">
          <cell r="A127">
            <v>23320055</v>
          </cell>
          <cell r="B127" t="str">
            <v>정체 모를 쇠구슬</v>
          </cell>
        </row>
        <row r="128">
          <cell r="A128">
            <v>23320056</v>
          </cell>
          <cell r="B128" t="str">
            <v>리리안의 귀걸이</v>
          </cell>
        </row>
        <row r="129">
          <cell r="A129">
            <v>23320057</v>
          </cell>
          <cell r="B129" t="str">
            <v>리리안의 반지</v>
          </cell>
        </row>
        <row r="130">
          <cell r="A130">
            <v>23320058</v>
          </cell>
          <cell r="B130" t="str">
            <v>리리안의 목걸이</v>
          </cell>
        </row>
        <row r="131">
          <cell r="A131">
            <v>23320059</v>
          </cell>
          <cell r="B131" t="str">
            <v>에스파냐의 기밀 칙명</v>
          </cell>
        </row>
        <row r="132">
          <cell r="A132">
            <v>23320060</v>
          </cell>
          <cell r="B132" t="str">
            <v>런던의 수상한 쪽지</v>
          </cell>
        </row>
        <row r="133">
          <cell r="A133">
            <v>23320061</v>
          </cell>
          <cell r="B133" t="str">
            <v>필럼의 기밀문서</v>
          </cell>
        </row>
        <row r="134">
          <cell r="A134">
            <v>23320062</v>
          </cell>
          <cell r="B134" t="str">
            <v>최상품 은방울꽃</v>
          </cell>
        </row>
        <row r="135">
          <cell r="A135">
            <v>23320063</v>
          </cell>
          <cell r="B135" t="str">
            <v>행운의 라벤더</v>
          </cell>
        </row>
        <row r="136">
          <cell r="A136">
            <v>23320064</v>
          </cell>
          <cell r="B136" t="str">
            <v>귀중한 호박</v>
          </cell>
        </row>
        <row r="137">
          <cell r="A137">
            <v>23320065</v>
          </cell>
          <cell r="B137" t="str">
            <v>아르긴의 화석</v>
          </cell>
        </row>
        <row r="138">
          <cell r="A138">
            <v>23320066</v>
          </cell>
          <cell r="B138" t="str">
            <v>배달용 올리브</v>
          </cell>
        </row>
        <row r="139">
          <cell r="A139">
            <v>23320067</v>
          </cell>
          <cell r="B139" t="str">
            <v>배달용 피클</v>
          </cell>
        </row>
        <row r="140">
          <cell r="A140">
            <v>23320068</v>
          </cell>
          <cell r="B140" t="str">
            <v>배달용 인쇄물</v>
          </cell>
        </row>
        <row r="141">
          <cell r="A141">
            <v>23320069</v>
          </cell>
          <cell r="B141" t="str">
            <v>지아나에게 줄 조젯</v>
          </cell>
        </row>
        <row r="142">
          <cell r="A142">
            <v>23320070</v>
          </cell>
          <cell r="B142" t="str">
            <v>지아나에게 줄 니시진오리</v>
          </cell>
        </row>
        <row r="143">
          <cell r="A143">
            <v>23320071</v>
          </cell>
          <cell r="B143" t="str">
            <v>엘리프의 편지</v>
          </cell>
        </row>
        <row r="144">
          <cell r="A144">
            <v>23320072</v>
          </cell>
          <cell r="B144" t="str">
            <v>제바히르의 편지</v>
          </cell>
        </row>
        <row r="145">
          <cell r="A145">
            <v>23320073</v>
          </cell>
          <cell r="B145" t="str">
            <v>상자 속의 기록</v>
          </cell>
        </row>
        <row r="146">
          <cell r="A146">
            <v>23320074</v>
          </cell>
          <cell r="B146" t="str">
            <v>낡은 항해일지</v>
          </cell>
        </row>
        <row r="147">
          <cell r="A147">
            <v>23320075</v>
          </cell>
          <cell r="B147" t="str">
            <v>유적의 항해일지</v>
          </cell>
        </row>
        <row r="148">
          <cell r="A148">
            <v>23320076</v>
          </cell>
          <cell r="B148" t="str">
            <v>가은정의 편지</v>
          </cell>
        </row>
        <row r="149">
          <cell r="A149">
            <v>23320077</v>
          </cell>
          <cell r="B149" t="str">
            <v>자령의 술</v>
          </cell>
        </row>
        <row r="150">
          <cell r="A150">
            <v>23320078</v>
          </cell>
          <cell r="B150" t="str">
            <v>교역용 두루마리</v>
          </cell>
        </row>
        <row r="151">
          <cell r="A151">
            <v>23320079</v>
          </cell>
          <cell r="B151" t="str">
            <v>단서가 적힌 두루마리</v>
          </cell>
        </row>
        <row r="152">
          <cell r="A152">
            <v>23320080</v>
          </cell>
          <cell r="B152" t="str">
            <v>항해 증명서</v>
          </cell>
        </row>
        <row r="153">
          <cell r="A153">
            <v>23320081</v>
          </cell>
          <cell r="B153" t="str">
            <v>네이블 총독의 서신</v>
          </cell>
        </row>
        <row r="154">
          <cell r="A154">
            <v>23320082</v>
          </cell>
          <cell r="B154" t="str">
            <v>발라번 2세의 검</v>
          </cell>
        </row>
        <row r="155">
          <cell r="A155">
            <v>23320083</v>
          </cell>
          <cell r="B155" t="str">
            <v>돌로리스가 쓴 동화</v>
          </cell>
        </row>
        <row r="156">
          <cell r="A156">
            <v>23320084</v>
          </cell>
          <cell r="B156" t="str">
            <v>독서모임 초대장</v>
          </cell>
        </row>
        <row r="157">
          <cell r="A157">
            <v>23320085</v>
          </cell>
          <cell r="B157" t="str">
            <v>비밀 암호문</v>
          </cell>
        </row>
        <row r="158">
          <cell r="A158">
            <v>23320086</v>
          </cell>
          <cell r="B158" t="str">
            <v>아난드의 목걸이</v>
          </cell>
        </row>
        <row r="159">
          <cell r="A159">
            <v>23320087</v>
          </cell>
          <cell r="B159" t="str">
            <v>핀자라의 전설</v>
          </cell>
        </row>
        <row r="160">
          <cell r="A160">
            <v>23320088</v>
          </cell>
          <cell r="B160" t="str">
            <v>호바트의 전설</v>
          </cell>
        </row>
        <row r="161">
          <cell r="A161">
            <v>23320089</v>
          </cell>
          <cell r="B161" t="str">
            <v>주문제작 오팔 반지</v>
          </cell>
        </row>
        <row r="162">
          <cell r="A162">
            <v>23320090</v>
          </cell>
          <cell r="B162" t="str">
            <v>총병관의 서신</v>
          </cell>
        </row>
        <row r="163">
          <cell r="A163">
            <v>23320091</v>
          </cell>
          <cell r="B163" t="str">
            <v>선물용 용정차</v>
          </cell>
        </row>
        <row r="164">
          <cell r="A164">
            <v>23320092</v>
          </cell>
          <cell r="B164" t="str">
            <v>나오미의 그림</v>
          </cell>
        </row>
        <row r="165">
          <cell r="A165">
            <v>23320093</v>
          </cell>
          <cell r="B165" t="str">
            <v>페구산 목재</v>
          </cell>
        </row>
        <row r="166">
          <cell r="A166">
            <v>23320094</v>
          </cell>
          <cell r="B166" t="str">
            <v>버려진 융단</v>
          </cell>
        </row>
        <row r="167">
          <cell r="A167">
            <v>23320095</v>
          </cell>
          <cell r="B167" t="str">
            <v>공연 전단지</v>
          </cell>
        </row>
        <row r="168">
          <cell r="A168">
            <v>23320096</v>
          </cell>
          <cell r="B168" t="str">
            <v>친구의 편지</v>
          </cell>
        </row>
        <row r="169">
          <cell r="A169">
            <v>23320097</v>
          </cell>
          <cell r="B169" t="str">
            <v>청혼 반지</v>
          </cell>
        </row>
        <row r="170">
          <cell r="A170">
            <v>23320098</v>
          </cell>
          <cell r="B170" t="str">
            <v>빚쟁이 해적의 돈</v>
          </cell>
        </row>
        <row r="171">
          <cell r="A171">
            <v>23320099</v>
          </cell>
          <cell r="B171" t="str">
            <v>빚쟁이 해적의 돈2</v>
          </cell>
        </row>
        <row r="172">
          <cell r="A172">
            <v>23320100</v>
          </cell>
          <cell r="B172" t="str">
            <v>빚쟁이 해적의 돈3</v>
          </cell>
        </row>
        <row r="173">
          <cell r="A173">
            <v>23320101</v>
          </cell>
          <cell r="B173" t="str">
            <v>런던 특제 위스키</v>
          </cell>
        </row>
        <row r="174">
          <cell r="A174">
            <v>23320102</v>
          </cell>
          <cell r="B174" t="str">
            <v>암스테르담 특제 진</v>
          </cell>
        </row>
        <row r="175">
          <cell r="A175">
            <v>23320103</v>
          </cell>
          <cell r="B175" t="str">
            <v>함부르크 특제 맥주</v>
          </cell>
        </row>
        <row r="176">
          <cell r="A176">
            <v>23320104</v>
          </cell>
          <cell r="B176" t="str">
            <v>베르겐 특제 아콰비트</v>
          </cell>
        </row>
        <row r="177">
          <cell r="A177">
            <v>23320105</v>
          </cell>
          <cell r="B177" t="str">
            <v>상트페테르부르크 특제 보드카</v>
          </cell>
        </row>
        <row r="178">
          <cell r="A178">
            <v>23320106</v>
          </cell>
          <cell r="B178" t="str">
            <v>칼레 특제 고블랭</v>
          </cell>
        </row>
        <row r="179">
          <cell r="A179">
            <v>23320107</v>
          </cell>
          <cell r="B179" t="str">
            <v>암스테르담 특제 트위드</v>
          </cell>
        </row>
        <row r="180">
          <cell r="A180">
            <v>23320108</v>
          </cell>
          <cell r="B180" t="str">
            <v>상트페테르부르크 특제 펠트</v>
          </cell>
        </row>
        <row r="181">
          <cell r="A181">
            <v>23320109</v>
          </cell>
          <cell r="B181" t="str">
            <v>런던 특제 플란넬</v>
          </cell>
        </row>
        <row r="182">
          <cell r="A182">
            <v>23320110</v>
          </cell>
          <cell r="B182" t="str">
            <v>총독의 서신</v>
          </cell>
        </row>
        <row r="183">
          <cell r="A183">
            <v>23320111</v>
          </cell>
          <cell r="B183" t="str">
            <v>용설란 모종</v>
          </cell>
        </row>
        <row r="184">
          <cell r="A184">
            <v>23320112</v>
          </cell>
          <cell r="B184" t="str">
            <v>특제 푸스틱</v>
          </cell>
        </row>
        <row r="185">
          <cell r="A185">
            <v>23320113</v>
          </cell>
          <cell r="B185" t="str">
            <v>채무자의 돈</v>
          </cell>
        </row>
        <row r="186">
          <cell r="A186">
            <v>23320114</v>
          </cell>
          <cell r="B186" t="str">
            <v>신용 불량자의 돈</v>
          </cell>
        </row>
        <row r="187">
          <cell r="A187">
            <v>23320115</v>
          </cell>
          <cell r="B187" t="str">
            <v>철학자의 돈</v>
          </cell>
        </row>
        <row r="188">
          <cell r="A188">
            <v>23320116</v>
          </cell>
          <cell r="B188" t="str">
            <v>아이의 유골</v>
          </cell>
        </row>
        <row r="189">
          <cell r="A189">
            <v>23320117</v>
          </cell>
          <cell r="B189" t="str">
            <v>아이가 좋아하던 꽃</v>
          </cell>
        </row>
        <row r="190">
          <cell r="A190">
            <v>23320118</v>
          </cell>
          <cell r="B190" t="str">
            <v>마르케스의 서신</v>
          </cell>
        </row>
        <row r="191">
          <cell r="A191">
            <v>23320119</v>
          </cell>
          <cell r="B191" t="str">
            <v>석탄 덩어리</v>
          </cell>
        </row>
        <row r="192">
          <cell r="A192">
            <v>23320120</v>
          </cell>
          <cell r="B192" t="str">
            <v>화승총 견본</v>
          </cell>
        </row>
        <row r="193">
          <cell r="A193">
            <v>23320121</v>
          </cell>
          <cell r="B193" t="str">
            <v>서양 대포 견본</v>
          </cell>
        </row>
        <row r="194">
          <cell r="A194">
            <v>23320122</v>
          </cell>
          <cell r="B194" t="str">
            <v>은 식기 견본</v>
          </cell>
        </row>
        <row r="195">
          <cell r="A195">
            <v>23320123</v>
          </cell>
          <cell r="B195" t="str">
            <v>조작된 서류</v>
          </cell>
        </row>
        <row r="196">
          <cell r="A196">
            <v>23320124</v>
          </cell>
          <cell r="B196" t="str">
            <v>고구마 견본</v>
          </cell>
        </row>
        <row r="197">
          <cell r="A197">
            <v>23320125</v>
          </cell>
          <cell r="B197" t="str">
            <v>종업원에게 줄 선물</v>
          </cell>
        </row>
        <row r="198">
          <cell r="A198">
            <v>23320126</v>
          </cell>
          <cell r="B198" t="str">
            <v>특제 화승총</v>
          </cell>
        </row>
        <row r="199">
          <cell r="A199">
            <v>23320127</v>
          </cell>
          <cell r="B199" t="str">
            <v>일본의 국서</v>
          </cell>
        </row>
        <row r="200">
          <cell r="A200">
            <v>23320128</v>
          </cell>
          <cell r="B200" t="str">
            <v>명의 국서</v>
          </cell>
        </row>
        <row r="201">
          <cell r="A201">
            <v>23320129</v>
          </cell>
          <cell r="B201" t="str">
            <v>포르투갈의 국서</v>
          </cell>
        </row>
        <row r="202">
          <cell r="A202">
            <v>23320130</v>
          </cell>
          <cell r="B202" t="str">
            <v>에스파냐의 국서</v>
          </cell>
        </row>
        <row r="203">
          <cell r="A203">
            <v>23320131</v>
          </cell>
          <cell r="B203" t="str">
            <v>신대륙의 금은보화</v>
          </cell>
        </row>
        <row r="204">
          <cell r="A204">
            <v>23320132</v>
          </cell>
          <cell r="B204" t="str">
            <v>설원의 반지</v>
          </cell>
        </row>
        <row r="205">
          <cell r="A205">
            <v>23320133</v>
          </cell>
          <cell r="B205" t="str">
            <v>특별한 주스</v>
          </cell>
        </row>
        <row r="206">
          <cell r="A206">
            <v>23320134</v>
          </cell>
          <cell r="B206" t="str">
            <v>쌍어 문장 그림</v>
          </cell>
        </row>
        <row r="207">
          <cell r="A207">
            <v>23320135</v>
          </cell>
          <cell r="B207" t="str">
            <v>마살라 돌돔 슈마이</v>
          </cell>
        </row>
        <row r="208">
          <cell r="A208">
            <v>23320136</v>
          </cell>
          <cell r="B208" t="str">
            <v>마살라 돌돔 군만두</v>
          </cell>
        </row>
        <row r="209">
          <cell r="A209">
            <v>23320137</v>
          </cell>
          <cell r="B209" t="str">
            <v>마살라 돌돔 물만두</v>
          </cell>
        </row>
        <row r="210">
          <cell r="A210">
            <v>23320138</v>
          </cell>
          <cell r="B210" t="str">
            <v>가짜 상자</v>
          </cell>
        </row>
        <row r="211">
          <cell r="A211">
            <v>23320139</v>
          </cell>
          <cell r="B211" t="str">
            <v>동남아시아 해도</v>
          </cell>
        </row>
        <row r="212">
          <cell r="A212">
            <v>23320140</v>
          </cell>
          <cell r="B212" t="str">
            <v>훼손된 보물지도</v>
          </cell>
        </row>
        <row r="213">
          <cell r="A213">
            <v>23320141</v>
          </cell>
          <cell r="B213" t="str">
            <v>새 모양의 조각상</v>
          </cell>
        </row>
        <row r="214">
          <cell r="A214">
            <v>23320142</v>
          </cell>
          <cell r="B214" t="str">
            <v>플레이트 아머</v>
          </cell>
        </row>
        <row r="215">
          <cell r="A215">
            <v>23320143</v>
          </cell>
          <cell r="B215" t="str">
            <v>퀴르 부이 저킨</v>
          </cell>
        </row>
        <row r="216">
          <cell r="A216">
            <v>23320144</v>
          </cell>
          <cell r="B216" t="str">
            <v>빛나는 호박 보석</v>
          </cell>
        </row>
        <row r="217">
          <cell r="A217">
            <v>23320145</v>
          </cell>
          <cell r="B217" t="str">
            <v>배달용 돌소금</v>
          </cell>
        </row>
        <row r="218">
          <cell r="A218">
            <v>23320146</v>
          </cell>
          <cell r="B218" t="str">
            <v>여관주인의 해먹</v>
          </cell>
        </row>
        <row r="219">
          <cell r="A219">
            <v>23320147</v>
          </cell>
          <cell r="B219" t="str">
            <v>바바라 팔머의 수영복</v>
          </cell>
        </row>
        <row r="220">
          <cell r="A220">
            <v>23320148</v>
          </cell>
          <cell r="B220" t="str">
            <v>달콤한 바닐라</v>
          </cell>
        </row>
        <row r="221">
          <cell r="A221">
            <v>23320149</v>
          </cell>
          <cell r="B221" t="str">
            <v>새참 진품</v>
          </cell>
        </row>
        <row r="222">
          <cell r="A222">
            <v>23320150</v>
          </cell>
          <cell r="B222" t="str">
            <v>새참 모조품</v>
          </cell>
        </row>
        <row r="223">
          <cell r="A223">
            <v>23320151</v>
          </cell>
          <cell r="B223" t="str">
            <v>의자에 앉은 성모 마리아 진품</v>
          </cell>
        </row>
        <row r="224">
          <cell r="A224">
            <v>23320152</v>
          </cell>
          <cell r="B224" t="str">
            <v>의자에 앉은 성모 마리아 모조품</v>
          </cell>
        </row>
        <row r="225">
          <cell r="A225">
            <v>23320153</v>
          </cell>
          <cell r="B225" t="str">
            <v>남해 회사 투자 증서</v>
          </cell>
        </row>
        <row r="226">
          <cell r="A226">
            <v>23320154</v>
          </cell>
          <cell r="B226" t="str">
            <v>정조의 거북선 설계도</v>
          </cell>
        </row>
        <row r="227">
          <cell r="A227">
            <v>23320155</v>
          </cell>
          <cell r="B227" t="str">
            <v>합격 증명서</v>
          </cell>
        </row>
        <row r="228">
          <cell r="A228">
            <v>23320156</v>
          </cell>
          <cell r="B228" t="str">
            <v>남혜의 복주머니</v>
          </cell>
        </row>
        <row r="229">
          <cell r="A229">
            <v>23320157</v>
          </cell>
          <cell r="B229" t="str">
            <v>여의주</v>
          </cell>
        </row>
        <row r="230">
          <cell r="A230">
            <v>23320158</v>
          </cell>
          <cell r="B230" t="str">
            <v>배달용 벼 50개</v>
          </cell>
        </row>
        <row r="231">
          <cell r="A231">
            <v>23320159</v>
          </cell>
          <cell r="B231" t="str">
            <v>알 수 없는 미래</v>
          </cell>
        </row>
        <row r="232">
          <cell r="A232">
            <v>23320160</v>
          </cell>
          <cell r="B232" t="str">
            <v>새까맣게 탄 캥거루 고기</v>
          </cell>
        </row>
        <row r="233">
          <cell r="A233">
            <v>23320161</v>
          </cell>
          <cell r="B233" t="str">
            <v>스킬라의 촉수</v>
          </cell>
        </row>
        <row r="234">
          <cell r="A234">
            <v>23320162</v>
          </cell>
          <cell r="B234" t="str">
            <v>골든벨 지도</v>
          </cell>
        </row>
        <row r="235">
          <cell r="A235">
            <v>23320163</v>
          </cell>
          <cell r="B235" t="str">
            <v>거북선 설계도</v>
          </cell>
        </row>
        <row r="236">
          <cell r="A236">
            <v>23320164</v>
          </cell>
          <cell r="B236" t="str">
            <v>추로주</v>
          </cell>
        </row>
        <row r="237">
          <cell r="A237">
            <v>23320165</v>
          </cell>
          <cell r="B237" t="str">
            <v>천자총통_퀘스트</v>
          </cell>
        </row>
        <row r="238">
          <cell r="A238">
            <v>23320166</v>
          </cell>
          <cell r="B238" t="str">
            <v>불랑기포_퀘스트</v>
          </cell>
        </row>
        <row r="239">
          <cell r="A239">
            <v>23320167</v>
          </cell>
          <cell r="B239" t="str">
            <v>초요기_퀘스트</v>
          </cell>
        </row>
        <row r="240">
          <cell r="A240">
            <v>23320168</v>
          </cell>
          <cell r="B240" t="str">
            <v>호준포_퀘스트</v>
          </cell>
        </row>
        <row r="241">
          <cell r="A241">
            <v>23320169</v>
          </cell>
          <cell r="B241" t="str">
            <v>목재_퀘스트</v>
          </cell>
        </row>
        <row r="242">
          <cell r="A242">
            <v>23320170</v>
          </cell>
          <cell r="B242" t="str">
            <v>석재_퀘스트</v>
          </cell>
        </row>
        <row r="243">
          <cell r="A243">
            <v>23320171</v>
          </cell>
          <cell r="B243" t="str">
            <v>혼일강리역대국도지도</v>
          </cell>
        </row>
        <row r="244">
          <cell r="A244">
            <v>23320172</v>
          </cell>
          <cell r="B244" t="str">
            <v>혼천의</v>
          </cell>
        </row>
        <row r="245">
          <cell r="A245">
            <v>23320173</v>
          </cell>
          <cell r="B245" t="str">
            <v>개미취</v>
          </cell>
        </row>
        <row r="246">
          <cell r="A246">
            <v>23320174</v>
          </cell>
          <cell r="B246" t="str">
            <v>필리푸스의 추천장</v>
          </cell>
        </row>
        <row r="247">
          <cell r="A247">
            <v>23320175</v>
          </cell>
          <cell r="B247" t="str">
            <v>휘갈겨 쓴 서류</v>
          </cell>
        </row>
        <row r="248">
          <cell r="A248">
            <v>23320176</v>
          </cell>
          <cell r="B248" t="str">
            <v>찬드 비비의 편지</v>
          </cell>
        </row>
        <row r="249">
          <cell r="A249">
            <v>23320177</v>
          </cell>
          <cell r="B249" t="str">
            <v>모비딕의 용연향</v>
          </cell>
        </row>
        <row r="250">
          <cell r="A250">
            <v>23320178</v>
          </cell>
          <cell r="B250" t="str">
            <v>완료 시간에 따른 추가 보상</v>
          </cell>
        </row>
        <row r="251">
          <cell r="A251">
            <v>23320179</v>
          </cell>
          <cell r="B251" t="str">
            <v>대구호 선박 인수증</v>
          </cell>
        </row>
        <row r="252">
          <cell r="A252">
            <v>23320180</v>
          </cell>
          <cell r="B252" t="str">
            <v>청어호 선박 인수증</v>
          </cell>
        </row>
        <row r="253">
          <cell r="A253">
            <v>23320181</v>
          </cell>
          <cell r="B253" t="str">
            <v>왕실 추천장</v>
          </cell>
        </row>
        <row r="254">
          <cell r="A254">
            <v>23320182</v>
          </cell>
          <cell r="B254" t="str">
            <v>왕실 함대의 가로돛</v>
          </cell>
        </row>
        <row r="255">
          <cell r="A255">
            <v>23320183</v>
          </cell>
          <cell r="B255" t="str">
            <v>왕실 함대의 돌진 충각</v>
          </cell>
        </row>
        <row r="256">
          <cell r="A256">
            <v>23320184</v>
          </cell>
          <cell r="B256" t="str">
            <v>왕실 함대의 장갑</v>
          </cell>
        </row>
        <row r="257">
          <cell r="A257">
            <v>23320185</v>
          </cell>
          <cell r="B257" t="str">
            <v>왕실 함대의 수호상</v>
          </cell>
        </row>
        <row r="258">
          <cell r="A258">
            <v>23320186</v>
          </cell>
          <cell r="B258" t="str">
            <v>강철로 보강된 대형 용골</v>
          </cell>
        </row>
        <row r="259">
          <cell r="A259">
            <v>23320187</v>
          </cell>
          <cell r="B259" t="str">
            <v>전나무 원목</v>
          </cell>
        </row>
        <row r="260">
          <cell r="A260">
            <v>23320188</v>
          </cell>
          <cell r="B260" t="str">
            <v>강철로 보강된 돛대</v>
          </cell>
        </row>
        <row r="261">
          <cell r="A261">
            <v>23320189</v>
          </cell>
          <cell r="B261" t="str">
            <v>가공된 버지니아 참나무</v>
          </cell>
        </row>
        <row r="262">
          <cell r="A262">
            <v>23320190</v>
          </cell>
          <cell r="B262" t="str">
            <v>미가공된 케브라초 장갑</v>
          </cell>
        </row>
        <row r="263">
          <cell r="A263">
            <v>23320191</v>
          </cell>
          <cell r="B263" t="str">
            <v>수리가 필요한 데미 캐논</v>
          </cell>
        </row>
        <row r="264">
          <cell r="A264">
            <v>23320192</v>
          </cell>
          <cell r="B264" t="str">
            <v>96파운드 캐러네이드</v>
          </cell>
        </row>
        <row r="265">
          <cell r="A265">
            <v>23320193</v>
          </cell>
          <cell r="B265" t="str">
            <v>방치된 32파운드 로열 캐논</v>
          </cell>
        </row>
        <row r="266">
          <cell r="A266">
            <v>23320194</v>
          </cell>
          <cell r="B266" t="str">
            <v>깨꽃 다발</v>
          </cell>
        </row>
        <row r="267">
          <cell r="A267">
            <v>23320195</v>
          </cell>
          <cell r="B267" t="str">
            <v>옥 장신구</v>
          </cell>
        </row>
        <row r="268">
          <cell r="A268">
            <v>23320196</v>
          </cell>
          <cell r="B268" t="str">
            <v>최고급 지구본</v>
          </cell>
        </row>
        <row r="269">
          <cell r="A269">
            <v>23320197</v>
          </cell>
          <cell r="B269" t="str">
            <v>참나무 목재</v>
          </cell>
        </row>
        <row r="270">
          <cell r="A270">
            <v>23320198</v>
          </cell>
          <cell r="B270" t="str">
            <v>진주조개(일반 진주 확정)</v>
          </cell>
        </row>
        <row r="271">
          <cell r="A271">
            <v>23320199</v>
          </cell>
          <cell r="B271" t="str">
            <v>진주조개(푸른 진주 확정)</v>
          </cell>
        </row>
        <row r="272">
          <cell r="A272">
            <v>23320200</v>
          </cell>
          <cell r="B272" t="str">
            <v>진주조개(푸른 진주 랜덤)</v>
          </cell>
        </row>
        <row r="273">
          <cell r="A273">
            <v>23320201</v>
          </cell>
          <cell r="B273" t="str">
            <v>푸른 진주</v>
          </cell>
        </row>
        <row r="274">
          <cell r="A274">
            <v>23320202</v>
          </cell>
          <cell r="B274" t="str">
            <v>일장석(특급)</v>
          </cell>
        </row>
        <row r="275">
          <cell r="A275">
            <v>23320203</v>
          </cell>
          <cell r="B275" t="str">
            <v>일장석(일반)</v>
          </cell>
        </row>
        <row r="276">
          <cell r="A276">
            <v>23320204</v>
          </cell>
          <cell r="B276" t="str">
            <v>동양의 신비한 나무</v>
          </cell>
        </row>
        <row r="277">
          <cell r="A277">
            <v>23320205</v>
          </cell>
          <cell r="B277" t="str">
            <v>등갑옷</v>
          </cell>
        </row>
        <row r="278">
          <cell r="A278">
            <v>23320206</v>
          </cell>
          <cell r="B278" t="str">
            <v>천잠사</v>
          </cell>
        </row>
        <row r="279">
          <cell r="A279">
            <v>23320207</v>
          </cell>
          <cell r="B279" t="str">
            <v>천잠사 원단</v>
          </cell>
        </row>
        <row r="280">
          <cell r="A280">
            <v>23320208</v>
          </cell>
          <cell r="B280" t="str">
            <v>메리의 편지</v>
          </cell>
        </row>
        <row r="281">
          <cell r="A281">
            <v>23320209</v>
          </cell>
          <cell r="B281" t="str">
            <v>알 수 없는 보상</v>
          </cell>
        </row>
        <row r="282">
          <cell r="A282">
            <v>23320210</v>
          </cell>
          <cell r="B282" t="str">
            <v>약탈한 교역품 상자</v>
          </cell>
        </row>
        <row r="283">
          <cell r="A283">
            <v>23320211</v>
          </cell>
          <cell r="B283" t="str">
            <v>약탈한 보급품 상자</v>
          </cell>
        </row>
        <row r="284">
          <cell r="A284">
            <v>23320212</v>
          </cell>
          <cell r="B284" t="str">
            <v>약탈한 튼튼한 상자</v>
          </cell>
        </row>
        <row r="285">
          <cell r="A285">
            <v>23320213</v>
          </cell>
          <cell r="B285" t="str">
            <v>약탈한 보물상자</v>
          </cell>
        </row>
        <row r="286">
          <cell r="A286">
            <v>23320214</v>
          </cell>
          <cell r="B286" t="str">
            <v>수송 선단 항해 계획서</v>
          </cell>
        </row>
        <row r="287">
          <cell r="A287">
            <v>23320215</v>
          </cell>
          <cell r="B287" t="str">
            <v>에스파냐 해군 보급 계획서</v>
          </cell>
        </row>
        <row r="288">
          <cell r="A288">
            <v>23320216</v>
          </cell>
          <cell r="B288" t="str">
            <v>룬 문자 보석</v>
          </cell>
        </row>
        <row r="289">
          <cell r="A289">
            <v>23320217</v>
          </cell>
          <cell r="B289" t="str">
            <v>갑골 문자 보석</v>
          </cell>
        </row>
        <row r="290">
          <cell r="A290">
            <v>23320218</v>
          </cell>
          <cell r="B290" t="str">
            <v>신성 문자 보석</v>
          </cell>
        </row>
        <row r="291">
          <cell r="A291">
            <v>23320219</v>
          </cell>
          <cell r="B291" t="str">
            <v>아틀란티스의 원소석</v>
          </cell>
        </row>
        <row r="292">
          <cell r="A292">
            <v>23320220</v>
          </cell>
          <cell r="B292" t="str">
            <v>사피예 술탄의 편지</v>
          </cell>
        </row>
        <row r="293">
          <cell r="A293">
            <v>23320221</v>
          </cell>
          <cell r="B293" t="str">
            <v>잉글랜드 사신단 위조 임명장</v>
          </cell>
        </row>
        <row r="294">
          <cell r="A294">
            <v>23320222</v>
          </cell>
          <cell r="B294" t="str">
            <v>에스파냐 수군 항해 계획서</v>
          </cell>
        </row>
        <row r="295">
          <cell r="A295">
            <v>23320223</v>
          </cell>
          <cell r="B295" t="str">
            <v>약탈한 보물상자</v>
          </cell>
        </row>
        <row r="296">
          <cell r="A296">
            <v>23320224</v>
          </cell>
          <cell r="B296" t="str">
            <v>네덜란드 회사 투자 증서</v>
          </cell>
        </row>
        <row r="297">
          <cell r="A297">
            <v>23320225</v>
          </cell>
          <cell r="B297" t="str">
            <v>잉글랜드 위조 국서</v>
          </cell>
        </row>
        <row r="298">
          <cell r="A298">
            <v>23320226</v>
          </cell>
          <cell r="B298" t="str">
            <v>화승총 견본</v>
          </cell>
        </row>
        <row r="299">
          <cell r="A299">
            <v>23320227</v>
          </cell>
          <cell r="B299" t="str">
            <v>서양 대포 견본</v>
          </cell>
        </row>
        <row r="300">
          <cell r="A300">
            <v>23320228</v>
          </cell>
          <cell r="B300" t="str">
            <v>김만덕의 추억이 담긴 복주머니</v>
          </cell>
        </row>
        <row r="301">
          <cell r="A301">
            <v>23320229</v>
          </cell>
          <cell r="B301" t="str">
            <v>시바의 검</v>
          </cell>
        </row>
        <row r="302">
          <cell r="A302">
            <v>23320230</v>
          </cell>
          <cell r="B302" t="str">
            <v>메모가 적힌 쪽지</v>
          </cell>
        </row>
        <row r="303">
          <cell r="A303">
            <v>23320231</v>
          </cell>
          <cell r="B303" t="str">
            <v>크리스마스 선물</v>
          </cell>
        </row>
        <row r="304">
          <cell r="A304">
            <v>23320232</v>
          </cell>
          <cell r="B304" t="str">
            <v>앤의 금화</v>
          </cell>
        </row>
        <row r="305">
          <cell r="A305">
            <v>23320233</v>
          </cell>
          <cell r="B305" t="str">
            <v>하웰의 선인장</v>
          </cell>
        </row>
        <row r="306">
          <cell r="A306">
            <v>23320234</v>
          </cell>
          <cell r="B306" t="str">
            <v>선인장 판매 대금</v>
          </cell>
        </row>
        <row r="307">
          <cell r="A307">
            <v>23320235</v>
          </cell>
          <cell r="B307" t="str">
            <v>에스파냐 왕실 보물 상자</v>
          </cell>
        </row>
        <row r="308">
          <cell r="A308">
            <v>23320236</v>
          </cell>
          <cell r="B308" t="str">
            <v>특제 작렬탄</v>
          </cell>
        </row>
        <row r="309">
          <cell r="A309">
            <v>23320237</v>
          </cell>
          <cell r="B309" t="str">
            <v>보물 상자</v>
          </cell>
        </row>
        <row r="310">
          <cell r="A310">
            <v>23320238</v>
          </cell>
          <cell r="B310" t="str">
            <v>최상급 보르도 와인</v>
          </cell>
        </row>
        <row r="311">
          <cell r="A311">
            <v>23320239</v>
          </cell>
          <cell r="B311" t="str">
            <v>특제 로얄 오포르토 와인</v>
          </cell>
        </row>
        <row r="312">
          <cell r="A312">
            <v>23320240</v>
          </cell>
          <cell r="B312" t="str">
            <v>특제 포트 와인</v>
          </cell>
        </row>
        <row r="313">
          <cell r="A313">
            <v>23320241</v>
          </cell>
          <cell r="B313" t="str">
            <v>암호 해독을 위한 단서</v>
          </cell>
        </row>
        <row r="314">
          <cell r="A314">
            <v>23340001</v>
          </cell>
          <cell r="B314" t="str">
            <v>복주머니</v>
          </cell>
        </row>
        <row r="315">
          <cell r="A315">
            <v>23340002</v>
          </cell>
          <cell r="B315" t="str">
            <v>크리스마스 양말</v>
          </cell>
        </row>
        <row r="316">
          <cell r="A316">
            <v>23340003</v>
          </cell>
          <cell r="B316" t="str">
            <v>오색 복주머니</v>
          </cell>
        </row>
        <row r="317">
          <cell r="A317">
            <v>23340004</v>
          </cell>
          <cell r="B317" t="str">
            <v>설 놀이표</v>
          </cell>
        </row>
        <row r="318">
          <cell r="A318">
            <v>23340005</v>
          </cell>
          <cell r="B318" t="str">
            <v>복조리</v>
          </cell>
        </row>
        <row r="319">
          <cell r="A319">
            <v>23340006</v>
          </cell>
          <cell r="B319" t="str">
            <v>기념 주화</v>
          </cell>
        </row>
        <row r="320">
          <cell r="A320">
            <v>23340007</v>
          </cell>
          <cell r="B320" t="str">
            <v>붉은 소다 섬 동전</v>
          </cell>
        </row>
        <row r="321">
          <cell r="A321">
            <v>23340008</v>
          </cell>
          <cell r="B321" t="str">
            <v>녹색 소다 섬 동전</v>
          </cell>
        </row>
        <row r="322">
          <cell r="A322">
            <v>23340009</v>
          </cell>
          <cell r="B322" t="str">
            <v>푸른 소다 섬 동전</v>
          </cell>
        </row>
        <row r="323">
          <cell r="A323">
            <v>23340010</v>
          </cell>
          <cell r="B323" t="str">
            <v>반짝이는 소다 섬 동전</v>
          </cell>
        </row>
        <row r="324">
          <cell r="A324">
            <v>23340011</v>
          </cell>
          <cell r="B324" t="str">
            <v>단풍잎</v>
          </cell>
        </row>
        <row r="325">
          <cell r="A325">
            <v>23340012</v>
          </cell>
          <cell r="B325" t="str">
            <v>전투의 증거</v>
          </cell>
        </row>
        <row r="326">
          <cell r="A326">
            <v>23340013</v>
          </cell>
          <cell r="B326" t="str">
            <v>교역의 증거</v>
          </cell>
        </row>
        <row r="327">
          <cell r="A327">
            <v>23340014</v>
          </cell>
          <cell r="B327" t="str">
            <v>모험의 증거</v>
          </cell>
        </row>
        <row r="328">
          <cell r="A328">
            <v>23340015</v>
          </cell>
          <cell r="B328" t="str">
            <v>크리스마스 양말_2023</v>
          </cell>
        </row>
        <row r="329">
          <cell r="A329">
            <v>23340016</v>
          </cell>
          <cell r="B329" t="str">
            <v>안젤리카의 수제 초콜릿 상자</v>
          </cell>
        </row>
        <row r="330">
          <cell r="A330">
            <v>23340017</v>
          </cell>
          <cell r="B330" t="str">
            <v>우정의 증표_2024</v>
          </cell>
        </row>
        <row r="331">
          <cell r="A331">
            <v>23340018</v>
          </cell>
          <cell r="B331" t="str">
            <v>오색 복주머니_2024</v>
          </cell>
        </row>
        <row r="332">
          <cell r="A332">
            <v>23340019</v>
          </cell>
          <cell r="B332" t="str">
            <v>1주년 기념 주화</v>
          </cell>
        </row>
        <row r="333">
          <cell r="A333">
            <v>23340020</v>
          </cell>
          <cell r="B333" t="str">
            <v>고대 금화</v>
          </cell>
        </row>
        <row r="334">
          <cell r="A334">
            <v>23340021</v>
          </cell>
          <cell r="B334" t="str">
            <v>봄맞이 기념 주화_2024</v>
          </cell>
        </row>
        <row r="335">
          <cell r="A335">
            <v>23340022</v>
          </cell>
          <cell r="B335" t="str">
            <v>경쟁의 증표 (시즌 1)</v>
          </cell>
        </row>
        <row r="336">
          <cell r="A336">
            <v>23340023</v>
          </cell>
          <cell r="B336" t="str">
            <v>경쟁 특별 항해사 교환권 (시즌 1)</v>
          </cell>
        </row>
        <row r="337">
          <cell r="A337">
            <v>23340024</v>
          </cell>
          <cell r="B337" t="str">
            <v>신비로운 주화_2024여름</v>
          </cell>
        </row>
        <row r="338">
          <cell r="A338">
            <v>23340026</v>
          </cell>
          <cell r="B338" t="str">
            <v>2주년 기념 주화</v>
          </cell>
        </row>
        <row r="339">
          <cell r="A339">
            <v>23340027</v>
          </cell>
          <cell r="B339" t="str">
            <v>단풍잎_2024</v>
          </cell>
        </row>
        <row r="340">
          <cell r="A340">
            <v>23340028</v>
          </cell>
          <cell r="B340" t="str">
            <v>경쟁의 증표 (시즌 2)</v>
          </cell>
        </row>
        <row r="341">
          <cell r="A341">
            <v>23340029</v>
          </cell>
          <cell r="B341" t="str">
            <v>경쟁 특별 항해사 교환권 (시즌 2)</v>
          </cell>
        </row>
        <row r="342">
          <cell r="A342">
            <v>23340030</v>
          </cell>
          <cell r="B342" t="str">
            <v>고대 황금 문자석</v>
          </cell>
        </row>
        <row r="343">
          <cell r="A343">
            <v>23340031</v>
          </cell>
          <cell r="B343" t="str">
            <v>잊힌 고대 보물 상자</v>
          </cell>
        </row>
        <row r="344">
          <cell r="A344">
            <v>23340032</v>
          </cell>
          <cell r="B344" t="str">
            <v>크리스마스 막대 사탕</v>
          </cell>
        </row>
        <row r="345">
          <cell r="A345">
            <v>23340033</v>
          </cell>
          <cell r="B345" t="str">
            <v>경쟁의 증표 (시즌 3)</v>
          </cell>
        </row>
        <row r="346">
          <cell r="A346">
            <v>23340034</v>
          </cell>
          <cell r="B346" t="str">
            <v>경쟁 특별 항해사 교환권 (시즌 3)</v>
          </cell>
        </row>
        <row r="347">
          <cell r="A347">
            <v>23340035</v>
          </cell>
          <cell r="B347" t="str">
            <v>아이든 레이스의 호화로운 보물 상자</v>
          </cell>
        </row>
        <row r="348">
          <cell r="A348">
            <v>23340036</v>
          </cell>
          <cell r="B348" t="str">
            <v>아이든 레이스의 평범한 보물 상자</v>
          </cell>
        </row>
        <row r="349">
          <cell r="A349">
            <v>23340037</v>
          </cell>
          <cell r="B349" t="str">
            <v>아이든 레이스의 낡은 보물 상자</v>
          </cell>
        </row>
        <row r="350">
          <cell r="A350">
            <v>23340038</v>
          </cell>
          <cell r="B350" t="str">
            <v>아이든 레이스의 호화로운 보물 상자T</v>
          </cell>
        </row>
        <row r="351">
          <cell r="A351">
            <v>23340039</v>
          </cell>
          <cell r="B351" t="str">
            <v>아이든 레이스의 평범한 보물 상자T</v>
          </cell>
        </row>
        <row r="352">
          <cell r="A352">
            <v>23340040</v>
          </cell>
          <cell r="B352" t="str">
            <v>아이든 레이스의 낡은 보물 상자T</v>
          </cell>
        </row>
        <row r="353">
          <cell r="A353">
            <v>23340041</v>
          </cell>
          <cell r="B353" t="str">
            <v>아이든 레이스의 부품 의뢰서</v>
          </cell>
        </row>
        <row r="354">
          <cell r="A354">
            <v>23340042</v>
          </cell>
          <cell r="B354" t="str">
            <v>아이든 레이스의 제련서</v>
          </cell>
        </row>
        <row r="355">
          <cell r="A355">
            <v>23340043</v>
          </cell>
          <cell r="B355" t="str">
            <v>아이든 레이스의 봉제서</v>
          </cell>
        </row>
        <row r="356">
          <cell r="A356">
            <v>23340044</v>
          </cell>
          <cell r="B356" t="str">
            <v>아이든 레이스의 가공서</v>
          </cell>
        </row>
        <row r="357">
          <cell r="A357">
            <v>23340045</v>
          </cell>
          <cell r="B357" t="str">
            <v>아이든 레이스의 옥빛 석판</v>
          </cell>
        </row>
        <row r="358">
          <cell r="A358">
            <v>23340046</v>
          </cell>
          <cell r="B358" t="str">
            <v>아이든 레이스의 푸른빛 석판</v>
          </cell>
        </row>
        <row r="359">
          <cell r="A359">
            <v>23340047</v>
          </cell>
          <cell r="B359" t="str">
            <v>아이든 레이스의 보랏빛 석판</v>
          </cell>
        </row>
        <row r="360">
          <cell r="A360">
            <v>23340048</v>
          </cell>
          <cell r="B360" t="str">
            <v>산타의 양말</v>
          </cell>
        </row>
        <row r="361">
          <cell r="A361">
            <v>23340049</v>
          </cell>
          <cell r="B361" t="str">
            <v>반짝이는 별</v>
          </cell>
        </row>
        <row r="362">
          <cell r="A362">
            <v>23340050</v>
          </cell>
          <cell r="B362" t="str">
            <v>아이작 뉴턴 교환권</v>
          </cell>
        </row>
        <row r="363">
          <cell r="A363">
            <v>23340051</v>
          </cell>
          <cell r="B363" t="str">
            <v>달콤한 꿀떡</v>
          </cell>
        </row>
        <row r="364">
          <cell r="A364">
            <v>23340052</v>
          </cell>
          <cell r="B364" t="str">
            <v>푸른 뱀 동전</v>
          </cell>
        </row>
        <row r="365">
          <cell r="A365">
            <v>23340053</v>
          </cell>
          <cell r="B365" t="str">
            <v>복주머니25</v>
          </cell>
        </row>
        <row r="366">
          <cell r="A366">
            <v>23340054</v>
          </cell>
          <cell r="B366" t="str">
            <v>푸른 뱀 금화</v>
          </cell>
        </row>
        <row r="367">
          <cell r="A367">
            <v>23340055</v>
          </cell>
          <cell r="B367" t="str">
            <v>초콜릿 상자</v>
          </cell>
        </row>
        <row r="368">
          <cell r="A368">
            <v>23340056</v>
          </cell>
          <cell r="B368" t="str">
            <v>달콤한 초콜릿</v>
          </cell>
        </row>
        <row r="369">
          <cell r="A369">
            <v>23340057</v>
          </cell>
          <cell r="B369" t="str">
            <v>사랑의 편지</v>
          </cell>
        </row>
        <row r="370">
          <cell r="A370">
            <v>23340058</v>
          </cell>
          <cell r="B370" t="str">
            <v>소탕권 묶음</v>
          </cell>
        </row>
        <row r="371">
          <cell r="A371">
            <v>23340059</v>
          </cell>
          <cell r="B371" t="str">
            <v>경쟁의 증표 (시즌 4)</v>
          </cell>
        </row>
        <row r="372">
          <cell r="A372">
            <v>23340060</v>
          </cell>
          <cell r="B372" t="str">
            <v>경쟁 특별 항해사 교환권 (시즌 4)</v>
          </cell>
        </row>
        <row r="373">
          <cell r="A373">
            <v>23340061</v>
          </cell>
          <cell r="B373" t="str">
            <v>달콤한 과자 상자</v>
          </cell>
        </row>
        <row r="374">
          <cell r="A374">
            <v>23340062</v>
          </cell>
          <cell r="B374" t="str">
            <v>달콤한 쿠키</v>
          </cell>
        </row>
        <row r="375">
          <cell r="A375">
            <v>23340063</v>
          </cell>
          <cell r="B375" t="str">
            <v>달콤한 사탕</v>
          </cell>
        </row>
        <row r="376">
          <cell r="A376">
            <v>23340064</v>
          </cell>
          <cell r="B376" t="str">
            <v>달콤한 마카롱</v>
          </cell>
        </row>
        <row r="377">
          <cell r="A377">
            <v>23340065</v>
          </cell>
          <cell r="B377" t="str">
            <v>일반 대격돌 주화</v>
          </cell>
        </row>
        <row r="378">
          <cell r="A378">
            <v>23340066</v>
          </cell>
          <cell r="B378" t="str">
            <v>시즌1 대격돌 주화</v>
          </cell>
        </row>
        <row r="379">
          <cell r="A379">
            <v>23340067</v>
          </cell>
          <cell r="B379" t="str">
            <v>클로버 상자</v>
          </cell>
        </row>
        <row r="380">
          <cell r="A380">
            <v>23340068</v>
          </cell>
          <cell r="B380" t="str">
            <v>클로버</v>
          </cell>
        </row>
        <row r="381">
          <cell r="A381">
            <v>23340069</v>
          </cell>
          <cell r="B381" t="str">
            <v>황금 클로버</v>
          </cell>
        </row>
        <row r="382">
          <cell r="A382">
            <v>23340070</v>
          </cell>
          <cell r="B382" t="str">
            <v>아고스티노 바르바리고 교환권</v>
          </cell>
        </row>
        <row r="383">
          <cell r="A383">
            <v>23340071</v>
          </cell>
          <cell r="B383" t="str">
            <v>시즌2 대격돌 주화</v>
          </cell>
        </row>
        <row r="384">
          <cell r="A384">
            <v>23340072</v>
          </cell>
          <cell r="B384" t="str">
            <v>A등급 장비 선택 상자_CS</v>
          </cell>
        </row>
        <row r="385">
          <cell r="A385">
            <v>23340073</v>
          </cell>
          <cell r="B385" t="str">
            <v>A등급 부품 선택 상자_CS</v>
          </cell>
        </row>
        <row r="386">
          <cell r="A386">
            <v>23340074</v>
          </cell>
          <cell r="B386" t="str">
            <v>S등급 장비 선택 상자_CS</v>
          </cell>
        </row>
        <row r="387">
          <cell r="A387">
            <v>23340075</v>
          </cell>
          <cell r="B387" t="str">
            <v>S등급 부품 선택 상자_CS</v>
          </cell>
        </row>
        <row r="388">
          <cell r="A388">
            <v>23340076</v>
          </cell>
          <cell r="B388" t="str">
            <v>행복의 상자</v>
          </cell>
        </row>
        <row r="389">
          <cell r="A389">
            <v>23340077</v>
          </cell>
          <cell r="B389" t="str">
            <v>붉은 카네이션</v>
          </cell>
        </row>
        <row r="390">
          <cell r="A390">
            <v>23340078</v>
          </cell>
          <cell r="B390" t="str">
            <v>행복 주화</v>
          </cell>
        </row>
        <row r="391">
          <cell r="A391">
            <v>23340079</v>
          </cell>
          <cell r="B391" t="str">
            <v>GM 오리의 선물_얼굴장식</v>
          </cell>
        </row>
        <row r="392">
          <cell r="A392">
            <v>23340080</v>
          </cell>
          <cell r="B392" t="str">
            <v>GM 비비의 선물_얼굴장식</v>
          </cell>
        </row>
        <row r="393">
          <cell r="A393">
            <v>23340081</v>
          </cell>
          <cell r="B393" t="str">
            <v>GM 철우의 선물_머리띠</v>
          </cell>
        </row>
        <row r="394">
          <cell r="A394">
            <v>23340082</v>
          </cell>
          <cell r="B394" t="str">
            <v>시즌3 대격돌 주화</v>
          </cell>
        </row>
        <row r="395">
          <cell r="A395">
            <v>23340083</v>
          </cell>
          <cell r="B395" t="str">
            <v>시즌4 대격돌 주화</v>
          </cell>
        </row>
        <row r="396">
          <cell r="A396">
            <v>23340084</v>
          </cell>
          <cell r="B396" t="str">
            <v>시즌5 대격돌 주화</v>
          </cell>
        </row>
        <row r="397">
          <cell r="A397">
            <v>23340085</v>
          </cell>
          <cell r="B397" t="str">
            <v>시즌6 대격돌 주화</v>
          </cell>
        </row>
        <row r="398">
          <cell r="A398">
            <v>23340086</v>
          </cell>
          <cell r="B398" t="str">
            <v>시즌7 대격돌 주화</v>
          </cell>
        </row>
        <row r="399">
          <cell r="A399">
            <v>23340087</v>
          </cell>
          <cell r="B399" t="str">
            <v>시즌8 대격돌 주화</v>
          </cell>
        </row>
        <row r="400">
          <cell r="A400">
            <v>23340088</v>
          </cell>
          <cell r="B400" t="str">
            <v>시즌9 대격돌 주화</v>
          </cell>
        </row>
        <row r="401">
          <cell r="A401">
            <v>23340089</v>
          </cell>
          <cell r="B401" t="str">
            <v>시즌10 대격돌 주화</v>
          </cell>
        </row>
        <row r="402">
          <cell r="A402">
            <v>23340090</v>
          </cell>
          <cell r="B402" t="str">
            <v>우호의 증표</v>
          </cell>
        </row>
        <row r="403">
          <cell r="A403">
            <v>23340091</v>
          </cell>
          <cell r="B403" t="str">
            <v>고대 녹색 보석</v>
          </cell>
        </row>
        <row r="404">
          <cell r="A404">
            <v>23340092</v>
          </cell>
          <cell r="B404" t="str">
            <v>파묻힌 고대 보물 상자</v>
          </cell>
        </row>
        <row r="405">
          <cell r="A405">
            <v>23340093</v>
          </cell>
          <cell r="B405" t="str">
            <v>고대 빨간 보석</v>
          </cell>
        </row>
        <row r="406">
          <cell r="A406">
            <v>23340094</v>
          </cell>
          <cell r="B406" t="str">
            <v>고대 푸른 보석</v>
          </cell>
        </row>
        <row r="407">
          <cell r="A407">
            <v>23340095</v>
          </cell>
          <cell r="B407" t="str">
            <v>파도의 상자</v>
          </cell>
        </row>
        <row r="408">
          <cell r="A408">
            <v>23340096</v>
          </cell>
          <cell r="B408" t="str">
            <v>푸른 파도 주화</v>
          </cell>
        </row>
        <row r="409">
          <cell r="A409">
            <v>23340097</v>
          </cell>
          <cell r="B409" t="str">
            <v>붉은 파도 주화</v>
          </cell>
        </row>
        <row r="410">
          <cell r="A410">
            <v>23340098</v>
          </cell>
          <cell r="B410" t="str">
            <v>경쟁의 증표 (시즌 5)</v>
          </cell>
        </row>
        <row r="411">
          <cell r="A411">
            <v>23340099</v>
          </cell>
          <cell r="B411" t="str">
            <v>경쟁 특별 항해사 교환권 (시즌 5)</v>
          </cell>
        </row>
        <row r="412">
          <cell r="A412">
            <v>23340100</v>
          </cell>
          <cell r="B412" t="str">
            <v>코코넛 주화</v>
          </cell>
        </row>
        <row r="413">
          <cell r="A413">
            <v>23340101</v>
          </cell>
          <cell r="B413" t="str">
            <v>소다 코코넛 음료</v>
          </cell>
        </row>
        <row r="414">
          <cell r="A414">
            <v>23340102</v>
          </cell>
          <cell r="B414" t="str">
            <v>붉은 하트</v>
          </cell>
        </row>
        <row r="415">
          <cell r="A415">
            <v>23340103</v>
          </cell>
          <cell r="B415" t="str">
            <v>푸른 하트</v>
          </cell>
        </row>
        <row r="416">
          <cell r="A416">
            <v>23340104</v>
          </cell>
          <cell r="B416" t="str">
            <v>녹색 하트</v>
          </cell>
        </row>
        <row r="417">
          <cell r="A417">
            <v>23340105</v>
          </cell>
          <cell r="B417" t="str">
            <v>붉은 하트 상자</v>
          </cell>
        </row>
        <row r="418">
          <cell r="A418">
            <v>23340106</v>
          </cell>
          <cell r="B418" t="str">
            <v>푸른 하트 상자</v>
          </cell>
        </row>
        <row r="419">
          <cell r="A419">
            <v>23340107</v>
          </cell>
          <cell r="B419" t="str">
            <v>녹색 하트 상자</v>
          </cell>
        </row>
        <row r="420">
          <cell r="A420">
            <v>23340108</v>
          </cell>
          <cell r="B420" t="str">
            <v>데일리샷 일반 선물 셋트</v>
          </cell>
        </row>
        <row r="421">
          <cell r="A421">
            <v>23340109</v>
          </cell>
          <cell r="B421" t="str">
            <v>데일리샷 항해사 선물 셋트</v>
          </cell>
        </row>
        <row r="422">
          <cell r="A422">
            <v>23340110</v>
          </cell>
          <cell r="B422" t="str">
            <v>데일리샷 강화 선물 셋트</v>
          </cell>
        </row>
        <row r="423">
          <cell r="A423">
            <v>23340111</v>
          </cell>
          <cell r="B423" t="str">
            <v>두로 와인</v>
          </cell>
        </row>
        <row r="424">
          <cell r="A424">
            <v>23340112</v>
          </cell>
          <cell r="B424" t="str">
            <v>벨라 드 루체 교환권</v>
          </cell>
        </row>
        <row r="425">
          <cell r="A425">
            <v>23340113</v>
          </cell>
          <cell r="B425" t="str">
            <v>여름 항해사 계약서 선택권</v>
          </cell>
        </row>
        <row r="426">
          <cell r="A426">
            <v>23340114</v>
          </cell>
          <cell r="B426" t="str">
            <v>바다의 상자</v>
          </cell>
        </row>
        <row r="427">
          <cell r="A427">
            <v>23340115</v>
          </cell>
          <cell r="B427" t="str">
            <v>바다 주화</v>
          </cell>
        </row>
        <row r="428">
          <cell r="A428">
            <v>23340116</v>
          </cell>
          <cell r="B428" t="str">
            <v>희망의 상자_CN</v>
          </cell>
        </row>
        <row r="429">
          <cell r="A429">
            <v>23340117</v>
          </cell>
          <cell r="B429" t="str">
            <v>희망 주화</v>
          </cell>
        </row>
        <row r="430">
          <cell r="A430">
            <v>23340118</v>
          </cell>
          <cell r="B430" t="str">
            <v>눈꽃의 상자_CN</v>
          </cell>
        </row>
        <row r="431">
          <cell r="A431">
            <v>23340119</v>
          </cell>
          <cell r="B431" t="str">
            <v>눈꽃 주화</v>
          </cell>
        </row>
        <row r="432">
          <cell r="A432">
            <v>23340120</v>
          </cell>
          <cell r="B432" t="str">
            <v>태양의 상자</v>
          </cell>
        </row>
        <row r="433">
          <cell r="A433">
            <v>23340121</v>
          </cell>
          <cell r="B433" t="str">
            <v>태양의 주화</v>
          </cell>
        </row>
        <row r="434">
          <cell r="A434">
            <v>23340122</v>
          </cell>
          <cell r="B434" t="str">
            <v>3주년 기념 주화</v>
          </cell>
        </row>
        <row r="435">
          <cell r="A435">
            <v>23340123</v>
          </cell>
          <cell r="B435" t="str">
            <v>디렉터의 3주년 선물 상자</v>
          </cell>
        </row>
        <row r="436">
          <cell r="A436">
            <v>23340124</v>
          </cell>
          <cell r="B436" t="str">
            <v>황금의 상자</v>
          </cell>
        </row>
        <row r="437">
          <cell r="A437">
            <v>23340125</v>
          </cell>
          <cell r="B437" t="str">
            <v>황금의 주화</v>
          </cell>
        </row>
        <row r="438">
          <cell r="A438">
            <v>23340126</v>
          </cell>
          <cell r="B438" t="str">
            <v>디렉터의 3주년 기념 상자</v>
          </cell>
        </row>
        <row r="439">
          <cell r="A439">
            <v>23340127</v>
          </cell>
          <cell r="B439" t="str">
            <v>3주년 기념 상자</v>
          </cell>
        </row>
        <row r="440">
          <cell r="A440">
            <v>23340128</v>
          </cell>
          <cell r="B440" t="str">
            <v>연구서</v>
          </cell>
        </row>
        <row r="441">
          <cell r="A441">
            <v>23340129</v>
          </cell>
          <cell r="B441" t="str">
            <v>한국 3주년 기념 부품 상자</v>
          </cell>
        </row>
        <row r="442">
          <cell r="A442">
            <v>23340134</v>
          </cell>
          <cell r="B442" t="str">
            <v>특수 합성 장비 선택권Ⅰ</v>
          </cell>
        </row>
        <row r="443">
          <cell r="A443">
            <v>23340135</v>
          </cell>
          <cell r="B443" t="str">
            <v>B등급 장비 선택 상자</v>
          </cell>
        </row>
        <row r="444">
          <cell r="A444">
            <v>23340136</v>
          </cell>
          <cell r="B444" t="str">
            <v>B등급 부품 선택 상자</v>
          </cell>
        </row>
        <row r="445">
          <cell r="A445">
            <v>23340137</v>
          </cell>
          <cell r="B445" t="str">
            <v>류향령 교환권</v>
          </cell>
        </row>
        <row r="446">
          <cell r="A446">
            <v>23340138</v>
          </cell>
          <cell r="B446" t="str">
            <v>특수 합성 장비 선택권 II</v>
          </cell>
        </row>
        <row r="447">
          <cell r="A447">
            <v>23340139</v>
          </cell>
          <cell r="B447" t="str">
            <v>25가을_단풍 주화</v>
          </cell>
        </row>
        <row r="448">
          <cell r="A448">
            <v>23340140</v>
          </cell>
          <cell r="B448" t="str">
            <v>25가을_단풍 상자</v>
          </cell>
        </row>
        <row r="449">
          <cell r="A449">
            <v>23340141</v>
          </cell>
          <cell r="B449" t="str">
            <v>25가을_가을 음식 선물 세트</v>
          </cell>
        </row>
        <row r="450">
          <cell r="A450">
            <v>23340142</v>
          </cell>
          <cell r="B450" t="str">
            <v>25가을_달토끼의 비법 레시피</v>
          </cell>
        </row>
        <row r="451">
          <cell r="A451">
            <v>23340143</v>
          </cell>
          <cell r="B451" t="str">
            <v>25가을_장식용 단풍잎</v>
          </cell>
        </row>
        <row r="452">
          <cell r="A452">
            <v>23340144</v>
          </cell>
          <cell r="B452" t="str">
            <v>25가을_생산 월병</v>
          </cell>
        </row>
        <row r="453">
          <cell r="A453">
            <v>23340145</v>
          </cell>
          <cell r="B453" t="str">
            <v>25가을_생산 송편</v>
          </cell>
        </row>
        <row r="454">
          <cell r="A454">
            <v>23340146</v>
          </cell>
          <cell r="B454" t="str">
            <v>25가을_생산 당고</v>
          </cell>
        </row>
        <row r="455">
          <cell r="A455">
            <v>23340147</v>
          </cell>
          <cell r="B455" t="str">
            <v>25가을_생산 군밤</v>
          </cell>
        </row>
        <row r="456">
          <cell r="A456">
            <v>23340148</v>
          </cell>
          <cell r="B456" t="str">
            <v>25가을_생산 오리알</v>
          </cell>
        </row>
        <row r="457">
          <cell r="A457">
            <v>23340149</v>
          </cell>
          <cell r="B457" t="str">
            <v>동방의 보물 상자</v>
          </cell>
        </row>
        <row r="458">
          <cell r="A458">
            <v>23340150</v>
          </cell>
          <cell r="B458" t="str">
            <v>승리의 전리품 상자</v>
          </cell>
        </row>
        <row r="459">
          <cell r="A459">
            <v>23340151</v>
          </cell>
          <cell r="B459" t="str">
            <v>후추 뿌린 구운 고기</v>
          </cell>
        </row>
        <row r="460">
          <cell r="A460">
            <v>23340152</v>
          </cell>
          <cell r="B460" t="str">
            <v>잘 숙성된 럼주</v>
          </cell>
        </row>
        <row r="461">
          <cell r="A461">
            <v>23340153</v>
          </cell>
          <cell r="B461" t="str">
            <v>동방의 주화</v>
          </cell>
        </row>
        <row r="462">
          <cell r="A462">
            <v>23340154</v>
          </cell>
          <cell r="B462" t="str">
            <v>동방 전투 주화I</v>
          </cell>
        </row>
        <row r="463">
          <cell r="A463">
            <v>23340155</v>
          </cell>
          <cell r="B463" t="str">
            <v>동방 모험 주화I</v>
          </cell>
        </row>
        <row r="464">
          <cell r="A464">
            <v>23340156</v>
          </cell>
          <cell r="B464" t="str">
            <v>25할로윈_호박 동전</v>
          </cell>
        </row>
        <row r="465">
          <cell r="A465">
            <v>23340157</v>
          </cell>
          <cell r="B465" t="str">
            <v>25할로윈_호박색 점토</v>
          </cell>
        </row>
        <row r="466">
          <cell r="A466">
            <v>23340158</v>
          </cell>
          <cell r="B466" t="str">
            <v>25할로윈_사탕 꾸러미</v>
          </cell>
        </row>
        <row r="467">
          <cell r="A467">
            <v>23340159</v>
          </cell>
          <cell r="B467" t="str">
            <v>25할로윈_호박 모양 틀</v>
          </cell>
        </row>
        <row r="468">
          <cell r="A468">
            <v>23340160</v>
          </cell>
          <cell r="B468" t="str">
            <v>25할로윈_호박 스프</v>
          </cell>
        </row>
        <row r="469">
          <cell r="A469">
            <v>23340161</v>
          </cell>
          <cell r="B469" t="str">
            <v>25할로윈_외형 부품 선택권</v>
          </cell>
        </row>
        <row r="470">
          <cell r="A470">
            <v>23340162</v>
          </cell>
          <cell r="B470" t="str">
            <v>25할로윈_역병 의사 의상 선택 상자</v>
          </cell>
        </row>
        <row r="471">
          <cell r="A471">
            <v>23340163</v>
          </cell>
          <cell r="B471" t="str">
            <v>25할로윈_호박 크림 스프</v>
          </cell>
        </row>
        <row r="472">
          <cell r="A472">
            <v>23340164</v>
          </cell>
          <cell r="B472" t="str">
            <v>25할로윈_할로윈 증표</v>
          </cell>
        </row>
        <row r="473">
          <cell r="A473">
            <v>23340165</v>
          </cell>
          <cell r="B473" t="str">
            <v>2511_행운의 동전</v>
          </cell>
        </row>
        <row r="474">
          <cell r="A474">
            <v>23340166</v>
          </cell>
          <cell r="B474" t="str">
            <v>2511_행운의 증서 복권</v>
          </cell>
        </row>
        <row r="475">
          <cell r="A475">
            <v>23340171</v>
          </cell>
          <cell r="B475" t="str">
            <v>상단 연합 교환패 보관함</v>
          </cell>
        </row>
        <row r="476">
          <cell r="A476">
            <v>23340172</v>
          </cell>
          <cell r="B476" t="str">
            <v>상단 연합 교환패</v>
          </cell>
        </row>
        <row r="477">
          <cell r="A477">
            <v>23340173</v>
          </cell>
          <cell r="B477" t="str">
            <v>상단 연합 특별 교환패 보관함</v>
          </cell>
        </row>
        <row r="478">
          <cell r="A478">
            <v>23340174</v>
          </cell>
          <cell r="B478" t="str">
            <v>상단 연합 특별 교환패</v>
          </cell>
        </row>
        <row r="479">
          <cell r="A479">
            <v>23340175</v>
          </cell>
          <cell r="B479" t="str">
            <v>구름 사제의 부품 선택권</v>
          </cell>
        </row>
        <row r="480">
          <cell r="A480">
            <v>23340176</v>
          </cell>
          <cell r="B480" t="str">
            <v>신록의 부품 선택권</v>
          </cell>
        </row>
        <row r="481">
          <cell r="A481">
            <v>23340177</v>
          </cell>
          <cell r="B481" t="str">
            <v>북해 연맹 주화</v>
          </cell>
        </row>
        <row r="482">
          <cell r="A482">
            <v>23347001</v>
          </cell>
          <cell r="B482" t="str">
            <v>최고급 원단</v>
          </cell>
        </row>
        <row r="483">
          <cell r="A483">
            <v>23347002</v>
          </cell>
          <cell r="B483" t="str">
            <v>고급 원단</v>
          </cell>
        </row>
        <row r="484">
          <cell r="A484">
            <v>23347003</v>
          </cell>
          <cell r="B484" t="str">
            <v>중급 원단</v>
          </cell>
        </row>
        <row r="485">
          <cell r="A485">
            <v>23347004</v>
          </cell>
          <cell r="B485" t="str">
            <v>하급 원단</v>
          </cell>
        </row>
        <row r="486">
          <cell r="A486">
            <v>23347005</v>
          </cell>
          <cell r="B486" t="str">
            <v>최상급 염색약</v>
          </cell>
        </row>
        <row r="487">
          <cell r="A487">
            <v>23347006</v>
          </cell>
          <cell r="B487" t="str">
            <v>상급 염색약</v>
          </cell>
        </row>
        <row r="488">
          <cell r="A488">
            <v>23347007</v>
          </cell>
          <cell r="B488" t="str">
            <v>중급 염색약</v>
          </cell>
        </row>
        <row r="489">
          <cell r="A489">
            <v>23347008</v>
          </cell>
          <cell r="B489" t="str">
            <v>하급 염색약</v>
          </cell>
        </row>
        <row r="490">
          <cell r="A490">
            <v>23347010</v>
          </cell>
          <cell r="B490" t="str">
            <v>해바라기색 염료</v>
          </cell>
        </row>
        <row r="491">
          <cell r="A491">
            <v>23347015</v>
          </cell>
          <cell r="B491" t="str">
            <v>공작석색 염료</v>
          </cell>
        </row>
        <row r="492">
          <cell r="A492">
            <v>23347019</v>
          </cell>
          <cell r="B492" t="str">
            <v>감색 염료</v>
          </cell>
        </row>
        <row r="493">
          <cell r="A493">
            <v>23347026</v>
          </cell>
          <cell r="B493" t="str">
            <v>짙은 보라색 염료</v>
          </cell>
        </row>
        <row r="494">
          <cell r="A494">
            <v>23347027</v>
          </cell>
          <cell r="B494" t="str">
            <v>등적색 염료</v>
          </cell>
        </row>
        <row r="495">
          <cell r="A495">
            <v>23347029</v>
          </cell>
          <cell r="B495" t="str">
            <v>짙은 하늘색 염료</v>
          </cell>
        </row>
        <row r="496">
          <cell r="A496">
            <v>23347030</v>
          </cell>
          <cell r="B496" t="str">
            <v>진한 분홍색 염료</v>
          </cell>
        </row>
        <row r="497">
          <cell r="A497">
            <v>23347034</v>
          </cell>
          <cell r="B497" t="str">
            <v>암적색 염료</v>
          </cell>
        </row>
        <row r="498">
          <cell r="A498">
            <v>23347044</v>
          </cell>
          <cell r="B498" t="str">
            <v>암회색 염료</v>
          </cell>
        </row>
        <row r="499">
          <cell r="A499">
            <v>23347045</v>
          </cell>
          <cell r="B499" t="str">
            <v>검은색 염료</v>
          </cell>
        </row>
        <row r="500">
          <cell r="A500">
            <v>23347048</v>
          </cell>
          <cell r="B500" t="str">
            <v>나무색 염료</v>
          </cell>
        </row>
        <row r="501">
          <cell r="A501">
            <v>23347051</v>
          </cell>
          <cell r="B501" t="str">
            <v>흰 연기색 염료</v>
          </cell>
        </row>
        <row r="502">
          <cell r="A502">
            <v>23347053</v>
          </cell>
          <cell r="B502" t="str">
            <v>박하잎 염료</v>
          </cell>
        </row>
        <row r="503">
          <cell r="A503">
            <v>23347054</v>
          </cell>
          <cell r="B503" t="str">
            <v>레몬색 염료</v>
          </cell>
        </row>
        <row r="504">
          <cell r="A504">
            <v>23347055</v>
          </cell>
          <cell r="B504" t="str">
            <v>호박색 염료</v>
          </cell>
        </row>
        <row r="505">
          <cell r="A505">
            <v>23347061</v>
          </cell>
          <cell r="B505" t="str">
            <v>사막 색 염료</v>
          </cell>
        </row>
        <row r="506">
          <cell r="A506">
            <v>23347072</v>
          </cell>
          <cell r="B506" t="str">
            <v>보라색 염료</v>
          </cell>
        </row>
        <row r="507">
          <cell r="A507">
            <v>23347080</v>
          </cell>
          <cell r="B507" t="str">
            <v>오렌지색 염료</v>
          </cell>
        </row>
        <row r="508">
          <cell r="A508">
            <v>23347089</v>
          </cell>
          <cell r="B508" t="str">
            <v>불색 염료</v>
          </cell>
        </row>
        <row r="509">
          <cell r="A509">
            <v>23347112</v>
          </cell>
          <cell r="B509" t="str">
            <v>회색 염료</v>
          </cell>
        </row>
        <row r="510">
          <cell r="A510">
            <v>23347118</v>
          </cell>
          <cell r="B510" t="str">
            <v>붉은 오렌지색 염료</v>
          </cell>
        </row>
        <row r="511">
          <cell r="A511">
            <v>23347167</v>
          </cell>
          <cell r="B511" t="str">
            <v>복숭아색 염료</v>
          </cell>
        </row>
        <row r="512">
          <cell r="A512">
            <v>23347168</v>
          </cell>
          <cell r="B512" t="str">
            <v>연보라색 염료</v>
          </cell>
        </row>
        <row r="513">
          <cell r="A513">
            <v>23347169</v>
          </cell>
          <cell r="B513" t="str">
            <v>담자색 염료</v>
          </cell>
        </row>
        <row r="514">
          <cell r="A514">
            <v>23347172</v>
          </cell>
          <cell r="B514" t="str">
            <v>초콜릿색 염료</v>
          </cell>
        </row>
        <row r="515">
          <cell r="A515">
            <v>23347174</v>
          </cell>
          <cell r="B515" t="str">
            <v>녹차색 염료</v>
          </cell>
        </row>
        <row r="516">
          <cell r="A516">
            <v>23347175</v>
          </cell>
          <cell r="B516" t="str">
            <v>청옥색 염료</v>
          </cell>
        </row>
        <row r="517">
          <cell r="A517">
            <v>23347204</v>
          </cell>
          <cell r="B517" t="str">
            <v>노른자색 염료</v>
          </cell>
        </row>
        <row r="518">
          <cell r="A518">
            <v>23347206</v>
          </cell>
          <cell r="B518" t="str">
            <v>짙은 회색 염료</v>
          </cell>
        </row>
        <row r="519">
          <cell r="A519">
            <v>23347216</v>
          </cell>
          <cell r="B519" t="str">
            <v>연어색 염료</v>
          </cell>
        </row>
        <row r="520">
          <cell r="A520">
            <v>23347221</v>
          </cell>
          <cell r="B520" t="str">
            <v>에메랄드색 염료</v>
          </cell>
        </row>
        <row r="521">
          <cell r="A521">
            <v>23347229</v>
          </cell>
          <cell r="B521" t="str">
            <v>카민 색 염료</v>
          </cell>
        </row>
        <row r="522">
          <cell r="A522">
            <v>23347236</v>
          </cell>
          <cell r="B522" t="str">
            <v>탁한 감색 염료</v>
          </cell>
        </row>
        <row r="523">
          <cell r="A523">
            <v>23347258</v>
          </cell>
          <cell r="B523" t="str">
            <v>밝은 회색 염료</v>
          </cell>
        </row>
        <row r="524">
          <cell r="A524">
            <v>23347261</v>
          </cell>
          <cell r="B524" t="str">
            <v>금색 염료</v>
          </cell>
        </row>
        <row r="525">
          <cell r="A525">
            <v>23347270</v>
          </cell>
          <cell r="B525" t="str">
            <v>황녹색 염료</v>
          </cell>
        </row>
        <row r="526">
          <cell r="A526">
            <v>23347271</v>
          </cell>
          <cell r="B526" t="str">
            <v>너도밤나무 잎색 염료</v>
          </cell>
        </row>
        <row r="527">
          <cell r="A527">
            <v>23347324</v>
          </cell>
          <cell r="B527" t="str">
            <v>어두운 장미색 염료</v>
          </cell>
        </row>
        <row r="528">
          <cell r="A528">
            <v>23347332</v>
          </cell>
          <cell r="B528" t="str">
            <v>탁한 청색 염료</v>
          </cell>
        </row>
        <row r="529">
          <cell r="A529">
            <v>23347622</v>
          </cell>
          <cell r="B529" t="str">
            <v>짙은 암청색 염료</v>
          </cell>
        </row>
        <row r="530">
          <cell r="A530">
            <v>23348000</v>
          </cell>
          <cell r="B530" t="str">
            <v>가을의 금문장 도안</v>
          </cell>
        </row>
        <row r="531">
          <cell r="A531">
            <v>23348001</v>
          </cell>
          <cell r="B531" t="str">
            <v>겨울의 금문장 도안</v>
          </cell>
        </row>
        <row r="532">
          <cell r="A532">
            <v>23348002</v>
          </cell>
          <cell r="B532" t="str">
            <v>봄의 금문장 도안</v>
          </cell>
        </row>
        <row r="533">
          <cell r="A533">
            <v>23348003</v>
          </cell>
          <cell r="B533" t="str">
            <v>여름의 금문장 도안</v>
          </cell>
        </row>
        <row r="534">
          <cell r="A534">
            <v>23348004</v>
          </cell>
          <cell r="B534" t="str">
            <v>대해적 문장 도안</v>
          </cell>
        </row>
        <row r="535">
          <cell r="A535">
            <v>23348005</v>
          </cell>
          <cell r="B535" t="str">
            <v>가을의 은문장 도안</v>
          </cell>
        </row>
        <row r="536">
          <cell r="A536">
            <v>23348006</v>
          </cell>
          <cell r="B536" t="str">
            <v>겨울의 은문장 도안</v>
          </cell>
        </row>
        <row r="537">
          <cell r="A537">
            <v>23348007</v>
          </cell>
          <cell r="B537" t="str">
            <v>봄의 은문장 도안</v>
          </cell>
        </row>
        <row r="538">
          <cell r="A538">
            <v>23348008</v>
          </cell>
          <cell r="B538" t="str">
            <v>여름의 은문장 도안</v>
          </cell>
        </row>
        <row r="539">
          <cell r="A539">
            <v>23348009</v>
          </cell>
          <cell r="B539" t="str">
            <v>가네샤 문장 도안</v>
          </cell>
        </row>
        <row r="540">
          <cell r="A540">
            <v>23348010</v>
          </cell>
          <cell r="B540" t="str">
            <v>가루다 문장 도안</v>
          </cell>
        </row>
        <row r="541">
          <cell r="A541">
            <v>23348011</v>
          </cell>
          <cell r="B541" t="str">
            <v>보야쥬 문장 도안</v>
          </cell>
        </row>
        <row r="542">
          <cell r="A542">
            <v>23348012</v>
          </cell>
          <cell r="B542" t="str">
            <v>해적 문장 도안</v>
          </cell>
        </row>
        <row r="543">
          <cell r="A543">
            <v>23348013</v>
          </cell>
          <cell r="B543" t="str">
            <v>고래 문장 도안</v>
          </cell>
        </row>
        <row r="544">
          <cell r="A544">
            <v>23348014</v>
          </cell>
          <cell r="B544" t="str">
            <v>바이킹 문장 도안</v>
          </cell>
        </row>
        <row r="545">
          <cell r="A545">
            <v>23348015</v>
          </cell>
          <cell r="B545" t="str">
            <v>그리폰 문장 도안</v>
          </cell>
        </row>
        <row r="546">
          <cell r="A546">
            <v>23348016</v>
          </cell>
          <cell r="B546" t="str">
            <v>나스카 문장 도안</v>
          </cell>
        </row>
        <row r="547">
          <cell r="A547">
            <v>23348017</v>
          </cell>
          <cell r="B547" t="str">
            <v>드래곤 문장 도안</v>
          </cell>
        </row>
        <row r="548">
          <cell r="A548">
            <v>23348018</v>
          </cell>
          <cell r="B548" t="str">
            <v>라의 눈 문장 도안</v>
          </cell>
        </row>
        <row r="549">
          <cell r="A549">
            <v>23348019</v>
          </cell>
          <cell r="B549" t="str">
            <v>쌍두독수리 문장 도안</v>
          </cell>
        </row>
        <row r="550">
          <cell r="A550">
            <v>23348020</v>
          </cell>
          <cell r="B550" t="str">
            <v>메두사 문장 도안</v>
          </cell>
        </row>
        <row r="551">
          <cell r="A551">
            <v>23348021</v>
          </cell>
          <cell r="B551" t="str">
            <v>모아이 문장 도안</v>
          </cell>
        </row>
        <row r="552">
          <cell r="A552">
            <v>23348022</v>
          </cell>
          <cell r="B552" t="str">
            <v>사자 문장 도안</v>
          </cell>
        </row>
        <row r="553">
          <cell r="A553">
            <v>23348023</v>
          </cell>
          <cell r="B553" t="str">
            <v>샐러맨더 문장 도안</v>
          </cell>
        </row>
        <row r="554">
          <cell r="A554">
            <v>23348024</v>
          </cell>
          <cell r="B554" t="str">
            <v>성마르코 사자 문장 도안</v>
          </cell>
        </row>
        <row r="555">
          <cell r="A555">
            <v>23348025</v>
          </cell>
          <cell r="B555" t="str">
            <v>소녀 문장 도안</v>
          </cell>
        </row>
        <row r="556">
          <cell r="A556">
            <v>23348026</v>
          </cell>
          <cell r="B556" t="str">
            <v>앰버잭 문장 도안</v>
          </cell>
        </row>
        <row r="557">
          <cell r="A557">
            <v>23348027</v>
          </cell>
          <cell r="B557" t="str">
            <v>야수 문장 도안</v>
          </cell>
        </row>
        <row r="558">
          <cell r="A558">
            <v>23348028</v>
          </cell>
          <cell r="B558" t="str">
            <v>용 문장 도안</v>
          </cell>
        </row>
        <row r="559">
          <cell r="A559">
            <v>23348029</v>
          </cell>
          <cell r="B559" t="str">
            <v>용사냥의 문장 도안</v>
          </cell>
        </row>
        <row r="560">
          <cell r="A560">
            <v>23348030</v>
          </cell>
          <cell r="B560" t="str">
            <v>유니콘 문장 도안</v>
          </cell>
        </row>
        <row r="561">
          <cell r="A561">
            <v>23348031</v>
          </cell>
          <cell r="B561" t="str">
            <v>유인원 문장 도안</v>
          </cell>
        </row>
        <row r="562">
          <cell r="A562">
            <v>23348032</v>
          </cell>
          <cell r="B562" t="str">
            <v>제독 문장 도안</v>
          </cell>
        </row>
        <row r="563">
          <cell r="A563">
            <v>23348033</v>
          </cell>
          <cell r="B563" t="str">
            <v>케살코아틀 문장 도안</v>
          </cell>
        </row>
        <row r="564">
          <cell r="A564">
            <v>23348034</v>
          </cell>
          <cell r="B564" t="str">
            <v>페어리 문장 도안</v>
          </cell>
        </row>
        <row r="565">
          <cell r="A565">
            <v>23348035</v>
          </cell>
          <cell r="B565" t="str">
            <v>펭귄 문장 도안</v>
          </cell>
        </row>
        <row r="566">
          <cell r="A566">
            <v>23348036</v>
          </cell>
          <cell r="B566" t="str">
            <v>폭스 문장 도안</v>
          </cell>
        </row>
        <row r="567">
          <cell r="A567">
            <v>23348037</v>
          </cell>
          <cell r="B567" t="str">
            <v>피닉스 문장 도안</v>
          </cell>
        </row>
        <row r="568">
          <cell r="A568">
            <v>23348038</v>
          </cell>
          <cell r="B568" t="str">
            <v>해룡 문장 도안</v>
          </cell>
        </row>
        <row r="569">
          <cell r="A569">
            <v>23348039</v>
          </cell>
          <cell r="B569" t="str">
            <v>호랑이 문장 도안</v>
          </cell>
        </row>
        <row r="570">
          <cell r="A570">
            <v>23348040</v>
          </cell>
          <cell r="B570" t="str">
            <v>화염방패 문장 도안</v>
          </cell>
        </row>
        <row r="571">
          <cell r="A571">
            <v>23348041</v>
          </cell>
          <cell r="B571" t="str">
            <v>거미 문장 도안</v>
          </cell>
        </row>
        <row r="572">
          <cell r="A572">
            <v>23348042</v>
          </cell>
          <cell r="B572" t="str">
            <v>나비 문장 도안</v>
          </cell>
        </row>
        <row r="573">
          <cell r="A573">
            <v>23348043</v>
          </cell>
          <cell r="B573" t="str">
            <v>스콜피온 문장 도안</v>
          </cell>
        </row>
        <row r="574">
          <cell r="A574">
            <v>23348044</v>
          </cell>
          <cell r="B574" t="str">
            <v>크로스소드 문장 도안</v>
          </cell>
        </row>
        <row r="575">
          <cell r="A575">
            <v>23348045</v>
          </cell>
          <cell r="B575" t="str">
            <v>다이아몬드 문장 도안</v>
          </cell>
        </row>
        <row r="576">
          <cell r="A576">
            <v>23348046</v>
          </cell>
          <cell r="B576" t="str">
            <v>델핀 문장 도안</v>
          </cell>
        </row>
        <row r="577">
          <cell r="A577">
            <v>23348047</v>
          </cell>
          <cell r="B577" t="str">
            <v>바다뱀 문장 도안</v>
          </cell>
        </row>
        <row r="578">
          <cell r="A578">
            <v>23348048</v>
          </cell>
          <cell r="B578" t="str">
            <v>백합 문장 도안</v>
          </cell>
        </row>
        <row r="579">
          <cell r="A579">
            <v>23348049</v>
          </cell>
          <cell r="B579" t="str">
            <v>성요한 기사단 문장 도안</v>
          </cell>
        </row>
        <row r="580">
          <cell r="A580">
            <v>23348050</v>
          </cell>
          <cell r="B580" t="str">
            <v>스페이드 문장 도안</v>
          </cell>
        </row>
        <row r="581">
          <cell r="A581">
            <v>23348051</v>
          </cell>
          <cell r="B581" t="str">
            <v>써클크로스 문장 도안</v>
          </cell>
        </row>
        <row r="582">
          <cell r="A582">
            <v>23348052</v>
          </cell>
          <cell r="B582" t="str">
            <v>앵커 문장 도안</v>
          </cell>
        </row>
        <row r="583">
          <cell r="A583">
            <v>23348053</v>
          </cell>
          <cell r="B583" t="str">
            <v>어부 문장 도안</v>
          </cell>
        </row>
        <row r="584">
          <cell r="A584">
            <v>23348054</v>
          </cell>
          <cell r="B584" t="str">
            <v>일광 문장 도안</v>
          </cell>
        </row>
        <row r="585">
          <cell r="A585">
            <v>23348055</v>
          </cell>
          <cell r="B585" t="str">
            <v>장미 문장 도안</v>
          </cell>
        </row>
        <row r="586">
          <cell r="A586">
            <v>23348056</v>
          </cell>
          <cell r="B586" t="str">
            <v>조개 문장 도안</v>
          </cell>
        </row>
        <row r="587">
          <cell r="A587">
            <v>23348057</v>
          </cell>
          <cell r="B587" t="str">
            <v>캥거루 문장 도안</v>
          </cell>
        </row>
        <row r="588">
          <cell r="A588">
            <v>23348058</v>
          </cell>
          <cell r="B588" t="str">
            <v>크로스 문장 도안</v>
          </cell>
        </row>
        <row r="589">
          <cell r="A589">
            <v>23348059</v>
          </cell>
          <cell r="B589" t="str">
            <v>클로버 문장 도안</v>
          </cell>
        </row>
        <row r="590">
          <cell r="A590">
            <v>23348060</v>
          </cell>
          <cell r="B590" t="str">
            <v>태양 문장 도안</v>
          </cell>
        </row>
        <row r="591">
          <cell r="A591">
            <v>23348061</v>
          </cell>
          <cell r="B591" t="str">
            <v>트라이덴트 문장 도안</v>
          </cell>
        </row>
        <row r="592">
          <cell r="A592">
            <v>23348062</v>
          </cell>
          <cell r="B592" t="str">
            <v>페가수스 문장 도안</v>
          </cell>
        </row>
        <row r="593">
          <cell r="A593">
            <v>23348063</v>
          </cell>
          <cell r="B593" t="str">
            <v>하트 문장 도안</v>
          </cell>
        </row>
        <row r="594">
          <cell r="A594">
            <v>23348064</v>
          </cell>
          <cell r="B594" t="str">
            <v>헬름 문장 도안</v>
          </cell>
        </row>
        <row r="595">
          <cell r="A595">
            <v>23348065</v>
          </cell>
          <cell r="B595" t="str">
            <v>호박벌 문장 도안</v>
          </cell>
        </row>
        <row r="596">
          <cell r="A596">
            <v>23348066</v>
          </cell>
          <cell r="B596" t="str">
            <v>기사 문장 도안</v>
          </cell>
        </row>
        <row r="597">
          <cell r="A597">
            <v>23348067</v>
          </cell>
          <cell r="B597" t="str">
            <v>네덜란드 문장 도안</v>
          </cell>
        </row>
        <row r="598">
          <cell r="A598">
            <v>23348068</v>
          </cell>
          <cell r="B598" t="str">
            <v>미들튼 가문의 문장 도안</v>
          </cell>
        </row>
        <row r="599">
          <cell r="A599">
            <v>23348069</v>
          </cell>
          <cell r="B599" t="str">
            <v>바다 여단 문장 도안</v>
          </cell>
        </row>
        <row r="600">
          <cell r="A600">
            <v>23348070</v>
          </cell>
          <cell r="B600" t="str">
            <v>발바리아 해적 문장 도안</v>
          </cell>
        </row>
        <row r="601">
          <cell r="A601">
            <v>23348071</v>
          </cell>
          <cell r="B601" t="str">
            <v>베네치아 문장 도안</v>
          </cell>
        </row>
        <row r="602">
          <cell r="A602">
            <v>23348072</v>
          </cell>
          <cell r="B602" t="str">
            <v>베르니에 자작가 문장 도안</v>
          </cell>
        </row>
        <row r="603">
          <cell r="A603">
            <v>23348073</v>
          </cell>
          <cell r="B603" t="str">
            <v>살미엔트 길드 문장 도안</v>
          </cell>
        </row>
        <row r="604">
          <cell r="A604">
            <v>23348074</v>
          </cell>
          <cell r="B604" t="str">
            <v>에스파냐 문장 도안</v>
          </cell>
        </row>
        <row r="605">
          <cell r="A605">
            <v>23348075</v>
          </cell>
          <cell r="B605" t="str">
            <v>여인 문장 도안</v>
          </cell>
        </row>
        <row r="606">
          <cell r="A606">
            <v>23348076</v>
          </cell>
          <cell r="B606" t="str">
            <v>오스만 투르크 문장 도안</v>
          </cell>
        </row>
        <row r="607">
          <cell r="A607">
            <v>23348077</v>
          </cell>
          <cell r="B607" t="str">
            <v>장식 문장 도안</v>
          </cell>
        </row>
        <row r="608">
          <cell r="A608">
            <v>23348078</v>
          </cell>
          <cell r="B608" t="str">
            <v>탈출 문장 도안</v>
          </cell>
        </row>
        <row r="609">
          <cell r="A609">
            <v>23348079</v>
          </cell>
          <cell r="B609" t="str">
            <v>포르투갈 문장 도안</v>
          </cell>
        </row>
        <row r="610">
          <cell r="A610">
            <v>23348080</v>
          </cell>
          <cell r="B610" t="str">
            <v>프랑스 문장 도안</v>
          </cell>
        </row>
        <row r="611">
          <cell r="A611">
            <v>23348081</v>
          </cell>
          <cell r="B611" t="str">
            <v>흑고래 용병함대 문장 도안</v>
          </cell>
        </row>
        <row r="612">
          <cell r="A612">
            <v>23348082</v>
          </cell>
          <cell r="B612" t="str">
            <v>학문양 문장 도안</v>
          </cell>
        </row>
        <row r="613">
          <cell r="A613">
            <v>23348083</v>
          </cell>
          <cell r="B613" t="str">
            <v>잉어 문장 도안</v>
          </cell>
        </row>
        <row r="614">
          <cell r="A614">
            <v>23348084</v>
          </cell>
          <cell r="B614" t="str">
            <v>청룡 문장 도안</v>
          </cell>
        </row>
        <row r="615">
          <cell r="A615">
            <v>23348085</v>
          </cell>
          <cell r="B615" t="str">
            <v>현무 문장 도안</v>
          </cell>
        </row>
        <row r="616">
          <cell r="A616">
            <v>23348086</v>
          </cell>
          <cell r="B616" t="str">
            <v>백호 문장 도안</v>
          </cell>
        </row>
        <row r="617">
          <cell r="A617">
            <v>23348087</v>
          </cell>
          <cell r="B617" t="str">
            <v>주작 문장 도안</v>
          </cell>
        </row>
        <row r="618">
          <cell r="A618">
            <v>23348088</v>
          </cell>
          <cell r="B618" t="str">
            <v>도깨비 문장 도안</v>
          </cell>
        </row>
        <row r="619">
          <cell r="A619">
            <v>23348089</v>
          </cell>
          <cell r="B619" t="str">
            <v>태극 문장 도안</v>
          </cell>
        </row>
        <row r="620">
          <cell r="A620">
            <v>23348090</v>
          </cell>
          <cell r="B620" t="str">
            <v>모란 문장 도안</v>
          </cell>
        </row>
        <row r="621">
          <cell r="A621">
            <v>23348091</v>
          </cell>
          <cell r="B621" t="str">
            <v>벚꽃 문장 도안</v>
          </cell>
        </row>
        <row r="622">
          <cell r="A622">
            <v>23348092</v>
          </cell>
          <cell r="B622" t="str">
            <v>연꽃 문장 도안</v>
          </cell>
        </row>
        <row r="623">
          <cell r="A623">
            <v>23348093</v>
          </cell>
          <cell r="B623" t="str">
            <v>국화 문장 도안</v>
          </cell>
        </row>
        <row r="624">
          <cell r="A624">
            <v>23348094</v>
          </cell>
          <cell r="B624" t="str">
            <v>매화 문장 도안</v>
          </cell>
        </row>
        <row r="625">
          <cell r="A625">
            <v>23348095</v>
          </cell>
          <cell r="B625" t="str">
            <v>복 문장 도안</v>
          </cell>
        </row>
        <row r="626">
          <cell r="A626">
            <v>23348096</v>
          </cell>
          <cell r="B626" t="str">
            <v>구름 문장 도안</v>
          </cell>
        </row>
        <row r="627">
          <cell r="A627">
            <v>23348097</v>
          </cell>
          <cell r="B627" t="str">
            <v>기린 문장 도안</v>
          </cell>
        </row>
        <row r="628">
          <cell r="A628">
            <v>23348098</v>
          </cell>
          <cell r="B628" t="str">
            <v>해태 문장 도안</v>
          </cell>
        </row>
        <row r="629">
          <cell r="A629">
            <v>23348099</v>
          </cell>
          <cell r="B629" t="str">
            <v>대나무 문장 도안</v>
          </cell>
        </row>
        <row r="630">
          <cell r="A630">
            <v>23348100</v>
          </cell>
          <cell r="B630" t="str">
            <v>창틀 문장 도안</v>
          </cell>
        </row>
        <row r="631">
          <cell r="A631">
            <v>23348101</v>
          </cell>
          <cell r="B631" t="str">
            <v>복숭아 문장 도안</v>
          </cell>
        </row>
        <row r="632">
          <cell r="A632">
            <v>23348102</v>
          </cell>
          <cell r="B632" t="str">
            <v>캘리코 잭 도안</v>
          </cell>
        </row>
        <row r="633">
          <cell r="A633">
            <v>23348103</v>
          </cell>
          <cell r="B633" t="str">
            <v>대항해시대 오리진 도안</v>
          </cell>
        </row>
        <row r="634">
          <cell r="A634">
            <v>23348104</v>
          </cell>
          <cell r="B634" t="str">
            <v>보석 왕관 도안</v>
          </cell>
        </row>
        <row r="635">
          <cell r="A635">
            <v>23348105</v>
          </cell>
          <cell r="B635" t="str">
            <v>루돌프 썰매 문장 도안</v>
          </cell>
        </row>
        <row r="636">
          <cell r="A636">
            <v>23348106</v>
          </cell>
          <cell r="B636" t="str">
            <v>앤 여왕의 복수 문장 도안</v>
          </cell>
        </row>
        <row r="637">
          <cell r="A637">
            <v>23348107</v>
          </cell>
          <cell r="B637" t="str">
            <v>200일 기념의 문장 도안</v>
          </cell>
        </row>
        <row r="638">
          <cell r="A638">
            <v>23348108</v>
          </cell>
          <cell r="B638" t="str">
            <v>쌍어 문장 도안</v>
          </cell>
        </row>
        <row r="639">
          <cell r="A639">
            <v>23348109</v>
          </cell>
          <cell r="B639" t="str">
            <v>축하의 왕관 문장 도안</v>
          </cell>
        </row>
        <row r="640">
          <cell r="A640">
            <v>23348500</v>
          </cell>
          <cell r="B640" t="str">
            <v>한줄 가로무늬 도안</v>
          </cell>
        </row>
        <row r="641">
          <cell r="A641">
            <v>23348501</v>
          </cell>
          <cell r="B641" t="str">
            <v>한줄 세로무늬 도안</v>
          </cell>
        </row>
        <row r="642">
          <cell r="A642">
            <v>23348502</v>
          </cell>
          <cell r="B642" t="str">
            <v>한줄 사선무늬 도안</v>
          </cell>
        </row>
        <row r="643">
          <cell r="A643">
            <v>23348503</v>
          </cell>
          <cell r="B643" t="str">
            <v>가로 톱니 무늬 도안</v>
          </cell>
        </row>
        <row r="644">
          <cell r="A644">
            <v>23348504</v>
          </cell>
          <cell r="B644" t="str">
            <v>세로 톱니 무늬 도안</v>
          </cell>
        </row>
        <row r="645">
          <cell r="A645">
            <v>23348505</v>
          </cell>
          <cell r="B645" t="str">
            <v>두줄 세로 무늬 도안</v>
          </cell>
        </row>
        <row r="646">
          <cell r="A646">
            <v>23348506</v>
          </cell>
          <cell r="B646" t="str">
            <v>두줄 가로 무늬 도안</v>
          </cell>
        </row>
        <row r="647">
          <cell r="A647">
            <v>23348507</v>
          </cell>
          <cell r="B647" t="str">
            <v>한줄 물결 무늬 도안</v>
          </cell>
        </row>
        <row r="648">
          <cell r="A648">
            <v>23348508</v>
          </cell>
          <cell r="B648" t="str">
            <v>세로 스트라이프 도안</v>
          </cell>
        </row>
        <row r="649">
          <cell r="A649">
            <v>23348509</v>
          </cell>
          <cell r="B649" t="str">
            <v>가로 스트라이프 도안</v>
          </cell>
        </row>
        <row r="650">
          <cell r="A650">
            <v>23348510</v>
          </cell>
          <cell r="B650" t="str">
            <v>두줄 사선 무늬 도안</v>
          </cell>
        </row>
        <row r="651">
          <cell r="A651">
            <v>23348511</v>
          </cell>
          <cell r="B651" t="str">
            <v>큰 마름모 무늬 도안</v>
          </cell>
        </row>
        <row r="652">
          <cell r="A652">
            <v>23348512</v>
          </cell>
          <cell r="B652" t="str">
            <v>작은 마름모 무늬 도안</v>
          </cell>
        </row>
        <row r="653">
          <cell r="A653">
            <v>23348513</v>
          </cell>
          <cell r="B653" t="str">
            <v>V 자 무늬 도안</v>
          </cell>
        </row>
        <row r="654">
          <cell r="A654">
            <v>23348514</v>
          </cell>
          <cell r="B654" t="str">
            <v>격자 무늬 도안</v>
          </cell>
        </row>
        <row r="655">
          <cell r="A655">
            <v>23348515</v>
          </cell>
          <cell r="B655" t="str">
            <v>풍차 무늬 도안</v>
          </cell>
        </row>
        <row r="656">
          <cell r="A656">
            <v>23348516</v>
          </cell>
          <cell r="B656" t="str">
            <v>큰 사각 무늬 도안</v>
          </cell>
        </row>
        <row r="657">
          <cell r="A657">
            <v>23348517</v>
          </cell>
          <cell r="B657" t="str">
            <v>큰 방울 무늬 도안</v>
          </cell>
        </row>
        <row r="658">
          <cell r="A658">
            <v>23348518</v>
          </cell>
          <cell r="B658" t="str">
            <v>삼각 무늬 도안</v>
          </cell>
        </row>
        <row r="659">
          <cell r="A659">
            <v>23348519</v>
          </cell>
          <cell r="B659" t="str">
            <v>계단 무늬 도안</v>
          </cell>
        </row>
        <row r="660">
          <cell r="A660">
            <v>23348520</v>
          </cell>
          <cell r="B660" t="str">
            <v>세로 물결 무늬 도안</v>
          </cell>
        </row>
        <row r="661">
          <cell r="A661">
            <v>23348521</v>
          </cell>
          <cell r="B661" t="str">
            <v>가로 물결 무늬 도안</v>
          </cell>
        </row>
        <row r="662">
          <cell r="A662">
            <v>23348522</v>
          </cell>
          <cell r="B662" t="str">
            <v>작은 방울 무늬 도안</v>
          </cell>
        </row>
        <row r="663">
          <cell r="A663">
            <v>23348523</v>
          </cell>
          <cell r="B663" t="str">
            <v>빛 모양 무늬 도안</v>
          </cell>
        </row>
        <row r="664">
          <cell r="A664">
            <v>23348524</v>
          </cell>
          <cell r="B664" t="str">
            <v>체크 무늬 도안</v>
          </cell>
        </row>
        <row r="665">
          <cell r="A665">
            <v>23348525</v>
          </cell>
          <cell r="B665" t="str">
            <v>삼각형 무늬 도안</v>
          </cell>
        </row>
        <row r="666">
          <cell r="A666">
            <v>23348526</v>
          </cell>
          <cell r="B666" t="str">
            <v>마름모 무늬 도안</v>
          </cell>
        </row>
        <row r="667">
          <cell r="A667">
            <v>23348527</v>
          </cell>
          <cell r="B667" t="str">
            <v>벽돌 무늬 도안</v>
          </cell>
        </row>
        <row r="668">
          <cell r="A668">
            <v>23348528</v>
          </cell>
          <cell r="B668" t="str">
            <v>구불구불 무늬 도안</v>
          </cell>
        </row>
        <row r="669">
          <cell r="A669">
            <v>23348529</v>
          </cell>
          <cell r="B669" t="str">
            <v>물결 무늬 도안</v>
          </cell>
        </row>
        <row r="670">
          <cell r="A670">
            <v>23348530</v>
          </cell>
          <cell r="B670" t="str">
            <v>사각 무늬 도안</v>
          </cell>
        </row>
        <row r="671">
          <cell r="A671">
            <v>23348531</v>
          </cell>
          <cell r="B671" t="str">
            <v>체스판 무늬 도안</v>
          </cell>
        </row>
        <row r="672">
          <cell r="A672">
            <v>23348532</v>
          </cell>
          <cell r="B672" t="str">
            <v>십자 무늬 도안</v>
          </cell>
        </row>
        <row r="673">
          <cell r="A673">
            <v>23348533</v>
          </cell>
          <cell r="B673" t="str">
            <v>원 무늬 도안</v>
          </cell>
        </row>
        <row r="674">
          <cell r="A674">
            <v>23348534</v>
          </cell>
          <cell r="B674" t="str">
            <v>비늘 무늬 도안</v>
          </cell>
        </row>
        <row r="675">
          <cell r="A675">
            <v>23348535</v>
          </cell>
          <cell r="B675" t="str">
            <v>육각 무늬 도안</v>
          </cell>
        </row>
        <row r="676">
          <cell r="A676">
            <v>23348536</v>
          </cell>
          <cell r="B676" t="str">
            <v>사각 마름모 무늬 도안</v>
          </cell>
        </row>
        <row r="677">
          <cell r="A677">
            <v>23348537</v>
          </cell>
          <cell r="B677" t="str">
            <v>제비꽃 무늬 도안</v>
          </cell>
        </row>
        <row r="678">
          <cell r="A678">
            <v>23348538</v>
          </cell>
          <cell r="B678" t="str">
            <v>혼돈 무늬 도안</v>
          </cell>
        </row>
        <row r="679">
          <cell r="A679">
            <v>23348539</v>
          </cell>
          <cell r="B679" t="str">
            <v>백합 무늬 도안</v>
          </cell>
        </row>
        <row r="680">
          <cell r="A680">
            <v>23348540</v>
          </cell>
          <cell r="B680" t="str">
            <v>점 무늬 도안</v>
          </cell>
        </row>
        <row r="681">
          <cell r="A681">
            <v>23348541</v>
          </cell>
          <cell r="B681" t="str">
            <v>달 무늬 도안</v>
          </cell>
        </row>
        <row r="682">
          <cell r="A682">
            <v>23348542</v>
          </cell>
          <cell r="B682" t="str">
            <v>얼룩 무늬 도안</v>
          </cell>
        </row>
        <row r="683">
          <cell r="A683">
            <v>23348543</v>
          </cell>
          <cell r="B683" t="str">
            <v>모래알 무늬 도안</v>
          </cell>
        </row>
        <row r="684">
          <cell r="A684">
            <v>23348544</v>
          </cell>
          <cell r="B684" t="str">
            <v>별 무늬 도안</v>
          </cell>
        </row>
        <row r="685">
          <cell r="A685">
            <v>23348545</v>
          </cell>
          <cell r="B685" t="str">
            <v>블록 무늬 도안</v>
          </cell>
        </row>
        <row r="686">
          <cell r="A686">
            <v>23348546</v>
          </cell>
          <cell r="B686" t="str">
            <v>데칼코마니 무늬 도안</v>
          </cell>
        </row>
        <row r="687">
          <cell r="A687">
            <v>23348547</v>
          </cell>
          <cell r="B687" t="str">
            <v>나비 무늬 도안</v>
          </cell>
        </row>
        <row r="688">
          <cell r="A688">
            <v>23348548</v>
          </cell>
          <cell r="B688" t="str">
            <v>장미 무늬 도안</v>
          </cell>
        </row>
        <row r="689">
          <cell r="A689">
            <v>23348549</v>
          </cell>
          <cell r="B689" t="str">
            <v>특수 무늬 도안</v>
          </cell>
        </row>
        <row r="690">
          <cell r="A690">
            <v>23348550</v>
          </cell>
          <cell r="B690" t="str">
            <v>동양풍 무늬 도안</v>
          </cell>
        </row>
        <row r="691">
          <cell r="A691">
            <v>23348551</v>
          </cell>
          <cell r="B691" t="str">
            <v>적룡 문장 도안</v>
          </cell>
        </row>
        <row r="692">
          <cell r="A692">
            <v>23348552</v>
          </cell>
          <cell r="B692" t="str">
            <v>마녀 문장 도안</v>
          </cell>
        </row>
        <row r="693">
          <cell r="A693">
            <v>23348555</v>
          </cell>
          <cell r="B693" t="str">
            <v>남소령기 문장 도안</v>
          </cell>
        </row>
        <row r="694">
          <cell r="A694">
            <v>23348556</v>
          </cell>
          <cell r="B694" t="str">
            <v>홍소령기 문장 도안</v>
          </cell>
        </row>
        <row r="695">
          <cell r="A695">
            <v>23348557</v>
          </cell>
          <cell r="B695" t="str">
            <v>대해적 마리벨 문장 도안</v>
          </cell>
        </row>
        <row r="696">
          <cell r="A696">
            <v>23348558</v>
          </cell>
          <cell r="B696" t="str">
            <v>현조생상 문장 도안</v>
          </cell>
        </row>
        <row r="697">
          <cell r="A697">
            <v>23400000</v>
          </cell>
          <cell r="B697" t="str">
            <v>소형 인양 공구</v>
          </cell>
        </row>
        <row r="698">
          <cell r="A698">
            <v>23400001</v>
          </cell>
          <cell r="B698" t="str">
            <v>중형 인양 공구</v>
          </cell>
        </row>
        <row r="699">
          <cell r="A699">
            <v>23400002</v>
          </cell>
          <cell r="B699" t="str">
            <v>대형 인양 공구</v>
          </cell>
        </row>
        <row r="700">
          <cell r="A700">
            <v>23400003</v>
          </cell>
          <cell r="B700" t="str">
            <v>슬롯 확장서</v>
          </cell>
        </row>
        <row r="701">
          <cell r="A701">
            <v>23400004</v>
          </cell>
          <cell r="B701" t="str">
            <v>도구함 확장서</v>
          </cell>
        </row>
        <row r="702">
          <cell r="A702">
            <v>23400005</v>
          </cell>
          <cell r="B702" t="str">
            <v>부품함 확장서</v>
          </cell>
        </row>
        <row r="703">
          <cell r="A703">
            <v>23400006</v>
          </cell>
          <cell r="B703" t="str">
            <v>예인선 계약서</v>
          </cell>
        </row>
        <row r="704">
          <cell r="A704">
            <v>23400007</v>
          </cell>
          <cell r="B704" t="str">
            <v>선거 계약서</v>
          </cell>
        </row>
        <row r="705">
          <cell r="A705">
            <v>23400008</v>
          </cell>
          <cell r="B705" t="str">
            <v>소형 선박 공용 도면</v>
          </cell>
        </row>
        <row r="706">
          <cell r="A706">
            <v>23400009</v>
          </cell>
          <cell r="B706" t="str">
            <v>중형 선박 공용 도면</v>
          </cell>
        </row>
        <row r="707">
          <cell r="A707">
            <v>23400010</v>
          </cell>
          <cell r="B707" t="str">
            <v>대형 선박 공용 도면</v>
          </cell>
        </row>
        <row r="708">
          <cell r="A708">
            <v>23400011</v>
          </cell>
          <cell r="B708" t="str">
            <v>초대형 선박 공용 도면</v>
          </cell>
        </row>
        <row r="709">
          <cell r="A709">
            <v>23400012</v>
          </cell>
          <cell r="B709" t="str">
            <v>건조 계약서</v>
          </cell>
        </row>
        <row r="710">
          <cell r="A710">
            <v>23400018</v>
          </cell>
          <cell r="B710" t="str">
            <v>C등급 특수 도면</v>
          </cell>
        </row>
        <row r="711">
          <cell r="A711">
            <v>23400019</v>
          </cell>
          <cell r="B711" t="str">
            <v>B등급 특수 도면</v>
          </cell>
        </row>
        <row r="712">
          <cell r="A712">
            <v>23400020</v>
          </cell>
          <cell r="B712" t="str">
            <v>A등급 특수 도면</v>
          </cell>
        </row>
        <row r="713">
          <cell r="A713">
            <v>23400021</v>
          </cell>
          <cell r="B713" t="str">
            <v>S등급 특수 도면</v>
          </cell>
        </row>
        <row r="714">
          <cell r="A714">
            <v>23400023</v>
          </cell>
          <cell r="B714" t="str">
            <v>소형 발주서</v>
          </cell>
        </row>
        <row r="715">
          <cell r="A715">
            <v>23400024</v>
          </cell>
          <cell r="B715" t="str">
            <v>중형 발주서</v>
          </cell>
        </row>
        <row r="716">
          <cell r="A716">
            <v>23400025</v>
          </cell>
          <cell r="B716" t="str">
            <v>대형 발주서</v>
          </cell>
        </row>
        <row r="717">
          <cell r="A717">
            <v>23400026</v>
          </cell>
          <cell r="B717" t="str">
            <v>초대형 발주서</v>
          </cell>
        </row>
        <row r="718">
          <cell r="A718">
            <v>23400027</v>
          </cell>
          <cell r="B718" t="str">
            <v>초대형 인양 공구</v>
          </cell>
        </row>
        <row r="719">
          <cell r="A719">
            <v>23400028</v>
          </cell>
          <cell r="B719" t="str">
            <v>예비 노</v>
          </cell>
        </row>
        <row r="720">
          <cell r="A720">
            <v>23401001</v>
          </cell>
          <cell r="B720" t="str">
            <v>특별 투자 증서</v>
          </cell>
        </row>
        <row r="721">
          <cell r="A721">
            <v>23401002</v>
          </cell>
          <cell r="B721" t="str">
            <v>크리스마스_선물 상자</v>
          </cell>
        </row>
        <row r="722">
          <cell r="A722">
            <v>23401003</v>
          </cell>
          <cell r="B722" t="str">
            <v>은의 증서</v>
          </cell>
        </row>
        <row r="723">
          <cell r="A723">
            <v>23401004</v>
          </cell>
          <cell r="B723" t="str">
            <v>금의 증서</v>
          </cell>
        </row>
        <row r="724">
          <cell r="A724">
            <v>23401005</v>
          </cell>
          <cell r="B724" t="str">
            <v>백금의 증서</v>
          </cell>
        </row>
        <row r="725">
          <cell r="A725">
            <v>23401006</v>
          </cell>
          <cell r="B725" t="str">
            <v>투자 시즌 1의 증표</v>
          </cell>
        </row>
        <row r="726">
          <cell r="A726">
            <v>23401007</v>
          </cell>
          <cell r="B726" t="str">
            <v>녹옥의 증서</v>
          </cell>
        </row>
        <row r="727">
          <cell r="A727">
            <v>23401008</v>
          </cell>
          <cell r="B727" t="str">
            <v>강옥의 증서</v>
          </cell>
        </row>
        <row r="728">
          <cell r="A728">
            <v>23401009</v>
          </cell>
          <cell r="B728" t="str">
            <v>금강석의 증서</v>
          </cell>
        </row>
        <row r="729">
          <cell r="A729">
            <v>23401010</v>
          </cell>
          <cell r="B729" t="str">
            <v>투자 시즌 2의 증표</v>
          </cell>
        </row>
        <row r="730">
          <cell r="A730">
            <v>23401011</v>
          </cell>
          <cell r="B730" t="str">
            <v>동괴 교환 증서</v>
          </cell>
        </row>
        <row r="731">
          <cell r="A731">
            <v>23401012</v>
          </cell>
          <cell r="B731" t="str">
            <v>은괴 교환 증서</v>
          </cell>
        </row>
        <row r="732">
          <cell r="A732">
            <v>23401013</v>
          </cell>
          <cell r="B732" t="str">
            <v>금괴 교환 증서</v>
          </cell>
        </row>
        <row r="733">
          <cell r="A733">
            <v>23401014</v>
          </cell>
          <cell r="B733" t="str">
            <v>투자 시즌 3의 증표</v>
          </cell>
        </row>
        <row r="734">
          <cell r="A734">
            <v>23401015</v>
          </cell>
          <cell r="B734" t="str">
            <v>투자 시즌 4의 증표</v>
          </cell>
        </row>
        <row r="735">
          <cell r="A735">
            <v>23401016</v>
          </cell>
          <cell r="B735" t="str">
            <v>투자 시즌 5의 증표</v>
          </cell>
        </row>
        <row r="736">
          <cell r="A736">
            <v>23401017</v>
          </cell>
          <cell r="B736" t="str">
            <v>투자 시즌 6의 증표</v>
          </cell>
        </row>
        <row r="737">
          <cell r="A737">
            <v>23401018</v>
          </cell>
          <cell r="B737" t="str">
            <v>투자 시즌 7의 증표</v>
          </cell>
        </row>
        <row r="738">
          <cell r="A738">
            <v>23401019</v>
          </cell>
          <cell r="B738" t="str">
            <v>투자 시즌 8의 증표</v>
          </cell>
        </row>
        <row r="739">
          <cell r="A739">
            <v>23401020</v>
          </cell>
          <cell r="B739" t="str">
            <v>투자 시즌 9의 증표</v>
          </cell>
        </row>
        <row r="740">
          <cell r="A740">
            <v>23401021</v>
          </cell>
          <cell r="B740" t="str">
            <v>동전 지급 요청서</v>
          </cell>
        </row>
        <row r="741">
          <cell r="A741">
            <v>23401022</v>
          </cell>
          <cell r="B741" t="str">
            <v>은자 지급 요청서</v>
          </cell>
        </row>
        <row r="742">
          <cell r="A742">
            <v>23401023</v>
          </cell>
          <cell r="B742" t="str">
            <v>금자 지급 요청서</v>
          </cell>
        </row>
        <row r="743">
          <cell r="A743">
            <v>23401024</v>
          </cell>
          <cell r="B743" t="str">
            <v>연맹의 동화 어음</v>
          </cell>
        </row>
        <row r="744">
          <cell r="A744">
            <v>23401025</v>
          </cell>
          <cell r="B744" t="str">
            <v>연맹의 은화 어음</v>
          </cell>
        </row>
        <row r="745">
          <cell r="A745">
            <v>23401026</v>
          </cell>
          <cell r="B745" t="str">
            <v>연맹의 금화 어음</v>
          </cell>
        </row>
        <row r="746">
          <cell r="A746">
            <v>23405001</v>
          </cell>
          <cell r="B746" t="str">
            <v>타렛테 도면</v>
          </cell>
        </row>
        <row r="747">
          <cell r="A747">
            <v>23405002</v>
          </cell>
          <cell r="B747" t="str">
            <v>바르카 도면</v>
          </cell>
        </row>
        <row r="748">
          <cell r="A748">
            <v>23405003</v>
          </cell>
          <cell r="B748" t="str">
            <v>한자 코그 도면</v>
          </cell>
        </row>
        <row r="749">
          <cell r="A749">
            <v>23405004</v>
          </cell>
          <cell r="B749" t="str">
            <v>경량형 프로아 도면</v>
          </cell>
        </row>
        <row r="750">
          <cell r="A750">
            <v>23405005</v>
          </cell>
          <cell r="B750" t="str">
            <v>버저로 도면</v>
          </cell>
        </row>
        <row r="751">
          <cell r="A751">
            <v>23405006</v>
          </cell>
          <cell r="B751" t="str">
            <v>삼판 도면</v>
          </cell>
        </row>
        <row r="752">
          <cell r="A752">
            <v>23405007</v>
          </cell>
          <cell r="B752" t="str">
            <v>브리간틴 도면</v>
          </cell>
        </row>
        <row r="753">
          <cell r="A753">
            <v>23405008</v>
          </cell>
          <cell r="B753" t="str">
            <v>코그 레돈다 도면</v>
          </cell>
        </row>
        <row r="754">
          <cell r="A754">
            <v>23405009</v>
          </cell>
          <cell r="B754" t="str">
            <v>코그 라티나 도면</v>
          </cell>
        </row>
        <row r="755">
          <cell r="A755">
            <v>23405010</v>
          </cell>
          <cell r="B755" t="str">
            <v>프로아 도면</v>
          </cell>
        </row>
        <row r="756">
          <cell r="A756">
            <v>23405011</v>
          </cell>
          <cell r="B756" t="str">
            <v>캐러벨 라티나 도면</v>
          </cell>
        </row>
        <row r="757">
          <cell r="A757">
            <v>23405012</v>
          </cell>
          <cell r="B757" t="str">
            <v>캐러벨 레돈다 도면</v>
          </cell>
        </row>
        <row r="758">
          <cell r="A758">
            <v>23405013</v>
          </cell>
          <cell r="B758" t="str">
            <v>슬루프 도면</v>
          </cell>
        </row>
        <row r="759">
          <cell r="A759">
            <v>23405014</v>
          </cell>
          <cell r="B759" t="str">
            <v>커터 도면</v>
          </cell>
        </row>
        <row r="760">
          <cell r="A760">
            <v>23405015</v>
          </cell>
          <cell r="B760" t="str">
            <v>탄작 도면</v>
          </cell>
        </row>
        <row r="761">
          <cell r="A761">
            <v>23405016</v>
          </cell>
          <cell r="B761" t="str">
            <v>경량형 사선 도면</v>
          </cell>
        </row>
        <row r="762">
          <cell r="A762">
            <v>23405017</v>
          </cell>
          <cell r="B762" t="str">
            <v>경량형 갤리 도면</v>
          </cell>
        </row>
        <row r="763">
          <cell r="A763">
            <v>23405018</v>
          </cell>
          <cell r="B763" t="str">
            <v>나오 도면</v>
          </cell>
        </row>
        <row r="764">
          <cell r="A764">
            <v>23405019</v>
          </cell>
          <cell r="B764" t="str">
            <v>펠러커 도면</v>
          </cell>
        </row>
        <row r="765">
          <cell r="A765">
            <v>23405020</v>
          </cell>
          <cell r="B765" t="str">
            <v>다우 도면</v>
          </cell>
        </row>
        <row r="766">
          <cell r="A766">
            <v>23405021</v>
          </cell>
          <cell r="B766" t="str">
            <v>맹선 도면</v>
          </cell>
        </row>
        <row r="767">
          <cell r="A767">
            <v>23405022</v>
          </cell>
          <cell r="B767" t="str">
            <v>갤리 도면</v>
          </cell>
        </row>
        <row r="768">
          <cell r="A768">
            <v>23405023</v>
          </cell>
          <cell r="B768" t="str">
            <v>핀네스 도면</v>
          </cell>
        </row>
        <row r="769">
          <cell r="A769">
            <v>23405024</v>
          </cell>
          <cell r="B769" t="str">
            <v>카락 도면</v>
          </cell>
        </row>
        <row r="770">
          <cell r="A770">
            <v>23405025</v>
          </cell>
          <cell r="B770" t="str">
            <v>스쿠너 도면</v>
          </cell>
        </row>
        <row r="771">
          <cell r="A771">
            <v>23405026</v>
          </cell>
          <cell r="B771" t="str">
            <v>삼부크 도면</v>
          </cell>
        </row>
        <row r="772">
          <cell r="A772">
            <v>23405027</v>
          </cell>
          <cell r="B772" t="str">
            <v>소조선 도면</v>
          </cell>
        </row>
        <row r="773">
          <cell r="A773">
            <v>23405028</v>
          </cell>
          <cell r="B773" t="str">
            <v>중 갤리 도면</v>
          </cell>
        </row>
        <row r="774">
          <cell r="A774">
            <v>23405029</v>
          </cell>
          <cell r="B774" t="str">
            <v>프류트 도면</v>
          </cell>
        </row>
        <row r="775">
          <cell r="A775">
            <v>23405030</v>
          </cell>
          <cell r="B775" t="str">
            <v>바스 도면</v>
          </cell>
        </row>
        <row r="776">
          <cell r="A776">
            <v>23405031</v>
          </cell>
          <cell r="B776" t="str">
            <v>지벡 도면</v>
          </cell>
        </row>
        <row r="777">
          <cell r="A777">
            <v>23405032</v>
          </cell>
          <cell r="B777" t="str">
            <v>로르샤 도면</v>
          </cell>
        </row>
        <row r="778">
          <cell r="A778">
            <v>23405033</v>
          </cell>
          <cell r="B778" t="str">
            <v>사선 도면</v>
          </cell>
        </row>
        <row r="779">
          <cell r="A779">
            <v>23405034</v>
          </cell>
          <cell r="B779" t="str">
            <v>주인선 도면</v>
          </cell>
        </row>
        <row r="780">
          <cell r="A780">
            <v>23405035</v>
          </cell>
          <cell r="B780" t="str">
            <v>플란더스 갤리 도면</v>
          </cell>
        </row>
        <row r="781">
          <cell r="A781">
            <v>23405036</v>
          </cell>
          <cell r="B781" t="str">
            <v>오스만 갤리 도면</v>
          </cell>
        </row>
        <row r="782">
          <cell r="A782">
            <v>23405037</v>
          </cell>
          <cell r="B782" t="str">
            <v>프리깃 도면</v>
          </cell>
        </row>
        <row r="783">
          <cell r="A783">
            <v>23405038</v>
          </cell>
          <cell r="B783" t="str">
            <v>갤리온 도면</v>
          </cell>
        </row>
        <row r="784">
          <cell r="A784">
            <v>23405039</v>
          </cell>
          <cell r="B784" t="str">
            <v>코르벳 도면</v>
          </cell>
        </row>
        <row r="785">
          <cell r="A785">
            <v>23405040</v>
          </cell>
          <cell r="B785" t="str">
            <v>복선 도면</v>
          </cell>
        </row>
        <row r="786">
          <cell r="A786">
            <v>23405041</v>
          </cell>
          <cell r="B786" t="str">
            <v>조운선 도면</v>
          </cell>
        </row>
        <row r="787">
          <cell r="A787">
            <v>23405042</v>
          </cell>
          <cell r="B787" t="str">
            <v>관선 도면</v>
          </cell>
        </row>
        <row r="788">
          <cell r="A788">
            <v>23405043</v>
          </cell>
          <cell r="B788" t="str">
            <v>라레알 도면</v>
          </cell>
        </row>
        <row r="789">
          <cell r="A789">
            <v>23405044</v>
          </cell>
          <cell r="B789" t="str">
            <v>갤리스 도면</v>
          </cell>
        </row>
        <row r="790">
          <cell r="A790">
            <v>23405045</v>
          </cell>
          <cell r="B790" t="str">
            <v>대형 프리깃 도면</v>
          </cell>
        </row>
        <row r="791">
          <cell r="A791">
            <v>23405046</v>
          </cell>
          <cell r="B791" t="str">
            <v>중 카락 도면</v>
          </cell>
        </row>
        <row r="792">
          <cell r="A792">
            <v>23405047</v>
          </cell>
          <cell r="B792" t="str">
            <v>케벡 도면</v>
          </cell>
        </row>
        <row r="793">
          <cell r="A793">
            <v>23405048</v>
          </cell>
          <cell r="B793" t="str">
            <v>대형 사선 도면</v>
          </cell>
        </row>
        <row r="794">
          <cell r="A794">
            <v>23405049</v>
          </cell>
          <cell r="B794" t="str">
            <v>대형 조운선 도면</v>
          </cell>
        </row>
        <row r="795">
          <cell r="A795">
            <v>23405050</v>
          </cell>
          <cell r="B795" t="str">
            <v>대형 관선 도면</v>
          </cell>
        </row>
        <row r="796">
          <cell r="A796">
            <v>23405051</v>
          </cell>
          <cell r="B796" t="str">
            <v>라르와이얄 도면</v>
          </cell>
        </row>
        <row r="797">
          <cell r="A797">
            <v>23405052</v>
          </cell>
          <cell r="B797" t="str">
            <v>오스만 갤리온 도면</v>
          </cell>
        </row>
        <row r="798">
          <cell r="A798">
            <v>23405053</v>
          </cell>
          <cell r="B798" t="str">
            <v>테메레르 도면</v>
          </cell>
        </row>
        <row r="799">
          <cell r="A799">
            <v>23405054</v>
          </cell>
          <cell r="B799" t="str">
            <v>대형 갤리온 도면</v>
          </cell>
        </row>
        <row r="800">
          <cell r="A800">
            <v>23405055</v>
          </cell>
          <cell r="B800" t="str">
            <v>대형 스쿠너 도면</v>
          </cell>
        </row>
        <row r="801">
          <cell r="A801">
            <v>23405056</v>
          </cell>
          <cell r="B801" t="str">
            <v>광선 도면</v>
          </cell>
        </row>
        <row r="802">
          <cell r="A802">
            <v>23405057</v>
          </cell>
          <cell r="B802" t="str">
            <v>거북선 도면</v>
          </cell>
        </row>
        <row r="803">
          <cell r="A803">
            <v>23405058</v>
          </cell>
          <cell r="B803" t="str">
            <v>안택선 도면</v>
          </cell>
        </row>
        <row r="804">
          <cell r="A804">
            <v>23405059</v>
          </cell>
          <cell r="B804" t="str">
            <v>라모르 도면</v>
          </cell>
        </row>
        <row r="805">
          <cell r="A805">
            <v>23405060</v>
          </cell>
          <cell r="B805" t="str">
            <v>베네치안 갤리스 도면</v>
          </cell>
        </row>
        <row r="806">
          <cell r="A806">
            <v>23405061</v>
          </cell>
          <cell r="B806" t="str">
            <v>오세앙 도면</v>
          </cell>
        </row>
        <row r="807">
          <cell r="A807">
            <v>23405062</v>
          </cell>
          <cell r="B807" t="str">
            <v>전열함 도면</v>
          </cell>
        </row>
        <row r="808">
          <cell r="A808">
            <v>23405063</v>
          </cell>
          <cell r="B808" t="str">
            <v>롱 스쿠너 도면</v>
          </cell>
        </row>
        <row r="809">
          <cell r="A809">
            <v>23405064</v>
          </cell>
          <cell r="B809" t="str">
            <v>대복선 도면</v>
          </cell>
        </row>
        <row r="810">
          <cell r="A810">
            <v>23405065</v>
          </cell>
          <cell r="B810" t="str">
            <v>판옥선 도면</v>
          </cell>
        </row>
        <row r="811">
          <cell r="A811">
            <v>23405066</v>
          </cell>
          <cell r="B811" t="str">
            <v>철갑선 도면</v>
          </cell>
        </row>
        <row r="812">
          <cell r="A812">
            <v>23405067</v>
          </cell>
          <cell r="B812" t="str">
            <v>황금 바르카 도면</v>
          </cell>
        </row>
        <row r="813">
          <cell r="A813">
            <v>23405068</v>
          </cell>
          <cell r="B813" t="str">
            <v>황금 삼판 도면</v>
          </cell>
        </row>
        <row r="814">
          <cell r="A814">
            <v>23405069</v>
          </cell>
          <cell r="B814" t="str">
            <v>라 핀타 도면</v>
          </cell>
        </row>
        <row r="815">
          <cell r="A815">
            <v>23405070</v>
          </cell>
          <cell r="B815" t="str">
            <v>중 캐러벨 도면</v>
          </cell>
        </row>
        <row r="816">
          <cell r="A816">
            <v>23405071</v>
          </cell>
          <cell r="B816" t="str">
            <v>산타 마리아 도면</v>
          </cell>
        </row>
        <row r="817">
          <cell r="A817">
            <v>23405072</v>
          </cell>
          <cell r="B817" t="str">
            <v>스페르베르 도면</v>
          </cell>
        </row>
        <row r="818">
          <cell r="A818">
            <v>23405073</v>
          </cell>
          <cell r="B818" t="str">
            <v>빅토리아 도면</v>
          </cell>
        </row>
        <row r="819">
          <cell r="A819">
            <v>23405074</v>
          </cell>
          <cell r="B819" t="str">
            <v>에스메랄다 도면</v>
          </cell>
        </row>
        <row r="820">
          <cell r="A820">
            <v>23405075</v>
          </cell>
          <cell r="B820" t="str">
            <v>골든 하인드 도면</v>
          </cell>
        </row>
        <row r="821">
          <cell r="A821">
            <v>23405076</v>
          </cell>
          <cell r="B821" t="str">
            <v>나폴리탄 갤리스 도면</v>
          </cell>
        </row>
        <row r="822">
          <cell r="A822">
            <v>23405077</v>
          </cell>
          <cell r="B822" t="str">
            <v>성 가브리엘 도면</v>
          </cell>
        </row>
        <row r="823">
          <cell r="A823">
            <v>23405078</v>
          </cell>
          <cell r="B823" t="str">
            <v>산 부에나 벤투라 도면</v>
          </cell>
        </row>
        <row r="824">
          <cell r="A824">
            <v>23405079</v>
          </cell>
          <cell r="B824" t="str">
            <v>산 펠리페 도면</v>
          </cell>
        </row>
        <row r="825">
          <cell r="A825">
            <v>23405080</v>
          </cell>
          <cell r="B825" t="str">
            <v>로열 소버린 도면</v>
          </cell>
        </row>
        <row r="826">
          <cell r="A826">
            <v>23405081</v>
          </cell>
          <cell r="B826" t="str">
            <v>애들러 도면</v>
          </cell>
        </row>
        <row r="827">
          <cell r="A827">
            <v>23405082</v>
          </cell>
          <cell r="B827" t="str">
            <v>라 쿠론 도면</v>
          </cell>
        </row>
        <row r="828">
          <cell r="A828">
            <v>23405083</v>
          </cell>
          <cell r="B828" t="str">
            <v>정조의 거북선 도면</v>
          </cell>
        </row>
        <row r="829">
          <cell r="A829">
            <v>23405084</v>
          </cell>
          <cell r="B829" t="str">
            <v>노부나가의 철갑선 도면</v>
          </cell>
        </row>
        <row r="830">
          <cell r="A830">
            <v>23405085</v>
          </cell>
          <cell r="B830" t="str">
            <v>정화의 보선 도면</v>
          </cell>
        </row>
        <row r="831">
          <cell r="A831">
            <v>23405086</v>
          </cell>
          <cell r="B831" t="str">
            <v>로만 갤리 도면</v>
          </cell>
        </row>
        <row r="832">
          <cell r="A832">
            <v>23405087</v>
          </cell>
          <cell r="B832" t="str">
            <v>메이플라워 도면</v>
          </cell>
        </row>
        <row r="833">
          <cell r="A833">
            <v>23405088</v>
          </cell>
          <cell r="B833" t="str">
            <v>카라코아 도면</v>
          </cell>
        </row>
        <row r="834">
          <cell r="A834">
            <v>23405089</v>
          </cell>
          <cell r="B834" t="str">
            <v>능원회선 도면</v>
          </cell>
        </row>
        <row r="835">
          <cell r="A835">
            <v>23405090</v>
          </cell>
          <cell r="B835" t="str">
            <v>플레미시 갤리온 도면</v>
          </cell>
        </row>
        <row r="836">
          <cell r="A836">
            <v>23405091</v>
          </cell>
          <cell r="B836" t="str">
            <v>클리퍼 도면</v>
          </cell>
        </row>
        <row r="837">
          <cell r="A837">
            <v>23405092</v>
          </cell>
          <cell r="B837" t="str">
            <v>산타 카타리나 도면</v>
          </cell>
        </row>
        <row r="838">
          <cell r="A838">
            <v>23405093</v>
          </cell>
          <cell r="B838" t="str">
            <v>용수선 도면</v>
          </cell>
        </row>
        <row r="839">
          <cell r="A839">
            <v>23405094</v>
          </cell>
          <cell r="B839" t="str">
            <v>레이지드 프리깃 도면</v>
          </cell>
        </row>
        <row r="840">
          <cell r="A840">
            <v>23405095</v>
          </cell>
          <cell r="B840" t="str">
            <v>아이언 사이즈 도면</v>
          </cell>
        </row>
        <row r="841">
          <cell r="A841">
            <v>23405096</v>
          </cell>
          <cell r="B841" t="str">
            <v>바사 도면</v>
          </cell>
        </row>
        <row r="842">
          <cell r="A842">
            <v>23405097</v>
          </cell>
          <cell r="B842" t="str">
            <v>노르딕 갤리온 도면</v>
          </cell>
        </row>
        <row r="843">
          <cell r="A843">
            <v>23405098</v>
          </cell>
          <cell r="B843" t="str">
            <v>노르스케 뢰베 도면</v>
          </cell>
        </row>
        <row r="844">
          <cell r="A844">
            <v>23405099</v>
          </cell>
          <cell r="B844" t="str">
            <v>마닐라 갤리온 도면</v>
          </cell>
        </row>
        <row r="845">
          <cell r="A845">
            <v>23405100</v>
          </cell>
          <cell r="B845" t="str">
            <v>사견선 도면</v>
          </cell>
        </row>
        <row r="846">
          <cell r="A846">
            <v>23405101</v>
          </cell>
          <cell r="B846" t="str">
            <v>할버 만 도면</v>
          </cell>
        </row>
        <row r="847">
          <cell r="A847">
            <v>23405102</v>
          </cell>
          <cell r="B847" t="str">
            <v>버뮤다 슬루프 도면</v>
          </cell>
        </row>
        <row r="848">
          <cell r="A848">
            <v>23405103</v>
          </cell>
          <cell r="B848" t="str">
            <v>인데버 도면</v>
          </cell>
        </row>
        <row r="849">
          <cell r="A849">
            <v>23405104</v>
          </cell>
          <cell r="B849" t="str">
            <v>프린스 빌럼 도면</v>
          </cell>
        </row>
        <row r="850">
          <cell r="A850">
            <v>23405105</v>
          </cell>
          <cell r="B850" t="str">
            <v>플라잉 클라우드 도면</v>
          </cell>
        </row>
        <row r="851">
          <cell r="A851">
            <v>23405106</v>
          </cell>
          <cell r="B851" t="str">
            <v>간자 다우 도면</v>
          </cell>
        </row>
        <row r="852">
          <cell r="A852">
            <v>23405107</v>
          </cell>
          <cell r="B852" t="str">
            <v>테르모필레 도면</v>
          </cell>
        </row>
        <row r="853">
          <cell r="A853">
            <v>23405108</v>
          </cell>
          <cell r="B853" t="str">
            <v>서프라이즈 도면</v>
          </cell>
        </row>
        <row r="854">
          <cell r="A854">
            <v>23405109</v>
          </cell>
          <cell r="B854" t="str">
            <v>비글 도면</v>
          </cell>
        </row>
        <row r="855">
          <cell r="A855">
            <v>23405110</v>
          </cell>
          <cell r="B855" t="str">
            <v>산티시마 트리니다드 도면</v>
          </cell>
        </row>
        <row r="856">
          <cell r="A856">
            <v>23405111</v>
          </cell>
          <cell r="B856" t="str">
            <v>어드벤처 갤리 도면</v>
          </cell>
        </row>
        <row r="857">
          <cell r="A857">
            <v>23405112</v>
          </cell>
          <cell r="B857" t="str">
            <v>바운티 도면</v>
          </cell>
        </row>
        <row r="858">
          <cell r="A858">
            <v>23405113</v>
          </cell>
          <cell r="B858" t="str">
            <v>세인트 로런스 도면</v>
          </cell>
        </row>
        <row r="859">
          <cell r="A859">
            <v>23405114</v>
          </cell>
          <cell r="B859" t="str">
            <v>도팽 로열 도면</v>
          </cell>
        </row>
        <row r="860">
          <cell r="A860">
            <v>23405115</v>
          </cell>
          <cell r="B860" t="str">
            <v>부첸타우르 도면</v>
          </cell>
        </row>
        <row r="861">
          <cell r="A861">
            <v>23405116</v>
          </cell>
          <cell r="B861" t="str">
            <v>솔레이유 로열 도면</v>
          </cell>
        </row>
        <row r="862">
          <cell r="A862">
            <v>23405117</v>
          </cell>
          <cell r="B862" t="str">
            <v>크로난 도면</v>
          </cell>
        </row>
        <row r="863">
          <cell r="A863">
            <v>23405118</v>
          </cell>
          <cell r="B863" t="str">
            <v>더제번 도면</v>
          </cell>
        </row>
        <row r="864">
          <cell r="A864">
            <v>23405119</v>
          </cell>
          <cell r="B864" t="str">
            <v>빅토리 도면</v>
          </cell>
        </row>
        <row r="865">
          <cell r="A865">
            <v>23405120</v>
          </cell>
          <cell r="B865" t="str">
            <v>인게르마늘란트 도면</v>
          </cell>
        </row>
        <row r="866">
          <cell r="A866">
            <v>23405121</v>
          </cell>
          <cell r="B866" t="str">
            <v>그랑 안 프류트 도면</v>
          </cell>
        </row>
        <row r="867">
          <cell r="A867">
            <v>23405122</v>
          </cell>
          <cell r="B867" t="str">
            <v>몽충 도면</v>
          </cell>
        </row>
        <row r="868">
          <cell r="A868">
            <v>23405123</v>
          </cell>
          <cell r="B868" t="str">
            <v>주가 도면</v>
          </cell>
        </row>
        <row r="869">
          <cell r="A869">
            <v>23405124</v>
          </cell>
          <cell r="B869" t="str">
            <v>누선 도면</v>
          </cell>
        </row>
        <row r="870">
          <cell r="A870">
            <v>23405125</v>
          </cell>
          <cell r="B870" t="str">
            <v>해남선 도면</v>
          </cell>
        </row>
        <row r="871">
          <cell r="A871">
            <v>23405126</v>
          </cell>
          <cell r="B871" t="str">
            <v>정성공의 해남선 도면</v>
          </cell>
        </row>
        <row r="872">
          <cell r="A872">
            <v>23405127</v>
          </cell>
          <cell r="B872" t="str">
            <v>천지환 도면</v>
          </cell>
        </row>
        <row r="873">
          <cell r="A873">
            <v>23405128</v>
          </cell>
          <cell r="B873" t="str">
            <v>진공선 도면</v>
          </cell>
        </row>
        <row r="874">
          <cell r="A874">
            <v>23405129</v>
          </cell>
          <cell r="B874" t="str">
            <v>위더 도면</v>
          </cell>
        </row>
        <row r="875">
          <cell r="A875">
            <v>23405130</v>
          </cell>
          <cell r="B875" t="str">
            <v>벨로나 도면</v>
          </cell>
        </row>
        <row r="876">
          <cell r="A876">
            <v>23405131</v>
          </cell>
          <cell r="B876" t="str">
            <v>아라키선 도면</v>
          </cell>
        </row>
        <row r="877">
          <cell r="A877">
            <v>23405132</v>
          </cell>
          <cell r="B877" t="str">
            <v>보선 도면</v>
          </cell>
        </row>
        <row r="878">
          <cell r="A878">
            <v>23405133</v>
          </cell>
          <cell r="B878" t="str">
            <v>만선 도면</v>
          </cell>
        </row>
        <row r="879">
          <cell r="A879">
            <v>23405134</v>
          </cell>
          <cell r="B879" t="str">
            <v>대판옥선 도면</v>
          </cell>
        </row>
        <row r="880">
          <cell r="A880">
            <v>23405135</v>
          </cell>
          <cell r="B880" t="str">
            <v>대형 몽충 도면</v>
          </cell>
        </row>
        <row r="881">
          <cell r="A881">
            <v>23405136</v>
          </cell>
          <cell r="B881" t="str">
            <v>양선 도면</v>
          </cell>
        </row>
        <row r="882">
          <cell r="A882">
            <v>23405137</v>
          </cell>
          <cell r="B882" t="str">
            <v>황금 한자 코그 도면</v>
          </cell>
        </row>
        <row r="883">
          <cell r="A883">
            <v>23405191</v>
          </cell>
          <cell r="B883" t="str">
            <v>종 도면</v>
          </cell>
        </row>
        <row r="884">
          <cell r="A884">
            <v>23405205</v>
          </cell>
          <cell r="B884" t="str">
            <v>대효선 도면</v>
          </cell>
        </row>
        <row r="885">
          <cell r="A885">
            <v>23405206</v>
          </cell>
          <cell r="B885" t="str">
            <v>용주 도면</v>
          </cell>
        </row>
        <row r="886">
          <cell r="A886">
            <v>23405207</v>
          </cell>
          <cell r="B886" t="str">
            <v>누전선 도면</v>
          </cell>
        </row>
        <row r="887">
          <cell r="A887">
            <v>23405208</v>
          </cell>
          <cell r="B887" t="str">
            <v>병선 도면</v>
          </cell>
        </row>
        <row r="888">
          <cell r="A888">
            <v>23405209</v>
          </cell>
          <cell r="B888" t="str">
            <v>투함 도면</v>
          </cell>
        </row>
        <row r="889">
          <cell r="A889">
            <v>23405210</v>
          </cell>
          <cell r="B889" t="str">
            <v>평전선 도면</v>
          </cell>
        </row>
        <row r="890">
          <cell r="A890">
            <v>23405211</v>
          </cell>
          <cell r="B890" t="str">
            <v>정크 스쿠너 도면</v>
          </cell>
        </row>
        <row r="891">
          <cell r="A891">
            <v>23405212</v>
          </cell>
          <cell r="B891" t="str">
            <v>황금 타렛테 도면</v>
          </cell>
        </row>
        <row r="892">
          <cell r="A892">
            <v>23405213</v>
          </cell>
          <cell r="B892" t="str">
            <v>특수 로르샤 도면</v>
          </cell>
        </row>
        <row r="893">
          <cell r="A893">
            <v>23405214</v>
          </cell>
          <cell r="B893" t="str">
            <v>앤 여왕의 복수 도면</v>
          </cell>
        </row>
        <row r="894">
          <cell r="A894">
            <v>23405215</v>
          </cell>
          <cell r="B894" t="str">
            <v>특수 골든 하인드 도면</v>
          </cell>
        </row>
        <row r="895">
          <cell r="A895">
            <v>23405216</v>
          </cell>
          <cell r="B895" t="str">
            <v>특수 간자 다우 도면</v>
          </cell>
        </row>
        <row r="896">
          <cell r="A896">
            <v>23405217</v>
          </cell>
          <cell r="B896" t="str">
            <v>특수 바운티 도면</v>
          </cell>
        </row>
        <row r="897">
          <cell r="A897">
            <v>23405218</v>
          </cell>
          <cell r="B897" t="str">
            <v>특수 플라잉 클라우드 도면</v>
          </cell>
        </row>
        <row r="898">
          <cell r="A898">
            <v>23405219</v>
          </cell>
          <cell r="B898" t="str">
            <v>특수 정크 스쿠너 도면</v>
          </cell>
        </row>
        <row r="899">
          <cell r="A899">
            <v>23405220</v>
          </cell>
          <cell r="B899" t="str">
            <v>특수 종 도면</v>
          </cell>
        </row>
        <row r="900">
          <cell r="A900">
            <v>23405221</v>
          </cell>
          <cell r="B900" t="str">
            <v>단선 도면</v>
          </cell>
        </row>
        <row r="901">
          <cell r="A901">
            <v>23405222</v>
          </cell>
          <cell r="B901" t="str">
            <v>용감한 독수리 도면</v>
          </cell>
        </row>
        <row r="902">
          <cell r="A902">
            <v>23405223</v>
          </cell>
          <cell r="B902" t="str">
            <v>GL_거북선 도면</v>
          </cell>
        </row>
        <row r="903">
          <cell r="A903">
            <v>23405224</v>
          </cell>
          <cell r="B903" t="str">
            <v>초기형 전열함 도면</v>
          </cell>
        </row>
        <row r="904">
          <cell r="A904">
            <v>23405225</v>
          </cell>
          <cell r="B904" t="str">
            <v>넵투노 도면</v>
          </cell>
        </row>
        <row r="905">
          <cell r="A905">
            <v>23405226</v>
          </cell>
          <cell r="B905" t="str">
            <v>어좌선 도면</v>
          </cell>
        </row>
        <row r="906">
          <cell r="A906">
            <v>23405227</v>
          </cell>
          <cell r="B906" t="str">
            <v>레트로퓨처 코르벳 도면</v>
          </cell>
        </row>
        <row r="907">
          <cell r="A907">
            <v>23409999</v>
          </cell>
          <cell r="B907" t="str">
            <v>목제 아스트롤라베</v>
          </cell>
        </row>
        <row r="908">
          <cell r="A908">
            <v>23410000</v>
          </cell>
          <cell r="B908" t="str">
            <v>청동 아스트롤라베</v>
          </cell>
        </row>
        <row r="909">
          <cell r="A909">
            <v>23410001</v>
          </cell>
          <cell r="B909" t="str">
            <v>백은 아스트롤라베</v>
          </cell>
        </row>
        <row r="910">
          <cell r="A910">
            <v>23410002</v>
          </cell>
          <cell r="B910" t="str">
            <v>황금 아스트롤라베</v>
          </cell>
        </row>
        <row r="911">
          <cell r="A911">
            <v>23410003</v>
          </cell>
          <cell r="B911" t="str">
            <v>다이아몬드 아스트롤라베</v>
          </cell>
        </row>
        <row r="912">
          <cell r="A912">
            <v>23411001</v>
          </cell>
          <cell r="B912" t="str">
            <v>C등급 공용 계약서</v>
          </cell>
        </row>
        <row r="913">
          <cell r="A913">
            <v>23411002</v>
          </cell>
          <cell r="B913" t="str">
            <v>B등급 공용 계약서</v>
          </cell>
        </row>
        <row r="914">
          <cell r="A914">
            <v>23411003</v>
          </cell>
          <cell r="B914" t="str">
            <v>A등급 공용 계약서</v>
          </cell>
        </row>
        <row r="915">
          <cell r="A915">
            <v>23411004</v>
          </cell>
          <cell r="B915" t="str">
            <v>S등급 공용 계약서</v>
          </cell>
        </row>
        <row r="916">
          <cell r="A916">
            <v>23413001</v>
          </cell>
          <cell r="B916" t="str">
            <v>조안 페레로 계약서</v>
          </cell>
        </row>
        <row r="917">
          <cell r="A917">
            <v>23413002</v>
          </cell>
          <cell r="B917" t="str">
            <v>카탈리나 에란초 계약서</v>
          </cell>
        </row>
        <row r="918">
          <cell r="A918">
            <v>23413003</v>
          </cell>
          <cell r="B918" t="str">
            <v>알 베자스 계약서</v>
          </cell>
        </row>
        <row r="919">
          <cell r="A919">
            <v>23413004</v>
          </cell>
          <cell r="B919" t="str">
            <v>옷토 스피노라 계약서</v>
          </cell>
        </row>
        <row r="920">
          <cell r="A920">
            <v>23413005</v>
          </cell>
          <cell r="B920" t="str">
            <v>에르네스트 로페스 계약서</v>
          </cell>
        </row>
        <row r="921">
          <cell r="A921">
            <v>23413006</v>
          </cell>
          <cell r="B921" t="str">
            <v>피에트로 콘티 계약서</v>
          </cell>
        </row>
        <row r="922">
          <cell r="A922">
            <v>23413007</v>
          </cell>
          <cell r="B922" t="str">
            <v>밀란다 베르테 계약서</v>
          </cell>
        </row>
        <row r="923">
          <cell r="A923">
            <v>23413008</v>
          </cell>
          <cell r="B923" t="str">
            <v>살바도르 레이스 계약서</v>
          </cell>
        </row>
        <row r="924">
          <cell r="A924">
            <v>23413009</v>
          </cell>
          <cell r="B924" t="str">
            <v>레온 페레로 계약서</v>
          </cell>
        </row>
        <row r="925">
          <cell r="A925">
            <v>23413010</v>
          </cell>
          <cell r="B925" t="str">
            <v>정화 계약서</v>
          </cell>
        </row>
        <row r="926">
          <cell r="A926">
            <v>23413011</v>
          </cell>
          <cell r="B926" t="str">
            <v>척계광 계약서</v>
          </cell>
        </row>
        <row r="927">
          <cell r="A927">
            <v>23413012</v>
          </cell>
          <cell r="B927" t="str">
            <v>그레이스 오말리 계약서</v>
          </cell>
        </row>
        <row r="928">
          <cell r="A928">
            <v>23413013</v>
          </cell>
          <cell r="B928" t="str">
            <v>정성공 계약서</v>
          </cell>
        </row>
        <row r="929">
          <cell r="A929">
            <v>23413014</v>
          </cell>
          <cell r="B929" t="str">
            <v>김만덕 계약서</v>
          </cell>
        </row>
        <row r="930">
          <cell r="A930">
            <v>23413015</v>
          </cell>
          <cell r="B930" t="str">
            <v>홍길동 계약서</v>
          </cell>
        </row>
        <row r="931">
          <cell r="A931">
            <v>23413016</v>
          </cell>
          <cell r="B931" t="str">
            <v>이순신 계약서</v>
          </cell>
        </row>
        <row r="932">
          <cell r="A932">
            <v>23413017</v>
          </cell>
          <cell r="B932" t="str">
            <v>다테 마사무네 계약서</v>
          </cell>
        </row>
        <row r="933">
          <cell r="A933">
            <v>23413018</v>
          </cell>
          <cell r="B933" t="str">
            <v>이마이 사키 계약서</v>
          </cell>
        </row>
        <row r="934">
          <cell r="A934">
            <v>23413019</v>
          </cell>
          <cell r="B934" t="str">
            <v>누이 호쿠 계약서</v>
          </cell>
        </row>
        <row r="935">
          <cell r="A935">
            <v>23413020</v>
          </cell>
          <cell r="B935" t="str">
            <v>찬드 비비 계약서</v>
          </cell>
        </row>
        <row r="936">
          <cell r="A936">
            <v>23413021</v>
          </cell>
          <cell r="B936" t="str">
            <v>표트르 1세 계약서</v>
          </cell>
        </row>
        <row r="937">
          <cell r="A937">
            <v>23413022</v>
          </cell>
          <cell r="B937" t="str">
            <v>사이이다 알 후라 계약서</v>
          </cell>
        </row>
        <row r="938">
          <cell r="A938">
            <v>23413023</v>
          </cell>
          <cell r="B938" t="str">
            <v>에르난 코르테스 계약서</v>
          </cell>
        </row>
        <row r="939">
          <cell r="A939">
            <v>23413024</v>
          </cell>
          <cell r="B939" t="str">
            <v>앤 보니 계약서</v>
          </cell>
        </row>
        <row r="940">
          <cell r="A940">
            <v>23413025</v>
          </cell>
          <cell r="B940" t="str">
            <v>필리 레이스 계약서</v>
          </cell>
        </row>
        <row r="941">
          <cell r="A941">
            <v>23413026</v>
          </cell>
          <cell r="B941" t="str">
            <v>파브리스 페레로 계약서</v>
          </cell>
        </row>
        <row r="942">
          <cell r="A942">
            <v>23413028</v>
          </cell>
          <cell r="B942" t="str">
            <v>마리벨 계약서</v>
          </cell>
        </row>
        <row r="943">
          <cell r="A943">
            <v>23413029</v>
          </cell>
          <cell r="B943" t="str">
            <v>이올린 팬드래건 계약서</v>
          </cell>
        </row>
        <row r="944">
          <cell r="A944">
            <v>23413030</v>
          </cell>
          <cell r="B944" t="str">
            <v>로잘리아 폴헴 계약서</v>
          </cell>
        </row>
        <row r="945">
          <cell r="A945">
            <v>23413031</v>
          </cell>
          <cell r="B945" t="str">
            <v>소연미 계약서</v>
          </cell>
        </row>
        <row r="946">
          <cell r="A946">
            <v>23413032</v>
          </cell>
          <cell r="B946" t="str">
            <v>흑태자 계약서</v>
          </cell>
        </row>
        <row r="947">
          <cell r="A947">
            <v>23414001</v>
          </cell>
          <cell r="B947" t="str">
            <v>잔 다르크 계약서</v>
          </cell>
        </row>
        <row r="948">
          <cell r="A948">
            <v>23414002</v>
          </cell>
          <cell r="B948" t="str">
            <v>사피예 술탄 계약서</v>
          </cell>
        </row>
        <row r="949">
          <cell r="A949">
            <v>23414003</v>
          </cell>
          <cell r="B949" t="str">
            <v>마리 앙투아네트 계약서</v>
          </cell>
        </row>
        <row r="950">
          <cell r="A950">
            <v>23414004</v>
          </cell>
          <cell r="B950" t="str">
            <v>알프레드 로우 계약서</v>
          </cell>
        </row>
        <row r="951">
          <cell r="A951">
            <v>23414005</v>
          </cell>
          <cell r="B951" t="str">
            <v>하이레딘 레이스 계약서</v>
          </cell>
        </row>
        <row r="952">
          <cell r="A952">
            <v>23414006</v>
          </cell>
          <cell r="B952" t="str">
            <v>메흐메트 슐루크 계약서</v>
          </cell>
        </row>
        <row r="953">
          <cell r="A953">
            <v>23414007</v>
          </cell>
          <cell r="B953" t="str">
            <v>카라 룸루 계약서</v>
          </cell>
        </row>
        <row r="954">
          <cell r="A954">
            <v>23414008</v>
          </cell>
          <cell r="B954" t="str">
            <v>로코 알렘켈 계약서</v>
          </cell>
        </row>
        <row r="955">
          <cell r="A955">
            <v>23414009</v>
          </cell>
          <cell r="B955" t="str">
            <v>오다 노부나가 계약서</v>
          </cell>
        </row>
        <row r="956">
          <cell r="A956">
            <v>23414010</v>
          </cell>
          <cell r="B956" t="str">
            <v>크리스토발 콜론 계약서</v>
          </cell>
        </row>
        <row r="957">
          <cell r="A957">
            <v>23414011</v>
          </cell>
          <cell r="B957" t="str">
            <v>줄리 도비니 계약서</v>
          </cell>
        </row>
        <row r="958">
          <cell r="A958">
            <v>23414012</v>
          </cell>
          <cell r="B958" t="str">
            <v>페르난도 데마가야네스 계약서</v>
          </cell>
        </row>
        <row r="959">
          <cell r="A959">
            <v>23414013</v>
          </cell>
          <cell r="B959" t="str">
            <v>쿠아우테목 계약서</v>
          </cell>
        </row>
        <row r="960">
          <cell r="A960">
            <v>23414014</v>
          </cell>
          <cell r="B960" t="str">
            <v>소피아 알렉세예브나 계약서</v>
          </cell>
        </row>
        <row r="961">
          <cell r="A961">
            <v>23414015</v>
          </cell>
          <cell r="B961" t="str">
            <v>호레스 디스탈디 계약서</v>
          </cell>
        </row>
        <row r="962">
          <cell r="A962">
            <v>23414016</v>
          </cell>
          <cell r="B962" t="str">
            <v>레오나르도 다빈치 계약서</v>
          </cell>
        </row>
        <row r="963">
          <cell r="A963">
            <v>23414017</v>
          </cell>
          <cell r="B963" t="str">
            <v>오루츠 레이스 계약서</v>
          </cell>
        </row>
        <row r="964">
          <cell r="A964">
            <v>23414018</v>
          </cell>
          <cell r="B964" t="str">
            <v>체사레 보르자 계약서</v>
          </cell>
        </row>
        <row r="965">
          <cell r="A965">
            <v>23414019</v>
          </cell>
          <cell r="B965" t="str">
            <v>마리아 에스트라다 계약서</v>
          </cell>
        </row>
        <row r="966">
          <cell r="A966">
            <v>23414020</v>
          </cell>
          <cell r="B966" t="str">
            <v>프랜시스 드레이크 계약서</v>
          </cell>
        </row>
        <row r="967">
          <cell r="A967">
            <v>23414021</v>
          </cell>
          <cell r="B967" t="str">
            <v>갈릴레오 갈릴레이 계약서</v>
          </cell>
        </row>
        <row r="968">
          <cell r="A968">
            <v>23414022</v>
          </cell>
          <cell r="B968" t="str">
            <v>아이작 뉴턴 계약서</v>
          </cell>
        </row>
        <row r="969">
          <cell r="A969">
            <v>23414023</v>
          </cell>
          <cell r="B969" t="str">
            <v>에드워드 티치 계약서</v>
          </cell>
        </row>
        <row r="970">
          <cell r="A970">
            <v>23414024</v>
          </cell>
          <cell r="B970" t="str">
            <v>바솔로뮤 로버츠 계약서</v>
          </cell>
        </row>
        <row r="971">
          <cell r="A971">
            <v>23414025</v>
          </cell>
          <cell r="B971" t="str">
            <v>호레이쇼 넬슨 계약서</v>
          </cell>
        </row>
        <row r="972">
          <cell r="A972">
            <v>23414026</v>
          </cell>
          <cell r="B972" t="str">
            <v>에드워드 잉글랜드 계약서</v>
          </cell>
        </row>
        <row r="973">
          <cell r="A973">
            <v>23414027</v>
          </cell>
          <cell r="B973" t="str">
            <v>토마스 튜 계약서</v>
          </cell>
        </row>
        <row r="974">
          <cell r="A974">
            <v>23414028</v>
          </cell>
          <cell r="B974" t="str">
            <v>장 플뢰리 계약서</v>
          </cell>
        </row>
        <row r="975">
          <cell r="A975">
            <v>23414029</v>
          </cell>
          <cell r="B975" t="str">
            <v>도쿠가와 이에야스 계약서</v>
          </cell>
        </row>
        <row r="976">
          <cell r="A976">
            <v>23414030</v>
          </cell>
          <cell r="B976" t="str">
            <v>마히데브란 계약서</v>
          </cell>
        </row>
        <row r="977">
          <cell r="A977">
            <v>23414031</v>
          </cell>
          <cell r="B977" t="str">
            <v>황진 계약서</v>
          </cell>
        </row>
        <row r="978">
          <cell r="A978">
            <v>23414032</v>
          </cell>
          <cell r="B978" t="str">
            <v>마리아 마가레타 키르히 계약서</v>
          </cell>
        </row>
        <row r="979">
          <cell r="A979">
            <v>23414033</v>
          </cell>
          <cell r="B979" t="str">
            <v>타치바나 긴치요 계약서</v>
          </cell>
        </row>
        <row r="980">
          <cell r="A980">
            <v>23414034</v>
          </cell>
          <cell r="B980" t="str">
            <v>장금 계약서</v>
          </cell>
        </row>
        <row r="981">
          <cell r="A981">
            <v>23414035</v>
          </cell>
          <cell r="B981" t="str">
            <v>루크레치아 보르자 계약서</v>
          </cell>
        </row>
        <row r="982">
          <cell r="A982">
            <v>23414036</v>
          </cell>
          <cell r="B982" t="str">
            <v>카테리나 스포르차 계약서</v>
          </cell>
        </row>
        <row r="983">
          <cell r="A983">
            <v>23414037</v>
          </cell>
          <cell r="B983" t="str">
            <v>이사벨라 데스테 계약서</v>
          </cell>
        </row>
        <row r="984">
          <cell r="A984">
            <v>23414038</v>
          </cell>
          <cell r="B984" t="str">
            <v>마르거리트 드발루아 계약서</v>
          </cell>
        </row>
        <row r="985">
          <cell r="A985">
            <v>23414039</v>
          </cell>
          <cell r="B985" t="str">
            <v>카테리나 데메디치 계약서</v>
          </cell>
        </row>
        <row r="986">
          <cell r="A986">
            <v>23414040</v>
          </cell>
          <cell r="B986" t="str">
            <v>잔 바레 계약서</v>
          </cell>
        </row>
        <row r="987">
          <cell r="A987">
            <v>23414041</v>
          </cell>
          <cell r="B987" t="str">
            <v>메리 스튜어트 계약서</v>
          </cell>
        </row>
        <row r="988">
          <cell r="A988">
            <v>23414042</v>
          </cell>
          <cell r="B988" t="str">
            <v>예카테리나 1세 계약서</v>
          </cell>
        </row>
        <row r="989">
          <cell r="A989">
            <v>23414043</v>
          </cell>
          <cell r="B989" t="str">
            <v>쿠말라하야티 계약서</v>
          </cell>
        </row>
        <row r="990">
          <cell r="A990">
            <v>23414044</v>
          </cell>
          <cell r="B990" t="str">
            <v>메리 리드 계약서</v>
          </cell>
        </row>
        <row r="991">
          <cell r="A991">
            <v>23414045</v>
          </cell>
          <cell r="B991" t="str">
            <v>아미나 계약서</v>
          </cell>
        </row>
        <row r="992">
          <cell r="A992">
            <v>23414046</v>
          </cell>
          <cell r="B992" t="str">
            <v>진양옥 계약서</v>
          </cell>
        </row>
        <row r="993">
          <cell r="A993">
            <v>23414047</v>
          </cell>
          <cell r="B993" t="str">
            <v>샬롯 드베리 계약서</v>
          </cell>
        </row>
        <row r="994">
          <cell r="A994">
            <v>23414048</v>
          </cell>
          <cell r="B994" t="str">
            <v>안드레아 그리마니 계약서</v>
          </cell>
        </row>
        <row r="995">
          <cell r="A995">
            <v>23414049</v>
          </cell>
          <cell r="B995" t="str">
            <v>가르시아 알바레스 계약서</v>
          </cell>
        </row>
        <row r="996">
          <cell r="A996">
            <v>23414050</v>
          </cell>
          <cell r="B996" t="str">
            <v>에르난 베리오 계약서</v>
          </cell>
        </row>
        <row r="997">
          <cell r="A997">
            <v>23414051</v>
          </cell>
          <cell r="B997" t="str">
            <v>아이든 레이스 계약서</v>
          </cell>
        </row>
        <row r="998">
          <cell r="A998">
            <v>23414052</v>
          </cell>
          <cell r="B998" t="str">
            <v>루이 코스타 계약서</v>
          </cell>
        </row>
        <row r="999">
          <cell r="A999">
            <v>23414053</v>
          </cell>
          <cell r="B999" t="str">
            <v>아고스티노 바르바리고 계약서</v>
          </cell>
        </row>
        <row r="1000">
          <cell r="A1000">
            <v>23414054</v>
          </cell>
          <cell r="B1000" t="str">
            <v>다라 쉰 계약서</v>
          </cell>
        </row>
        <row r="1001">
          <cell r="A1001">
            <v>23414055</v>
          </cell>
          <cell r="B1001" t="str">
            <v>하코보 포르툰데 계약서</v>
          </cell>
        </row>
        <row r="1002">
          <cell r="A1002">
            <v>23414056</v>
          </cell>
          <cell r="B1002" t="str">
            <v>필럼 헤인 계약서</v>
          </cell>
        </row>
        <row r="1003">
          <cell r="A1003">
            <v>23414057</v>
          </cell>
          <cell r="B1003" t="str">
            <v>안드레아 도리아 계약서</v>
          </cell>
        </row>
        <row r="1004">
          <cell r="A1004">
            <v>23414058</v>
          </cell>
          <cell r="B1004" t="str">
            <v>뮈에진자데 알리 파샤 계약서</v>
          </cell>
        </row>
        <row r="1005">
          <cell r="A1005">
            <v>23414059</v>
          </cell>
          <cell r="B1005" t="str">
            <v>후안 폰세 데레온 계약서</v>
          </cell>
        </row>
        <row r="1006">
          <cell r="A1006">
            <v>23414060</v>
          </cell>
          <cell r="B1006" t="str">
            <v>시모네타 베스푸치 계약서</v>
          </cell>
        </row>
        <row r="1007">
          <cell r="A1007">
            <v>23414061</v>
          </cell>
          <cell r="B1007" t="str">
            <v>아폰수 드알부케르크 계약서</v>
          </cell>
        </row>
        <row r="1008">
          <cell r="A1008">
            <v>23414062</v>
          </cell>
          <cell r="B1008" t="str">
            <v>가스팔 신트라 계약서</v>
          </cell>
        </row>
        <row r="1009">
          <cell r="A1009">
            <v>23414063</v>
          </cell>
          <cell r="B1009" t="str">
            <v>임상옥 계약서</v>
          </cell>
        </row>
        <row r="1010">
          <cell r="A1010">
            <v>23414064</v>
          </cell>
          <cell r="B1010" t="str">
            <v>바바라 팔머 계약서</v>
          </cell>
        </row>
        <row r="1011">
          <cell r="A1011">
            <v>23414065</v>
          </cell>
          <cell r="B1011" t="str">
            <v>바스쿠 다가마 계약서</v>
          </cell>
        </row>
        <row r="1012">
          <cell r="A1012">
            <v>23414066</v>
          </cell>
          <cell r="B1012" t="str">
            <v>존 호킨스 계약서</v>
          </cell>
        </row>
        <row r="1013">
          <cell r="A1013">
            <v>23414067</v>
          </cell>
          <cell r="B1013" t="str">
            <v>구키 요시타카 계약서</v>
          </cell>
        </row>
        <row r="1014">
          <cell r="A1014">
            <v>23414068</v>
          </cell>
          <cell r="B1014" t="str">
            <v>돈 후안 데아우스트리아 계약서</v>
          </cell>
        </row>
        <row r="1015">
          <cell r="A1015">
            <v>23414069</v>
          </cell>
          <cell r="B1015" t="str">
            <v>아르망 장 뒤플레시 계약서</v>
          </cell>
        </row>
        <row r="1016">
          <cell r="A1016">
            <v>23414070</v>
          </cell>
          <cell r="B1016" t="str">
            <v>제임스 쿡 계약서</v>
          </cell>
        </row>
        <row r="1017">
          <cell r="A1017">
            <v>23414071</v>
          </cell>
          <cell r="B1017" t="str">
            <v>엔히크 드아비스 계약서</v>
          </cell>
        </row>
        <row r="1018">
          <cell r="A1018">
            <v>23414072</v>
          </cell>
          <cell r="B1018" t="str">
            <v>주앙 다노바 계약서</v>
          </cell>
        </row>
        <row r="1019">
          <cell r="A1019">
            <v>23414073</v>
          </cell>
          <cell r="B1019" t="str">
            <v>바스코 누녜스 데발보아 계약서</v>
          </cell>
        </row>
        <row r="1020">
          <cell r="A1020">
            <v>23414074</v>
          </cell>
          <cell r="B1020" t="str">
            <v>스티드 보닛 계약서</v>
          </cell>
        </row>
        <row r="1021">
          <cell r="A1021">
            <v>23414075</v>
          </cell>
          <cell r="B1021" t="str">
            <v>마리아 지빌라 메리안 계약서</v>
          </cell>
        </row>
        <row r="1022">
          <cell r="A1022">
            <v>23414076</v>
          </cell>
          <cell r="B1022" t="str">
            <v>헨드릭 하멜 계약서</v>
          </cell>
        </row>
        <row r="1023">
          <cell r="A1023">
            <v>23414077</v>
          </cell>
          <cell r="B1023" t="str">
            <v>조지 앤슨 계약서</v>
          </cell>
        </row>
        <row r="1024">
          <cell r="A1024">
            <v>23414078</v>
          </cell>
          <cell r="B1024" t="str">
            <v>존 바이런 계약서</v>
          </cell>
        </row>
        <row r="1025">
          <cell r="A1025">
            <v>23414079</v>
          </cell>
          <cell r="B1025" t="str">
            <v>가토 기요마사 계약서</v>
          </cell>
        </row>
        <row r="1026">
          <cell r="A1026">
            <v>23414080</v>
          </cell>
          <cell r="B1026" t="str">
            <v>루프마티 계약서</v>
          </cell>
        </row>
        <row r="1027">
          <cell r="A1027">
            <v>23414081</v>
          </cell>
          <cell r="B1027" t="str">
            <v>필리푸스 파라켈수스 계약서</v>
          </cell>
        </row>
        <row r="1028">
          <cell r="A1028">
            <v>23414082</v>
          </cell>
          <cell r="B1028" t="str">
            <v>안드레스 데우르다네타 계약서</v>
          </cell>
        </row>
        <row r="1029">
          <cell r="A1029">
            <v>23414083</v>
          </cell>
          <cell r="B1029" t="str">
            <v>아흐메트 케말레딘 계약서</v>
          </cell>
        </row>
        <row r="1030">
          <cell r="A1030">
            <v>23414084</v>
          </cell>
          <cell r="B1030" t="str">
            <v>휴 윌로비 계약서</v>
          </cell>
        </row>
        <row r="1031">
          <cell r="A1031">
            <v>23414085</v>
          </cell>
          <cell r="B1031" t="str">
            <v>알브레히트 발렌슈타인 계약서</v>
          </cell>
        </row>
        <row r="1032">
          <cell r="A1032">
            <v>23414086</v>
          </cell>
          <cell r="B1032" t="str">
            <v>구스타브 2세 아돌프 계약서</v>
          </cell>
        </row>
        <row r="1033">
          <cell r="A1033">
            <v>23414087</v>
          </cell>
          <cell r="B1033" t="str">
            <v>샤를 달타냥 계약서</v>
          </cell>
        </row>
        <row r="1034">
          <cell r="A1034">
            <v>23414088</v>
          </cell>
          <cell r="B1034" t="str">
            <v>윌리엄 키드 계약서</v>
          </cell>
        </row>
        <row r="1035">
          <cell r="A1035">
            <v>23414089</v>
          </cell>
          <cell r="B1035" t="str">
            <v>디에고 데아라나 계약서</v>
          </cell>
        </row>
        <row r="1036">
          <cell r="A1036">
            <v>23414090</v>
          </cell>
          <cell r="B1036" t="str">
            <v>디안 드푸아티에 계약서</v>
          </cell>
        </row>
        <row r="1037">
          <cell r="A1037">
            <v>23414091</v>
          </cell>
          <cell r="B1037" t="str">
            <v>루이 앙투안 드부갱빌 계약서</v>
          </cell>
        </row>
        <row r="1038">
          <cell r="A1038">
            <v>23414092</v>
          </cell>
          <cell r="B1038" t="str">
            <v>막달레나 카밀라 계약서</v>
          </cell>
        </row>
        <row r="1039">
          <cell r="A1039">
            <v>23414093</v>
          </cell>
          <cell r="B1039" t="str">
            <v>요하네스 케플러 계약서</v>
          </cell>
        </row>
        <row r="1040">
          <cell r="A1040">
            <v>23414094</v>
          </cell>
          <cell r="B1040" t="str">
            <v>최무선 계약서</v>
          </cell>
        </row>
        <row r="1041">
          <cell r="A1041">
            <v>23414095</v>
          </cell>
          <cell r="B1041" t="str">
            <v>하웰 데이비스 계약서</v>
          </cell>
        </row>
        <row r="1042">
          <cell r="A1042">
            <v>23414096</v>
          </cell>
          <cell r="B1042" t="str">
            <v>이븐 바투타 계약서</v>
          </cell>
        </row>
        <row r="1043">
          <cell r="A1043">
            <v>23414097</v>
          </cell>
          <cell r="B1043" t="str">
            <v>권준 계약서</v>
          </cell>
        </row>
        <row r="1044">
          <cell r="A1044">
            <v>23414098</v>
          </cell>
          <cell r="B1044" t="str">
            <v>트레볼 에스티브라 계약서</v>
          </cell>
        </row>
        <row r="1045">
          <cell r="A1045">
            <v>23414099</v>
          </cell>
          <cell r="B1045" t="str">
            <v>오즈월드 레밍톤 계약서</v>
          </cell>
        </row>
        <row r="1046">
          <cell r="A1046">
            <v>23414100</v>
          </cell>
          <cell r="B1046" t="str">
            <v>투르구트 레이스 계약서</v>
          </cell>
        </row>
        <row r="1047">
          <cell r="A1047">
            <v>23414101</v>
          </cell>
          <cell r="B1047" t="str">
            <v>입부 계약서</v>
          </cell>
        </row>
        <row r="1048">
          <cell r="A1048">
            <v>23414102</v>
          </cell>
          <cell r="B1048" t="str">
            <v>휘렘 술탄 계약서</v>
          </cell>
        </row>
        <row r="1049">
          <cell r="A1049">
            <v>23414103</v>
          </cell>
          <cell r="B1049" t="str">
            <v>김홍도 계약서</v>
          </cell>
        </row>
        <row r="1050">
          <cell r="A1050">
            <v>23414104</v>
          </cell>
          <cell r="B1050" t="str">
            <v>주화영 계약서</v>
          </cell>
        </row>
        <row r="1051">
          <cell r="A1051">
            <v>23414105</v>
          </cell>
          <cell r="B1051" t="str">
            <v>알론소 데카르데나스 계약서</v>
          </cell>
        </row>
        <row r="1052">
          <cell r="A1052">
            <v>23414106</v>
          </cell>
          <cell r="B1052" t="str">
            <v>전우치 계약서</v>
          </cell>
        </row>
        <row r="1053">
          <cell r="A1053">
            <v>23414107</v>
          </cell>
          <cell r="B1053" t="str">
            <v>임꺽정 계약서</v>
          </cell>
        </row>
        <row r="1054">
          <cell r="A1054">
            <v>23414108</v>
          </cell>
          <cell r="B1054" t="str">
            <v>이즈모 오쿠니 계약서</v>
          </cell>
        </row>
        <row r="1055">
          <cell r="A1055">
            <v>23414109</v>
          </cell>
          <cell r="B1055" t="str">
            <v>테쿠이치포츠 이시카쇼치친 계약서</v>
          </cell>
        </row>
        <row r="1056">
          <cell r="A1056">
            <v>23414110</v>
          </cell>
          <cell r="B1056" t="str">
            <v>루이스 부르주아 계약서</v>
          </cell>
        </row>
        <row r="1057">
          <cell r="A1057">
            <v>23414111</v>
          </cell>
          <cell r="B1057" t="str">
            <v>이사벨라 코르테세 계약서</v>
          </cell>
        </row>
        <row r="1058">
          <cell r="A1058">
            <v>23414112</v>
          </cell>
          <cell r="B1058" t="str">
            <v>로레다나 마르첼로 계약서</v>
          </cell>
        </row>
        <row r="1059">
          <cell r="A1059">
            <v>23414113</v>
          </cell>
          <cell r="B1059" t="str">
            <v>잉엘라 가텐히엘름 계약서</v>
          </cell>
        </row>
        <row r="1060">
          <cell r="A1060">
            <v>23414114</v>
          </cell>
          <cell r="B1060" t="str">
            <v>담윤현 계약서</v>
          </cell>
        </row>
        <row r="1061">
          <cell r="A1061">
            <v>23414115</v>
          </cell>
          <cell r="B1061" t="str">
            <v>레베카 롤프 계약서</v>
          </cell>
        </row>
        <row r="1062">
          <cell r="A1062">
            <v>23414116</v>
          </cell>
          <cell r="B1062" t="str">
            <v>타즐루 하눔 계약서</v>
          </cell>
        </row>
        <row r="1063">
          <cell r="A1063">
            <v>23414117</v>
          </cell>
          <cell r="B1063" t="str">
            <v>아바카 초우타 계약서</v>
          </cell>
        </row>
        <row r="1064">
          <cell r="A1064">
            <v>23414118</v>
          </cell>
          <cell r="B1064" t="str">
            <v>가이타나 계약서</v>
          </cell>
        </row>
        <row r="1065">
          <cell r="A1065">
            <v>23414119</v>
          </cell>
          <cell r="B1065" t="str">
            <v>이네스 데수아레스 계약서</v>
          </cell>
        </row>
        <row r="1066">
          <cell r="A1066">
            <v>23414120</v>
          </cell>
          <cell r="B1066" t="str">
            <v>뭄타즈 마할 계약서</v>
          </cell>
        </row>
        <row r="1067">
          <cell r="A1067">
            <v>23414121</v>
          </cell>
          <cell r="B1067" t="str">
            <v>말린체 계약서</v>
          </cell>
        </row>
        <row r="1068">
          <cell r="A1068">
            <v>23414122</v>
          </cell>
          <cell r="B1068" t="str">
            <v>크리스티나 알렉산드라 계약서</v>
          </cell>
        </row>
        <row r="1069">
          <cell r="A1069">
            <v>23414123</v>
          </cell>
          <cell r="B1069" t="str">
            <v>샤를로트 코르데 계약서</v>
          </cell>
        </row>
        <row r="1070">
          <cell r="A1070">
            <v>23414124</v>
          </cell>
          <cell r="B1070" t="str">
            <v>노라 에켈멘디트 계약서</v>
          </cell>
        </row>
        <row r="1071">
          <cell r="A1071">
            <v>23414125</v>
          </cell>
          <cell r="B1071" t="str">
            <v>심운영 계약서</v>
          </cell>
        </row>
        <row r="1072">
          <cell r="A1072">
            <v>23414126</v>
          </cell>
          <cell r="B1072" t="str">
            <v>마리 앤 계약서</v>
          </cell>
        </row>
        <row r="1073">
          <cell r="A1073">
            <v>23414127</v>
          </cell>
          <cell r="B1073" t="str">
            <v>레이첼 월 계약서</v>
          </cell>
        </row>
        <row r="1074">
          <cell r="A1074">
            <v>23414128</v>
          </cell>
          <cell r="B1074" t="str">
            <v>이자벨 드로렌 계약서</v>
          </cell>
        </row>
        <row r="1075">
          <cell r="A1075">
            <v>23414129</v>
          </cell>
          <cell r="B1075" t="str">
            <v>앤 불린 계약서</v>
          </cell>
        </row>
        <row r="1076">
          <cell r="A1076">
            <v>23414130</v>
          </cell>
          <cell r="B1076" t="str">
            <v>아나 데멘도사 계약서</v>
          </cell>
        </row>
        <row r="1077">
          <cell r="A1077">
            <v>23414131</v>
          </cell>
          <cell r="B1077" t="str">
            <v>카탈리나 데에라우소 계약서</v>
          </cell>
        </row>
        <row r="1078">
          <cell r="A1078">
            <v>23414132</v>
          </cell>
          <cell r="B1078" t="str">
            <v>안 도트리슈 계약서</v>
          </cell>
        </row>
        <row r="1079">
          <cell r="A1079">
            <v>23414133</v>
          </cell>
          <cell r="B1079" t="str">
            <v>아흐메트 무히딘 계약서</v>
          </cell>
        </row>
        <row r="1080">
          <cell r="A1080">
            <v>23414134</v>
          </cell>
          <cell r="B1080" t="str">
            <v>하프메트 그라니에 계약서</v>
          </cell>
        </row>
        <row r="1081">
          <cell r="A1081">
            <v>23414135</v>
          </cell>
          <cell r="B1081" t="str">
            <v>레오 아프리카누스 계약서</v>
          </cell>
        </row>
        <row r="1082">
          <cell r="A1082">
            <v>23414136</v>
          </cell>
          <cell r="B1082" t="str">
            <v>아폰수 안드라드 계약서</v>
          </cell>
        </row>
        <row r="1083">
          <cell r="A1083">
            <v>23414137</v>
          </cell>
          <cell r="B1083" t="str">
            <v>알로이지 조반니 계약서</v>
          </cell>
        </row>
        <row r="1084">
          <cell r="A1084">
            <v>23414138</v>
          </cell>
          <cell r="B1084" t="str">
            <v>알렉산드로 바조 계약서</v>
          </cell>
        </row>
        <row r="1085">
          <cell r="A1085">
            <v>23414139</v>
          </cell>
          <cell r="B1085" t="str">
            <v>안드레아 기지 계약서</v>
          </cell>
        </row>
        <row r="1086">
          <cell r="A1086">
            <v>23414140</v>
          </cell>
          <cell r="B1086" t="str">
            <v>안토니오 칸 계약서</v>
          </cell>
        </row>
        <row r="1087">
          <cell r="A1087">
            <v>23414141</v>
          </cell>
          <cell r="B1087" t="str">
            <v>디에고 데쿠에야르 계약서</v>
          </cell>
        </row>
        <row r="1088">
          <cell r="A1088">
            <v>23414142</v>
          </cell>
          <cell r="B1088" t="str">
            <v>카미로 스테파노 계약서</v>
          </cell>
        </row>
        <row r="1089">
          <cell r="A1089">
            <v>23414143</v>
          </cell>
          <cell r="B1089" t="str">
            <v>디오구 파군드스 계약서</v>
          </cell>
        </row>
        <row r="1090">
          <cell r="A1090">
            <v>23414144</v>
          </cell>
          <cell r="B1090" t="str">
            <v>도밍고 마냐나 계약서</v>
          </cell>
        </row>
        <row r="1091">
          <cell r="A1091">
            <v>23414145</v>
          </cell>
          <cell r="B1091" t="str">
            <v>에드먼드 길버트 계약서</v>
          </cell>
        </row>
        <row r="1092">
          <cell r="A1092">
            <v>23414146</v>
          </cell>
          <cell r="B1092" t="str">
            <v>프랑코 사누드 계약서</v>
          </cell>
        </row>
        <row r="1093">
          <cell r="A1093">
            <v>23414147</v>
          </cell>
          <cell r="B1093" t="str">
            <v>엔리코 마리오네 계약서</v>
          </cell>
        </row>
        <row r="1094">
          <cell r="A1094">
            <v>23414148</v>
          </cell>
          <cell r="B1094" t="str">
            <v>에스테반 오르테가 계약서</v>
          </cell>
        </row>
        <row r="1095">
          <cell r="A1095">
            <v>23414149</v>
          </cell>
          <cell r="B1095" t="str">
            <v>페르낭 멘드스 핀투 계약서</v>
          </cell>
        </row>
        <row r="1096">
          <cell r="A1096">
            <v>23414150</v>
          </cell>
          <cell r="B1096" t="str">
            <v>케빈 피셔 계약서</v>
          </cell>
        </row>
        <row r="1097">
          <cell r="A1097">
            <v>23414152</v>
          </cell>
          <cell r="B1097" t="str">
            <v>로이드 스탓텐 계약서</v>
          </cell>
        </row>
        <row r="1098">
          <cell r="A1098">
            <v>23414153</v>
          </cell>
          <cell r="B1098" t="str">
            <v>존 래컴 계약서</v>
          </cell>
        </row>
        <row r="1099">
          <cell r="A1099">
            <v>23414154</v>
          </cell>
          <cell r="B1099" t="str">
            <v>존 데이비스 계약서</v>
          </cell>
        </row>
        <row r="1100">
          <cell r="A1100">
            <v>23414155</v>
          </cell>
          <cell r="B1100" t="str">
            <v>로렌주 핀투 계약서</v>
          </cell>
        </row>
        <row r="1101">
          <cell r="A1101">
            <v>23414156</v>
          </cell>
          <cell r="B1101" t="str">
            <v>루이스 스콧 계약서</v>
          </cell>
        </row>
        <row r="1102">
          <cell r="A1102">
            <v>23414157</v>
          </cell>
          <cell r="B1102" t="str">
            <v>후안 데라 코사 계약서</v>
          </cell>
        </row>
        <row r="1103">
          <cell r="A1103">
            <v>23414158</v>
          </cell>
          <cell r="B1103" t="str">
            <v>이스칼 야사르 계약서</v>
          </cell>
        </row>
        <row r="1104">
          <cell r="A1104">
            <v>23414159</v>
          </cell>
          <cell r="B1104" t="str">
            <v>크리스티안 글로리아 계약서</v>
          </cell>
        </row>
        <row r="1105">
          <cell r="A1105">
            <v>23414160</v>
          </cell>
          <cell r="B1105" t="str">
            <v>마슈 로이 계약서</v>
          </cell>
        </row>
        <row r="1106">
          <cell r="A1106">
            <v>23414161</v>
          </cell>
          <cell r="B1106" t="str">
            <v>미겔 코르트 헤알 계약서</v>
          </cell>
        </row>
        <row r="1107">
          <cell r="A1107">
            <v>23414162</v>
          </cell>
          <cell r="B1107" t="str">
            <v>니콜로 스테파노 계약서</v>
          </cell>
        </row>
        <row r="1108">
          <cell r="A1108">
            <v>23414163</v>
          </cell>
          <cell r="B1108" t="str">
            <v>하파엘 세하누 계약서</v>
          </cell>
        </row>
        <row r="1109">
          <cell r="A1109">
            <v>23414164</v>
          </cell>
          <cell r="B1109" t="str">
            <v>시난 파샤 계약서</v>
          </cell>
        </row>
        <row r="1110">
          <cell r="A1110">
            <v>23414165</v>
          </cell>
          <cell r="B1110" t="str">
            <v>페론소 아기레 계약서</v>
          </cell>
        </row>
        <row r="1111">
          <cell r="A1111">
            <v>23414166</v>
          </cell>
          <cell r="B1111" t="str">
            <v>로버트 로우 계약서</v>
          </cell>
        </row>
        <row r="1112">
          <cell r="A1112">
            <v>23414167</v>
          </cell>
          <cell r="B1112" t="str">
            <v>마르틴 발보아 계약서</v>
          </cell>
        </row>
        <row r="1113">
          <cell r="A1113">
            <v>23414168</v>
          </cell>
          <cell r="B1113" t="str">
            <v>자한 사림 계약서</v>
          </cell>
        </row>
        <row r="1114">
          <cell r="A1114">
            <v>23414169</v>
          </cell>
          <cell r="B1114" t="str">
            <v>다니엘 미르자 계약서</v>
          </cell>
        </row>
        <row r="1115">
          <cell r="A1115">
            <v>23414170</v>
          </cell>
          <cell r="B1115" t="str">
            <v>시몬 세게이라 계약서</v>
          </cell>
        </row>
        <row r="1116">
          <cell r="A1116">
            <v>23414171</v>
          </cell>
          <cell r="B1116" t="str">
            <v>울루치 알리 계약서</v>
          </cell>
        </row>
        <row r="1117">
          <cell r="A1117">
            <v>23414173</v>
          </cell>
          <cell r="B1117" t="str">
            <v>서굉조 계약서</v>
          </cell>
        </row>
        <row r="1118">
          <cell r="A1118">
            <v>23414174</v>
          </cell>
          <cell r="B1118" t="str">
            <v>비센테 야녜스 핀손 계약서</v>
          </cell>
        </row>
        <row r="1119">
          <cell r="A1119">
            <v>23414175</v>
          </cell>
          <cell r="B1119" t="str">
            <v>니콜라우 코엘류 계약서</v>
          </cell>
        </row>
        <row r="1120">
          <cell r="A1120">
            <v>23414176</v>
          </cell>
          <cell r="B1120" t="str">
            <v>프란시스쿠 드알메이다 계약서</v>
          </cell>
        </row>
        <row r="1121">
          <cell r="A1121">
            <v>23414177</v>
          </cell>
          <cell r="B1121" t="str">
            <v>후안 디아스 데솔리스 계약서</v>
          </cell>
        </row>
        <row r="1122">
          <cell r="A1122">
            <v>23414178</v>
          </cell>
          <cell r="B1122" t="str">
            <v>알론소 데오헤다 계약서</v>
          </cell>
        </row>
        <row r="1123">
          <cell r="A1123">
            <v>23414179</v>
          </cell>
          <cell r="B1123" t="str">
            <v>로드리고 데바스티다스 계약서</v>
          </cell>
        </row>
        <row r="1124">
          <cell r="A1124">
            <v>23414180</v>
          </cell>
          <cell r="B1124" t="str">
            <v>안토니오 데베리오 계약서</v>
          </cell>
        </row>
        <row r="1125">
          <cell r="A1125">
            <v>23414181</v>
          </cell>
          <cell r="B1125" t="str">
            <v>정지룡 계약서</v>
          </cell>
        </row>
        <row r="1126">
          <cell r="A1126">
            <v>23414182</v>
          </cell>
          <cell r="B1126" t="str">
            <v>리차드 월리 계약서</v>
          </cell>
        </row>
        <row r="1127">
          <cell r="A1127">
            <v>23414183</v>
          </cell>
          <cell r="B1127" t="str">
            <v>찰스 베인 계약서</v>
          </cell>
        </row>
        <row r="1128">
          <cell r="A1128">
            <v>23414184</v>
          </cell>
          <cell r="B1128" t="str">
            <v>왕경홍 계약서</v>
          </cell>
        </row>
        <row r="1129">
          <cell r="A1129">
            <v>23414185</v>
          </cell>
          <cell r="B1129" t="str">
            <v>알바로 데멘다냐 계약서</v>
          </cell>
        </row>
        <row r="1130">
          <cell r="A1130">
            <v>23414186</v>
          </cell>
          <cell r="B1130" t="str">
            <v>루이스 바에스 데토레스 계약서</v>
          </cell>
        </row>
        <row r="1131">
          <cell r="A1131">
            <v>23414187</v>
          </cell>
          <cell r="B1131" t="str">
            <v>빌럼 얀손 계약서</v>
          </cell>
        </row>
        <row r="1132">
          <cell r="A1132">
            <v>23414188</v>
          </cell>
          <cell r="B1132" t="str">
            <v>아벌 얀손 타스만 계약서</v>
          </cell>
        </row>
        <row r="1133">
          <cell r="A1133">
            <v>23414189</v>
          </cell>
          <cell r="B1133" t="str">
            <v>와키자카 야스하루 계약서</v>
          </cell>
        </row>
        <row r="1134">
          <cell r="A1134">
            <v>23414190</v>
          </cell>
          <cell r="B1134" t="str">
            <v>도도 다카토라 계약서</v>
          </cell>
        </row>
        <row r="1135">
          <cell r="A1135">
            <v>23414191</v>
          </cell>
          <cell r="B1135" t="str">
            <v>도고 구르마니 계약서</v>
          </cell>
        </row>
        <row r="1136">
          <cell r="A1136">
            <v>23414192</v>
          </cell>
          <cell r="B1136" t="str">
            <v>고스 다카드 계약서</v>
          </cell>
        </row>
        <row r="1137">
          <cell r="A1137">
            <v>23414193</v>
          </cell>
          <cell r="B1137" t="str">
            <v>월터 롤리 계약서</v>
          </cell>
        </row>
        <row r="1138">
          <cell r="A1138">
            <v>23414194</v>
          </cell>
          <cell r="B1138" t="str">
            <v>베르날 델카스티요 계약서</v>
          </cell>
        </row>
        <row r="1139">
          <cell r="A1139">
            <v>23414195</v>
          </cell>
          <cell r="B1139" t="str">
            <v>디오구 드세케이라 계약서</v>
          </cell>
        </row>
        <row r="1140">
          <cell r="A1140">
            <v>23414196</v>
          </cell>
          <cell r="B1140" t="str">
            <v>토메 피르스 계약서</v>
          </cell>
        </row>
        <row r="1141">
          <cell r="A1141">
            <v>23414197</v>
          </cell>
          <cell r="B1141" t="str">
            <v>미켈란젤로 부오나로티 계약서</v>
          </cell>
        </row>
        <row r="1142">
          <cell r="A1142">
            <v>23414198</v>
          </cell>
          <cell r="B1142" t="str">
            <v>다나카 쇼스케 계약서</v>
          </cell>
        </row>
        <row r="1143">
          <cell r="A1143">
            <v>23414199</v>
          </cell>
          <cell r="B1143" t="str">
            <v>하세쿠라 쓰네나가 계약서</v>
          </cell>
        </row>
        <row r="1144">
          <cell r="A1144">
            <v>23414200</v>
          </cell>
          <cell r="B1144" t="str">
            <v>페르낭 드안드라드 계약서</v>
          </cell>
        </row>
        <row r="1145">
          <cell r="A1145">
            <v>23414201</v>
          </cell>
          <cell r="B1145" t="str">
            <v>시마즈 요시히로 계약서</v>
          </cell>
        </row>
        <row r="1146">
          <cell r="A1146">
            <v>23414202</v>
          </cell>
          <cell r="B1146" t="str">
            <v>니콜라스 데오반도 계약서</v>
          </cell>
        </row>
        <row r="1147">
          <cell r="A1147">
            <v>23414203</v>
          </cell>
          <cell r="B1147" t="str">
            <v>안토니오 피가페타 계약서</v>
          </cell>
        </row>
        <row r="1148">
          <cell r="A1148">
            <v>23414204</v>
          </cell>
          <cell r="B1148" t="str">
            <v>곤살로 피사로 계약서</v>
          </cell>
        </row>
        <row r="1149">
          <cell r="A1149">
            <v>23414205</v>
          </cell>
          <cell r="B1149" t="str">
            <v>얀 피터손 쿤 계약서</v>
          </cell>
        </row>
        <row r="1150">
          <cell r="A1150">
            <v>23414206</v>
          </cell>
          <cell r="B1150" t="str">
            <v>가스파르 코르트 헤알 계약서</v>
          </cell>
        </row>
        <row r="1151">
          <cell r="A1151">
            <v>23414207</v>
          </cell>
          <cell r="B1151" t="str">
            <v>페르난데스 데엔시소 계약서</v>
          </cell>
        </row>
        <row r="1152">
          <cell r="A1152">
            <v>23414208</v>
          </cell>
          <cell r="B1152" t="str">
            <v>새뮤얼 버지스 계약서</v>
          </cell>
        </row>
        <row r="1153">
          <cell r="A1153">
            <v>23414209</v>
          </cell>
          <cell r="B1153" t="str">
            <v>로푸 드알베르가리아 계약서</v>
          </cell>
        </row>
        <row r="1154">
          <cell r="A1154">
            <v>23414210</v>
          </cell>
          <cell r="B1154" t="str">
            <v>문순득 계약서</v>
          </cell>
        </row>
        <row r="1155">
          <cell r="A1155">
            <v>23414211</v>
          </cell>
          <cell r="B1155" t="str">
            <v>우즈 로저스 계약서</v>
          </cell>
        </row>
        <row r="1156">
          <cell r="A1156">
            <v>23414212</v>
          </cell>
          <cell r="B1156" t="str">
            <v>페루 다코빌량 계약서</v>
          </cell>
        </row>
        <row r="1157">
          <cell r="A1157">
            <v>23414213</v>
          </cell>
          <cell r="B1157" t="str">
            <v>조르조 바사리 계약서</v>
          </cell>
        </row>
        <row r="1158">
          <cell r="A1158">
            <v>23414214</v>
          </cell>
          <cell r="B1158" t="str">
            <v>두아르테 바르보사 계약서</v>
          </cell>
        </row>
        <row r="1159">
          <cell r="A1159">
            <v>23414215</v>
          </cell>
          <cell r="B1159" t="str">
            <v>주앙 세항 계약서</v>
          </cell>
        </row>
        <row r="1160">
          <cell r="A1160">
            <v>23414216</v>
          </cell>
          <cell r="B1160" t="str">
            <v>윌리엄 윈터 계약서</v>
          </cell>
        </row>
        <row r="1161">
          <cell r="A1161">
            <v>23414217</v>
          </cell>
          <cell r="B1161" t="str">
            <v>얀 얀스 벨테브레이 계약서</v>
          </cell>
        </row>
        <row r="1162">
          <cell r="A1162">
            <v>23414218</v>
          </cell>
          <cell r="B1162" t="str">
            <v>조르즈 드메네즈스 계약서</v>
          </cell>
        </row>
        <row r="1163">
          <cell r="A1163">
            <v>23414219</v>
          </cell>
          <cell r="B1163" t="str">
            <v>프란시스코 알보 계약서</v>
          </cell>
        </row>
        <row r="1164">
          <cell r="A1164">
            <v>23414220</v>
          </cell>
          <cell r="B1164" t="str">
            <v>프랑수아 르클레르 계약서</v>
          </cell>
        </row>
        <row r="1165">
          <cell r="A1165">
            <v>23414221</v>
          </cell>
          <cell r="B1165" t="str">
            <v>니콜라우스 페데르만 계약서</v>
          </cell>
        </row>
        <row r="1166">
          <cell r="A1166">
            <v>23414222</v>
          </cell>
          <cell r="B1166" t="str">
            <v>가스파르 데케사다 계약서</v>
          </cell>
        </row>
        <row r="1167">
          <cell r="A1167">
            <v>23414223</v>
          </cell>
          <cell r="B1167" t="str">
            <v>요하네스 구텐베르크 계약서</v>
          </cell>
        </row>
        <row r="1168">
          <cell r="A1168">
            <v>23414224</v>
          </cell>
          <cell r="B1168" t="str">
            <v>페드로 데멘도사 계약서</v>
          </cell>
        </row>
        <row r="1169">
          <cell r="A1169">
            <v>23414225</v>
          </cell>
          <cell r="B1169" t="str">
            <v>문익점 계약서</v>
          </cell>
        </row>
        <row r="1170">
          <cell r="A1170">
            <v>23414226</v>
          </cell>
          <cell r="B1170" t="str">
            <v>알리 알 만드리 계약서</v>
          </cell>
        </row>
        <row r="1171">
          <cell r="A1171">
            <v>23414228</v>
          </cell>
          <cell r="B1171" t="str">
            <v>아흐메드 알 와타시 계약서</v>
          </cell>
        </row>
        <row r="1172">
          <cell r="A1172">
            <v>23414229</v>
          </cell>
          <cell r="B1172" t="str">
            <v>윌리엄 셰익스피어 계약서</v>
          </cell>
        </row>
        <row r="1173">
          <cell r="A1173">
            <v>23414230</v>
          </cell>
          <cell r="B1173" t="str">
            <v>카베사 데바카 계약서</v>
          </cell>
        </row>
        <row r="1174">
          <cell r="A1174">
            <v>23414231</v>
          </cell>
          <cell r="B1174" t="str">
            <v>미겔 로페스 데레가스피 계약서</v>
          </cell>
        </row>
        <row r="1175">
          <cell r="A1175">
            <v>23414232</v>
          </cell>
          <cell r="B1175" t="str">
            <v>바스케스 데코로나도 계약서</v>
          </cell>
        </row>
        <row r="1176">
          <cell r="A1176">
            <v>23414233</v>
          </cell>
          <cell r="B1176" t="str">
            <v>권근 계약서</v>
          </cell>
        </row>
        <row r="1177">
          <cell r="A1177">
            <v>23414234</v>
          </cell>
          <cell r="B1177" t="str">
            <v>엔히크 드말라카 계약서</v>
          </cell>
        </row>
        <row r="1178">
          <cell r="A1178">
            <v>23414235</v>
          </cell>
          <cell r="B1178" t="str">
            <v>프란시스코 데오레야나 계약서</v>
          </cell>
        </row>
        <row r="1179">
          <cell r="A1179">
            <v>23414236</v>
          </cell>
          <cell r="B1179" t="str">
            <v>파올로 토스카넬리 계약서</v>
          </cell>
        </row>
        <row r="1180">
          <cell r="A1180">
            <v>23414237</v>
          </cell>
          <cell r="B1180" t="str">
            <v>셰르 샤 계약서</v>
          </cell>
        </row>
        <row r="1181">
          <cell r="A1181">
            <v>23414238</v>
          </cell>
          <cell r="B1181" t="str">
            <v>악셀 욱센헤나 계약서</v>
          </cell>
        </row>
        <row r="1182">
          <cell r="A1182">
            <v>23414239</v>
          </cell>
          <cell r="B1182" t="str">
            <v>알렉산더 해밀턴 계약서</v>
          </cell>
        </row>
        <row r="1183">
          <cell r="A1183">
            <v>23414240</v>
          </cell>
          <cell r="B1183" t="str">
            <v>마르틴 베하임 계약서</v>
          </cell>
        </row>
        <row r="1184">
          <cell r="A1184">
            <v>23414241</v>
          </cell>
          <cell r="B1184" t="str">
            <v>장 프랑수아 드갈로 계약서</v>
          </cell>
        </row>
        <row r="1185">
          <cell r="A1185">
            <v>23414242</v>
          </cell>
          <cell r="B1185" t="str">
            <v>필리베르 코메르송 계약서</v>
          </cell>
        </row>
        <row r="1186">
          <cell r="A1186">
            <v>23414243</v>
          </cell>
          <cell r="B1186" t="str">
            <v>자크 카르티에 계약서</v>
          </cell>
        </row>
        <row r="1187">
          <cell r="A1187">
            <v>23414244</v>
          </cell>
          <cell r="B1187" t="str">
            <v>허초희 계약서</v>
          </cell>
        </row>
        <row r="1188">
          <cell r="A1188">
            <v>23414245</v>
          </cell>
          <cell r="B1188" t="str">
            <v>정운 계약서</v>
          </cell>
        </row>
        <row r="1189">
          <cell r="A1189">
            <v>23414246</v>
          </cell>
          <cell r="B1189" t="str">
            <v>나대용 계약서</v>
          </cell>
        </row>
        <row r="1190">
          <cell r="A1190">
            <v>23414247</v>
          </cell>
          <cell r="B1190" t="str">
            <v>마르틴 루터 계약서</v>
          </cell>
        </row>
        <row r="1191">
          <cell r="A1191">
            <v>23414248</v>
          </cell>
          <cell r="B1191" t="str">
            <v>야콥 푸거 계약서</v>
          </cell>
        </row>
        <row r="1192">
          <cell r="A1192">
            <v>23414250</v>
          </cell>
          <cell r="B1192" t="str">
            <v>마테오 리치 계약서</v>
          </cell>
        </row>
        <row r="1193">
          <cell r="A1193">
            <v>23414251</v>
          </cell>
          <cell r="B1193" t="str">
            <v>토니오 롯시 계약서</v>
          </cell>
        </row>
        <row r="1194">
          <cell r="A1194">
            <v>23414252</v>
          </cell>
          <cell r="B1194" t="str">
            <v>리오노 아반츄라 계약서</v>
          </cell>
        </row>
        <row r="1195">
          <cell r="A1195">
            <v>23414253</v>
          </cell>
          <cell r="B1195" t="str">
            <v>하산 파샤 계약서</v>
          </cell>
        </row>
        <row r="1196">
          <cell r="A1196">
            <v>23414254</v>
          </cell>
          <cell r="B1196" t="str">
            <v>이운룡 계약서</v>
          </cell>
        </row>
        <row r="1197">
          <cell r="A1197">
            <v>23414255</v>
          </cell>
          <cell r="B1197" t="str">
            <v>이억기 계약서</v>
          </cell>
        </row>
        <row r="1198">
          <cell r="A1198">
            <v>23414256</v>
          </cell>
          <cell r="B1198" t="str">
            <v>살리흐 레이스 계약서</v>
          </cell>
        </row>
        <row r="1199">
          <cell r="A1199">
            <v>23414257</v>
          </cell>
          <cell r="B1199" t="str">
            <v>페트뤼스 플란시우스 계약서</v>
          </cell>
        </row>
        <row r="1200">
          <cell r="A1200">
            <v>23414258</v>
          </cell>
          <cell r="B1200" t="str">
            <v>프란시스쿠 세항 계약서</v>
          </cell>
        </row>
        <row r="1201">
          <cell r="A1201">
            <v>23414259</v>
          </cell>
          <cell r="B1201" t="str">
            <v>아메리고 베스푸치 계약서</v>
          </cell>
        </row>
        <row r="1202">
          <cell r="A1202">
            <v>23414260</v>
          </cell>
          <cell r="B1202" t="str">
            <v>루이스 프로이스 계약서</v>
          </cell>
        </row>
        <row r="1203">
          <cell r="A1203">
            <v>23414261</v>
          </cell>
          <cell r="B1203" t="str">
            <v>조반니 안드레아 도리아 계약서</v>
          </cell>
        </row>
        <row r="1204">
          <cell r="A1204">
            <v>23414262</v>
          </cell>
          <cell r="B1204" t="str">
            <v>두아르트 드메네즈스 계약서</v>
          </cell>
        </row>
        <row r="1205">
          <cell r="A1205">
            <v>23414263</v>
          </cell>
          <cell r="B1205" t="str">
            <v>니콜라스 쿠크베커 계약서</v>
          </cell>
        </row>
        <row r="1206">
          <cell r="A1206">
            <v>23414264</v>
          </cell>
          <cell r="B1206" t="str">
            <v>두순영 계약서</v>
          </cell>
        </row>
        <row r="1207">
          <cell r="A1207">
            <v>23414265</v>
          </cell>
          <cell r="B1207" t="str">
            <v>에드워드 로우 계약서</v>
          </cell>
        </row>
        <row r="1208">
          <cell r="A1208">
            <v>23414266</v>
          </cell>
          <cell r="B1208" t="str">
            <v>주앙 곤살베스 자르쿠 계약서</v>
          </cell>
        </row>
        <row r="1209">
          <cell r="A1209">
            <v>23414267</v>
          </cell>
          <cell r="B1209" t="str">
            <v>존 롤프 계약서</v>
          </cell>
        </row>
        <row r="1210">
          <cell r="A1210">
            <v>23414268</v>
          </cell>
          <cell r="B1210" t="str">
            <v>알렉산더 셀커크 계약서</v>
          </cell>
        </row>
        <row r="1211">
          <cell r="A1211">
            <v>23414269</v>
          </cell>
          <cell r="B1211" t="str">
            <v>알비세 카다모스토 계약서</v>
          </cell>
        </row>
        <row r="1212">
          <cell r="A1212">
            <v>23414270</v>
          </cell>
          <cell r="B1212" t="str">
            <v>쿠르톨루 무슬리딘 계약서</v>
          </cell>
        </row>
        <row r="1213">
          <cell r="A1213">
            <v>23414271</v>
          </cell>
          <cell r="B1213" t="str">
            <v>미겔 데세르반테스 계약서</v>
          </cell>
        </row>
        <row r="1214">
          <cell r="A1214">
            <v>23414272</v>
          </cell>
          <cell r="B1214" t="str">
            <v>야스케 계약서</v>
          </cell>
        </row>
        <row r="1215">
          <cell r="A1215">
            <v>23414273</v>
          </cell>
          <cell r="B1215" t="str">
            <v>기린아 계약서</v>
          </cell>
        </row>
        <row r="1216">
          <cell r="A1216">
            <v>23414274</v>
          </cell>
          <cell r="B1216" t="str">
            <v>이몽룡 계약서</v>
          </cell>
        </row>
        <row r="1217">
          <cell r="A1217">
            <v>23414277</v>
          </cell>
          <cell r="B1217" t="str">
            <v>진조의 계약서</v>
          </cell>
        </row>
        <row r="1218">
          <cell r="A1218">
            <v>23414278</v>
          </cell>
          <cell r="B1218" t="str">
            <v>노국공주 계약서</v>
          </cell>
        </row>
        <row r="1219">
          <cell r="A1219">
            <v>23414279</v>
          </cell>
          <cell r="B1219" t="str">
            <v>카시드 계약서</v>
          </cell>
        </row>
        <row r="1220">
          <cell r="A1220">
            <v>23414280</v>
          </cell>
          <cell r="B1220" t="str">
            <v>비라 알라케스바라 계약서</v>
          </cell>
        </row>
        <row r="1221">
          <cell r="A1221">
            <v>23414281</v>
          </cell>
          <cell r="B1221" t="str">
            <v>리차드 빙엄 계약서</v>
          </cell>
        </row>
        <row r="1222">
          <cell r="A1222">
            <v>23414282</v>
          </cell>
          <cell r="B1222" t="str">
            <v>피터르 제라뒤스 계약서</v>
          </cell>
        </row>
        <row r="1223">
          <cell r="A1223">
            <v>23414283</v>
          </cell>
          <cell r="B1223" t="str">
            <v>호종헌 계약서</v>
          </cell>
        </row>
        <row r="1224">
          <cell r="A1224">
            <v>23414284</v>
          </cell>
          <cell r="B1224" t="str">
            <v>알탄 칸 계약서</v>
          </cell>
        </row>
        <row r="1225">
          <cell r="A1225">
            <v>23414285</v>
          </cell>
          <cell r="B1225" t="str">
            <v>알렉산드르 멘시코프 계약서</v>
          </cell>
        </row>
        <row r="1226">
          <cell r="A1226">
            <v>23414286</v>
          </cell>
          <cell r="B1226" t="str">
            <v>트실라카트신 계약서</v>
          </cell>
        </row>
        <row r="1227">
          <cell r="A1227">
            <v>23414287</v>
          </cell>
          <cell r="B1227" t="str">
            <v>김광택 계약서</v>
          </cell>
        </row>
        <row r="1228">
          <cell r="A1228">
            <v>23414288</v>
          </cell>
          <cell r="B1228" t="str">
            <v>유대유 계약서</v>
          </cell>
        </row>
        <row r="1229">
          <cell r="A1229">
            <v>23414289</v>
          </cell>
          <cell r="B1229" t="str">
            <v>이초 계약서</v>
          </cell>
        </row>
        <row r="1230">
          <cell r="A1230">
            <v>23414290</v>
          </cell>
          <cell r="B1230" t="str">
            <v>호수인 계약서</v>
          </cell>
        </row>
        <row r="1231">
          <cell r="A1231">
            <v>23414291</v>
          </cell>
          <cell r="B1231" t="str">
            <v>왕직 계약서</v>
          </cell>
        </row>
        <row r="1232">
          <cell r="A1232">
            <v>23414292</v>
          </cell>
          <cell r="B1232" t="str">
            <v>바실리 골리친 계약서</v>
          </cell>
        </row>
        <row r="1233">
          <cell r="A1233">
            <v>23414295</v>
          </cell>
          <cell r="B1233" t="str">
            <v>시랑 계약서</v>
          </cell>
        </row>
        <row r="1234">
          <cell r="A1234">
            <v>23414296</v>
          </cell>
          <cell r="B1234" t="str">
            <v>라 이카이카 계약서</v>
          </cell>
        </row>
        <row r="1235">
          <cell r="A1235">
            <v>23414298</v>
          </cell>
          <cell r="B1235" t="str">
            <v>나니 마히나 계약서</v>
          </cell>
        </row>
        <row r="1236">
          <cell r="A1236">
            <v>23414299</v>
          </cell>
          <cell r="B1236" t="str">
            <v>아나 얀선스 계약서</v>
          </cell>
        </row>
        <row r="1237">
          <cell r="A1237">
            <v>23414300</v>
          </cell>
          <cell r="B1237" t="str">
            <v>발푸리 인나마 계약서</v>
          </cell>
        </row>
        <row r="1238">
          <cell r="A1238">
            <v>23414301</v>
          </cell>
          <cell r="B1238" t="str">
            <v>카리나 물티알라 계약서</v>
          </cell>
        </row>
        <row r="1239">
          <cell r="A1239">
            <v>23414302</v>
          </cell>
          <cell r="B1239" t="str">
            <v>도리테 니버스 계약서</v>
          </cell>
        </row>
        <row r="1240">
          <cell r="A1240">
            <v>23414303</v>
          </cell>
          <cell r="B1240" t="str">
            <v>타네커 스코닝스 계약서</v>
          </cell>
        </row>
        <row r="1241">
          <cell r="A1241">
            <v>23414304</v>
          </cell>
          <cell r="B1241" t="str">
            <v>엘리자베스 바튼 계약서</v>
          </cell>
        </row>
        <row r="1242">
          <cell r="A1242">
            <v>23414305</v>
          </cell>
          <cell r="B1242" t="str">
            <v>잔 드샹탈 계약서</v>
          </cell>
        </row>
        <row r="1243">
          <cell r="A1243">
            <v>23414306</v>
          </cell>
          <cell r="B1243" t="str">
            <v>아사르파이 계약서</v>
          </cell>
        </row>
        <row r="1244">
          <cell r="A1244">
            <v>23414307</v>
          </cell>
          <cell r="B1244" t="str">
            <v>마리아 바르톨라 계약서</v>
          </cell>
        </row>
        <row r="1245">
          <cell r="A1245">
            <v>23414308</v>
          </cell>
          <cell r="B1245" t="str">
            <v>시도니아 폰보르크 계약서</v>
          </cell>
        </row>
        <row r="1246">
          <cell r="A1246">
            <v>23414309</v>
          </cell>
          <cell r="B1246" t="str">
            <v>비올란테 도리아 계약서</v>
          </cell>
        </row>
        <row r="1247">
          <cell r="A1247">
            <v>23414310</v>
          </cell>
          <cell r="B1247" t="str">
            <v>앤 다우리치 계약서</v>
          </cell>
        </row>
        <row r="1248">
          <cell r="A1248">
            <v>23414311</v>
          </cell>
          <cell r="B1248" t="str">
            <v>카타리나 헤노트 계약서</v>
          </cell>
        </row>
        <row r="1249">
          <cell r="A1249">
            <v>23414312</v>
          </cell>
          <cell r="B1249" t="str">
            <v>이사벨 데게바라 계약서</v>
          </cell>
        </row>
        <row r="1250">
          <cell r="A1250">
            <v>23414313</v>
          </cell>
          <cell r="B1250" t="str">
            <v>엘리자베스 비제 르 브룅 계약서</v>
          </cell>
        </row>
        <row r="1251">
          <cell r="A1251">
            <v>23414314</v>
          </cell>
          <cell r="B1251" t="str">
            <v>아나 루머르스 피스허르 계약서</v>
          </cell>
        </row>
        <row r="1252">
          <cell r="A1252">
            <v>23414315</v>
          </cell>
          <cell r="B1252" t="str">
            <v>이사벨라 휘트니 계약서</v>
          </cell>
        </row>
        <row r="1253">
          <cell r="A1253">
            <v>23414316</v>
          </cell>
          <cell r="B1253" t="str">
            <v>케나우 하셀라르 계약서</v>
          </cell>
        </row>
        <row r="1254">
          <cell r="A1254">
            <v>23414317</v>
          </cell>
          <cell r="B1254" t="str">
            <v>크리스티나 닐스도테르 계약서</v>
          </cell>
        </row>
        <row r="1255">
          <cell r="A1255">
            <v>23414318</v>
          </cell>
          <cell r="B1255" t="str">
            <v>와씨 계약서</v>
          </cell>
        </row>
        <row r="1256">
          <cell r="A1256">
            <v>23414319</v>
          </cell>
          <cell r="B1256" t="str">
            <v>고계영 계약서</v>
          </cell>
        </row>
        <row r="1257">
          <cell r="A1257">
            <v>23414320</v>
          </cell>
          <cell r="B1257" t="str">
            <v>클라라 카마랑 계약서</v>
          </cell>
        </row>
        <row r="1258">
          <cell r="A1258">
            <v>23414321</v>
          </cell>
          <cell r="B1258" t="str">
            <v>알론소 데멘도사 계약서</v>
          </cell>
        </row>
        <row r="1259">
          <cell r="A1259">
            <v>23414322</v>
          </cell>
          <cell r="B1259" t="str">
            <v>암브로지우스 에힝어 계약서</v>
          </cell>
        </row>
        <row r="1260">
          <cell r="A1260">
            <v>23414323</v>
          </cell>
          <cell r="B1260" t="str">
            <v>앤서니 셜리 계약서</v>
          </cell>
        </row>
        <row r="1261">
          <cell r="A1261">
            <v>23414324</v>
          </cell>
          <cell r="B1261" t="str">
            <v>라울 핏치 계약서</v>
          </cell>
        </row>
        <row r="1262">
          <cell r="A1262">
            <v>23414325</v>
          </cell>
          <cell r="B1262" t="str">
            <v>안토니오 핀데아도 계약서</v>
          </cell>
        </row>
        <row r="1263">
          <cell r="A1263">
            <v>23414326</v>
          </cell>
          <cell r="B1263" t="str">
            <v>베니토 고메스 계약서</v>
          </cell>
        </row>
        <row r="1264">
          <cell r="A1264">
            <v>23414327</v>
          </cell>
          <cell r="B1264" t="str">
            <v>베르날 로욜라 계약서</v>
          </cell>
        </row>
        <row r="1265">
          <cell r="A1265">
            <v>23414328</v>
          </cell>
          <cell r="B1265" t="str">
            <v>에스테반 페론 계약서</v>
          </cell>
        </row>
        <row r="1266">
          <cell r="A1266">
            <v>23414330</v>
          </cell>
          <cell r="B1266" t="str">
            <v>프란시스쿠 알바레스 계약서</v>
          </cell>
        </row>
        <row r="1267">
          <cell r="A1267">
            <v>23414331</v>
          </cell>
          <cell r="B1267" t="str">
            <v>두아르트 페레이라 계약서</v>
          </cell>
        </row>
        <row r="1268">
          <cell r="A1268">
            <v>23414332</v>
          </cell>
          <cell r="B1268" t="str">
            <v>디에구 소사 계약서</v>
          </cell>
        </row>
        <row r="1269">
          <cell r="A1269">
            <v>23414333</v>
          </cell>
          <cell r="B1269" t="str">
            <v>곤잘루 실베이라 계약서</v>
          </cell>
        </row>
        <row r="1270">
          <cell r="A1270">
            <v>23414334</v>
          </cell>
          <cell r="B1270" t="str">
            <v>에드먼드 하비 계약서</v>
          </cell>
        </row>
        <row r="1271">
          <cell r="A1271">
            <v>23414335</v>
          </cell>
          <cell r="B1271" t="str">
            <v>조반니 라무시오 계약서</v>
          </cell>
        </row>
        <row r="1272">
          <cell r="A1272">
            <v>23414337</v>
          </cell>
          <cell r="B1272" t="str">
            <v>게오르크 폰슈파이어 계약서</v>
          </cell>
        </row>
        <row r="1273">
          <cell r="A1273">
            <v>23414338</v>
          </cell>
          <cell r="B1273" t="str">
            <v>조반니 베세리스 계약서</v>
          </cell>
        </row>
        <row r="1274">
          <cell r="A1274">
            <v>23414340</v>
          </cell>
          <cell r="B1274" t="str">
            <v>귀도 벤조 계약서</v>
          </cell>
        </row>
        <row r="1275">
          <cell r="A1275">
            <v>23414341</v>
          </cell>
          <cell r="B1275" t="str">
            <v>앤서니 존슨 계약서</v>
          </cell>
        </row>
        <row r="1276">
          <cell r="A1276">
            <v>23414342</v>
          </cell>
          <cell r="B1276" t="str">
            <v>헨리 만스펠 계약서</v>
          </cell>
        </row>
        <row r="1277">
          <cell r="A1277">
            <v>23414343</v>
          </cell>
          <cell r="B1277" t="str">
            <v>우고 데몽카다 계약서</v>
          </cell>
        </row>
        <row r="1278">
          <cell r="A1278">
            <v>23414344</v>
          </cell>
          <cell r="B1278" t="str">
            <v>휘호 올잭 계약서</v>
          </cell>
        </row>
        <row r="1279">
          <cell r="A1279">
            <v>23414345</v>
          </cell>
          <cell r="B1279" t="str">
            <v>에드워드 댐피어 계약서</v>
          </cell>
        </row>
        <row r="1280">
          <cell r="A1280">
            <v>23414346</v>
          </cell>
          <cell r="B1280" t="str">
            <v>야코프 발바커 계약서</v>
          </cell>
        </row>
        <row r="1281">
          <cell r="A1281">
            <v>23414347</v>
          </cell>
          <cell r="B1281" t="str">
            <v>자크 브룸 계약서</v>
          </cell>
        </row>
        <row r="1282">
          <cell r="A1282">
            <v>23414348</v>
          </cell>
          <cell r="B1282" t="str">
            <v>조셉 이스트먼 계약서</v>
          </cell>
        </row>
        <row r="1283">
          <cell r="A1283">
            <v>23414349</v>
          </cell>
          <cell r="B1283" t="str">
            <v>쥬세페 루도비코 계약서</v>
          </cell>
        </row>
        <row r="1284">
          <cell r="A1284">
            <v>23414350</v>
          </cell>
          <cell r="B1284" t="str">
            <v>발보아 오리드 계약서</v>
          </cell>
        </row>
        <row r="1285">
          <cell r="A1285">
            <v>23414351</v>
          </cell>
          <cell r="B1285" t="str">
            <v>율리스 하위헌스 계약서</v>
          </cell>
        </row>
        <row r="1286">
          <cell r="A1286">
            <v>23414352</v>
          </cell>
          <cell r="B1286" t="str">
            <v>율리안 페르메이르 계약서</v>
          </cell>
        </row>
        <row r="1287">
          <cell r="A1287">
            <v>23414354</v>
          </cell>
          <cell r="B1287" t="str">
            <v>로런스 에드워드 계약서</v>
          </cell>
        </row>
        <row r="1288">
          <cell r="A1288">
            <v>23414355</v>
          </cell>
          <cell r="B1288" t="str">
            <v>피터르 벤후크 계약서</v>
          </cell>
        </row>
        <row r="1289">
          <cell r="A1289">
            <v>23414357</v>
          </cell>
          <cell r="B1289" t="str">
            <v>마누엘 페레스트렐루 계약서</v>
          </cell>
        </row>
        <row r="1290">
          <cell r="A1290">
            <v>23414358</v>
          </cell>
          <cell r="B1290" t="str">
            <v>모리스 레이든 계약서</v>
          </cell>
        </row>
        <row r="1291">
          <cell r="A1291">
            <v>23414359</v>
          </cell>
          <cell r="B1291" t="str">
            <v>판필로 오리드 계약서</v>
          </cell>
        </row>
        <row r="1292">
          <cell r="A1292">
            <v>23414360</v>
          </cell>
          <cell r="B1292" t="str">
            <v>한스 슈타덴 계약서</v>
          </cell>
        </row>
        <row r="1293">
          <cell r="A1293">
            <v>23414361</v>
          </cell>
          <cell r="B1293" t="str">
            <v>리처드 헉슬리 계약서</v>
          </cell>
        </row>
        <row r="1294">
          <cell r="A1294">
            <v>23414362</v>
          </cell>
          <cell r="B1294" t="str">
            <v>로버트 와일드 계약서</v>
          </cell>
        </row>
        <row r="1295">
          <cell r="A1295">
            <v>23414363</v>
          </cell>
          <cell r="B1295" t="str">
            <v>주앙 드카스트루 계약서</v>
          </cell>
        </row>
        <row r="1296">
          <cell r="A1296">
            <v>23414364</v>
          </cell>
          <cell r="B1296" t="str">
            <v>로푸 페레이라 계약서</v>
          </cell>
        </row>
        <row r="1297">
          <cell r="A1297">
            <v>23414365</v>
          </cell>
          <cell r="B1297" t="str">
            <v>살림 괴브데 계약서</v>
          </cell>
        </row>
        <row r="1298">
          <cell r="A1298">
            <v>23414366</v>
          </cell>
          <cell r="B1298" t="str">
            <v>카밀로 사보나롤라 계약서</v>
          </cell>
        </row>
        <row r="1299">
          <cell r="A1299">
            <v>23414368</v>
          </cell>
          <cell r="B1299" t="str">
            <v>빅터 러셀 계약서</v>
          </cell>
        </row>
        <row r="1300">
          <cell r="A1300">
            <v>23414369</v>
          </cell>
          <cell r="B1300" t="str">
            <v>귀친 케말 계약서</v>
          </cell>
        </row>
        <row r="1301">
          <cell r="A1301">
            <v>23414370</v>
          </cell>
          <cell r="B1301" t="str">
            <v>월터 로런스 계약서</v>
          </cell>
        </row>
        <row r="1302">
          <cell r="A1302">
            <v>23414371</v>
          </cell>
          <cell r="B1302" t="str">
            <v>윌리엄 클라이브 계약서</v>
          </cell>
        </row>
        <row r="1303">
          <cell r="A1303">
            <v>23414372</v>
          </cell>
          <cell r="B1303" t="str">
            <v>페드로 나바로 계약서</v>
          </cell>
        </row>
        <row r="1304">
          <cell r="A1304">
            <v>23414373</v>
          </cell>
          <cell r="B1304" t="str">
            <v>우준 카이프 계약서</v>
          </cell>
        </row>
        <row r="1305">
          <cell r="A1305">
            <v>23414374</v>
          </cell>
          <cell r="B1305" t="str">
            <v>자가노스 베이 계약서</v>
          </cell>
        </row>
        <row r="1306">
          <cell r="A1306">
            <v>23414375</v>
          </cell>
          <cell r="B1306" t="str">
            <v>주앙 아폰수 계약서</v>
          </cell>
        </row>
        <row r="1307">
          <cell r="A1307">
            <v>23414380</v>
          </cell>
          <cell r="B1307" t="str">
            <v>비신 계약서</v>
          </cell>
        </row>
        <row r="1308">
          <cell r="A1308">
            <v>23414381</v>
          </cell>
          <cell r="B1308" t="str">
            <v>장안순 계약서</v>
          </cell>
        </row>
        <row r="1309">
          <cell r="A1309">
            <v>23414382</v>
          </cell>
          <cell r="B1309" t="str">
            <v>미켈레토 코렐라 계약서</v>
          </cell>
        </row>
        <row r="1310">
          <cell r="A1310">
            <v>23414383</v>
          </cell>
          <cell r="B1310" t="str">
            <v>후안 세바스티안 엘카노 계약서</v>
          </cell>
        </row>
        <row r="1311">
          <cell r="A1311">
            <v>23414384</v>
          </cell>
          <cell r="B1311" t="str">
            <v>프란시스코 하비에르 계약서</v>
          </cell>
        </row>
        <row r="1312">
          <cell r="A1312">
            <v>23414385</v>
          </cell>
          <cell r="B1312" t="str">
            <v>곤살로 데케사다 계약서</v>
          </cell>
        </row>
        <row r="1313">
          <cell r="A1313">
            <v>23414386</v>
          </cell>
          <cell r="B1313" t="str">
            <v>세바스티안 비스카이노 계약서</v>
          </cell>
        </row>
        <row r="1314">
          <cell r="A1314">
            <v>23414387</v>
          </cell>
          <cell r="B1314" t="str">
            <v>페드로 데키로스 계약서</v>
          </cell>
        </row>
        <row r="1315">
          <cell r="A1315">
            <v>23414388</v>
          </cell>
          <cell r="B1315" t="str">
            <v>야코프 로헤베인 계약서</v>
          </cell>
        </row>
        <row r="1316">
          <cell r="A1316">
            <v>23414389</v>
          </cell>
          <cell r="B1316" t="str">
            <v>존 해리슨 계약서</v>
          </cell>
        </row>
        <row r="1317">
          <cell r="A1317">
            <v>23414390</v>
          </cell>
          <cell r="B1317" t="str">
            <v>얀 요스턴 판로덴스테인 계약서</v>
          </cell>
        </row>
        <row r="1318">
          <cell r="A1318">
            <v>23414391</v>
          </cell>
          <cell r="B1318" t="str">
            <v>페르낭 고메스 다미나 계약서</v>
          </cell>
        </row>
        <row r="1319">
          <cell r="A1319">
            <v>23414392</v>
          </cell>
          <cell r="B1319" t="str">
            <v>디오구 캉 계약서</v>
          </cell>
        </row>
        <row r="1320">
          <cell r="A1320">
            <v>23414393</v>
          </cell>
          <cell r="B1320" t="str">
            <v>아불 파즐 계약서</v>
          </cell>
        </row>
        <row r="1321">
          <cell r="A1321">
            <v>23414395</v>
          </cell>
          <cell r="B1321" t="str">
            <v>페르낭 둘무 계약서</v>
          </cell>
        </row>
        <row r="1322">
          <cell r="A1322">
            <v>23414396</v>
          </cell>
          <cell r="B1322" t="str">
            <v>마환 계약서</v>
          </cell>
        </row>
        <row r="1323">
          <cell r="A1323">
            <v>23414397</v>
          </cell>
          <cell r="B1323" t="str">
            <v>안토니우 드아브레우 계약서</v>
          </cell>
        </row>
        <row r="1324">
          <cell r="A1324">
            <v>23414398</v>
          </cell>
          <cell r="B1324" t="str">
            <v>조르즈 알바르스 계약서</v>
          </cell>
        </row>
        <row r="1325">
          <cell r="A1325">
            <v>23414399</v>
          </cell>
          <cell r="B1325" t="str">
            <v>디에고 데니쿠에사 계약서</v>
          </cell>
        </row>
        <row r="1326">
          <cell r="A1326">
            <v>23414400</v>
          </cell>
          <cell r="B1326" t="str">
            <v>미르자 아지즈 코카 계약서</v>
          </cell>
        </row>
        <row r="1327">
          <cell r="A1327">
            <v>23414401</v>
          </cell>
          <cell r="B1327" t="str">
            <v>프란시스코 데보바디야 계약서</v>
          </cell>
        </row>
        <row r="1328">
          <cell r="A1328">
            <v>23414402</v>
          </cell>
          <cell r="B1328" t="str">
            <v>판필로 데나르바에스 계약서</v>
          </cell>
        </row>
        <row r="1329">
          <cell r="A1329">
            <v>23414403</v>
          </cell>
          <cell r="B1329" t="str">
            <v>알론소 알바레스 데피네다 계약서</v>
          </cell>
        </row>
        <row r="1330">
          <cell r="A1330">
            <v>23414404</v>
          </cell>
          <cell r="B1330" t="str">
            <v>쿠스라우 미르자 계약서</v>
          </cell>
        </row>
        <row r="1331">
          <cell r="A1331">
            <v>23414405</v>
          </cell>
          <cell r="B1331" t="str">
            <v>후안 데그리할바 계약서</v>
          </cell>
        </row>
        <row r="1332">
          <cell r="A1332">
            <v>23414407</v>
          </cell>
          <cell r="B1332" t="str">
            <v>디에고 데오르다스 계약서</v>
          </cell>
        </row>
        <row r="1333">
          <cell r="A1333">
            <v>23414408</v>
          </cell>
          <cell r="B1333" t="str">
            <v>에르난도 데소토 계약서</v>
          </cell>
        </row>
        <row r="1334">
          <cell r="A1334">
            <v>23414409</v>
          </cell>
          <cell r="B1334" t="str">
            <v>프란시스코 데몬테호 계약서</v>
          </cell>
        </row>
        <row r="1335">
          <cell r="A1335">
            <v>23414410</v>
          </cell>
          <cell r="B1335" t="str">
            <v>마르코스 데니사 계약서</v>
          </cell>
        </row>
        <row r="1336">
          <cell r="A1336">
            <v>23414412</v>
          </cell>
          <cell r="B1336" t="str">
            <v>세바스찬 캐벗 계약서</v>
          </cell>
        </row>
        <row r="1337">
          <cell r="A1337">
            <v>23414413</v>
          </cell>
          <cell r="B1337" t="str">
            <v>고스와미 툴시다스 계약서</v>
          </cell>
        </row>
        <row r="1338">
          <cell r="A1338">
            <v>23414414</v>
          </cell>
          <cell r="B1338" t="str">
            <v>토다르 말 계약서</v>
          </cell>
        </row>
        <row r="1339">
          <cell r="A1339">
            <v>23414416</v>
          </cell>
          <cell r="B1339" t="str">
            <v>기도 데라베사리스 계약서</v>
          </cell>
        </row>
        <row r="1340">
          <cell r="A1340">
            <v>23414417</v>
          </cell>
          <cell r="B1340" t="str">
            <v>이마이 소쿤 계약서</v>
          </cell>
        </row>
        <row r="1341">
          <cell r="A1341">
            <v>23414418</v>
          </cell>
          <cell r="B1341" t="str">
            <v>이마이 소큐 계약서</v>
          </cell>
        </row>
        <row r="1342">
          <cell r="A1342">
            <v>23414419</v>
          </cell>
          <cell r="B1342" t="str">
            <v>이스테방 고메스 계약서</v>
          </cell>
        </row>
        <row r="1343">
          <cell r="A1343">
            <v>23414420</v>
          </cell>
          <cell r="B1343" t="str">
            <v>아이 마타 계약서</v>
          </cell>
        </row>
        <row r="1344">
          <cell r="A1344">
            <v>23414421</v>
          </cell>
          <cell r="B1344" t="str">
            <v>디에고 카바예로 계약서</v>
          </cell>
        </row>
        <row r="1345">
          <cell r="A1345">
            <v>23414423</v>
          </cell>
          <cell r="B1345" t="str">
            <v>페드로 데감보아 계약서</v>
          </cell>
        </row>
        <row r="1346">
          <cell r="A1346">
            <v>23414426</v>
          </cell>
          <cell r="B1346" t="str">
            <v>요한 할레르 계약서</v>
          </cell>
        </row>
        <row r="1347">
          <cell r="A1347">
            <v>23414427</v>
          </cell>
          <cell r="B1347" t="str">
            <v>트리폰 코로베이니코프 계약서</v>
          </cell>
        </row>
        <row r="1348">
          <cell r="A1348">
            <v>23414428</v>
          </cell>
          <cell r="B1348" t="str">
            <v>안토니우 드살다냐 계약서</v>
          </cell>
        </row>
        <row r="1349">
          <cell r="A1349">
            <v>23414429</v>
          </cell>
          <cell r="B1349" t="str">
            <v>마르팅 아폰수 드소자 계약서</v>
          </cell>
        </row>
        <row r="1350">
          <cell r="A1350">
            <v>23414430</v>
          </cell>
          <cell r="B1350" t="str">
            <v>예르마크 티모페예비치 계약서</v>
          </cell>
        </row>
        <row r="1351">
          <cell r="A1351">
            <v>23414431</v>
          </cell>
          <cell r="B1351" t="str">
            <v>세묜 스트로가노프 계약서</v>
          </cell>
        </row>
        <row r="1352">
          <cell r="A1352">
            <v>23414433</v>
          </cell>
          <cell r="B1352" t="str">
            <v>헨리 미들턴 계약서</v>
          </cell>
        </row>
        <row r="1353">
          <cell r="A1353">
            <v>23414434</v>
          </cell>
          <cell r="B1353" t="str">
            <v>루이스 데토레스 계약서</v>
          </cell>
        </row>
        <row r="1354">
          <cell r="A1354">
            <v>23414435</v>
          </cell>
          <cell r="B1354" t="str">
            <v>운니야르카 계약서</v>
          </cell>
        </row>
        <row r="1355">
          <cell r="A1355">
            <v>23414436</v>
          </cell>
          <cell r="B1355" t="str">
            <v>스미노쿠라 료이 계약서</v>
          </cell>
        </row>
        <row r="1356">
          <cell r="A1356">
            <v>23414437</v>
          </cell>
          <cell r="B1356" t="str">
            <v>하바 카툰 계약서</v>
          </cell>
        </row>
        <row r="1357">
          <cell r="A1357">
            <v>23414438</v>
          </cell>
          <cell r="B1357" t="str">
            <v>디에고 알바레스 창카 계약서</v>
          </cell>
        </row>
        <row r="1358">
          <cell r="A1358">
            <v>23414439</v>
          </cell>
          <cell r="B1358" t="str">
            <v>로버트 아마다스 계약서</v>
          </cell>
        </row>
        <row r="1359">
          <cell r="A1359">
            <v>23414440</v>
          </cell>
          <cell r="B1359" t="str">
            <v>프란시스코 데헤레스 계약서</v>
          </cell>
        </row>
        <row r="1360">
          <cell r="A1360">
            <v>23414441</v>
          </cell>
          <cell r="B1360" t="str">
            <v>바르톨로메 데라스 카사스 계약서</v>
          </cell>
        </row>
        <row r="1361">
          <cell r="A1361">
            <v>23414442</v>
          </cell>
          <cell r="B1361" t="str">
            <v>니콜라스 플라멜 계약서</v>
          </cell>
        </row>
        <row r="1362">
          <cell r="A1362">
            <v>23414443</v>
          </cell>
          <cell r="B1362" t="str">
            <v>루도비코 데바르테마 계약서</v>
          </cell>
        </row>
        <row r="1363">
          <cell r="A1363">
            <v>23414444</v>
          </cell>
          <cell r="B1363" t="str">
            <v>야코프 판넥 계약서</v>
          </cell>
        </row>
        <row r="1364">
          <cell r="A1364">
            <v>23414445</v>
          </cell>
          <cell r="B1364" t="str">
            <v>가메이 고레노리 계약서</v>
          </cell>
        </row>
        <row r="1365">
          <cell r="A1365">
            <v>23414446</v>
          </cell>
          <cell r="B1365" t="str">
            <v>혜희 계약서</v>
          </cell>
        </row>
        <row r="1366">
          <cell r="A1366">
            <v>23414447</v>
          </cell>
          <cell r="B1366" t="str">
            <v>가스파로 발비 계약서</v>
          </cell>
        </row>
        <row r="1367">
          <cell r="A1367">
            <v>23414448</v>
          </cell>
          <cell r="B1367" t="str">
            <v>심청 계약서</v>
          </cell>
        </row>
        <row r="1368">
          <cell r="A1368">
            <v>23414449</v>
          </cell>
          <cell r="B1368" t="str">
            <v>구루시마 미치후사 계약서</v>
          </cell>
        </row>
        <row r="1369">
          <cell r="A1369">
            <v>23414450</v>
          </cell>
          <cell r="B1369" t="str">
            <v>진린 계약서</v>
          </cell>
        </row>
        <row r="1370">
          <cell r="A1370">
            <v>23414451</v>
          </cell>
          <cell r="B1370" t="str">
            <v>도날 나피오파 계약서</v>
          </cell>
        </row>
        <row r="1371">
          <cell r="A1371">
            <v>23414452</v>
          </cell>
          <cell r="B1371" t="str">
            <v>조너선 바넷 계약서</v>
          </cell>
        </row>
        <row r="1372">
          <cell r="A1372">
            <v>23414455</v>
          </cell>
          <cell r="B1372" t="str">
            <v>세이디 알리 레이스 계약서</v>
          </cell>
        </row>
        <row r="1373">
          <cell r="A1373">
            <v>23414456</v>
          </cell>
          <cell r="B1373" t="str">
            <v>카타리나 코르네르 계약서</v>
          </cell>
        </row>
        <row r="1374">
          <cell r="A1374">
            <v>23414457</v>
          </cell>
          <cell r="B1374" t="str">
            <v>세페르 레이스 계약서</v>
          </cell>
        </row>
        <row r="1375">
          <cell r="A1375">
            <v>23414458</v>
          </cell>
          <cell r="B1375" t="str">
            <v>그레고리오 세스페데스 계약서</v>
          </cell>
        </row>
        <row r="1376">
          <cell r="A1376">
            <v>23414459</v>
          </cell>
          <cell r="B1376" t="str">
            <v>슈무엘 베일라시 계약서</v>
          </cell>
        </row>
        <row r="1377">
          <cell r="A1377">
            <v>23414460</v>
          </cell>
          <cell r="B1377" t="str">
            <v>시난 레이스 계약서</v>
          </cell>
        </row>
        <row r="1378">
          <cell r="A1378">
            <v>23414462</v>
          </cell>
          <cell r="B1378" t="str">
            <v>하산 아그하 계약서</v>
          </cell>
        </row>
        <row r="1379">
          <cell r="A1379">
            <v>23414463</v>
          </cell>
          <cell r="B1379" t="str">
            <v>무라트 레이스 계약서</v>
          </cell>
        </row>
        <row r="1380">
          <cell r="A1380">
            <v>23414464</v>
          </cell>
          <cell r="B1380" t="str">
            <v>히사카지마 야스케 계약서</v>
          </cell>
        </row>
        <row r="1381">
          <cell r="A1381">
            <v>23414465</v>
          </cell>
          <cell r="B1381" t="str">
            <v>후안 바스케스 계약서</v>
          </cell>
        </row>
        <row r="1382">
          <cell r="A1382">
            <v>23414466</v>
          </cell>
          <cell r="B1382" t="str">
            <v>알베로 스킬라치 계약서</v>
          </cell>
        </row>
        <row r="1383">
          <cell r="A1383">
            <v>23414468</v>
          </cell>
          <cell r="B1383" t="str">
            <v>모리스 드삭스 계약서</v>
          </cell>
        </row>
        <row r="1384">
          <cell r="A1384">
            <v>23414469</v>
          </cell>
          <cell r="B1384" t="str">
            <v>미령 계약서</v>
          </cell>
        </row>
        <row r="1385">
          <cell r="A1385">
            <v>23414470</v>
          </cell>
          <cell r="B1385" t="str">
            <v>홍보 계약서</v>
          </cell>
        </row>
        <row r="1386">
          <cell r="A1386">
            <v>23414471</v>
          </cell>
          <cell r="B1386" t="str">
            <v>주만 계약서</v>
          </cell>
        </row>
        <row r="1387">
          <cell r="A1387">
            <v>23414473</v>
          </cell>
          <cell r="B1387" t="str">
            <v>주문 계약서</v>
          </cell>
        </row>
        <row r="1388">
          <cell r="A1388">
            <v>23414474</v>
          </cell>
          <cell r="B1388" t="str">
            <v>양경 계약서</v>
          </cell>
        </row>
        <row r="1389">
          <cell r="A1389">
            <v>23414475</v>
          </cell>
          <cell r="B1389" t="str">
            <v>성춘향 계약서</v>
          </cell>
        </row>
        <row r="1390">
          <cell r="A1390">
            <v>23414476</v>
          </cell>
          <cell r="B1390" t="str">
            <v>이종무 계약서</v>
          </cell>
        </row>
        <row r="1391">
          <cell r="A1391">
            <v>23414477</v>
          </cell>
          <cell r="B1391" t="str">
            <v>고유강 계약서</v>
          </cell>
        </row>
        <row r="1392">
          <cell r="A1392">
            <v>23414478</v>
          </cell>
          <cell r="B1392" t="str">
            <v>마쓰라 다카노부 계약서</v>
          </cell>
        </row>
        <row r="1393">
          <cell r="A1393">
            <v>23414480</v>
          </cell>
          <cell r="B1393" t="str">
            <v>다가와 시치자에몬 계약서</v>
          </cell>
        </row>
        <row r="1394">
          <cell r="A1394">
            <v>23414481</v>
          </cell>
          <cell r="B1394" t="str">
            <v>알제우나 계약서</v>
          </cell>
        </row>
        <row r="1395">
          <cell r="A1395">
            <v>23414482</v>
          </cell>
          <cell r="B1395" t="str">
            <v>카를로타 계약서</v>
          </cell>
        </row>
        <row r="1396">
          <cell r="A1396">
            <v>23414483</v>
          </cell>
          <cell r="B1396" t="str">
            <v>마르코 계약서</v>
          </cell>
        </row>
        <row r="1397">
          <cell r="A1397">
            <v>23414484</v>
          </cell>
          <cell r="B1397" t="str">
            <v>콘라드 계약서</v>
          </cell>
        </row>
        <row r="1398">
          <cell r="A1398">
            <v>23414488</v>
          </cell>
          <cell r="B1398" t="str">
            <v>타라바이 계약서</v>
          </cell>
        </row>
        <row r="1399">
          <cell r="A1399">
            <v>23414489</v>
          </cell>
          <cell r="B1399" t="str">
            <v>잔 아셰트 계약서</v>
          </cell>
        </row>
        <row r="1400">
          <cell r="A1400">
            <v>23414490</v>
          </cell>
          <cell r="B1400" t="str">
            <v>엄영춘 계약서</v>
          </cell>
        </row>
        <row r="1401">
          <cell r="A1401">
            <v>23414491</v>
          </cell>
          <cell r="B1401" t="str">
            <v>안나 오커히엘름 계약서</v>
          </cell>
        </row>
        <row r="1402">
          <cell r="A1402">
            <v>23414492</v>
          </cell>
          <cell r="B1402" t="str">
            <v>툴리아 다라고나 계약서</v>
          </cell>
        </row>
        <row r="1403">
          <cell r="A1403">
            <v>23414493</v>
          </cell>
          <cell r="B1403" t="str">
            <v>프란체스카 카치니 계약서</v>
          </cell>
        </row>
        <row r="1404">
          <cell r="A1404">
            <v>23414494</v>
          </cell>
          <cell r="B1404" t="str">
            <v>아녜스 소렐 계약서</v>
          </cell>
        </row>
        <row r="1405">
          <cell r="A1405">
            <v>23414498</v>
          </cell>
          <cell r="B1405" t="str">
            <v>소포니스바 앙귀솔라 계약서</v>
          </cell>
        </row>
        <row r="1406">
          <cell r="A1406">
            <v>23414500</v>
          </cell>
          <cell r="B1406" t="str">
            <v>카산드라 페델레 계약서</v>
          </cell>
        </row>
        <row r="1407">
          <cell r="A1407">
            <v>23414501</v>
          </cell>
          <cell r="B1407" t="str">
            <v>아나 마리아 데소토 계약서</v>
          </cell>
        </row>
        <row r="1408">
          <cell r="A1408">
            <v>23414502</v>
          </cell>
          <cell r="B1408" t="str">
            <v>마리아 피타 계약서</v>
          </cell>
        </row>
        <row r="1409">
          <cell r="A1409">
            <v>23414506</v>
          </cell>
          <cell r="B1409" t="str">
            <v>루크레치아 토르나부오니 계약서</v>
          </cell>
        </row>
        <row r="1410">
          <cell r="A1410">
            <v>23414507</v>
          </cell>
          <cell r="B1410" t="str">
            <v>아그네스 베르나우어 계약서</v>
          </cell>
        </row>
        <row r="1411">
          <cell r="A1411">
            <v>23414508</v>
          </cell>
          <cell r="B1411" t="str">
            <v>로드리고 데콜메나레스 계약서</v>
          </cell>
        </row>
        <row r="1412">
          <cell r="A1412">
            <v>23414509</v>
          </cell>
          <cell r="B1412" t="str">
            <v>아즈비케 계약서</v>
          </cell>
        </row>
        <row r="1413">
          <cell r="A1413">
            <v>23414510</v>
          </cell>
          <cell r="B1413" t="str">
            <v>파우라 계약서</v>
          </cell>
        </row>
        <row r="1414">
          <cell r="A1414">
            <v>23414511</v>
          </cell>
          <cell r="B1414" t="str">
            <v>카츄아파 계약서</v>
          </cell>
        </row>
        <row r="1415">
          <cell r="A1415">
            <v>23414512</v>
          </cell>
          <cell r="B1415" t="str">
            <v>죽음의 신 루돌프 계약서</v>
          </cell>
        </row>
        <row r="1416">
          <cell r="A1416">
            <v>23414513</v>
          </cell>
          <cell r="B1416" t="str">
            <v>티노카틀 계약서</v>
          </cell>
        </row>
        <row r="1417">
          <cell r="A1417">
            <v>23414514</v>
          </cell>
          <cell r="B1417" t="str">
            <v>로베르토 에제키엘 계약서</v>
          </cell>
        </row>
        <row r="1418">
          <cell r="A1418">
            <v>23414515</v>
          </cell>
          <cell r="B1418" t="str">
            <v>알베르트 계약서</v>
          </cell>
        </row>
        <row r="1419">
          <cell r="A1419">
            <v>23414516</v>
          </cell>
          <cell r="B1419" t="str">
            <v>조커 다실버 계약서</v>
          </cell>
        </row>
        <row r="1420">
          <cell r="A1420">
            <v>23414517</v>
          </cell>
          <cell r="B1420" t="str">
            <v>아르드비 계약서</v>
          </cell>
        </row>
        <row r="1421">
          <cell r="A1421">
            <v>23414518</v>
          </cell>
          <cell r="B1421" t="str">
            <v>크리스티나 계약서</v>
          </cell>
        </row>
        <row r="1422">
          <cell r="A1422">
            <v>23414519</v>
          </cell>
          <cell r="B1422" t="str">
            <v>시오미 후우키치 계약서</v>
          </cell>
        </row>
        <row r="1423">
          <cell r="A1423">
            <v>23414520</v>
          </cell>
          <cell r="B1423" t="str">
            <v>공손포월 계약서</v>
          </cell>
        </row>
        <row r="1424">
          <cell r="A1424">
            <v>23414521</v>
          </cell>
          <cell r="B1424" t="str">
            <v>귈리스탄 계약서</v>
          </cell>
        </row>
        <row r="1425">
          <cell r="A1425">
            <v>23414522</v>
          </cell>
          <cell r="B1425" t="str">
            <v>사파 계약서</v>
          </cell>
        </row>
        <row r="1426">
          <cell r="A1426">
            <v>23414523</v>
          </cell>
          <cell r="B1426" t="str">
            <v>안사제 계약서</v>
          </cell>
        </row>
        <row r="1427">
          <cell r="A1427">
            <v>23414524</v>
          </cell>
          <cell r="B1427" t="str">
            <v>옹은설 계약서</v>
          </cell>
        </row>
        <row r="1428">
          <cell r="A1428">
            <v>23414525</v>
          </cell>
          <cell r="B1428" t="str">
            <v>심광문 계약서</v>
          </cell>
        </row>
        <row r="1429">
          <cell r="A1429">
            <v>23414526</v>
          </cell>
          <cell r="B1429" t="str">
            <v>모치즈키 치요메 계약서</v>
          </cell>
        </row>
        <row r="1430">
          <cell r="A1430">
            <v>23414527</v>
          </cell>
          <cell r="B1430" t="str">
            <v>미야모토 무사시 계약서</v>
          </cell>
        </row>
        <row r="1431">
          <cell r="A1431">
            <v>23414528</v>
          </cell>
          <cell r="B1431" t="str">
            <v>가타쿠라 가게쓰나 계약서</v>
          </cell>
        </row>
        <row r="1432">
          <cell r="A1432">
            <v>23414529</v>
          </cell>
          <cell r="B1432" t="str">
            <v>나오에 가네쓰구 계약서</v>
          </cell>
        </row>
        <row r="1433">
          <cell r="A1433">
            <v>23414530</v>
          </cell>
          <cell r="B1433" t="str">
            <v>카게무샤 계약서</v>
          </cell>
        </row>
        <row r="1434">
          <cell r="A1434">
            <v>23414531</v>
          </cell>
          <cell r="B1434" t="str">
            <v>가스팔 피렐리 계약서</v>
          </cell>
        </row>
        <row r="1435">
          <cell r="A1435">
            <v>23414532</v>
          </cell>
          <cell r="B1435" t="str">
            <v>유괴성 계약서</v>
          </cell>
        </row>
        <row r="1436">
          <cell r="A1436">
            <v>23414533</v>
          </cell>
          <cell r="B1436" t="str">
            <v>시클라 샤란 계약서</v>
          </cell>
        </row>
        <row r="1437">
          <cell r="A1437">
            <v>23414534</v>
          </cell>
          <cell r="B1437" t="str">
            <v>김조이 계약서</v>
          </cell>
        </row>
        <row r="1438">
          <cell r="A1438">
            <v>23414535</v>
          </cell>
          <cell r="B1438" t="str">
            <v>박타내 계약서</v>
          </cell>
        </row>
        <row r="1439">
          <cell r="A1439">
            <v>23414536</v>
          </cell>
          <cell r="B1439" t="str">
            <v>백동수 계약서</v>
          </cell>
        </row>
        <row r="1440">
          <cell r="A1440">
            <v>23414537</v>
          </cell>
          <cell r="B1440" t="str">
            <v>에르난 오브레곤 계약서</v>
          </cell>
        </row>
        <row r="1441">
          <cell r="A1441">
            <v>23414538</v>
          </cell>
          <cell r="B1441" t="str">
            <v>백여우 계약서</v>
          </cell>
        </row>
        <row r="1442">
          <cell r="A1442">
            <v>23414539</v>
          </cell>
          <cell r="B1442" t="str">
            <v>이토 리츠카 계약서</v>
          </cell>
        </row>
        <row r="1443">
          <cell r="A1443">
            <v>23414540</v>
          </cell>
          <cell r="B1443" t="str">
            <v>고니시 유키나가 계약서</v>
          </cell>
        </row>
        <row r="1444">
          <cell r="A1444">
            <v>23414541</v>
          </cell>
          <cell r="B1444" t="str">
            <v>타치바나 무네시게 계약서</v>
          </cell>
        </row>
        <row r="1445">
          <cell r="A1445">
            <v>23414542</v>
          </cell>
          <cell r="B1445" t="str">
            <v>원병 계약서</v>
          </cell>
        </row>
        <row r="1446">
          <cell r="A1446">
            <v>23414543</v>
          </cell>
          <cell r="B1446" t="str">
            <v>준사 계약서</v>
          </cell>
        </row>
        <row r="1447">
          <cell r="A1447">
            <v>23414544</v>
          </cell>
          <cell r="B1447" t="str">
            <v>나타샤 계약서</v>
          </cell>
        </row>
        <row r="1448">
          <cell r="A1448">
            <v>23414545</v>
          </cell>
          <cell r="B1448" t="str">
            <v>G.S 계약서</v>
          </cell>
        </row>
        <row r="1449">
          <cell r="A1449">
            <v>23414546</v>
          </cell>
          <cell r="B1449" t="str">
            <v>#더미</v>
          </cell>
        </row>
        <row r="1450">
          <cell r="A1450">
            <v>23414547</v>
          </cell>
          <cell r="B1450" t="str">
            <v>크로우 계약서</v>
          </cell>
        </row>
        <row r="1451">
          <cell r="A1451">
            <v>23414548</v>
          </cell>
          <cell r="B1451" t="str">
            <v>사라 란드그리드 계약서</v>
          </cell>
        </row>
        <row r="1452">
          <cell r="A1452">
            <v>23414549</v>
          </cell>
          <cell r="B1452" t="str">
            <v>쿤 그리어 계약서</v>
          </cell>
        </row>
        <row r="1453">
          <cell r="A1453">
            <v>23414550</v>
          </cell>
          <cell r="B1453" t="str">
            <v>하야 벨 계약서</v>
          </cell>
        </row>
        <row r="1454">
          <cell r="A1454">
            <v>23414551</v>
          </cell>
          <cell r="B1454" t="str">
            <v>칼스 브란트 계약서</v>
          </cell>
        </row>
        <row r="1455">
          <cell r="A1455">
            <v>23414552</v>
          </cell>
          <cell r="B1455" t="str">
            <v>라시드 팬드래건 계약서</v>
          </cell>
        </row>
        <row r="1456">
          <cell r="A1456">
            <v>23414553</v>
          </cell>
          <cell r="B1456" t="str">
            <v>카자 아미고 계약서</v>
          </cell>
        </row>
        <row r="1457">
          <cell r="A1457">
            <v>23414554</v>
          </cell>
          <cell r="B1457" t="str">
            <v>로빈 보니르 계약서</v>
          </cell>
        </row>
        <row r="1458">
          <cell r="A1458">
            <v>23414555</v>
          </cell>
          <cell r="B1458" t="str">
            <v>유지 계약서</v>
          </cell>
        </row>
        <row r="1459">
          <cell r="A1459">
            <v>23414556</v>
          </cell>
          <cell r="B1459" t="str">
            <v>피라리 계약서</v>
          </cell>
        </row>
        <row r="1460">
          <cell r="A1460">
            <v>23414557</v>
          </cell>
          <cell r="B1460" t="str">
            <v>레베카 카틀란드 계약서</v>
          </cell>
        </row>
        <row r="1461">
          <cell r="A1461">
            <v>23414558</v>
          </cell>
          <cell r="B1461" t="str">
            <v>나나미 계약서</v>
          </cell>
        </row>
        <row r="1462">
          <cell r="A1462">
            <v>23414559</v>
          </cell>
          <cell r="B1462" t="str">
            <v>안젤리카 계약서</v>
          </cell>
        </row>
        <row r="1463">
          <cell r="A1463">
            <v>23414560</v>
          </cell>
          <cell r="B1463" t="str">
            <v>에스메랄다 계약서</v>
          </cell>
        </row>
        <row r="1464">
          <cell r="A1464">
            <v>23414561</v>
          </cell>
          <cell r="B1464" t="str">
            <v>벳키오 계약서</v>
          </cell>
        </row>
        <row r="1465">
          <cell r="A1465">
            <v>23414562</v>
          </cell>
          <cell r="B1465" t="str">
            <v>호세 계약서</v>
          </cell>
        </row>
        <row r="1466">
          <cell r="A1466">
            <v>23414563</v>
          </cell>
          <cell r="B1466" t="str">
            <v>알라마트 니 우르두자 계약서</v>
          </cell>
        </row>
        <row r="1467">
          <cell r="A1467">
            <v>23414564</v>
          </cell>
          <cell r="B1467" t="str">
            <v>쩐흥다오 계약서</v>
          </cell>
        </row>
        <row r="1468">
          <cell r="A1468">
            <v>23414565</v>
          </cell>
          <cell r="B1468" t="str">
            <v>오클로 코야 계약서</v>
          </cell>
        </row>
        <row r="1469">
          <cell r="A1469">
            <v>23414566</v>
          </cell>
          <cell r="B1469" t="str">
            <v>하얌 우룩 계약서</v>
          </cell>
        </row>
        <row r="1470">
          <cell r="A1470">
            <v>23414567</v>
          </cell>
          <cell r="B1470" t="str">
            <v>스벤 구스타브손 계약서</v>
          </cell>
        </row>
        <row r="1471">
          <cell r="A1471">
            <v>23414568</v>
          </cell>
          <cell r="B1471" t="str">
            <v>피아 프로데 계약서</v>
          </cell>
        </row>
        <row r="1472">
          <cell r="A1472">
            <v>23414569</v>
          </cell>
          <cell r="B1472" t="str">
            <v>클라스 라슨 플레밍 계약서</v>
          </cell>
        </row>
        <row r="1473">
          <cell r="A1473">
            <v>23414570</v>
          </cell>
          <cell r="B1473" t="str">
            <v>마르티네스 계약서</v>
          </cell>
        </row>
        <row r="1474">
          <cell r="A1474">
            <v>23414571</v>
          </cell>
          <cell r="B1474" t="str">
            <v>미카엘 에란초 계약서</v>
          </cell>
        </row>
        <row r="1475">
          <cell r="A1475">
            <v>23414572</v>
          </cell>
          <cell r="B1475" t="str">
            <v>시나 린다이 계약서</v>
          </cell>
        </row>
        <row r="1476">
          <cell r="A1476">
            <v>23414573</v>
          </cell>
          <cell r="B1476" t="str">
            <v>시티 완 켐방 계약서</v>
          </cell>
        </row>
        <row r="1477">
          <cell r="A1477">
            <v>23414574</v>
          </cell>
          <cell r="B1477" t="str">
            <v>카 오키 계약서</v>
          </cell>
        </row>
        <row r="1478">
          <cell r="A1478">
            <v>23414575</v>
          </cell>
          <cell r="B1478" t="str">
            <v>세실 파티만 계약서</v>
          </cell>
        </row>
        <row r="1479">
          <cell r="A1479">
            <v>23414576</v>
          </cell>
          <cell r="B1479" t="str">
            <v>윌리엄 애덤스 계약서</v>
          </cell>
        </row>
        <row r="1480">
          <cell r="A1480">
            <v>23414577</v>
          </cell>
          <cell r="B1480" t="str">
            <v>이시카와 야스에몬 계약서</v>
          </cell>
        </row>
        <row r="1481">
          <cell r="A1481">
            <v>23414578</v>
          </cell>
          <cell r="B1481" t="str">
            <v>티아고 가르시아 계약서</v>
          </cell>
        </row>
        <row r="1482">
          <cell r="A1482">
            <v>23414579</v>
          </cell>
          <cell r="B1482" t="str">
            <v>우미노 스텔라 계약서</v>
          </cell>
        </row>
        <row r="1483">
          <cell r="A1483">
            <v>23414580</v>
          </cell>
          <cell r="B1483" t="str">
            <v>엘리자베스 셜랜드 계약서</v>
          </cell>
        </row>
        <row r="1484">
          <cell r="A1484">
            <v>23414581</v>
          </cell>
          <cell r="B1484" t="str">
            <v>윌리엄 셜랜드 계약서</v>
          </cell>
        </row>
        <row r="1485">
          <cell r="A1485">
            <v>23414582</v>
          </cell>
          <cell r="B1485" t="str">
            <v>올리비아 맨더빌 계약서</v>
          </cell>
        </row>
        <row r="1486">
          <cell r="A1486">
            <v>23414583</v>
          </cell>
          <cell r="B1486" t="str">
            <v>레오 볼드윈 계약서</v>
          </cell>
        </row>
        <row r="1487">
          <cell r="A1487">
            <v>23414584</v>
          </cell>
          <cell r="B1487" t="str">
            <v>아멜리아 셜랜드 계약서</v>
          </cell>
        </row>
        <row r="1488">
          <cell r="A1488">
            <v>23414585</v>
          </cell>
          <cell r="B1488" t="str">
            <v>타도다호 계약서</v>
          </cell>
        </row>
        <row r="1489">
          <cell r="A1489">
            <v>23414586</v>
          </cell>
          <cell r="B1489" t="str">
            <v>미나카미 유카 계약서</v>
          </cell>
        </row>
        <row r="1490">
          <cell r="A1490">
            <v>23414587</v>
          </cell>
          <cell r="B1490" t="str">
            <v>알레시아 세레티 계약서</v>
          </cell>
        </row>
        <row r="1491">
          <cell r="A1491">
            <v>23414588</v>
          </cell>
          <cell r="B1491" t="str">
            <v>바토리 에르제베트 계약서</v>
          </cell>
        </row>
        <row r="1492">
          <cell r="A1492">
            <v>23414589</v>
          </cell>
          <cell r="B1492" t="str">
            <v>케이타 자하라 계약서</v>
          </cell>
        </row>
        <row r="1493">
          <cell r="A1493">
            <v>23414590</v>
          </cell>
          <cell r="B1493" t="str">
            <v>쿠알라 빈티 파하이비 계약서</v>
          </cell>
        </row>
        <row r="1494">
          <cell r="A1494">
            <v>23414591</v>
          </cell>
          <cell r="B1494" t="str">
            <v>베아트리체 엘레나 계약서</v>
          </cell>
        </row>
        <row r="1495">
          <cell r="A1495">
            <v>23414592</v>
          </cell>
          <cell r="B1495" t="str">
            <v>소피 로잘린 비도크 계약서</v>
          </cell>
        </row>
        <row r="1496">
          <cell r="A1496">
            <v>23414593</v>
          </cell>
          <cell r="B1496" t="str">
            <v>일리아나 페레오스 계약서</v>
          </cell>
        </row>
        <row r="1497">
          <cell r="A1497">
            <v>23414594</v>
          </cell>
          <cell r="B1497" t="str">
            <v>하산 계약서</v>
          </cell>
        </row>
        <row r="1498">
          <cell r="A1498">
            <v>23414595</v>
          </cell>
          <cell r="B1498" t="str">
            <v>클로에 드라보메 계약서</v>
          </cell>
        </row>
        <row r="1499">
          <cell r="A1499">
            <v>23414596</v>
          </cell>
          <cell r="B1499" t="str">
            <v>석양 계약서</v>
          </cell>
        </row>
        <row r="1500">
          <cell r="A1500">
            <v>23414597</v>
          </cell>
          <cell r="B1500" t="str">
            <v>블라드 3세 계약서</v>
          </cell>
        </row>
        <row r="1501">
          <cell r="A1501">
            <v>23414598</v>
          </cell>
          <cell r="B1501" t="str">
            <v>심만삼 계약서</v>
          </cell>
        </row>
        <row r="1502">
          <cell r="A1502">
            <v>23414599</v>
          </cell>
          <cell r="B1502" t="str">
            <v>바니 카우르 계약서</v>
          </cell>
        </row>
        <row r="1503">
          <cell r="A1503">
            <v>23414600</v>
          </cell>
          <cell r="B1503" t="str">
            <v>벨라 드 루체 계약서</v>
          </cell>
        </row>
        <row r="1504">
          <cell r="A1504">
            <v>23414601</v>
          </cell>
          <cell r="B1504" t="str">
            <v>비비엔 하트 계약서</v>
          </cell>
        </row>
        <row r="1505">
          <cell r="A1505">
            <v>23414602</v>
          </cell>
          <cell r="B1505" t="str">
            <v>이칼 반 루벤 계약서</v>
          </cell>
        </row>
        <row r="1506">
          <cell r="A1506">
            <v>23414603</v>
          </cell>
          <cell r="B1506" t="str">
            <v>아델라 플라멩코 계약서</v>
          </cell>
        </row>
        <row r="1507">
          <cell r="A1507">
            <v>23414604</v>
          </cell>
          <cell r="B1507" t="str">
            <v>다리온 블랙모어 계약서</v>
          </cell>
        </row>
        <row r="1508">
          <cell r="A1508">
            <v>23414605</v>
          </cell>
          <cell r="B1508" t="str">
            <v>안젤라 레오니다스 계약서</v>
          </cell>
        </row>
        <row r="1509">
          <cell r="A1509">
            <v>23414606</v>
          </cell>
          <cell r="B1509" t="str">
            <v>엘리자베스 팬드래건 계약서</v>
          </cell>
        </row>
        <row r="1510">
          <cell r="A1510">
            <v>23414607</v>
          </cell>
          <cell r="B1510" t="str">
            <v>오필리어 버킹엄 계약서</v>
          </cell>
        </row>
        <row r="1511">
          <cell r="A1511">
            <v>23414608</v>
          </cell>
          <cell r="B1511" t="str">
            <v>블랙 레이븐 계약서</v>
          </cell>
        </row>
        <row r="1512">
          <cell r="A1512">
            <v>23414609</v>
          </cell>
          <cell r="B1512" t="str">
            <v>카라 마우에 계약서</v>
          </cell>
        </row>
        <row r="1513">
          <cell r="A1513">
            <v>23414610</v>
          </cell>
          <cell r="B1513" t="str">
            <v>카를라 리치에리 계약서</v>
          </cell>
        </row>
        <row r="1514">
          <cell r="A1514">
            <v>23414611</v>
          </cell>
          <cell r="B1514" t="str">
            <v>류향령 계약서</v>
          </cell>
        </row>
        <row r="1515">
          <cell r="A1515">
            <v>23414612</v>
          </cell>
          <cell r="B1515" t="str">
            <v>선희 계약서</v>
          </cell>
        </row>
        <row r="1516">
          <cell r="A1516">
            <v>23414613</v>
          </cell>
          <cell r="B1516" t="str">
            <v>임화 계약서</v>
          </cell>
        </row>
        <row r="1517">
          <cell r="A1517">
            <v>23419001</v>
          </cell>
          <cell r="B1517" t="str">
            <v>벤자밍 계약서</v>
          </cell>
        </row>
        <row r="1518">
          <cell r="A1518">
            <v>23419002</v>
          </cell>
          <cell r="B1518" t="str">
            <v>아구스틴 계약서</v>
          </cell>
        </row>
        <row r="1519">
          <cell r="A1519">
            <v>23419003</v>
          </cell>
          <cell r="B1519" t="str">
            <v>프레드릭 계약서</v>
          </cell>
        </row>
        <row r="1520">
          <cell r="A1520">
            <v>23419004</v>
          </cell>
          <cell r="B1520" t="str">
            <v>랏바우트 계약서</v>
          </cell>
        </row>
        <row r="1521">
          <cell r="A1521">
            <v>23419005</v>
          </cell>
          <cell r="B1521" t="str">
            <v>데리아 계약서</v>
          </cell>
        </row>
        <row r="1522">
          <cell r="A1522">
            <v>23419006</v>
          </cell>
          <cell r="B1522" t="str">
            <v>베흐람 계약서</v>
          </cell>
        </row>
        <row r="1523">
          <cell r="A1523">
            <v>23419007</v>
          </cell>
          <cell r="B1523" t="str">
            <v>야무르 계약서</v>
          </cell>
        </row>
        <row r="1524">
          <cell r="A1524">
            <v>23419008</v>
          </cell>
          <cell r="B1524" t="str">
            <v>구디나 계약서</v>
          </cell>
        </row>
        <row r="1525">
          <cell r="A1525">
            <v>23419009</v>
          </cell>
          <cell r="B1525" t="str">
            <v>아마디 계약서</v>
          </cell>
        </row>
        <row r="1526">
          <cell r="A1526">
            <v>23419010</v>
          </cell>
          <cell r="B1526" t="str">
            <v>아자르 계약서</v>
          </cell>
        </row>
        <row r="1527">
          <cell r="A1527">
            <v>23419011</v>
          </cell>
          <cell r="B1527" t="str">
            <v>이시 계약서</v>
          </cell>
        </row>
        <row r="1528">
          <cell r="A1528">
            <v>23419012</v>
          </cell>
          <cell r="B1528" t="str">
            <v>세이시치 계약서</v>
          </cell>
        </row>
        <row r="1529">
          <cell r="A1529">
            <v>23419013</v>
          </cell>
          <cell r="B1529" t="str">
            <v>에미얄리 계약서</v>
          </cell>
        </row>
        <row r="1530">
          <cell r="A1530">
            <v>23419014</v>
          </cell>
          <cell r="B1530" t="str">
            <v>청철 계약서</v>
          </cell>
        </row>
        <row r="1531">
          <cell r="A1531">
            <v>23419015</v>
          </cell>
          <cell r="B1531" t="str">
            <v>파트리스 계약서</v>
          </cell>
        </row>
        <row r="1532">
          <cell r="A1532">
            <v>23419016</v>
          </cell>
          <cell r="B1532" t="str">
            <v>무영 계약서</v>
          </cell>
        </row>
        <row r="1533">
          <cell r="A1533">
            <v>23419017</v>
          </cell>
          <cell r="B1533" t="str">
            <v>슈에 계약서</v>
          </cell>
        </row>
        <row r="1534">
          <cell r="A1534">
            <v>23419018</v>
          </cell>
          <cell r="B1534" t="str">
            <v>데브림 계약서</v>
          </cell>
        </row>
        <row r="1535">
          <cell r="A1535">
            <v>23419019</v>
          </cell>
          <cell r="B1535" t="str">
            <v>티몬 계약서</v>
          </cell>
        </row>
        <row r="1536">
          <cell r="A1536">
            <v>23419020</v>
          </cell>
          <cell r="B1536" t="str">
            <v>불카니코 계약서</v>
          </cell>
        </row>
        <row r="1537">
          <cell r="A1537">
            <v>23419021</v>
          </cell>
          <cell r="B1537" t="str">
            <v>와만 계약서</v>
          </cell>
        </row>
        <row r="1538">
          <cell r="A1538">
            <v>23419022</v>
          </cell>
          <cell r="B1538" t="str">
            <v>군투르 계약서</v>
          </cell>
        </row>
        <row r="1539">
          <cell r="A1539">
            <v>23419023</v>
          </cell>
          <cell r="B1539" t="str">
            <v>시씬과크 계약서</v>
          </cell>
        </row>
        <row r="1540">
          <cell r="A1540">
            <v>23419024</v>
          </cell>
          <cell r="B1540" t="str">
            <v>타마 계약서</v>
          </cell>
        </row>
        <row r="1541">
          <cell r="A1541">
            <v>23419025</v>
          </cell>
          <cell r="B1541" t="str">
            <v>오나쓰 계약서</v>
          </cell>
        </row>
        <row r="1542">
          <cell r="A1542">
            <v>23419026</v>
          </cell>
          <cell r="B1542" t="str">
            <v>아델리나 계약서</v>
          </cell>
        </row>
        <row r="1543">
          <cell r="A1543">
            <v>23419027</v>
          </cell>
          <cell r="B1543" t="str">
            <v>완다 계약서</v>
          </cell>
        </row>
        <row r="1544">
          <cell r="A1544">
            <v>23419028</v>
          </cell>
          <cell r="B1544" t="str">
            <v>예루마 계약서</v>
          </cell>
        </row>
        <row r="1545">
          <cell r="A1545">
            <v>23419029</v>
          </cell>
          <cell r="B1545" t="str">
            <v>엘레느 계약서</v>
          </cell>
        </row>
        <row r="1546">
          <cell r="A1546">
            <v>23419030</v>
          </cell>
          <cell r="B1546" t="str">
            <v>나탈리 계약서</v>
          </cell>
        </row>
        <row r="1547">
          <cell r="A1547">
            <v>23419031</v>
          </cell>
          <cell r="B1547" t="str">
            <v>티티스 계약서</v>
          </cell>
        </row>
        <row r="1548">
          <cell r="A1548">
            <v>23419032</v>
          </cell>
          <cell r="B1548" t="str">
            <v>마와르 계약서</v>
          </cell>
        </row>
        <row r="1549">
          <cell r="A1549">
            <v>23419033</v>
          </cell>
          <cell r="B1549" t="str">
            <v>나오미 계약서</v>
          </cell>
        </row>
        <row r="1550">
          <cell r="A1550">
            <v>23419034</v>
          </cell>
          <cell r="B1550" t="str">
            <v>코르넬리아 계약서</v>
          </cell>
        </row>
        <row r="1551">
          <cell r="A1551">
            <v>23419035</v>
          </cell>
          <cell r="B1551" t="str">
            <v>아이셀 계약서</v>
          </cell>
        </row>
        <row r="1552">
          <cell r="A1552">
            <v>23419036</v>
          </cell>
          <cell r="B1552" t="str">
            <v>잔수 계약서</v>
          </cell>
        </row>
        <row r="1553">
          <cell r="A1553">
            <v>23419037</v>
          </cell>
          <cell r="B1553" t="str">
            <v>루도 계약서</v>
          </cell>
        </row>
        <row r="1554">
          <cell r="A1554">
            <v>23419038</v>
          </cell>
          <cell r="B1554" t="str">
            <v>아난드 계약서</v>
          </cell>
        </row>
        <row r="1555">
          <cell r="A1555">
            <v>23419039</v>
          </cell>
          <cell r="B1555" t="str">
            <v>잉게보르크 계약서</v>
          </cell>
        </row>
        <row r="1556">
          <cell r="A1556">
            <v>23419040</v>
          </cell>
          <cell r="B1556" t="str">
            <v>켈레벡 계약서</v>
          </cell>
        </row>
        <row r="1557">
          <cell r="A1557">
            <v>23419041</v>
          </cell>
          <cell r="B1557" t="str">
            <v>울로리악 계약서</v>
          </cell>
        </row>
        <row r="1558">
          <cell r="A1558">
            <v>23419042</v>
          </cell>
          <cell r="B1558" t="str">
            <v>리리안 계약서</v>
          </cell>
        </row>
        <row r="1559">
          <cell r="A1559">
            <v>23419043</v>
          </cell>
          <cell r="B1559" t="str">
            <v>릴 계약서</v>
          </cell>
        </row>
        <row r="1560">
          <cell r="A1560">
            <v>23419044</v>
          </cell>
          <cell r="B1560" t="str">
            <v>플로라 계약서</v>
          </cell>
        </row>
        <row r="1561">
          <cell r="A1561">
            <v>23419045</v>
          </cell>
          <cell r="B1561" t="str">
            <v>넬리 계약서</v>
          </cell>
        </row>
        <row r="1562">
          <cell r="A1562">
            <v>23419046</v>
          </cell>
          <cell r="B1562" t="str">
            <v>사라이 계약서</v>
          </cell>
        </row>
        <row r="1563">
          <cell r="A1563">
            <v>23419047</v>
          </cell>
          <cell r="B1563" t="str">
            <v>하디 계약서</v>
          </cell>
        </row>
        <row r="1564">
          <cell r="A1564">
            <v>23419048</v>
          </cell>
          <cell r="B1564" t="str">
            <v>베리사 계약서</v>
          </cell>
        </row>
        <row r="1565">
          <cell r="A1565">
            <v>23419050</v>
          </cell>
          <cell r="B1565" t="str">
            <v>아멜리아 계약서</v>
          </cell>
        </row>
        <row r="1566">
          <cell r="A1566">
            <v>23419051</v>
          </cell>
          <cell r="B1566" t="str">
            <v>이사벨 계약서</v>
          </cell>
        </row>
        <row r="1567">
          <cell r="A1567">
            <v>23419052</v>
          </cell>
          <cell r="B1567" t="str">
            <v>쿤티 계약서</v>
          </cell>
        </row>
        <row r="1568">
          <cell r="A1568">
            <v>23419053</v>
          </cell>
          <cell r="B1568" t="str">
            <v>하토라 계약서</v>
          </cell>
        </row>
        <row r="1569">
          <cell r="A1569">
            <v>23419054</v>
          </cell>
          <cell r="B1569" t="str">
            <v>미화 계약서</v>
          </cell>
        </row>
        <row r="1570">
          <cell r="A1570">
            <v>23419055</v>
          </cell>
          <cell r="B1570" t="str">
            <v>아냐 계약서</v>
          </cell>
        </row>
        <row r="1571">
          <cell r="A1571">
            <v>23419056</v>
          </cell>
          <cell r="B1571" t="str">
            <v>지아나 계약서</v>
          </cell>
        </row>
        <row r="1572">
          <cell r="A1572">
            <v>23419057</v>
          </cell>
          <cell r="B1572" t="str">
            <v>테레사 계약서</v>
          </cell>
        </row>
        <row r="1573">
          <cell r="A1573">
            <v>23419058</v>
          </cell>
          <cell r="B1573" t="str">
            <v>뮤리네 계약서</v>
          </cell>
        </row>
        <row r="1574">
          <cell r="A1574">
            <v>23419059</v>
          </cell>
          <cell r="B1574" t="str">
            <v>실비아 계약서</v>
          </cell>
        </row>
        <row r="1575">
          <cell r="A1575">
            <v>23419060</v>
          </cell>
          <cell r="B1575" t="str">
            <v>아세네트 계약서</v>
          </cell>
        </row>
        <row r="1576">
          <cell r="A1576">
            <v>23419061</v>
          </cell>
          <cell r="B1576" t="str">
            <v>제바히르 계약서</v>
          </cell>
        </row>
        <row r="1577">
          <cell r="A1577">
            <v>23419062</v>
          </cell>
          <cell r="B1577" t="str">
            <v>엘리프 계약서</v>
          </cell>
        </row>
        <row r="1578">
          <cell r="A1578">
            <v>23419063</v>
          </cell>
          <cell r="B1578" t="str">
            <v>가더 계약서</v>
          </cell>
        </row>
        <row r="1579">
          <cell r="A1579">
            <v>23419064</v>
          </cell>
          <cell r="B1579" t="str">
            <v>인두마티 계약서</v>
          </cell>
        </row>
        <row r="1580">
          <cell r="A1580">
            <v>23419065</v>
          </cell>
          <cell r="B1580" t="str">
            <v>말리날리 계약서</v>
          </cell>
        </row>
        <row r="1581">
          <cell r="A1581">
            <v>23419066</v>
          </cell>
          <cell r="B1581" t="str">
            <v>상경 계약서</v>
          </cell>
        </row>
        <row r="1582">
          <cell r="A1582">
            <v>23419067</v>
          </cell>
          <cell r="B1582" t="str">
            <v>청린 계약서</v>
          </cell>
        </row>
        <row r="1583">
          <cell r="A1583">
            <v>23419068</v>
          </cell>
          <cell r="B1583" t="str">
            <v>가은정 계약서</v>
          </cell>
        </row>
        <row r="1584">
          <cell r="A1584">
            <v>23419069</v>
          </cell>
          <cell r="B1584" t="str">
            <v>타츠마루 계약서</v>
          </cell>
        </row>
        <row r="1585">
          <cell r="A1585">
            <v>23419070</v>
          </cell>
          <cell r="B1585" t="str">
            <v>치트랄리 계약서</v>
          </cell>
        </row>
        <row r="1586">
          <cell r="A1586">
            <v>23419071</v>
          </cell>
          <cell r="B1586" t="str">
            <v>리씨에 계약서</v>
          </cell>
        </row>
        <row r="1587">
          <cell r="A1587">
            <v>23419072</v>
          </cell>
          <cell r="B1587" t="str">
            <v>스틴 계약서</v>
          </cell>
        </row>
        <row r="1588">
          <cell r="A1588">
            <v>23419073</v>
          </cell>
          <cell r="B1588" t="str">
            <v>즈쓰후아 계약서</v>
          </cell>
        </row>
        <row r="1589">
          <cell r="A1589">
            <v>23419074</v>
          </cell>
          <cell r="B1589" t="str">
            <v>클라우디아 계약서</v>
          </cell>
        </row>
        <row r="1590">
          <cell r="A1590">
            <v>23419075</v>
          </cell>
          <cell r="B1590" t="str">
            <v>메레 계약서</v>
          </cell>
        </row>
        <row r="1591">
          <cell r="A1591">
            <v>23419076</v>
          </cell>
          <cell r="B1591" t="str">
            <v>푸르나마 계약서</v>
          </cell>
        </row>
        <row r="1592">
          <cell r="A1592">
            <v>23419077</v>
          </cell>
          <cell r="B1592" t="str">
            <v>수니타 계약서</v>
          </cell>
        </row>
        <row r="1593">
          <cell r="A1593">
            <v>23419078</v>
          </cell>
          <cell r="B1593" t="str">
            <v>예바 계약서</v>
          </cell>
        </row>
        <row r="1594">
          <cell r="A1594">
            <v>23419079</v>
          </cell>
          <cell r="B1594" t="str">
            <v>네일리 계약서</v>
          </cell>
        </row>
        <row r="1595">
          <cell r="A1595">
            <v>23419080</v>
          </cell>
          <cell r="B1595" t="str">
            <v>타마야 계약서</v>
          </cell>
        </row>
        <row r="1596">
          <cell r="A1596">
            <v>23419081</v>
          </cell>
          <cell r="B1596" t="str">
            <v>돌로리스 계약서</v>
          </cell>
        </row>
        <row r="1597">
          <cell r="A1597">
            <v>23419083</v>
          </cell>
          <cell r="B1597" t="str">
            <v>니타 계약서</v>
          </cell>
        </row>
        <row r="1598">
          <cell r="A1598">
            <v>23419084</v>
          </cell>
          <cell r="B1598" t="str">
            <v>루치아 계약서</v>
          </cell>
        </row>
        <row r="1599">
          <cell r="A1599">
            <v>23419085</v>
          </cell>
          <cell r="B1599" t="str">
            <v>안나 계약서</v>
          </cell>
        </row>
        <row r="1600">
          <cell r="A1600">
            <v>23419086</v>
          </cell>
          <cell r="B1600" t="str">
            <v>라디아 계약서</v>
          </cell>
        </row>
        <row r="1601">
          <cell r="A1601">
            <v>23419087</v>
          </cell>
          <cell r="B1601" t="str">
            <v>마틸다 계약서</v>
          </cell>
        </row>
        <row r="1602">
          <cell r="A1602">
            <v>23419091</v>
          </cell>
          <cell r="B1602" t="str">
            <v>남혜 계약서</v>
          </cell>
        </row>
        <row r="1603">
          <cell r="A1603">
            <v>23419092</v>
          </cell>
          <cell r="B1603" t="str">
            <v>아니사 계약서</v>
          </cell>
        </row>
        <row r="1604">
          <cell r="A1604">
            <v>23420000</v>
          </cell>
          <cell r="B1604" t="str">
            <v>카모마일차</v>
          </cell>
        </row>
        <row r="1605">
          <cell r="A1605">
            <v>23420001</v>
          </cell>
          <cell r="B1605" t="str">
            <v>히비스커스차</v>
          </cell>
        </row>
        <row r="1606">
          <cell r="A1606">
            <v>23420002</v>
          </cell>
          <cell r="B1606" t="str">
            <v>라벤더차</v>
          </cell>
        </row>
        <row r="1607">
          <cell r="A1607">
            <v>23420003</v>
          </cell>
          <cell r="B1607" t="str">
            <v>장미차</v>
          </cell>
        </row>
        <row r="1608">
          <cell r="A1608">
            <v>23420004</v>
          </cell>
          <cell r="B1608" t="str">
            <v>도자기 술잔</v>
          </cell>
        </row>
        <row r="1609">
          <cell r="A1609">
            <v>23420005</v>
          </cell>
          <cell r="B1609" t="str">
            <v>도자기 접시</v>
          </cell>
        </row>
        <row r="1610">
          <cell r="A1610">
            <v>23420006</v>
          </cell>
          <cell r="B1610" t="str">
            <v>도자기 꽃병</v>
          </cell>
        </row>
        <row r="1611">
          <cell r="A1611">
            <v>23420007</v>
          </cell>
          <cell r="B1611" t="str">
            <v>도자기 주전자</v>
          </cell>
        </row>
        <row r="1612">
          <cell r="A1612">
            <v>23420008</v>
          </cell>
          <cell r="B1612" t="str">
            <v>리넨 손수건</v>
          </cell>
        </row>
        <row r="1613">
          <cell r="A1613">
            <v>23420009</v>
          </cell>
          <cell r="B1613" t="str">
            <v>자수 손수건</v>
          </cell>
        </row>
        <row r="1614">
          <cell r="A1614">
            <v>23420010</v>
          </cell>
          <cell r="B1614" t="str">
            <v>비단 손수건</v>
          </cell>
        </row>
        <row r="1615">
          <cell r="A1615">
            <v>23420011</v>
          </cell>
          <cell r="B1615" t="str">
            <v>금나비 손수건</v>
          </cell>
        </row>
        <row r="1616">
          <cell r="A1616">
            <v>23420012</v>
          </cell>
          <cell r="B1616" t="str">
            <v>양갱</v>
          </cell>
        </row>
        <row r="1617">
          <cell r="A1617">
            <v>23420013</v>
          </cell>
          <cell r="B1617" t="str">
            <v>셈라</v>
          </cell>
        </row>
        <row r="1618">
          <cell r="A1618">
            <v>23420014</v>
          </cell>
          <cell r="B1618" t="str">
            <v>슈네발</v>
          </cell>
        </row>
        <row r="1619">
          <cell r="A1619">
            <v>23420015</v>
          </cell>
          <cell r="B1619" t="str">
            <v>딸기 타르트</v>
          </cell>
        </row>
        <row r="1620">
          <cell r="A1620">
            <v>23420016</v>
          </cell>
          <cell r="B1620" t="str">
            <v>난초 그림 부채</v>
          </cell>
        </row>
        <row r="1621">
          <cell r="A1621">
            <v>23420017</v>
          </cell>
          <cell r="B1621" t="str">
            <v>파초선</v>
          </cell>
        </row>
        <row r="1622">
          <cell r="A1622">
            <v>23420018</v>
          </cell>
          <cell r="B1622" t="str">
            <v>비단 부채</v>
          </cell>
        </row>
        <row r="1623">
          <cell r="A1623">
            <v>23420019</v>
          </cell>
          <cell r="B1623" t="str">
            <v>깃털 부채</v>
          </cell>
        </row>
        <row r="1624">
          <cell r="A1624">
            <v>23420020</v>
          </cell>
          <cell r="B1624" t="str">
            <v>지중해의 모험</v>
          </cell>
        </row>
        <row r="1625">
          <cell r="A1625">
            <v>23420021</v>
          </cell>
          <cell r="B1625" t="str">
            <v>인도의 신비를 찾아서</v>
          </cell>
        </row>
        <row r="1626">
          <cell r="A1626">
            <v>23420022</v>
          </cell>
          <cell r="B1626" t="str">
            <v>북극에서 살아남기</v>
          </cell>
        </row>
        <row r="1627">
          <cell r="A1627">
            <v>23420023</v>
          </cell>
          <cell r="B1627" t="str">
            <v>세계를 유랑하다</v>
          </cell>
        </row>
        <row r="1628">
          <cell r="A1628">
            <v>23420024</v>
          </cell>
          <cell r="B1628" t="str">
            <v>에메랄드 브로치</v>
          </cell>
        </row>
        <row r="1629">
          <cell r="A1629">
            <v>23420025</v>
          </cell>
          <cell r="B1629" t="str">
            <v>루비 브로치</v>
          </cell>
        </row>
        <row r="1630">
          <cell r="A1630">
            <v>23420026</v>
          </cell>
          <cell r="B1630" t="str">
            <v>사파이어 브로치</v>
          </cell>
        </row>
        <row r="1631">
          <cell r="A1631">
            <v>23420027</v>
          </cell>
          <cell r="B1631" t="str">
            <v>다이아몬드 브로치</v>
          </cell>
        </row>
        <row r="1632">
          <cell r="A1632">
            <v>23420028</v>
          </cell>
          <cell r="B1632" t="str">
            <v>마호가니 파이프</v>
          </cell>
        </row>
        <row r="1633">
          <cell r="A1633">
            <v>23420029</v>
          </cell>
          <cell r="B1633" t="str">
            <v>해포석 파이프</v>
          </cell>
        </row>
        <row r="1634">
          <cell r="A1634">
            <v>23420030</v>
          </cell>
          <cell r="B1634" t="str">
            <v>몰타 파이프</v>
          </cell>
        </row>
        <row r="1635">
          <cell r="A1635">
            <v>23420031</v>
          </cell>
          <cell r="B1635" t="str">
            <v>도자기 파이프</v>
          </cell>
        </row>
        <row r="1636">
          <cell r="A1636">
            <v>23420032</v>
          </cell>
          <cell r="B1636" t="str">
            <v>산수경석</v>
          </cell>
        </row>
        <row r="1637">
          <cell r="A1637">
            <v>23420033</v>
          </cell>
          <cell r="B1637" t="str">
            <v>옥 거북이</v>
          </cell>
        </row>
        <row r="1638">
          <cell r="A1638">
            <v>23420034</v>
          </cell>
          <cell r="B1638" t="str">
            <v>황금 라마</v>
          </cell>
        </row>
        <row r="1639">
          <cell r="A1639">
            <v>23420035</v>
          </cell>
          <cell r="B1639" t="str">
            <v>칠보 향로</v>
          </cell>
        </row>
        <row r="1640">
          <cell r="A1640">
            <v>23420036</v>
          </cell>
          <cell r="B1640" t="str">
            <v>일기장</v>
          </cell>
        </row>
        <row r="1641">
          <cell r="A1641">
            <v>23420037</v>
          </cell>
          <cell r="B1641" t="str">
            <v>고급 일기장</v>
          </cell>
        </row>
        <row r="1642">
          <cell r="A1642">
            <v>23420038</v>
          </cell>
          <cell r="B1642" t="str">
            <v>문구 세트</v>
          </cell>
        </row>
        <row r="1643">
          <cell r="A1643">
            <v>23420039</v>
          </cell>
          <cell r="B1643" t="str">
            <v>고급 문구 세트</v>
          </cell>
        </row>
        <row r="1644">
          <cell r="A1644">
            <v>23421000</v>
          </cell>
          <cell r="B1644" t="str">
            <v>기상도</v>
          </cell>
        </row>
        <row r="1645">
          <cell r="A1645">
            <v>23421001</v>
          </cell>
          <cell r="B1645" t="str">
            <v>평면도</v>
          </cell>
        </row>
        <row r="1646">
          <cell r="A1646">
            <v>23421002</v>
          </cell>
          <cell r="B1646" t="str">
            <v>도시 지형도</v>
          </cell>
        </row>
        <row r="1647">
          <cell r="A1647">
            <v>23421003</v>
          </cell>
          <cell r="B1647" t="str">
            <v>마을 지도</v>
          </cell>
        </row>
        <row r="1648">
          <cell r="A1648">
            <v>23421004</v>
          </cell>
          <cell r="B1648" t="str">
            <v>화석 조각</v>
          </cell>
        </row>
        <row r="1649">
          <cell r="A1649">
            <v>23421005</v>
          </cell>
          <cell r="B1649" t="str">
            <v>편마암</v>
          </cell>
        </row>
        <row r="1650">
          <cell r="A1650">
            <v>23421006</v>
          </cell>
          <cell r="B1650" t="str">
            <v>사암</v>
          </cell>
        </row>
        <row r="1651">
          <cell r="A1651">
            <v>23421007</v>
          </cell>
          <cell r="B1651" t="str">
            <v>석회암</v>
          </cell>
        </row>
        <row r="1652">
          <cell r="A1652">
            <v>23421008</v>
          </cell>
          <cell r="B1652" t="str">
            <v>대리암</v>
          </cell>
        </row>
        <row r="1653">
          <cell r="A1653">
            <v>23421009</v>
          </cell>
          <cell r="B1653" t="str">
            <v>물형석</v>
          </cell>
        </row>
        <row r="1654">
          <cell r="A1654">
            <v>23421010</v>
          </cell>
          <cell r="B1654" t="str">
            <v>무늬석</v>
          </cell>
        </row>
        <row r="1655">
          <cell r="A1655">
            <v>23421011</v>
          </cell>
          <cell r="B1655" t="str">
            <v>색채석</v>
          </cell>
        </row>
        <row r="1656">
          <cell r="A1656">
            <v>23421012</v>
          </cell>
          <cell r="B1656" t="str">
            <v>반귀석</v>
          </cell>
        </row>
        <row r="1657">
          <cell r="A1657">
            <v>23421013</v>
          </cell>
          <cell r="B1657" t="str">
            <v>신기한 발톱</v>
          </cell>
        </row>
        <row r="1658">
          <cell r="A1658">
            <v>23421014</v>
          </cell>
          <cell r="B1658" t="str">
            <v>깨끗한 허물</v>
          </cell>
        </row>
        <row r="1659">
          <cell r="A1659">
            <v>23421015</v>
          </cell>
          <cell r="B1659" t="str">
            <v>위험한 독니</v>
          </cell>
        </row>
        <row r="1660">
          <cell r="A1660">
            <v>23421016</v>
          </cell>
          <cell r="B1660" t="str">
            <v>파충류 비늘</v>
          </cell>
        </row>
        <row r="1661">
          <cell r="A1661">
            <v>23421017</v>
          </cell>
          <cell r="B1661" t="str">
            <v>지느러미</v>
          </cell>
        </row>
        <row r="1662">
          <cell r="A1662">
            <v>23421018</v>
          </cell>
          <cell r="B1662" t="str">
            <v>어묵</v>
          </cell>
        </row>
        <row r="1663">
          <cell r="A1663">
            <v>23421019</v>
          </cell>
          <cell r="B1663" t="str">
            <v>바닷가재</v>
          </cell>
        </row>
        <row r="1664">
          <cell r="A1664">
            <v>23421020</v>
          </cell>
          <cell r="B1664" t="str">
            <v>조개껍질</v>
          </cell>
        </row>
        <row r="1665">
          <cell r="A1665">
            <v>23421021</v>
          </cell>
          <cell r="B1665" t="str">
            <v>불가사리</v>
          </cell>
        </row>
        <row r="1666">
          <cell r="A1666">
            <v>23421022</v>
          </cell>
          <cell r="B1666" t="str">
            <v>작가 미상 그림</v>
          </cell>
        </row>
        <row r="1667">
          <cell r="A1667">
            <v>23421023</v>
          </cell>
          <cell r="B1667" t="str">
            <v>작가 미상 조각</v>
          </cell>
        </row>
        <row r="1668">
          <cell r="A1668">
            <v>23421024</v>
          </cell>
          <cell r="B1668" t="str">
            <v>부서진 성물</v>
          </cell>
        </row>
        <row r="1669">
          <cell r="A1669">
            <v>23421025</v>
          </cell>
          <cell r="B1669" t="str">
            <v>항구 견문록</v>
          </cell>
        </row>
        <row r="1670">
          <cell r="A1670">
            <v>23421026</v>
          </cell>
          <cell r="B1670" t="str">
            <v>마을 견문록</v>
          </cell>
        </row>
        <row r="1671">
          <cell r="A1671">
            <v>23421027</v>
          </cell>
          <cell r="B1671" t="str">
            <v>최하급 모험 임명장</v>
          </cell>
        </row>
        <row r="1672">
          <cell r="A1672">
            <v>23421028</v>
          </cell>
          <cell r="B1672" t="str">
            <v>하급 모험 임명장</v>
          </cell>
        </row>
        <row r="1673">
          <cell r="A1673">
            <v>23421029</v>
          </cell>
          <cell r="B1673" t="str">
            <v>중급 모험 임명장</v>
          </cell>
        </row>
        <row r="1674">
          <cell r="A1674">
            <v>23421030</v>
          </cell>
          <cell r="B1674" t="str">
            <v>상급 모험 임명장</v>
          </cell>
        </row>
        <row r="1675">
          <cell r="A1675">
            <v>23421031</v>
          </cell>
          <cell r="B1675" t="str">
            <v>최상급 모험 임명장</v>
          </cell>
        </row>
        <row r="1676">
          <cell r="A1676">
            <v>23421032</v>
          </cell>
          <cell r="B1676" t="str">
            <v>최하급 교역 임명장</v>
          </cell>
        </row>
        <row r="1677">
          <cell r="A1677">
            <v>23421033</v>
          </cell>
          <cell r="B1677" t="str">
            <v>하급 교역 임명장</v>
          </cell>
        </row>
        <row r="1678">
          <cell r="A1678">
            <v>23421034</v>
          </cell>
          <cell r="B1678" t="str">
            <v>중급 교역 임명장</v>
          </cell>
        </row>
        <row r="1679">
          <cell r="A1679">
            <v>23421035</v>
          </cell>
          <cell r="B1679" t="str">
            <v>상급 교역 임명장</v>
          </cell>
        </row>
        <row r="1680">
          <cell r="A1680">
            <v>23421036</v>
          </cell>
          <cell r="B1680" t="str">
            <v>최상급 교역 임명장</v>
          </cell>
        </row>
        <row r="1681">
          <cell r="A1681">
            <v>23421037</v>
          </cell>
          <cell r="B1681" t="str">
            <v>최하급 전투 임명장</v>
          </cell>
        </row>
        <row r="1682">
          <cell r="A1682">
            <v>23421038</v>
          </cell>
          <cell r="B1682" t="str">
            <v>하급 전투 임명장</v>
          </cell>
        </row>
        <row r="1683">
          <cell r="A1683">
            <v>23421039</v>
          </cell>
          <cell r="B1683" t="str">
            <v>중급 전투 임명장</v>
          </cell>
        </row>
        <row r="1684">
          <cell r="A1684">
            <v>23421040</v>
          </cell>
          <cell r="B1684" t="str">
            <v>상급 전투 임명장</v>
          </cell>
        </row>
        <row r="1685">
          <cell r="A1685">
            <v>23421041</v>
          </cell>
          <cell r="B1685" t="str">
            <v>최상급 전투 임명장</v>
          </cell>
        </row>
        <row r="1686">
          <cell r="A1686">
            <v>23421042</v>
          </cell>
          <cell r="B1686" t="str">
            <v>초급 포격술 교본</v>
          </cell>
        </row>
        <row r="1687">
          <cell r="A1687">
            <v>23421043</v>
          </cell>
          <cell r="B1687" t="str">
            <v>중급 포격술 교본</v>
          </cell>
        </row>
        <row r="1688">
          <cell r="A1688">
            <v>23421044</v>
          </cell>
          <cell r="B1688" t="str">
            <v>고급 포격술 교본</v>
          </cell>
        </row>
        <row r="1689">
          <cell r="A1689">
            <v>23421045</v>
          </cell>
          <cell r="B1689" t="str">
            <v>최고급 포격술 교본</v>
          </cell>
        </row>
        <row r="1690">
          <cell r="A1690">
            <v>23421046</v>
          </cell>
          <cell r="B1690" t="str">
            <v>초급 백병술 교본</v>
          </cell>
        </row>
        <row r="1691">
          <cell r="A1691">
            <v>23421047</v>
          </cell>
          <cell r="B1691" t="str">
            <v>중급 백병술 교본</v>
          </cell>
        </row>
        <row r="1692">
          <cell r="A1692">
            <v>23421048</v>
          </cell>
          <cell r="B1692" t="str">
            <v>고급 백병술 교본</v>
          </cell>
        </row>
        <row r="1693">
          <cell r="A1693">
            <v>23421049</v>
          </cell>
          <cell r="B1693" t="str">
            <v>최고급 백병술 교본</v>
          </cell>
        </row>
        <row r="1694">
          <cell r="A1694">
            <v>23421050</v>
          </cell>
          <cell r="B1694" t="str">
            <v>초급 충파술 교본</v>
          </cell>
        </row>
        <row r="1695">
          <cell r="A1695">
            <v>23421051</v>
          </cell>
          <cell r="B1695" t="str">
            <v>중급 충파술 교본</v>
          </cell>
        </row>
        <row r="1696">
          <cell r="A1696">
            <v>23421052</v>
          </cell>
          <cell r="B1696" t="str">
            <v>고급 충파술 교본</v>
          </cell>
        </row>
        <row r="1697">
          <cell r="A1697">
            <v>23421053</v>
          </cell>
          <cell r="B1697" t="str">
            <v>최고급 충파술 교본</v>
          </cell>
        </row>
        <row r="1698">
          <cell r="A1698">
            <v>23421054</v>
          </cell>
          <cell r="B1698" t="str">
            <v>초급 지원술 교본</v>
          </cell>
        </row>
        <row r="1699">
          <cell r="A1699">
            <v>23421055</v>
          </cell>
          <cell r="B1699" t="str">
            <v>중급 지원술 교본</v>
          </cell>
        </row>
        <row r="1700">
          <cell r="A1700">
            <v>23421056</v>
          </cell>
          <cell r="B1700" t="str">
            <v>고급 지원술 교본</v>
          </cell>
        </row>
        <row r="1701">
          <cell r="A1701">
            <v>23421057</v>
          </cell>
          <cell r="B1701" t="str">
            <v>최고급 지원술 교본</v>
          </cell>
        </row>
        <row r="1702">
          <cell r="A1702">
            <v>23421058</v>
          </cell>
          <cell r="B1702" t="str">
            <v>초급 보급법 교본</v>
          </cell>
        </row>
        <row r="1703">
          <cell r="A1703">
            <v>23421059</v>
          </cell>
          <cell r="B1703" t="str">
            <v>중급 보급법 교본</v>
          </cell>
        </row>
        <row r="1704">
          <cell r="A1704">
            <v>23421060</v>
          </cell>
          <cell r="B1704" t="str">
            <v>고급 보급법 교본</v>
          </cell>
        </row>
        <row r="1705">
          <cell r="A1705">
            <v>23421061</v>
          </cell>
          <cell r="B1705" t="str">
            <v>최고급 보급법 교본</v>
          </cell>
        </row>
        <row r="1706">
          <cell r="A1706">
            <v>23421062</v>
          </cell>
          <cell r="B1706" t="str">
            <v>초급 척후법 교본</v>
          </cell>
        </row>
        <row r="1707">
          <cell r="A1707">
            <v>23421063</v>
          </cell>
          <cell r="B1707" t="str">
            <v>중급 척후법 교본</v>
          </cell>
        </row>
        <row r="1708">
          <cell r="A1708">
            <v>23421064</v>
          </cell>
          <cell r="B1708" t="str">
            <v>고급 척후법 교본</v>
          </cell>
        </row>
        <row r="1709">
          <cell r="A1709">
            <v>23421065</v>
          </cell>
          <cell r="B1709" t="str">
            <v>최고급 척후법 교본</v>
          </cell>
        </row>
        <row r="1710">
          <cell r="A1710">
            <v>23421066</v>
          </cell>
          <cell r="B1710" t="str">
            <v>초급 박물학 교본</v>
          </cell>
        </row>
        <row r="1711">
          <cell r="A1711">
            <v>23421067</v>
          </cell>
          <cell r="B1711" t="str">
            <v>중급 박물학 교본</v>
          </cell>
        </row>
        <row r="1712">
          <cell r="A1712">
            <v>23421068</v>
          </cell>
          <cell r="B1712" t="str">
            <v>고급 박물학 교본</v>
          </cell>
        </row>
        <row r="1713">
          <cell r="A1713">
            <v>23421069</v>
          </cell>
          <cell r="B1713" t="str">
            <v>최고급 박물학 교본</v>
          </cell>
        </row>
        <row r="1714">
          <cell r="A1714">
            <v>23421070</v>
          </cell>
          <cell r="B1714" t="str">
            <v>초급 심미학 교본</v>
          </cell>
        </row>
        <row r="1715">
          <cell r="A1715">
            <v>23421071</v>
          </cell>
          <cell r="B1715" t="str">
            <v>중급 심미학 교본</v>
          </cell>
        </row>
        <row r="1716">
          <cell r="A1716">
            <v>23421072</v>
          </cell>
          <cell r="B1716" t="str">
            <v>고급 심미학 교본</v>
          </cell>
        </row>
        <row r="1717">
          <cell r="A1717">
            <v>23421073</v>
          </cell>
          <cell r="B1717" t="str">
            <v>최고급 심미학 교본</v>
          </cell>
        </row>
        <row r="1718">
          <cell r="A1718">
            <v>23421074</v>
          </cell>
          <cell r="B1718" t="str">
            <v>초급 구매 전략 교본</v>
          </cell>
        </row>
        <row r="1719">
          <cell r="A1719">
            <v>23421075</v>
          </cell>
          <cell r="B1719" t="str">
            <v>중급 구매 전략 교본</v>
          </cell>
        </row>
        <row r="1720">
          <cell r="A1720">
            <v>23421076</v>
          </cell>
          <cell r="B1720" t="str">
            <v>고급 구매 전략 교본</v>
          </cell>
        </row>
        <row r="1721">
          <cell r="A1721">
            <v>23421077</v>
          </cell>
          <cell r="B1721" t="str">
            <v>최고급 구매 전략 교본</v>
          </cell>
        </row>
        <row r="1722">
          <cell r="A1722">
            <v>23421078</v>
          </cell>
          <cell r="B1722" t="str">
            <v>초급 판매 전략 교본</v>
          </cell>
        </row>
        <row r="1723">
          <cell r="A1723">
            <v>23421079</v>
          </cell>
          <cell r="B1723" t="str">
            <v>중급 판매 전략 교본</v>
          </cell>
        </row>
        <row r="1724">
          <cell r="A1724">
            <v>23421080</v>
          </cell>
          <cell r="B1724" t="str">
            <v>고급 판매 전략 교본</v>
          </cell>
        </row>
        <row r="1725">
          <cell r="A1725">
            <v>23421081</v>
          </cell>
          <cell r="B1725" t="str">
            <v>최고급 판매 전략 교본</v>
          </cell>
        </row>
        <row r="1726">
          <cell r="A1726">
            <v>23421082</v>
          </cell>
          <cell r="B1726" t="str">
            <v>초급 협상 전략 교본</v>
          </cell>
        </row>
        <row r="1727">
          <cell r="A1727">
            <v>23421083</v>
          </cell>
          <cell r="B1727" t="str">
            <v>중급 협상 전략 교본</v>
          </cell>
        </row>
        <row r="1728">
          <cell r="A1728">
            <v>23421084</v>
          </cell>
          <cell r="B1728" t="str">
            <v>고급 협상 전략 교본</v>
          </cell>
        </row>
        <row r="1729">
          <cell r="A1729">
            <v>23421085</v>
          </cell>
          <cell r="B1729" t="str">
            <v>최고급 협상 전략 교본</v>
          </cell>
        </row>
        <row r="1730">
          <cell r="A1730">
            <v>23421086</v>
          </cell>
          <cell r="B1730" t="str">
            <v>초급 교환 전략 교본</v>
          </cell>
        </row>
        <row r="1731">
          <cell r="A1731">
            <v>23421087</v>
          </cell>
          <cell r="B1731" t="str">
            <v>중급 교환 전략 교본</v>
          </cell>
        </row>
        <row r="1732">
          <cell r="A1732">
            <v>23421088</v>
          </cell>
          <cell r="B1732" t="str">
            <v>고급 교환 전략 교본</v>
          </cell>
        </row>
        <row r="1733">
          <cell r="A1733">
            <v>23421089</v>
          </cell>
          <cell r="B1733" t="str">
            <v>최고급 교환 전략 교본</v>
          </cell>
        </row>
        <row r="1734">
          <cell r="A1734">
            <v>23421090</v>
          </cell>
          <cell r="B1734" t="str">
            <v>낡은 상자</v>
          </cell>
        </row>
        <row r="1735">
          <cell r="A1735">
            <v>23421091</v>
          </cell>
          <cell r="B1735" t="str">
            <v>토벌령</v>
          </cell>
        </row>
        <row r="1736">
          <cell r="A1736">
            <v>23421101</v>
          </cell>
          <cell r="B1736" t="str">
            <v>초급 교본</v>
          </cell>
        </row>
        <row r="1737">
          <cell r="A1737">
            <v>23421093</v>
          </cell>
          <cell r="B1737" t="str">
            <v>중급 교본</v>
          </cell>
        </row>
        <row r="1738">
          <cell r="A1738">
            <v>23421094</v>
          </cell>
          <cell r="B1738" t="str">
            <v>고급 교본</v>
          </cell>
        </row>
        <row r="1739">
          <cell r="A1739">
            <v>23421095</v>
          </cell>
          <cell r="B1739" t="str">
            <v>최고급 교본</v>
          </cell>
        </row>
        <row r="1740">
          <cell r="A1740">
            <v>23421096</v>
          </cell>
          <cell r="B1740" t="str">
            <v>해삼</v>
          </cell>
        </row>
        <row r="1741">
          <cell r="A1741">
            <v>23421097</v>
          </cell>
          <cell r="B1741" t="str">
            <v>특수 교본</v>
          </cell>
        </row>
        <row r="1742">
          <cell r="A1742">
            <v>23430000</v>
          </cell>
          <cell r="B1742" t="str">
            <v>[대표]도면</v>
          </cell>
        </row>
        <row r="1743">
          <cell r="A1743">
            <v>23430001</v>
          </cell>
          <cell r="B1743" t="str">
            <v>[대표]건조 재료</v>
          </cell>
        </row>
        <row r="1744">
          <cell r="A1744">
            <v>23430002</v>
          </cell>
          <cell r="B1744" t="str">
            <v>[대표]장비</v>
          </cell>
        </row>
        <row r="1745">
          <cell r="A1745">
            <v>23430003</v>
          </cell>
          <cell r="B1745" t="str">
            <v>[대표]부품</v>
          </cell>
        </row>
        <row r="1746">
          <cell r="A1746">
            <v>23430004</v>
          </cell>
          <cell r="B1746" t="str">
            <v>[대표]승급 재료</v>
          </cell>
        </row>
        <row r="1747">
          <cell r="A1747">
            <v>23430005</v>
          </cell>
          <cell r="B1747" t="str">
            <v>[대표]항해사 선물</v>
          </cell>
        </row>
        <row r="1748">
          <cell r="A1748">
            <v>23430006</v>
          </cell>
          <cell r="B1748" t="str">
            <v>[대표]특수 자원</v>
          </cell>
        </row>
        <row r="1749">
          <cell r="A1749">
            <v>23430007</v>
          </cell>
          <cell r="B1749" t="str">
            <v>[대표]계약서</v>
          </cell>
        </row>
        <row r="1750">
          <cell r="A1750">
            <v>23430008</v>
          </cell>
          <cell r="B1750" t="str">
            <v>[대표]학습 재료</v>
          </cell>
        </row>
        <row r="1751">
          <cell r="A1751">
            <v>23430009</v>
          </cell>
          <cell r="B1751" t="str">
            <v>[대표]항해사 비약</v>
          </cell>
        </row>
        <row r="1752">
          <cell r="A1752">
            <v>23430010</v>
          </cell>
          <cell r="B1752" t="str">
            <v>[대표]제작 재료</v>
          </cell>
        </row>
        <row r="1753">
          <cell r="A1753">
            <v>23430011</v>
          </cell>
          <cell r="B1753" t="str">
            <v>[대표]기타</v>
          </cell>
        </row>
        <row r="1754">
          <cell r="A1754">
            <v>23430012</v>
          </cell>
          <cell r="B1754" t="str">
            <v>##[대표]두카트</v>
          </cell>
        </row>
        <row r="1755">
          <cell r="A1755">
            <v>23430013</v>
          </cell>
          <cell r="B1755" t="str">
            <v>##[대표]선단 경험치</v>
          </cell>
        </row>
        <row r="1756">
          <cell r="A1756">
            <v>23430014</v>
          </cell>
          <cell r="B1756" t="str">
            <v>##[대표]모험 경험치</v>
          </cell>
        </row>
        <row r="1757">
          <cell r="A1757">
            <v>23430015</v>
          </cell>
          <cell r="B1757" t="str">
            <v>##[대표]전투 경험치</v>
          </cell>
        </row>
        <row r="1758">
          <cell r="A1758">
            <v>23430016</v>
          </cell>
          <cell r="B1758" t="str">
            <v>##[대표]교역 경험치</v>
          </cell>
        </row>
        <row r="1759">
          <cell r="A1759">
            <v>23430017</v>
          </cell>
          <cell r="B1759" t="str">
            <v>[대표]의상</v>
          </cell>
        </row>
        <row r="1760">
          <cell r="A1760">
            <v>23430018</v>
          </cell>
          <cell r="B1760" t="str">
            <v>[대표]칭호</v>
          </cell>
        </row>
        <row r="1761">
          <cell r="A1761">
            <v>23430999</v>
          </cell>
          <cell r="B1761" t="str">
            <v>준비중</v>
          </cell>
        </row>
        <row r="1762">
          <cell r="A1762">
            <v>23431000</v>
          </cell>
          <cell r="B1762" t="str">
            <v>##[대표]상자_S급</v>
          </cell>
        </row>
        <row r="1763">
          <cell r="A1763">
            <v>23431001</v>
          </cell>
          <cell r="B1763" t="str">
            <v>##[대표]상자_A급</v>
          </cell>
        </row>
        <row r="1764">
          <cell r="A1764">
            <v>23500001</v>
          </cell>
          <cell r="B1764" t="str">
            <v>상자 열쇠</v>
          </cell>
        </row>
        <row r="1765">
          <cell r="A1765">
            <v>23500002</v>
          </cell>
          <cell r="B1765" t="str">
            <v>정기선 탑승권</v>
          </cell>
        </row>
        <row r="1766">
          <cell r="A1766">
            <v>23500003</v>
          </cell>
          <cell r="B1766" t="str">
            <v>정기선 탑승권 (거래 불가)</v>
          </cell>
        </row>
        <row r="1767">
          <cell r="A1767">
            <v>23500004</v>
          </cell>
          <cell r="B1767" t="str">
            <v>고용 가속권 5분</v>
          </cell>
        </row>
        <row r="1768">
          <cell r="A1768">
            <v>23500005</v>
          </cell>
          <cell r="B1768" t="str">
            <v>고용 가속권 10분</v>
          </cell>
        </row>
        <row r="1769">
          <cell r="A1769">
            <v>23500006</v>
          </cell>
          <cell r="B1769" t="str">
            <v>고용 가속권 30분</v>
          </cell>
        </row>
        <row r="1770">
          <cell r="A1770">
            <v>23500007</v>
          </cell>
          <cell r="B1770" t="str">
            <v>고용 가속권 1시간</v>
          </cell>
        </row>
        <row r="1771">
          <cell r="A1771">
            <v>23500008</v>
          </cell>
          <cell r="B1771" t="str">
            <v>고용 가속권 6시간</v>
          </cell>
        </row>
        <row r="1772">
          <cell r="A1772">
            <v>23500009</v>
          </cell>
          <cell r="B1772" t="str">
            <v>고용 가속권 1일</v>
          </cell>
        </row>
        <row r="1773">
          <cell r="A1773">
            <v>23500010</v>
          </cell>
          <cell r="B1773" t="str">
            <v>격려 가속권 5분</v>
          </cell>
        </row>
        <row r="1774">
          <cell r="A1774">
            <v>23500011</v>
          </cell>
          <cell r="B1774" t="str">
            <v>격려 가속권 10분</v>
          </cell>
        </row>
        <row r="1775">
          <cell r="A1775">
            <v>23500012</v>
          </cell>
          <cell r="B1775" t="str">
            <v>격려 가속권 30분</v>
          </cell>
        </row>
        <row r="1776">
          <cell r="A1776">
            <v>23500013</v>
          </cell>
          <cell r="B1776" t="str">
            <v>격려 가속권 1시간</v>
          </cell>
        </row>
        <row r="1777">
          <cell r="A1777">
            <v>23500014</v>
          </cell>
          <cell r="B1777" t="str">
            <v>격려 가속권 6시간</v>
          </cell>
        </row>
        <row r="1778">
          <cell r="A1778">
            <v>23500015</v>
          </cell>
          <cell r="B1778" t="str">
            <v>격려 가속권 1일</v>
          </cell>
        </row>
        <row r="1779">
          <cell r="A1779">
            <v>23500016</v>
          </cell>
          <cell r="B1779" t="str">
            <v>건조 가속권 5분</v>
          </cell>
        </row>
        <row r="1780">
          <cell r="A1780">
            <v>23500017</v>
          </cell>
          <cell r="B1780" t="str">
            <v>건조 가속권 10분</v>
          </cell>
        </row>
        <row r="1781">
          <cell r="A1781">
            <v>23500018</v>
          </cell>
          <cell r="B1781" t="str">
            <v>건조 가속권 30분</v>
          </cell>
        </row>
        <row r="1782">
          <cell r="A1782">
            <v>23500019</v>
          </cell>
          <cell r="B1782" t="str">
            <v>건조 가속권 1시간</v>
          </cell>
        </row>
        <row r="1783">
          <cell r="A1783">
            <v>23500020</v>
          </cell>
          <cell r="B1783" t="str">
            <v>건조 가속권 6시간</v>
          </cell>
        </row>
        <row r="1784">
          <cell r="A1784">
            <v>23500021</v>
          </cell>
          <cell r="B1784" t="str">
            <v>건조 가속권 1일</v>
          </cell>
        </row>
        <row r="1785">
          <cell r="A1785">
            <v>23500022</v>
          </cell>
          <cell r="B1785" t="str">
            <v>승급 가속권 5분</v>
          </cell>
        </row>
        <row r="1786">
          <cell r="A1786">
            <v>23500023</v>
          </cell>
          <cell r="B1786" t="str">
            <v>승급 가속권 10분</v>
          </cell>
        </row>
        <row r="1787">
          <cell r="A1787">
            <v>23500024</v>
          </cell>
          <cell r="B1787" t="str">
            <v>승급 가속권 30분</v>
          </cell>
        </row>
        <row r="1788">
          <cell r="A1788">
            <v>23500025</v>
          </cell>
          <cell r="B1788" t="str">
            <v>승급 가속권 1시간</v>
          </cell>
        </row>
        <row r="1789">
          <cell r="A1789">
            <v>23500026</v>
          </cell>
          <cell r="B1789" t="str">
            <v>승급 가속권 6시간</v>
          </cell>
        </row>
        <row r="1790">
          <cell r="A1790">
            <v>23500027</v>
          </cell>
          <cell r="B1790" t="str">
            <v>승급 가속권 1일</v>
          </cell>
        </row>
        <row r="1791">
          <cell r="A1791">
            <v>23500028</v>
          </cell>
          <cell r="B1791" t="str">
            <v>학습 가속권 5분</v>
          </cell>
        </row>
        <row r="1792">
          <cell r="A1792">
            <v>23500029</v>
          </cell>
          <cell r="B1792" t="str">
            <v>학습 가속권 10분</v>
          </cell>
        </row>
        <row r="1793">
          <cell r="A1793">
            <v>23500030</v>
          </cell>
          <cell r="B1793" t="str">
            <v>학습 가속권 30분</v>
          </cell>
        </row>
        <row r="1794">
          <cell r="A1794">
            <v>23500031</v>
          </cell>
          <cell r="B1794" t="str">
            <v>학습 가속권 1시간</v>
          </cell>
        </row>
        <row r="1795">
          <cell r="A1795">
            <v>23500032</v>
          </cell>
          <cell r="B1795" t="str">
            <v>학습 가속권 6시간</v>
          </cell>
        </row>
        <row r="1796">
          <cell r="A1796">
            <v>23500033</v>
          </cell>
          <cell r="B1796" t="str">
            <v>학습 가속권 1일</v>
          </cell>
        </row>
        <row r="1797">
          <cell r="A1797">
            <v>23500034</v>
          </cell>
          <cell r="B1797" t="str">
            <v>제작 가속권 5분</v>
          </cell>
        </row>
        <row r="1798">
          <cell r="A1798">
            <v>23500035</v>
          </cell>
          <cell r="B1798" t="str">
            <v>제작 가속권 10분</v>
          </cell>
        </row>
        <row r="1799">
          <cell r="A1799">
            <v>23500036</v>
          </cell>
          <cell r="B1799" t="str">
            <v>제작 가속권 30분</v>
          </cell>
        </row>
        <row r="1800">
          <cell r="A1800">
            <v>23500037</v>
          </cell>
          <cell r="B1800" t="str">
            <v>제작 가속권 1시간</v>
          </cell>
        </row>
        <row r="1801">
          <cell r="A1801">
            <v>23500038</v>
          </cell>
          <cell r="B1801" t="str">
            <v>제작 가속권 6시간</v>
          </cell>
        </row>
        <row r="1802">
          <cell r="A1802">
            <v>23500039</v>
          </cell>
          <cell r="B1802" t="str">
            <v>제작 가속권 1일</v>
          </cell>
        </row>
        <row r="1803">
          <cell r="A1803">
            <v>23500040</v>
          </cell>
          <cell r="B1803" t="str">
            <v>파견 가속권 5분</v>
          </cell>
        </row>
        <row r="1804">
          <cell r="A1804">
            <v>23500041</v>
          </cell>
          <cell r="B1804" t="str">
            <v>파견 가속권 10분</v>
          </cell>
        </row>
        <row r="1805">
          <cell r="A1805">
            <v>23500042</v>
          </cell>
          <cell r="B1805" t="str">
            <v>파견 가속권 30분</v>
          </cell>
        </row>
        <row r="1806">
          <cell r="A1806">
            <v>23500043</v>
          </cell>
          <cell r="B1806" t="str">
            <v>파견 가속권 1시간</v>
          </cell>
        </row>
        <row r="1807">
          <cell r="A1807">
            <v>23500044</v>
          </cell>
          <cell r="B1807" t="str">
            <v>파견 가속권 6시간</v>
          </cell>
        </row>
        <row r="1808">
          <cell r="A1808">
            <v>23500045</v>
          </cell>
          <cell r="B1808" t="str">
            <v>파견 가속권 1일</v>
          </cell>
        </row>
        <row r="1809">
          <cell r="A1809">
            <v>23500046</v>
          </cell>
          <cell r="B1809" t="str">
            <v>합성 가속권 10분</v>
          </cell>
        </row>
        <row r="1810">
          <cell r="A1810">
            <v>23500047</v>
          </cell>
          <cell r="B1810" t="str">
            <v>합성 가속권 30분</v>
          </cell>
        </row>
        <row r="1811">
          <cell r="A1811">
            <v>23500048</v>
          </cell>
          <cell r="B1811" t="str">
            <v>합성 가속권 1시간</v>
          </cell>
        </row>
        <row r="1812">
          <cell r="A1812">
            <v>23500049</v>
          </cell>
          <cell r="B1812" t="str">
            <v>합성 가속권 6시간</v>
          </cell>
        </row>
        <row r="1813">
          <cell r="A1813">
            <v>23500050</v>
          </cell>
          <cell r="B1813" t="str">
            <v>합성 가속권 1일</v>
          </cell>
        </row>
        <row r="1814">
          <cell r="A1814">
            <v>23500051</v>
          </cell>
          <cell r="B1814" t="str">
            <v>합성 가속권 5분</v>
          </cell>
        </row>
        <row r="1815">
          <cell r="A1815">
            <v>23500052</v>
          </cell>
          <cell r="B1815" t="str">
            <v>가속권 5분</v>
          </cell>
        </row>
        <row r="1816">
          <cell r="A1816">
            <v>23500053</v>
          </cell>
          <cell r="B1816" t="str">
            <v>가속권 10분</v>
          </cell>
        </row>
        <row r="1817">
          <cell r="A1817">
            <v>23500054</v>
          </cell>
          <cell r="B1817" t="str">
            <v>가속권 30분</v>
          </cell>
        </row>
        <row r="1818">
          <cell r="A1818">
            <v>23500055</v>
          </cell>
          <cell r="B1818" t="str">
            <v>가속권 1시간</v>
          </cell>
        </row>
        <row r="1819">
          <cell r="A1819">
            <v>23500056</v>
          </cell>
          <cell r="B1819" t="str">
            <v>가속권 6시간</v>
          </cell>
        </row>
        <row r="1820">
          <cell r="A1820">
            <v>23500057</v>
          </cell>
          <cell r="B1820" t="str">
            <v>가속권 1일</v>
          </cell>
        </row>
        <row r="1821">
          <cell r="A1821">
            <v>23510000</v>
          </cell>
          <cell r="B1821" t="str">
            <v>항해사 티켓</v>
          </cell>
        </row>
        <row r="1822">
          <cell r="A1822">
            <v>23510001</v>
          </cell>
          <cell r="B1822" t="str">
            <v>고급 항해사 티켓</v>
          </cell>
        </row>
        <row r="1823">
          <cell r="A1823">
            <v>23510002</v>
          </cell>
          <cell r="B1823" t="str">
            <v>아이템 티켓</v>
          </cell>
        </row>
        <row r="1824">
          <cell r="A1824">
            <v>23510003</v>
          </cell>
          <cell r="B1824" t="str">
            <v>고급 아이템 티켓</v>
          </cell>
        </row>
        <row r="1825">
          <cell r="A1825">
            <v>23510004</v>
          </cell>
          <cell r="B1825" t="str">
            <v>술탄 티켓</v>
          </cell>
        </row>
        <row r="1826">
          <cell r="A1826">
            <v>23510005</v>
          </cell>
          <cell r="B1826" t="str">
            <v>갈릴레이 티켓</v>
          </cell>
        </row>
        <row r="1827">
          <cell r="A1827">
            <v>23510006</v>
          </cell>
          <cell r="B1827" t="str">
            <v>도비니 티켓</v>
          </cell>
        </row>
        <row r="1828">
          <cell r="A1828">
            <v>23510007</v>
          </cell>
          <cell r="B1828" t="str">
            <v>룸루 티켓</v>
          </cell>
        </row>
        <row r="1829">
          <cell r="A1829">
            <v>23510008</v>
          </cell>
          <cell r="B1829" t="str">
            <v>키르히 티켓</v>
          </cell>
        </row>
        <row r="1830">
          <cell r="A1830">
            <v>23510009</v>
          </cell>
          <cell r="B1830" t="str">
            <v>튜 티켓</v>
          </cell>
        </row>
        <row r="1831">
          <cell r="A1831">
            <v>23510010</v>
          </cell>
          <cell r="B1831" t="str">
            <v>보르자 티켓</v>
          </cell>
        </row>
        <row r="1832">
          <cell r="A1832">
            <v>23510011</v>
          </cell>
          <cell r="B1832" t="str">
            <v>마히데브란 티켓</v>
          </cell>
        </row>
        <row r="1833">
          <cell r="A1833">
            <v>23510012</v>
          </cell>
          <cell r="B1833" t="str">
            <v>콜론 티켓</v>
          </cell>
        </row>
        <row r="1834">
          <cell r="A1834">
            <v>23510013</v>
          </cell>
          <cell r="B1834" t="str">
            <v>알렘켈 티켓</v>
          </cell>
        </row>
        <row r="1835">
          <cell r="A1835">
            <v>23510014</v>
          </cell>
          <cell r="B1835" t="str">
            <v>알베르트 티켓</v>
          </cell>
        </row>
        <row r="1836">
          <cell r="A1836">
            <v>23510015</v>
          </cell>
          <cell r="B1836" t="str">
            <v>에제키엘 티켓</v>
          </cell>
        </row>
        <row r="1837">
          <cell r="A1837">
            <v>23510016</v>
          </cell>
          <cell r="B1837" t="str">
            <v>레밍톤 티켓</v>
          </cell>
        </row>
        <row r="1838">
          <cell r="A1838">
            <v>23510017</v>
          </cell>
          <cell r="B1838" t="str">
            <v>드레이크 티켓</v>
          </cell>
        </row>
        <row r="1839">
          <cell r="A1839">
            <v>23510018</v>
          </cell>
          <cell r="B1839" t="str">
            <v>플뢰리 티켓</v>
          </cell>
        </row>
        <row r="1840">
          <cell r="A1840">
            <v>23510019</v>
          </cell>
          <cell r="B1840" t="str">
            <v>쿡 티켓</v>
          </cell>
        </row>
        <row r="1841">
          <cell r="A1841">
            <v>23510020</v>
          </cell>
          <cell r="B1841" t="str">
            <v>가마 티켓</v>
          </cell>
        </row>
        <row r="1842">
          <cell r="A1842">
            <v>23510021</v>
          </cell>
          <cell r="B1842" t="str">
            <v>티노카틀 티켓</v>
          </cell>
        </row>
        <row r="1843">
          <cell r="A1843">
            <v>23510022</v>
          </cell>
          <cell r="B1843" t="str">
            <v>실버 티켓</v>
          </cell>
        </row>
        <row r="1844">
          <cell r="A1844">
            <v>23510023</v>
          </cell>
          <cell r="B1844" t="str">
            <v>안 티켓</v>
          </cell>
        </row>
        <row r="1845">
          <cell r="A1845">
            <v>23510024</v>
          </cell>
          <cell r="B1845" t="str">
            <v>데이비스 티켓</v>
          </cell>
        </row>
        <row r="1846">
          <cell r="A1846">
            <v>23510025</v>
          </cell>
          <cell r="B1846" t="str">
            <v>레이스 티켓</v>
          </cell>
        </row>
        <row r="1847">
          <cell r="A1847">
            <v>23510026</v>
          </cell>
          <cell r="B1847" t="str">
            <v>크리스티나 티켓</v>
          </cell>
        </row>
        <row r="1848">
          <cell r="A1848">
            <v>23510027</v>
          </cell>
          <cell r="B1848" t="str">
            <v>개척자의 아이템 티켓</v>
          </cell>
        </row>
        <row r="1849">
          <cell r="A1849">
            <v>23510028</v>
          </cell>
          <cell r="B1849" t="str">
            <v>치요메 티켓</v>
          </cell>
        </row>
        <row r="1850">
          <cell r="A1850">
            <v>23510029</v>
          </cell>
          <cell r="B1850" t="str">
            <v>환상의 밤 티켓</v>
          </cell>
        </row>
        <row r="1851">
          <cell r="A1851">
            <v>23510030</v>
          </cell>
          <cell r="B1851" t="str">
            <v>진격 티켓</v>
          </cell>
        </row>
        <row r="1852">
          <cell r="A1852">
            <v>23510031</v>
          </cell>
          <cell r="B1852" t="str">
            <v>서사시 티켓</v>
          </cell>
        </row>
        <row r="1853">
          <cell r="A1853">
            <v>23510032</v>
          </cell>
          <cell r="B1853" t="str">
            <v>100일 티켓</v>
          </cell>
        </row>
        <row r="1854">
          <cell r="A1854">
            <v>23510033</v>
          </cell>
          <cell r="B1854" t="str">
            <v>옹 티켓</v>
          </cell>
        </row>
        <row r="1855">
          <cell r="A1855">
            <v>23510034</v>
          </cell>
          <cell r="B1855" t="str">
            <v>루돌프 티켓</v>
          </cell>
        </row>
        <row r="1856">
          <cell r="A1856">
            <v>23510035</v>
          </cell>
          <cell r="B1856" t="str">
            <v>로버츠 티켓</v>
          </cell>
        </row>
        <row r="1857">
          <cell r="A1857">
            <v>23510036</v>
          </cell>
          <cell r="B1857" t="str">
            <v>오다 티켓</v>
          </cell>
        </row>
        <row r="1858">
          <cell r="A1858">
            <v>23510037</v>
          </cell>
          <cell r="B1858" t="str">
            <v>베리오 티켓</v>
          </cell>
        </row>
        <row r="1859">
          <cell r="A1859">
            <v>23510038</v>
          </cell>
          <cell r="B1859" t="str">
            <v>우르다네타 티켓</v>
          </cell>
        </row>
        <row r="1860">
          <cell r="A1860">
            <v>23510039</v>
          </cell>
          <cell r="B1860" t="str">
            <v>앙투아네트 티켓</v>
          </cell>
        </row>
        <row r="1861">
          <cell r="A1861">
            <v>23510040</v>
          </cell>
          <cell r="B1861" t="str">
            <v>붉은 티켓</v>
          </cell>
        </row>
        <row r="1862">
          <cell r="A1862">
            <v>23510041</v>
          </cell>
          <cell r="B1862" t="str">
            <v>무사시 티켓</v>
          </cell>
        </row>
        <row r="1863">
          <cell r="A1863">
            <v>23510042</v>
          </cell>
          <cell r="B1863" t="str">
            <v>동방의 영웅 티켓</v>
          </cell>
        </row>
        <row r="1864">
          <cell r="A1864">
            <v>23510043</v>
          </cell>
          <cell r="B1864" t="str">
            <v>사막의 빛 티켓</v>
          </cell>
        </row>
        <row r="1865">
          <cell r="A1865">
            <v>23510044</v>
          </cell>
          <cell r="B1865" t="str">
            <v>가로지르는 파도 티켓</v>
          </cell>
        </row>
        <row r="1866">
          <cell r="A1866">
            <v>23510045</v>
          </cell>
          <cell r="B1866" t="str">
            <v>붉은 충격 티켓</v>
          </cell>
        </row>
        <row r="1867">
          <cell r="A1867">
            <v>23510046</v>
          </cell>
          <cell r="B1867" t="str">
            <v>철벽의 요새 티켓</v>
          </cell>
        </row>
        <row r="1868">
          <cell r="A1868">
            <v>23510047</v>
          </cell>
          <cell r="B1868" t="str">
            <v>파도의 형태 티켓</v>
          </cell>
        </row>
        <row r="1869">
          <cell r="A1869">
            <v>23510048</v>
          </cell>
          <cell r="B1869" t="str">
            <v>심 티켓</v>
          </cell>
        </row>
        <row r="1870">
          <cell r="A1870">
            <v>23510049</v>
          </cell>
          <cell r="B1870" t="str">
            <v>장금 티켓</v>
          </cell>
        </row>
        <row r="1871">
          <cell r="A1871">
            <v>23510050</v>
          </cell>
          <cell r="B1871" t="str">
            <v>여름 티켓</v>
          </cell>
        </row>
        <row r="1872">
          <cell r="A1872">
            <v>23510051</v>
          </cell>
          <cell r="B1872" t="str">
            <v>반주년 티켓</v>
          </cell>
        </row>
        <row r="1873">
          <cell r="A1873">
            <v>23510052</v>
          </cell>
          <cell r="B1873" t="str">
            <v>다빈치 티켓</v>
          </cell>
        </row>
        <row r="1874">
          <cell r="A1874">
            <v>23510053</v>
          </cell>
          <cell r="B1874" t="str">
            <v>명계의 수호 티켓</v>
          </cell>
        </row>
        <row r="1875">
          <cell r="A1875">
            <v>23510054</v>
          </cell>
          <cell r="B1875" t="str">
            <v>넬슨 티켓</v>
          </cell>
        </row>
        <row r="1876">
          <cell r="A1876">
            <v>23510055</v>
          </cell>
          <cell r="B1876" t="str">
            <v>백여우 티켓</v>
          </cell>
        </row>
        <row r="1877">
          <cell r="A1877">
            <v>23510056</v>
          </cell>
          <cell r="B1877" t="str">
            <v>빛나는 날개 티켓</v>
          </cell>
        </row>
        <row r="1878">
          <cell r="A1878">
            <v>23510057</v>
          </cell>
          <cell r="B1878" t="str">
            <v>따가운 햇살 티켓</v>
          </cell>
        </row>
        <row r="1879">
          <cell r="A1879">
            <v>23510058</v>
          </cell>
          <cell r="B1879" t="str">
            <v>고래 충돌 티켓</v>
          </cell>
        </row>
        <row r="1880">
          <cell r="A1880">
            <v>23510059</v>
          </cell>
          <cell r="B1880" t="str">
            <v>불꽃 숨결 티켓</v>
          </cell>
        </row>
        <row r="1881">
          <cell r="A1881">
            <v>23510060</v>
          </cell>
          <cell r="B1881" t="str">
            <v>200일 티켓</v>
          </cell>
        </row>
        <row r="1882">
          <cell r="A1882">
            <v>23510061</v>
          </cell>
          <cell r="B1882" t="str">
            <v>전우치 티켓</v>
          </cell>
        </row>
        <row r="1883">
          <cell r="A1883">
            <v>23510062</v>
          </cell>
          <cell r="B1883" t="str">
            <v>진양옥 티켓</v>
          </cell>
        </row>
        <row r="1884">
          <cell r="A1884">
            <v>23510063</v>
          </cell>
          <cell r="B1884" t="str">
            <v>아르드비 티켓</v>
          </cell>
        </row>
        <row r="1885">
          <cell r="A1885">
            <v>23510064</v>
          </cell>
          <cell r="B1885" t="str">
            <v>파샤 티켓</v>
          </cell>
        </row>
        <row r="1886">
          <cell r="A1886">
            <v>23510065</v>
          </cell>
          <cell r="B1886" t="str">
            <v>입부 티켓</v>
          </cell>
        </row>
        <row r="1887">
          <cell r="A1887">
            <v>23510066</v>
          </cell>
          <cell r="B1887" t="str">
            <v>최무선 티켓</v>
          </cell>
        </row>
        <row r="1888">
          <cell r="A1888">
            <v>23510067</v>
          </cell>
          <cell r="B1888" t="str">
            <v>빛나는 수정 티켓</v>
          </cell>
        </row>
        <row r="1889">
          <cell r="A1889">
            <v>23510068</v>
          </cell>
          <cell r="B1889" t="str">
            <v>황진 티켓</v>
          </cell>
        </row>
        <row r="1890">
          <cell r="A1890">
            <v>23510069</v>
          </cell>
          <cell r="B1890" t="str">
            <v>가을의 달콤함 티켓</v>
          </cell>
        </row>
        <row r="1891">
          <cell r="A1891">
            <v>23510070</v>
          </cell>
          <cell r="B1891" t="str">
            <v>어두운 파도 티켓</v>
          </cell>
        </row>
        <row r="1892">
          <cell r="A1892">
            <v>23510071</v>
          </cell>
          <cell r="B1892" t="str">
            <v>오싹한 티켓</v>
          </cell>
        </row>
        <row r="1893">
          <cell r="A1893">
            <v>23510072</v>
          </cell>
          <cell r="B1893" t="str">
            <v>호킨스 티켓</v>
          </cell>
        </row>
        <row r="1894">
          <cell r="A1894">
            <v>23510073</v>
          </cell>
          <cell r="B1894" t="str">
            <v>로우 티켓</v>
          </cell>
        </row>
        <row r="1895">
          <cell r="A1895">
            <v>23510074</v>
          </cell>
          <cell r="B1895" t="str">
            <v>광군절 티켓</v>
          </cell>
        </row>
        <row r="1896">
          <cell r="A1896">
            <v>23510075</v>
          </cell>
          <cell r="B1896" t="str">
            <v>첫 상자 티켓</v>
          </cell>
        </row>
        <row r="1897">
          <cell r="A1897">
            <v>23510076</v>
          </cell>
          <cell r="B1897" t="str">
            <v>블랙 위크 티켓</v>
          </cell>
        </row>
        <row r="1898">
          <cell r="A1898">
            <v>23510077</v>
          </cell>
          <cell r="B1898" t="str">
            <v>아미나 티켓</v>
          </cell>
        </row>
        <row r="1899">
          <cell r="A1899">
            <v>23510078</v>
          </cell>
          <cell r="B1899" t="str">
            <v>나타샤 티켓</v>
          </cell>
        </row>
        <row r="1900">
          <cell r="A1900">
            <v>23510079</v>
          </cell>
          <cell r="B1900" t="str">
            <v>검은 뿔 티켓</v>
          </cell>
        </row>
        <row r="1901">
          <cell r="A1901">
            <v>23510080</v>
          </cell>
          <cell r="B1901" t="str">
            <v>어두운 바람 티켓</v>
          </cell>
        </row>
        <row r="1902">
          <cell r="A1902">
            <v>23510081</v>
          </cell>
          <cell r="B1902" t="str">
            <v>검은 성채 티켓</v>
          </cell>
        </row>
        <row r="1903">
          <cell r="A1903">
            <v>23510082</v>
          </cell>
          <cell r="B1903" t="str">
            <v>어두운 불꽃 티켓</v>
          </cell>
        </row>
        <row r="1904">
          <cell r="A1904">
            <v>23510083</v>
          </cell>
          <cell r="B1904" t="str">
            <v>검은 심장 티켓</v>
          </cell>
        </row>
        <row r="1905">
          <cell r="A1905">
            <v>23510084</v>
          </cell>
          <cell r="B1905" t="str">
            <v>무소의 힘 티켓</v>
          </cell>
        </row>
        <row r="1906">
          <cell r="A1906">
            <v>23510085</v>
          </cell>
          <cell r="B1906" t="str">
            <v>괴조의 발톱 티켓</v>
          </cell>
        </row>
        <row r="1907">
          <cell r="A1907">
            <v>23510086</v>
          </cell>
          <cell r="B1907" t="str">
            <v>사냥꾼의 깃창 티켓</v>
          </cell>
        </row>
        <row r="1908">
          <cell r="A1908">
            <v>23510087</v>
          </cell>
          <cell r="B1908" t="str">
            <v>나나미 티켓</v>
          </cell>
        </row>
        <row r="1909">
          <cell r="A1909">
            <v>23510088</v>
          </cell>
          <cell r="B1909" t="str">
            <v>미령 티켓</v>
          </cell>
        </row>
        <row r="1910">
          <cell r="A1910">
            <v>23510089</v>
          </cell>
          <cell r="B1910" t="str">
            <v>오루츠 티켓</v>
          </cell>
        </row>
        <row r="1911">
          <cell r="A1911">
            <v>23510090</v>
          </cell>
          <cell r="B1911" t="str">
            <v>칼리돈의 포효 티켓</v>
          </cell>
        </row>
        <row r="1912">
          <cell r="A1912">
            <v>23510091</v>
          </cell>
          <cell r="B1912" t="str">
            <v>청룡 티켓</v>
          </cell>
        </row>
        <row r="1913">
          <cell r="A1913">
            <v>23510092</v>
          </cell>
          <cell r="B1913" t="str">
            <v>안젤리카 티켓</v>
          </cell>
        </row>
        <row r="1914">
          <cell r="A1914">
            <v>23510093</v>
          </cell>
          <cell r="B1914" t="str">
            <v>포르툰데 티켓</v>
          </cell>
        </row>
        <row r="1915">
          <cell r="A1915">
            <v>23510094</v>
          </cell>
          <cell r="B1915" t="str">
            <v>튀폰의 분노 티켓</v>
          </cell>
        </row>
        <row r="1916">
          <cell r="A1916">
            <v>23510095</v>
          </cell>
          <cell r="B1916" t="str">
            <v>1주년 티켓</v>
          </cell>
        </row>
        <row r="1917">
          <cell r="A1917">
            <v>23510096</v>
          </cell>
          <cell r="B1917" t="str">
            <v>아르고의 탈출 티켓</v>
          </cell>
        </row>
        <row r="1918">
          <cell r="A1918">
            <v>23510097</v>
          </cell>
          <cell r="B1918" t="str">
            <v>다르크 티켓</v>
          </cell>
        </row>
        <row r="1919">
          <cell r="A1919">
            <v>23510098</v>
          </cell>
          <cell r="B1919" t="str">
            <v>라시드 티켓</v>
          </cell>
        </row>
        <row r="1920">
          <cell r="A1920">
            <v>23510099</v>
          </cell>
          <cell r="B1920" t="str">
            <v>G . S 티켓</v>
          </cell>
        </row>
        <row r="1921">
          <cell r="A1921">
            <v>23510100</v>
          </cell>
          <cell r="B1921" t="str">
            <v>보니르 티켓</v>
          </cell>
        </row>
        <row r="1922">
          <cell r="A1922">
            <v>23510101</v>
          </cell>
          <cell r="B1922" t="str">
            <v>브란트 티켓</v>
          </cell>
        </row>
        <row r="1923">
          <cell r="A1923">
            <v>23510102</v>
          </cell>
          <cell r="B1923" t="str">
            <v>그리어 티켓</v>
          </cell>
        </row>
        <row r="1924">
          <cell r="A1924">
            <v>23510103</v>
          </cell>
          <cell r="B1924" t="str">
            <v>란드그리드 티켓</v>
          </cell>
        </row>
        <row r="1925">
          <cell r="A1925">
            <v>23510104</v>
          </cell>
          <cell r="B1925" t="str">
            <v>크로우 티켓</v>
          </cell>
        </row>
        <row r="1926">
          <cell r="A1926">
            <v>23510105</v>
          </cell>
          <cell r="B1926" t="str">
            <v>벨 티켓</v>
          </cell>
        </row>
        <row r="1927">
          <cell r="A1927">
            <v>23510106</v>
          </cell>
          <cell r="B1927" t="str">
            <v>아미고 티켓</v>
          </cell>
        </row>
        <row r="1928">
          <cell r="A1928">
            <v>23510107</v>
          </cell>
          <cell r="B1928" t="str">
            <v>1등 항해사 티켓</v>
          </cell>
        </row>
        <row r="1929">
          <cell r="A1929">
            <v>23510108</v>
          </cell>
          <cell r="B1929" t="str">
            <v>우르두자 티켓</v>
          </cell>
        </row>
        <row r="1930">
          <cell r="A1930">
            <v>23510109</v>
          </cell>
          <cell r="B1930" t="str">
            <v>황금 티켓</v>
          </cell>
        </row>
        <row r="1931">
          <cell r="A1931">
            <v>23510110</v>
          </cell>
          <cell r="B1931" t="str">
            <v>연대기 항해사 티켓</v>
          </cell>
        </row>
        <row r="1932">
          <cell r="A1932">
            <v>23510111</v>
          </cell>
          <cell r="B1932" t="str">
            <v>픽업 항해사 티켓</v>
          </cell>
        </row>
        <row r="1933">
          <cell r="A1933">
            <v>23510112</v>
          </cell>
          <cell r="B1933" t="str">
            <v>종업원 계약서 티켓</v>
          </cell>
        </row>
        <row r="1934">
          <cell r="A1934">
            <v>23510200</v>
          </cell>
          <cell r="B1934" t="str">
            <v>6위안 상품권</v>
          </cell>
        </row>
        <row r="1935">
          <cell r="A1935">
            <v>23510201</v>
          </cell>
          <cell r="B1935" t="str">
            <v>18위안 상품권</v>
          </cell>
        </row>
        <row r="1936">
          <cell r="A1936">
            <v>23510202</v>
          </cell>
          <cell r="B1936" t="str">
            <v>30위안 상품권</v>
          </cell>
        </row>
        <row r="1937">
          <cell r="A1937">
            <v>23510203</v>
          </cell>
          <cell r="B1937" t="str">
            <v>68위안 상품권</v>
          </cell>
        </row>
        <row r="1938">
          <cell r="A1938">
            <v>23510204</v>
          </cell>
          <cell r="B1938" t="str">
            <v>128위안 상품권</v>
          </cell>
        </row>
        <row r="1939">
          <cell r="A1939">
            <v>23510205</v>
          </cell>
          <cell r="B1939" t="str">
            <v>198위안 상품권</v>
          </cell>
        </row>
        <row r="1940">
          <cell r="A1940">
            <v>23510206</v>
          </cell>
          <cell r="B1940" t="str">
            <v>328위안 상품권</v>
          </cell>
        </row>
        <row r="1941">
          <cell r="A1941">
            <v>23510207</v>
          </cell>
          <cell r="B1941" t="str">
            <v>648위안 상품권</v>
          </cell>
        </row>
        <row r="1942">
          <cell r="A1942">
            <v>23520000</v>
          </cell>
          <cell r="B1942" t="str">
            <v>암브로시노</v>
          </cell>
        </row>
        <row r="1943">
          <cell r="A1943">
            <v>23520001</v>
          </cell>
          <cell r="B1943" t="str">
            <v>마카로니 파스타</v>
          </cell>
        </row>
        <row r="1944">
          <cell r="A1944">
            <v>23520002</v>
          </cell>
          <cell r="B1944" t="str">
            <v>해산물을 올린 피자</v>
          </cell>
        </row>
        <row r="1945">
          <cell r="A1945">
            <v>23520003</v>
          </cell>
          <cell r="B1945" t="str">
            <v>수제 육포</v>
          </cell>
        </row>
        <row r="1946">
          <cell r="A1946">
            <v>23520004</v>
          </cell>
          <cell r="B1946" t="str">
            <v>케이크</v>
          </cell>
        </row>
        <row r="1947">
          <cell r="A1947">
            <v>23520005</v>
          </cell>
          <cell r="B1947" t="str">
            <v>궁중 떡볶이</v>
          </cell>
        </row>
        <row r="1948">
          <cell r="A1948">
            <v>23520006</v>
          </cell>
          <cell r="B1948" t="str">
            <v>생크림 케이크</v>
          </cell>
        </row>
        <row r="1949">
          <cell r="A1949">
            <v>23520007</v>
          </cell>
          <cell r="B1949" t="str">
            <v>향신료를 곁들인 사슴고기 파이</v>
          </cell>
        </row>
        <row r="1950">
          <cell r="A1950">
            <v>23520008</v>
          </cell>
          <cell r="B1950" t="str">
            <v>말린 해삼 볶음</v>
          </cell>
        </row>
        <row r="1951">
          <cell r="A1951">
            <v>23520009</v>
          </cell>
          <cell r="B1951" t="str">
            <v>바닐라 아이스크림</v>
          </cell>
        </row>
        <row r="1952">
          <cell r="A1952">
            <v>23520010</v>
          </cell>
          <cell r="B1952" t="str">
            <v>연와</v>
          </cell>
        </row>
        <row r="1953">
          <cell r="A1953">
            <v>23520011</v>
          </cell>
          <cell r="B1953" t="str">
            <v>특제 스튜</v>
          </cell>
        </row>
        <row r="1954">
          <cell r="A1954">
            <v>23520012</v>
          </cell>
          <cell r="B1954" t="str">
            <v>고급 가축 사료</v>
          </cell>
        </row>
        <row r="1955">
          <cell r="A1955">
            <v>23520013</v>
          </cell>
          <cell r="B1955" t="str">
            <v>특수 가축 사료</v>
          </cell>
        </row>
        <row r="1956">
          <cell r="A1956">
            <v>23520014</v>
          </cell>
          <cell r="B1956" t="str">
            <v>마늘을 곁들인 구운 닭</v>
          </cell>
        </row>
        <row r="1957">
          <cell r="A1957">
            <v>23520015</v>
          </cell>
          <cell r="B1957" t="str">
            <v>미확인 광석</v>
          </cell>
        </row>
        <row r="1958">
          <cell r="A1958">
            <v>23520016</v>
          </cell>
          <cell r="B1958" t="str">
            <v>미확인 식물</v>
          </cell>
        </row>
        <row r="1959">
          <cell r="A1959">
            <v>23520017</v>
          </cell>
          <cell r="B1959" t="str">
            <v>사슴</v>
          </cell>
        </row>
        <row r="1960">
          <cell r="A1960">
            <v>23520018</v>
          </cell>
          <cell r="B1960" t="str">
            <v>용설란</v>
          </cell>
        </row>
        <row r="1961">
          <cell r="A1961">
            <v>23520019</v>
          </cell>
          <cell r="B1961" t="str">
            <v>제비집</v>
          </cell>
        </row>
        <row r="1962">
          <cell r="A1962">
            <v>23520020</v>
          </cell>
          <cell r="B1962" t="str">
            <v>거친 모래</v>
          </cell>
        </row>
        <row r="1963">
          <cell r="A1963">
            <v>23520021</v>
          </cell>
          <cell r="B1963" t="str">
            <v>밀가루 반죽</v>
          </cell>
        </row>
        <row r="1964">
          <cell r="A1964">
            <v>23520022</v>
          </cell>
          <cell r="B1964" t="str">
            <v>파이 반죽</v>
          </cell>
        </row>
        <row r="1965">
          <cell r="A1965">
            <v>23520023</v>
          </cell>
          <cell r="B1965" t="str">
            <v>맥아</v>
          </cell>
        </row>
        <row r="1966">
          <cell r="A1966">
            <v>23520024</v>
          </cell>
          <cell r="B1966" t="str">
            <v>비법 양념</v>
          </cell>
        </row>
        <row r="1967">
          <cell r="A1967">
            <v>23520025</v>
          </cell>
          <cell r="B1967" t="str">
            <v>효모</v>
          </cell>
        </row>
        <row r="1968">
          <cell r="A1968">
            <v>23520026</v>
          </cell>
          <cell r="B1968" t="str">
            <v>크렘 샹티이</v>
          </cell>
        </row>
        <row r="1969">
          <cell r="A1969">
            <v>23520027</v>
          </cell>
          <cell r="B1969" t="str">
            <v>홉</v>
          </cell>
        </row>
        <row r="1970">
          <cell r="A1970">
            <v>23520028</v>
          </cell>
          <cell r="B1970" t="str">
            <v>향신료 주머니</v>
          </cell>
        </row>
        <row r="1971">
          <cell r="A1971">
            <v>23520029</v>
          </cell>
          <cell r="B1971" t="str">
            <v>고운 모래</v>
          </cell>
        </row>
        <row r="1972">
          <cell r="A1972">
            <v>23520030</v>
          </cell>
          <cell r="B1972" t="str">
            <v>장작</v>
          </cell>
        </row>
        <row r="1973">
          <cell r="A1973">
            <v>23520031</v>
          </cell>
          <cell r="B1973" t="str">
            <v>코크스</v>
          </cell>
        </row>
        <row r="1974">
          <cell r="A1974">
            <v>23520032</v>
          </cell>
          <cell r="B1974" t="str">
            <v>절구</v>
          </cell>
        </row>
        <row r="1975">
          <cell r="A1975">
            <v>23520033</v>
          </cell>
          <cell r="B1975" t="str">
            <v>도가니</v>
          </cell>
        </row>
        <row r="1976">
          <cell r="A1976">
            <v>23520034</v>
          </cell>
          <cell r="B1976" t="str">
            <v>증류기</v>
          </cell>
        </row>
        <row r="1977">
          <cell r="A1977">
            <v>23520035</v>
          </cell>
          <cell r="B1977" t="str">
            <v>분쇄기</v>
          </cell>
        </row>
        <row r="1978">
          <cell r="A1978">
            <v>23520036</v>
          </cell>
          <cell r="B1978" t="str">
            <v>반죽기</v>
          </cell>
        </row>
        <row r="1979">
          <cell r="A1979">
            <v>23520037</v>
          </cell>
          <cell r="B1979" t="str">
            <v>연마기</v>
          </cell>
        </row>
        <row r="1980">
          <cell r="A1980">
            <v>23520038</v>
          </cell>
          <cell r="B1980" t="str">
            <v>구리관</v>
          </cell>
        </row>
        <row r="1981">
          <cell r="A1981">
            <v>23520039</v>
          </cell>
          <cell r="B1981" t="str">
            <v>장비 가루</v>
          </cell>
        </row>
        <row r="1982">
          <cell r="A1982">
            <v>23520040</v>
          </cell>
          <cell r="B1982" t="str">
            <v>장비 파편</v>
          </cell>
        </row>
        <row r="1983">
          <cell r="A1983">
            <v>23520041</v>
          </cell>
          <cell r="B1983" t="str">
            <v>큰 장비 파편</v>
          </cell>
        </row>
        <row r="1984">
          <cell r="A1984">
            <v>23520042</v>
          </cell>
          <cell r="B1984" t="str">
            <v>장비 골조</v>
          </cell>
        </row>
        <row r="1985">
          <cell r="A1985">
            <v>23520043</v>
          </cell>
          <cell r="B1985" t="str">
            <v>부품 가루</v>
          </cell>
        </row>
        <row r="1986">
          <cell r="A1986">
            <v>23520044</v>
          </cell>
          <cell r="B1986" t="str">
            <v>부품 파편</v>
          </cell>
        </row>
        <row r="1987">
          <cell r="A1987">
            <v>23520045</v>
          </cell>
          <cell r="B1987" t="str">
            <v>큰 부품 파편</v>
          </cell>
        </row>
        <row r="1988">
          <cell r="A1988">
            <v>23520046</v>
          </cell>
          <cell r="B1988" t="str">
            <v>부품 골조</v>
          </cell>
        </row>
        <row r="1989">
          <cell r="A1989">
            <v>23520047</v>
          </cell>
          <cell r="B1989" t="str">
            <v>별의 파편</v>
          </cell>
        </row>
        <row r="1990">
          <cell r="A1990">
            <v>23520048</v>
          </cell>
          <cell r="B1990" t="str">
            <v>톱니바퀴</v>
          </cell>
        </row>
        <row r="1991">
          <cell r="A1991">
            <v>23520049</v>
          </cell>
          <cell r="B1991" t="str">
            <v>주조 비법서</v>
          </cell>
        </row>
        <row r="1992">
          <cell r="A1992">
            <v>23523000</v>
          </cell>
          <cell r="B1992" t="str">
            <v>유용한 항해 비법</v>
          </cell>
        </row>
        <row r="1993">
          <cell r="A1993">
            <v>23523001</v>
          </cell>
          <cell r="B1993" t="str">
            <v>바다에서 살아남기 - 낚시 미끼편</v>
          </cell>
        </row>
        <row r="1994">
          <cell r="A1994">
            <v>23523002</v>
          </cell>
          <cell r="B1994" t="str">
            <v>환상의 디저트</v>
          </cell>
        </row>
        <row r="1995">
          <cell r="A1995">
            <v>23523003</v>
          </cell>
          <cell r="B1995" t="str">
            <v>음식디미방</v>
          </cell>
        </row>
        <row r="1996">
          <cell r="A1996">
            <v>23523004</v>
          </cell>
          <cell r="B1996" t="str">
            <v>보리술 만들기</v>
          </cell>
        </row>
        <row r="1997">
          <cell r="A1997">
            <v>23523005</v>
          </cell>
          <cell r="B1997" t="str">
            <v>야영용 요리</v>
          </cell>
        </row>
        <row r="1998">
          <cell r="A1998">
            <v>23523006</v>
          </cell>
          <cell r="B1998" t="str">
            <v>귀족의 요리</v>
          </cell>
        </row>
        <row r="1999">
          <cell r="A1999">
            <v>23523007</v>
          </cell>
          <cell r="B1999" t="str">
            <v>수원식단</v>
          </cell>
        </row>
        <row r="2000">
          <cell r="A2000">
            <v>23523008</v>
          </cell>
          <cell r="B2000" t="str">
            <v>건강한 가축 육종법</v>
          </cell>
        </row>
        <row r="2001">
          <cell r="A2001">
            <v>23523009</v>
          </cell>
          <cell r="B2001" t="str">
            <v>꽃차 만들기</v>
          </cell>
        </row>
        <row r="2002">
          <cell r="A2002">
            <v>23523010</v>
          </cell>
          <cell r="B2002" t="str">
            <v>신대륙의 술</v>
          </cell>
        </row>
        <row r="2003">
          <cell r="A2003">
            <v>23523011</v>
          </cell>
          <cell r="B2003" t="str">
            <v>리브로 데 아르테 코퀴나리아</v>
          </cell>
        </row>
        <row r="2004">
          <cell r="A2004">
            <v>23523012</v>
          </cell>
          <cell r="B2004" t="str">
            <v>맛의 향연</v>
          </cell>
        </row>
        <row r="2005">
          <cell r="A2005">
            <v>23523013</v>
          </cell>
          <cell r="B2005" t="str">
            <v>유용한 도구 제작법</v>
          </cell>
        </row>
        <row r="2006">
          <cell r="A2006">
            <v>23523014</v>
          </cell>
          <cell r="B2006" t="str">
            <v>제련 비법서 : 원광</v>
          </cell>
        </row>
        <row r="2007">
          <cell r="A2007">
            <v>23523015</v>
          </cell>
          <cell r="B2007" t="str">
            <v>제련 비법서 : 합금</v>
          </cell>
        </row>
        <row r="2008">
          <cell r="A2008">
            <v>23523016</v>
          </cell>
          <cell r="B2008" t="str">
            <v>제련 비법서 : 귀금속</v>
          </cell>
        </row>
        <row r="2009">
          <cell r="A2009">
            <v>23523017</v>
          </cell>
          <cell r="B2009" t="str">
            <v>주조 비법서 : 칼날</v>
          </cell>
        </row>
        <row r="2010">
          <cell r="A2010">
            <v>23523018</v>
          </cell>
          <cell r="B2010" t="str">
            <v>투명한 보석</v>
          </cell>
        </row>
        <row r="2011">
          <cell r="A2011">
            <v>23523019</v>
          </cell>
          <cell r="B2011" t="str">
            <v>구리 제작 비법서</v>
          </cell>
        </row>
        <row r="2012">
          <cell r="A2012">
            <v>23523020</v>
          </cell>
          <cell r="B2012" t="str">
            <v>원소탐구 1</v>
          </cell>
        </row>
        <row r="2013">
          <cell r="A2013">
            <v>23523021</v>
          </cell>
          <cell r="B2013" t="str">
            <v>원소탐구 2</v>
          </cell>
        </row>
        <row r="2014">
          <cell r="A2014">
            <v>23523022</v>
          </cell>
          <cell r="B2014" t="str">
            <v>원소탐구 3</v>
          </cell>
        </row>
        <row r="2015">
          <cell r="A2015">
            <v>23523023</v>
          </cell>
          <cell r="B2015" t="str">
            <v>기본 장비 설계 안내서</v>
          </cell>
        </row>
        <row r="2016">
          <cell r="A2016">
            <v>23523024</v>
          </cell>
          <cell r="B2016" t="str">
            <v>상급 장비 설계 안내서</v>
          </cell>
        </row>
        <row r="2017">
          <cell r="A2017">
            <v>23523025</v>
          </cell>
          <cell r="B2017" t="str">
            <v>최상급 장비 설계 안내서</v>
          </cell>
        </row>
        <row r="2018">
          <cell r="A2018">
            <v>23523026</v>
          </cell>
          <cell r="B2018" t="str">
            <v>기본 부품 설계 안내서</v>
          </cell>
        </row>
        <row r="2019">
          <cell r="A2019">
            <v>23523027</v>
          </cell>
          <cell r="B2019" t="str">
            <v>상급 부품 설계 안내서</v>
          </cell>
        </row>
        <row r="2020">
          <cell r="A2020">
            <v>23523028</v>
          </cell>
          <cell r="B2020" t="str">
            <v>최상급 부품 설계 안내서</v>
          </cell>
        </row>
        <row r="2021">
          <cell r="A2021">
            <v>23523029</v>
          </cell>
          <cell r="B2021" t="str">
            <v>에메랄드 타블렛 Ⅰ</v>
          </cell>
        </row>
        <row r="2022">
          <cell r="A2022">
            <v>23523030</v>
          </cell>
          <cell r="B2022" t="str">
            <v>철 제작 비법서</v>
          </cell>
        </row>
        <row r="2023">
          <cell r="A2023">
            <v>23523031</v>
          </cell>
          <cell r="B2023" t="str">
            <v>운사의 비전서</v>
          </cell>
        </row>
        <row r="2024">
          <cell r="A2024">
            <v>23523032</v>
          </cell>
          <cell r="B2024" t="str">
            <v>귀금속 판별법</v>
          </cell>
        </row>
        <row r="2025">
          <cell r="A2025">
            <v>23523033</v>
          </cell>
          <cell r="B2025" t="str">
            <v>무기도감</v>
          </cell>
        </row>
        <row r="2026">
          <cell r="A2026">
            <v>23523034</v>
          </cell>
          <cell r="B2026" t="str">
            <v>화산의 광석</v>
          </cell>
        </row>
        <row r="2027">
          <cell r="A2027">
            <v>23523035</v>
          </cell>
          <cell r="B2027" t="str">
            <v>영웅의 비전서</v>
          </cell>
        </row>
        <row r="2028">
          <cell r="A2028">
            <v>23540001</v>
          </cell>
          <cell r="B2028" t="str">
            <v>평범한 폭죽</v>
          </cell>
        </row>
        <row r="2029">
          <cell r="A2029">
            <v>23540002</v>
          </cell>
          <cell r="B2029" t="str">
            <v>화려한 폭죽</v>
          </cell>
        </row>
        <row r="2030">
          <cell r="A2030">
            <v>23550001</v>
          </cell>
          <cell r="B2030" t="str">
            <v>C급 장비 의뢰서</v>
          </cell>
        </row>
        <row r="2031">
          <cell r="A2031">
            <v>23550002</v>
          </cell>
          <cell r="B2031" t="str">
            <v>C급 녹색 광석</v>
          </cell>
        </row>
        <row r="2032">
          <cell r="A2032">
            <v>23550003</v>
          </cell>
          <cell r="B2032" t="str">
            <v>C급 푸른색 광석</v>
          </cell>
        </row>
        <row r="2033">
          <cell r="A2033">
            <v>23550004</v>
          </cell>
          <cell r="B2033" t="str">
            <v>C급 붉은색 광석</v>
          </cell>
        </row>
        <row r="2034">
          <cell r="A2034">
            <v>23550005</v>
          </cell>
          <cell r="B2034" t="str">
            <v>B급 장비 의뢰서</v>
          </cell>
        </row>
        <row r="2035">
          <cell r="A2035">
            <v>23550006</v>
          </cell>
          <cell r="B2035" t="str">
            <v>B급 녹색 광석</v>
          </cell>
        </row>
        <row r="2036">
          <cell r="A2036">
            <v>23550007</v>
          </cell>
          <cell r="B2036" t="str">
            <v>B급 푸른색 광석</v>
          </cell>
        </row>
        <row r="2037">
          <cell r="A2037">
            <v>23550008</v>
          </cell>
          <cell r="B2037" t="str">
            <v>B급 붉은색 광석</v>
          </cell>
        </row>
        <row r="2038">
          <cell r="A2038">
            <v>23550009</v>
          </cell>
          <cell r="B2038" t="str">
            <v>A급 장비 의뢰서</v>
          </cell>
        </row>
        <row r="2039">
          <cell r="A2039">
            <v>23550010</v>
          </cell>
          <cell r="B2039" t="str">
            <v>A급 녹색 광석</v>
          </cell>
        </row>
        <row r="2040">
          <cell r="A2040">
            <v>23550011</v>
          </cell>
          <cell r="B2040" t="str">
            <v>A급 푸른색 광석</v>
          </cell>
        </row>
        <row r="2041">
          <cell r="A2041">
            <v>23550012</v>
          </cell>
          <cell r="B2041" t="str">
            <v>A급 붉은색 광석</v>
          </cell>
        </row>
        <row r="2042">
          <cell r="A2042">
            <v>23550013</v>
          </cell>
          <cell r="B2042" t="str">
            <v>C급 부품 의뢰서</v>
          </cell>
        </row>
        <row r="2043">
          <cell r="A2043">
            <v>23550014</v>
          </cell>
          <cell r="B2043" t="str">
            <v>C급 가공 금속</v>
          </cell>
        </row>
        <row r="2044">
          <cell r="A2044">
            <v>23550015</v>
          </cell>
          <cell r="B2044" t="str">
            <v>C급 가공 철재</v>
          </cell>
        </row>
        <row r="2045">
          <cell r="A2045">
            <v>23550016</v>
          </cell>
          <cell r="B2045" t="str">
            <v>C급 가공 목재</v>
          </cell>
        </row>
        <row r="2046">
          <cell r="A2046">
            <v>23550017</v>
          </cell>
          <cell r="B2046" t="str">
            <v>B급 부품 의뢰서</v>
          </cell>
        </row>
        <row r="2047">
          <cell r="A2047">
            <v>23550018</v>
          </cell>
          <cell r="B2047" t="str">
            <v>B급 가공 금속</v>
          </cell>
        </row>
        <row r="2048">
          <cell r="A2048">
            <v>23550019</v>
          </cell>
          <cell r="B2048" t="str">
            <v>B급 가공 철재</v>
          </cell>
        </row>
        <row r="2049">
          <cell r="A2049">
            <v>23550020</v>
          </cell>
          <cell r="B2049" t="str">
            <v>B급 가공 목재</v>
          </cell>
        </row>
        <row r="2050">
          <cell r="A2050">
            <v>23550021</v>
          </cell>
          <cell r="B2050" t="str">
            <v>A급 부품 의뢰서</v>
          </cell>
        </row>
        <row r="2051">
          <cell r="A2051">
            <v>23550022</v>
          </cell>
          <cell r="B2051" t="str">
            <v>A급 가공 금속</v>
          </cell>
        </row>
        <row r="2052">
          <cell r="A2052">
            <v>23550023</v>
          </cell>
          <cell r="B2052" t="str">
            <v>A급 가공 철재</v>
          </cell>
        </row>
        <row r="2053">
          <cell r="A2053">
            <v>23550024</v>
          </cell>
          <cell r="B2053" t="str">
            <v>A급 가공 목재</v>
          </cell>
        </row>
        <row r="2054">
          <cell r="A2054">
            <v>23559001</v>
          </cell>
          <cell r="B2054" t="str">
            <v>검은 수염의 장비 의뢰서</v>
          </cell>
        </row>
        <row r="2055">
          <cell r="A2055">
            <v>23559002</v>
          </cell>
          <cell r="B2055" t="str">
            <v>검은 수염의 부품 의뢰서</v>
          </cell>
        </row>
        <row r="2056">
          <cell r="A2056">
            <v>23600000</v>
          </cell>
          <cell r="B2056" t="str">
            <v>저렴한 낚싯대</v>
          </cell>
        </row>
        <row r="2057">
          <cell r="A2057">
            <v>23600001</v>
          </cell>
          <cell r="B2057" t="str">
            <v>중급 낚싯대</v>
          </cell>
        </row>
        <row r="2058">
          <cell r="A2058">
            <v>23600002</v>
          </cell>
          <cell r="B2058" t="str">
            <v>고급 낚싯대</v>
          </cell>
        </row>
        <row r="2059">
          <cell r="A2059">
            <v>23600003</v>
          </cell>
          <cell r="B2059" t="str">
            <v>특별한 낚싯대</v>
          </cell>
        </row>
        <row r="2060">
          <cell r="A2060">
            <v>23600004</v>
          </cell>
          <cell r="B2060" t="str">
            <v>전설의 낚싯대</v>
          </cell>
        </row>
        <row r="2061">
          <cell r="A2061">
            <v>23600010</v>
          </cell>
          <cell r="B2061" t="str">
            <v>저렴한 떡밥</v>
          </cell>
        </row>
        <row r="2062">
          <cell r="A2062">
            <v>23600011</v>
          </cell>
          <cell r="B2062" t="str">
            <v>중급 떡밥</v>
          </cell>
        </row>
        <row r="2063">
          <cell r="A2063">
            <v>23600012</v>
          </cell>
          <cell r="B2063" t="str">
            <v>고급 떡밥</v>
          </cell>
        </row>
        <row r="2064">
          <cell r="A2064">
            <v>23600013</v>
          </cell>
          <cell r="B2064" t="str">
            <v>특별한 떡밥</v>
          </cell>
        </row>
        <row r="2065">
          <cell r="A2065">
            <v>23600014</v>
          </cell>
          <cell r="B2065" t="str">
            <v>전설의 떡밥</v>
          </cell>
        </row>
        <row r="2066">
          <cell r="A2066">
            <v>23610000</v>
          </cell>
          <cell r="B2066" t="str">
            <v>소형 용골</v>
          </cell>
        </row>
        <row r="2067">
          <cell r="A2067">
            <v>23610001</v>
          </cell>
          <cell r="B2067" t="str">
            <v>중형 용골</v>
          </cell>
        </row>
        <row r="2068">
          <cell r="A2068">
            <v>23610002</v>
          </cell>
          <cell r="B2068" t="str">
            <v>대형 용골</v>
          </cell>
        </row>
        <row r="2069">
          <cell r="A2069">
            <v>23610003</v>
          </cell>
          <cell r="B2069" t="str">
            <v>초대형 용골</v>
          </cell>
        </row>
        <row r="2070">
          <cell r="A2070">
            <v>23610004</v>
          </cell>
          <cell r="B2070" t="str">
            <v>밧줄</v>
          </cell>
        </row>
        <row r="2071">
          <cell r="A2071">
            <v>23610005</v>
          </cell>
          <cell r="B2071" t="str">
            <v>특수 가공 밧줄</v>
          </cell>
        </row>
        <row r="2072">
          <cell r="A2072">
            <v>23610006</v>
          </cell>
          <cell r="B2072" t="str">
            <v>강화 밧줄</v>
          </cell>
        </row>
        <row r="2073">
          <cell r="A2073">
            <v>23610007</v>
          </cell>
          <cell r="B2073" t="str">
            <v>특수 강화 밧줄</v>
          </cell>
        </row>
        <row r="2074">
          <cell r="A2074">
            <v>23610008</v>
          </cell>
          <cell r="B2074" t="str">
            <v>삼나무</v>
          </cell>
        </row>
        <row r="2075">
          <cell r="A2075">
            <v>23610009</v>
          </cell>
          <cell r="B2075" t="str">
            <v>가문비나무</v>
          </cell>
        </row>
        <row r="2076">
          <cell r="A2076">
            <v>23610010</v>
          </cell>
          <cell r="B2076" t="str">
            <v>적송</v>
          </cell>
        </row>
        <row r="2077">
          <cell r="A2077">
            <v>23610011</v>
          </cell>
          <cell r="B2077" t="str">
            <v>오리나무</v>
          </cell>
        </row>
        <row r="2078">
          <cell r="A2078">
            <v>23610012</v>
          </cell>
          <cell r="B2078" t="str">
            <v>너도밤나무</v>
          </cell>
        </row>
        <row r="2079">
          <cell r="A2079">
            <v>23610013</v>
          </cell>
          <cell r="B2079" t="str">
            <v>티크</v>
          </cell>
        </row>
        <row r="2080">
          <cell r="A2080">
            <v>23610014</v>
          </cell>
          <cell r="B2080" t="str">
            <v>호두나무</v>
          </cell>
        </row>
        <row r="2081">
          <cell r="A2081">
            <v>23610015</v>
          </cell>
          <cell r="B2081" t="str">
            <v>자단나무</v>
          </cell>
        </row>
        <row r="2082">
          <cell r="A2082">
            <v>23610016</v>
          </cell>
          <cell r="B2082" t="str">
            <v>흑단나무</v>
          </cell>
        </row>
        <row r="2083">
          <cell r="A2083">
            <v>23610017</v>
          </cell>
          <cell r="B2083" t="str">
            <v>삼나무 돛대</v>
          </cell>
        </row>
        <row r="2084">
          <cell r="A2084">
            <v>23610018</v>
          </cell>
          <cell r="B2084" t="str">
            <v>가문비나무 돛대</v>
          </cell>
        </row>
        <row r="2085">
          <cell r="A2085">
            <v>23610019</v>
          </cell>
          <cell r="B2085" t="str">
            <v>적송 돛대</v>
          </cell>
        </row>
        <row r="2086">
          <cell r="A2086">
            <v>23610020</v>
          </cell>
          <cell r="B2086" t="str">
            <v>오리나무 돛대</v>
          </cell>
        </row>
        <row r="2087">
          <cell r="A2087">
            <v>23610021</v>
          </cell>
          <cell r="B2087" t="str">
            <v>너도밤나무 돛대</v>
          </cell>
        </row>
        <row r="2088">
          <cell r="A2088">
            <v>23610022</v>
          </cell>
          <cell r="B2088" t="str">
            <v>티크 돛대</v>
          </cell>
        </row>
        <row r="2089">
          <cell r="A2089">
            <v>23610023</v>
          </cell>
          <cell r="B2089" t="str">
            <v>호두나무 돛대</v>
          </cell>
        </row>
        <row r="2090">
          <cell r="A2090">
            <v>23610024</v>
          </cell>
          <cell r="B2090" t="str">
            <v>자단나무 돛대</v>
          </cell>
        </row>
        <row r="2091">
          <cell r="A2091">
            <v>23610025</v>
          </cell>
          <cell r="B2091" t="str">
            <v>흑단나무 돛대</v>
          </cell>
        </row>
        <row r="2092">
          <cell r="A2092">
            <v>23610026</v>
          </cell>
          <cell r="B2092" t="str">
            <v>양모</v>
          </cell>
        </row>
        <row r="2093">
          <cell r="A2093">
            <v>23610027</v>
          </cell>
          <cell r="B2093" t="str">
            <v>대마</v>
          </cell>
        </row>
        <row r="2094">
          <cell r="A2094">
            <v>23610028</v>
          </cell>
          <cell r="B2094" t="str">
            <v>고급 대마</v>
          </cell>
        </row>
        <row r="2095">
          <cell r="A2095">
            <v>23610029</v>
          </cell>
          <cell r="B2095" t="str">
            <v>황마</v>
          </cell>
        </row>
        <row r="2096">
          <cell r="A2096">
            <v>23610030</v>
          </cell>
          <cell r="B2096" t="str">
            <v>고급 황마</v>
          </cell>
        </row>
        <row r="2097">
          <cell r="A2097">
            <v>23610031</v>
          </cell>
          <cell r="B2097" t="str">
            <v>리넨</v>
          </cell>
        </row>
        <row r="2098">
          <cell r="A2098">
            <v>23610032</v>
          </cell>
          <cell r="B2098" t="str">
            <v>고급 리넨</v>
          </cell>
        </row>
        <row r="2099">
          <cell r="A2099">
            <v>23610033</v>
          </cell>
          <cell r="B2099" t="str">
            <v>면</v>
          </cell>
        </row>
        <row r="2100">
          <cell r="A2100">
            <v>23610034</v>
          </cell>
          <cell r="B2100" t="str">
            <v>고급 면</v>
          </cell>
        </row>
        <row r="2101">
          <cell r="A2101">
            <v>23610035</v>
          </cell>
          <cell r="B2101" t="str">
            <v>삼나무 포문</v>
          </cell>
        </row>
        <row r="2102">
          <cell r="A2102">
            <v>23610036</v>
          </cell>
          <cell r="B2102" t="str">
            <v>가문비나무 포문</v>
          </cell>
        </row>
        <row r="2103">
          <cell r="A2103">
            <v>23610037</v>
          </cell>
          <cell r="B2103" t="str">
            <v>적송 포문</v>
          </cell>
        </row>
        <row r="2104">
          <cell r="A2104">
            <v>23610038</v>
          </cell>
          <cell r="B2104" t="str">
            <v>오리나무 포문</v>
          </cell>
        </row>
        <row r="2105">
          <cell r="A2105">
            <v>23610039</v>
          </cell>
          <cell r="B2105" t="str">
            <v>너도밤나무 포문</v>
          </cell>
        </row>
        <row r="2106">
          <cell r="A2106">
            <v>23610040</v>
          </cell>
          <cell r="B2106" t="str">
            <v>자단나무 포문</v>
          </cell>
        </row>
        <row r="2107">
          <cell r="A2107">
            <v>23610041</v>
          </cell>
          <cell r="B2107" t="str">
            <v>티크 포문</v>
          </cell>
        </row>
        <row r="2108">
          <cell r="A2108">
            <v>23610042</v>
          </cell>
          <cell r="B2108" t="str">
            <v>호두나무 포문</v>
          </cell>
        </row>
        <row r="2109">
          <cell r="A2109">
            <v>23610043</v>
          </cell>
          <cell r="B2109" t="str">
            <v>흑단나무 포문</v>
          </cell>
        </row>
        <row r="2110">
          <cell r="A2110">
            <v>23610044</v>
          </cell>
          <cell r="B2110" t="str">
            <v>강화 삼나무 포문</v>
          </cell>
        </row>
        <row r="2111">
          <cell r="A2111">
            <v>23610045</v>
          </cell>
          <cell r="B2111" t="str">
            <v>초대형 포문</v>
          </cell>
        </row>
        <row r="2112">
          <cell r="A2112">
            <v>23610046</v>
          </cell>
          <cell r="B2112" t="str">
            <v>개량형 초대형 포문</v>
          </cell>
        </row>
        <row r="2113">
          <cell r="A2113">
            <v>23610047</v>
          </cell>
          <cell r="B2113" t="str">
            <v>강화 초대형 포문</v>
          </cell>
        </row>
        <row r="2114">
          <cell r="A2114">
            <v>23610048</v>
          </cell>
          <cell r="B2114" t="str">
            <v>특수 강화 초대형 포문</v>
          </cell>
        </row>
        <row r="2115">
          <cell r="A2115">
            <v>23610049</v>
          </cell>
          <cell r="B2115" t="str">
            <v>강화 삼나무</v>
          </cell>
        </row>
        <row r="2116">
          <cell r="A2116">
            <v>23610050</v>
          </cell>
          <cell r="B2116" t="str">
            <v>강화 가문비나무</v>
          </cell>
        </row>
        <row r="2117">
          <cell r="A2117">
            <v>23610051</v>
          </cell>
          <cell r="B2117" t="str">
            <v>강화 적송</v>
          </cell>
        </row>
        <row r="2118">
          <cell r="A2118">
            <v>23610052</v>
          </cell>
          <cell r="B2118" t="str">
            <v>강화 오리나무</v>
          </cell>
        </row>
        <row r="2119">
          <cell r="A2119">
            <v>23610053</v>
          </cell>
          <cell r="B2119" t="str">
            <v>강화 너도밤나무</v>
          </cell>
        </row>
        <row r="2120">
          <cell r="A2120">
            <v>23610054</v>
          </cell>
          <cell r="B2120" t="str">
            <v>강화 티크</v>
          </cell>
        </row>
        <row r="2121">
          <cell r="A2121">
            <v>23610055</v>
          </cell>
          <cell r="B2121" t="str">
            <v>강화 호두나무</v>
          </cell>
        </row>
        <row r="2122">
          <cell r="A2122">
            <v>23610056</v>
          </cell>
          <cell r="B2122" t="str">
            <v>강화 자단나무</v>
          </cell>
        </row>
        <row r="2123">
          <cell r="A2123">
            <v>23610057</v>
          </cell>
          <cell r="B2123" t="str">
            <v>강화 흑단나무</v>
          </cell>
        </row>
        <row r="2124">
          <cell r="A2124">
            <v>23610058</v>
          </cell>
          <cell r="B2124" t="str">
            <v>강화 삼나무 돛대</v>
          </cell>
        </row>
        <row r="2125">
          <cell r="A2125">
            <v>23610059</v>
          </cell>
          <cell r="B2125" t="str">
            <v>강화 가문비나무 돛대</v>
          </cell>
        </row>
        <row r="2126">
          <cell r="A2126">
            <v>23610060</v>
          </cell>
          <cell r="B2126" t="str">
            <v>강화 적송 돛대</v>
          </cell>
        </row>
        <row r="2127">
          <cell r="A2127">
            <v>23610061</v>
          </cell>
          <cell r="B2127" t="str">
            <v>강화 오리나무 돛대</v>
          </cell>
        </row>
        <row r="2128">
          <cell r="A2128">
            <v>23610062</v>
          </cell>
          <cell r="B2128" t="str">
            <v>강화 너도밤나무 돛대</v>
          </cell>
        </row>
        <row r="2129">
          <cell r="A2129">
            <v>23610063</v>
          </cell>
          <cell r="B2129" t="str">
            <v>강화 티크 돛대</v>
          </cell>
        </row>
        <row r="2130">
          <cell r="A2130">
            <v>23610064</v>
          </cell>
          <cell r="B2130" t="str">
            <v>강화 호두나무 돛대</v>
          </cell>
        </row>
        <row r="2131">
          <cell r="A2131">
            <v>23610065</v>
          </cell>
          <cell r="B2131" t="str">
            <v>강화 자단나무 돛대</v>
          </cell>
        </row>
        <row r="2132">
          <cell r="A2132">
            <v>23610066</v>
          </cell>
          <cell r="B2132" t="str">
            <v>강화 흑단나무 돛대</v>
          </cell>
        </row>
        <row r="2133">
          <cell r="A2133">
            <v>23610067</v>
          </cell>
          <cell r="B2133" t="str">
            <v>강화 오리나무 포문</v>
          </cell>
        </row>
        <row r="2134">
          <cell r="A2134">
            <v>23610068</v>
          </cell>
          <cell r="B2134" t="str">
            <v>강화 너도밤나무 포문</v>
          </cell>
        </row>
        <row r="2135">
          <cell r="A2135">
            <v>23610069</v>
          </cell>
          <cell r="B2135" t="str">
            <v>강화 자단나무 포문</v>
          </cell>
        </row>
        <row r="2136">
          <cell r="A2136">
            <v>23610070</v>
          </cell>
          <cell r="B2136" t="str">
            <v>강화 티크 포문</v>
          </cell>
        </row>
        <row r="2137">
          <cell r="A2137">
            <v>23610071</v>
          </cell>
          <cell r="B2137" t="str">
            <v>강화 호두나무 포문</v>
          </cell>
        </row>
        <row r="2138">
          <cell r="A2138">
            <v>23610072</v>
          </cell>
          <cell r="B2138" t="str">
            <v>강화 흑단나무 포문</v>
          </cell>
        </row>
        <row r="2139">
          <cell r="A2139">
            <v>23610073</v>
          </cell>
          <cell r="B2139" t="str">
            <v>24등급 건조 의뢰서</v>
          </cell>
        </row>
        <row r="2140">
          <cell r="A2140">
            <v>23610074</v>
          </cell>
          <cell r="B2140" t="str">
            <v>특수 삼나무</v>
          </cell>
        </row>
        <row r="2141">
          <cell r="A2141">
            <v>23610075</v>
          </cell>
          <cell r="B2141" t="str">
            <v>특수 삼나무 돛대</v>
          </cell>
        </row>
        <row r="2142">
          <cell r="A2142">
            <v>23610076</v>
          </cell>
          <cell r="B2142" t="str">
            <v>특수 삼나무 포문</v>
          </cell>
        </row>
        <row r="2143">
          <cell r="A2143">
            <v>23610077</v>
          </cell>
          <cell r="B2143" t="str">
            <v>25등급 건조 의뢰서</v>
          </cell>
        </row>
        <row r="2144">
          <cell r="A2144">
            <v>23700000</v>
          </cell>
          <cell r="B2144" t="str">
            <v>망원경</v>
          </cell>
        </row>
        <row r="2145">
          <cell r="A2145">
            <v>23700001</v>
          </cell>
          <cell r="B2145" t="str">
            <v>마체테</v>
          </cell>
        </row>
        <row r="2146">
          <cell r="A2146">
            <v>23700002</v>
          </cell>
          <cell r="B2146" t="str">
            <v>낡은 로프</v>
          </cell>
        </row>
        <row r="2147">
          <cell r="A2147">
            <v>23700003</v>
          </cell>
          <cell r="B2147" t="str">
            <v>일반 로프</v>
          </cell>
        </row>
        <row r="2148">
          <cell r="A2148">
            <v>23700004</v>
          </cell>
          <cell r="B2148" t="str">
            <v>고급 로프</v>
          </cell>
        </row>
        <row r="2149">
          <cell r="A2149">
            <v>23700005</v>
          </cell>
          <cell r="B2149" t="str">
            <v>판초</v>
          </cell>
        </row>
        <row r="2150">
          <cell r="A2150">
            <v>23700006</v>
          </cell>
          <cell r="B2150" t="str">
            <v>설피</v>
          </cell>
        </row>
        <row r="2151">
          <cell r="A2151">
            <v>23700007</v>
          </cell>
          <cell r="B2151" t="str">
            <v>부싯돌</v>
          </cell>
        </row>
        <row r="2152">
          <cell r="A2152">
            <v>23700008</v>
          </cell>
          <cell r="B2152" t="str">
            <v>나무 썰매</v>
          </cell>
        </row>
        <row r="2153">
          <cell r="A2153">
            <v>23700009</v>
          </cell>
          <cell r="B2153" t="str">
            <v>횃불</v>
          </cell>
        </row>
        <row r="2154">
          <cell r="A2154">
            <v>23700010</v>
          </cell>
          <cell r="B2154" t="str">
            <v>모험 도구_톱</v>
          </cell>
        </row>
        <row r="2155">
          <cell r="A2155">
            <v>23700011</v>
          </cell>
          <cell r="B2155" t="str">
            <v>깨끗한 유리병</v>
          </cell>
        </row>
        <row r="2156">
          <cell r="A2156">
            <v>23700012</v>
          </cell>
          <cell r="B2156" t="str">
            <v>조잡한 수레</v>
          </cell>
        </row>
        <row r="2157">
          <cell r="A2157">
            <v>23700013</v>
          </cell>
          <cell r="B2157" t="str">
            <v>간이 들것</v>
          </cell>
        </row>
        <row r="2158">
          <cell r="A2158">
            <v>23700014</v>
          </cell>
          <cell r="B2158" t="str">
            <v>지혈대</v>
          </cell>
        </row>
        <row r="2159">
          <cell r="A2159">
            <v>23700015</v>
          </cell>
          <cell r="B2159" t="str">
            <v>치료용 약초</v>
          </cell>
        </row>
        <row r="2160">
          <cell r="A2160">
            <v>23700016</v>
          </cell>
          <cell r="B2160" t="str">
            <v>손도끼</v>
          </cell>
        </row>
        <row r="2161">
          <cell r="A2161">
            <v>23700017</v>
          </cell>
          <cell r="B2161" t="str">
            <v>입문 탐험가용 침낭</v>
          </cell>
        </row>
        <row r="2162">
          <cell r="A2162">
            <v>23700018</v>
          </cell>
          <cell r="B2162" t="str">
            <v>고양이</v>
          </cell>
        </row>
        <row r="2163">
          <cell r="A2163">
            <v>23700019</v>
          </cell>
          <cell r="B2163" t="str">
            <v>동양의 부적</v>
          </cell>
        </row>
        <row r="2164">
          <cell r="A2164">
            <v>23700020</v>
          </cell>
          <cell r="B2164" t="str">
            <v>빛바랜 신상</v>
          </cell>
        </row>
        <row r="2165">
          <cell r="A2165">
            <v>23700021</v>
          </cell>
          <cell r="B2165" t="str">
            <v>옥 목걸이</v>
          </cell>
        </row>
        <row r="2166">
          <cell r="A2166">
            <v>23700022</v>
          </cell>
          <cell r="B2166" t="str">
            <v>말발굽</v>
          </cell>
        </row>
        <row r="2167">
          <cell r="A2167">
            <v>23700023</v>
          </cell>
          <cell r="B2167" t="str">
            <v>견습 탐험가용 침낭</v>
          </cell>
        </row>
        <row r="2168">
          <cell r="A2168">
            <v>23700024</v>
          </cell>
          <cell r="B2168" t="str">
            <v>숙련 탐험가용 침낭</v>
          </cell>
        </row>
        <row r="2169">
          <cell r="A2169">
            <v>23700025</v>
          </cell>
          <cell r="B2169" t="str">
            <v>황금 소형 용골</v>
          </cell>
        </row>
        <row r="2170">
          <cell r="A2170">
            <v>23700026</v>
          </cell>
          <cell r="B2170" t="str">
            <v>검은 수염의 호화로운 보물 상자T</v>
          </cell>
        </row>
        <row r="2171">
          <cell r="A2171">
            <v>23700027</v>
          </cell>
          <cell r="B2171" t="str">
            <v>검은 수염의 평범한 보물 상자T</v>
          </cell>
        </row>
        <row r="2172">
          <cell r="A2172">
            <v>23700028</v>
          </cell>
          <cell r="B2172" t="str">
            <v>검은 수염의 낡은 보물 상자T</v>
          </cell>
        </row>
        <row r="2173">
          <cell r="A2173">
            <v>23700029</v>
          </cell>
          <cell r="B2173" t="str">
            <v>최하급 항해사 경험치 비약</v>
          </cell>
        </row>
        <row r="2174">
          <cell r="A2174">
            <v>23700030</v>
          </cell>
          <cell r="B2174" t="str">
            <v>하급 항해사 경험치 비약</v>
          </cell>
        </row>
        <row r="2175">
          <cell r="A2175">
            <v>23700031</v>
          </cell>
          <cell r="B2175" t="str">
            <v>항해사 경험치 비약</v>
          </cell>
        </row>
        <row r="2176">
          <cell r="A2176">
            <v>23700032</v>
          </cell>
          <cell r="B2176" t="str">
            <v>고급 항해사 경험치 비약</v>
          </cell>
        </row>
        <row r="2177">
          <cell r="A2177">
            <v>23700033</v>
          </cell>
          <cell r="B2177" t="str">
            <v>최고급 항해사 경험치 비약</v>
          </cell>
        </row>
        <row r="2178">
          <cell r="A2178">
            <v>23700034</v>
          </cell>
          <cell r="B2178" t="str">
            <v>검은 수염의 호화로운 보물 상자</v>
          </cell>
        </row>
        <row r="2179">
          <cell r="A2179">
            <v>23700035</v>
          </cell>
          <cell r="B2179" t="str">
            <v>검은 수염의 평범한 보물 상자</v>
          </cell>
        </row>
        <row r="2180">
          <cell r="A2180">
            <v>23700036</v>
          </cell>
          <cell r="B2180" t="str">
            <v>검은 수염의 낡은 보물 상자</v>
          </cell>
        </row>
        <row r="2181">
          <cell r="A2181">
            <v>23700037</v>
          </cell>
          <cell r="B2181" t="str">
            <v>특수 로르샤 용골</v>
          </cell>
        </row>
        <row r="2182">
          <cell r="A2182">
            <v>23700038</v>
          </cell>
          <cell r="B2182" t="str">
            <v>칠흑의 대형 용골</v>
          </cell>
        </row>
        <row r="2183">
          <cell r="A2183">
            <v>23700039</v>
          </cell>
          <cell r="B2183" t="str">
            <v>칠흑의 티크</v>
          </cell>
        </row>
        <row r="2184">
          <cell r="A2184">
            <v>23700040</v>
          </cell>
          <cell r="B2184" t="str">
            <v>칠흑의 티크 돛대</v>
          </cell>
        </row>
        <row r="2185">
          <cell r="A2185">
            <v>23700041</v>
          </cell>
          <cell r="B2185" t="str">
            <v>칠흑의 대형 포문</v>
          </cell>
        </row>
        <row r="2186">
          <cell r="A2186">
            <v>23700042</v>
          </cell>
          <cell r="B2186" t="str">
            <v>희귀 보물 상자</v>
          </cell>
        </row>
        <row r="2187">
          <cell r="A2187">
            <v>23700043</v>
          </cell>
          <cell r="B2187" t="str">
            <v>고급 보물 상자</v>
          </cell>
        </row>
        <row r="2188">
          <cell r="A2188">
            <v>23700044</v>
          </cell>
          <cell r="B2188" t="str">
            <v>중급 보물 상자</v>
          </cell>
        </row>
        <row r="2189">
          <cell r="A2189">
            <v>23700045</v>
          </cell>
          <cell r="B2189" t="str">
            <v>하급 보물 상자</v>
          </cell>
        </row>
        <row r="2190">
          <cell r="A2190">
            <v>23700046</v>
          </cell>
          <cell r="B2190" t="str">
            <v>흔한 보물 상자</v>
          </cell>
        </row>
        <row r="2191">
          <cell r="A2191">
            <v>23700047</v>
          </cell>
          <cell r="B2191" t="str">
            <v>A급 아스테카의 옥빛 석판</v>
          </cell>
        </row>
        <row r="2192">
          <cell r="A2192">
            <v>23700048</v>
          </cell>
          <cell r="B2192" t="str">
            <v>A급 아스테카의 푸른빛 석판</v>
          </cell>
        </row>
        <row r="2193">
          <cell r="A2193">
            <v>23700049</v>
          </cell>
          <cell r="B2193" t="str">
            <v>A급 아스테카의 보라빛 석판</v>
          </cell>
        </row>
        <row r="2194">
          <cell r="A2194">
            <v>23700050</v>
          </cell>
          <cell r="B2194" t="str">
            <v>A급 아스테카의 제련서</v>
          </cell>
        </row>
        <row r="2195">
          <cell r="A2195">
            <v>23700051</v>
          </cell>
          <cell r="B2195" t="str">
            <v>A급 아스테카의 봉제서</v>
          </cell>
        </row>
        <row r="2196">
          <cell r="A2196">
            <v>23700052</v>
          </cell>
          <cell r="B2196" t="str">
            <v>A급 아스테카의 가공서</v>
          </cell>
        </row>
        <row r="2197">
          <cell r="A2197">
            <v>23700053</v>
          </cell>
          <cell r="B2197" t="str">
            <v>아스테카의 장비 의뢰서</v>
          </cell>
        </row>
        <row r="2198">
          <cell r="A2198">
            <v>23700054</v>
          </cell>
          <cell r="B2198" t="str">
            <v>아스테카의 부품 의뢰서</v>
          </cell>
        </row>
        <row r="2199">
          <cell r="A2199">
            <v>23700055</v>
          </cell>
          <cell r="B2199" t="str">
            <v>아스테카의 호화로운 보물 상자T</v>
          </cell>
        </row>
        <row r="2200">
          <cell r="A2200">
            <v>23700056</v>
          </cell>
          <cell r="B2200" t="str">
            <v>아스테카의 평범한 보물 상자T</v>
          </cell>
        </row>
        <row r="2201">
          <cell r="A2201">
            <v>23700057</v>
          </cell>
          <cell r="B2201" t="str">
            <v>아스테카의 낡은 보물 상자T</v>
          </cell>
        </row>
        <row r="2202">
          <cell r="A2202">
            <v>23700058</v>
          </cell>
          <cell r="B2202" t="str">
            <v>아스테카의 호화로운 보물 상자</v>
          </cell>
        </row>
        <row r="2203">
          <cell r="A2203">
            <v>23700059</v>
          </cell>
          <cell r="B2203" t="str">
            <v>아스테카의 평범한 보물 상자</v>
          </cell>
        </row>
        <row r="2204">
          <cell r="A2204">
            <v>23700060</v>
          </cell>
          <cell r="B2204" t="str">
            <v>아스테카의 낡은 보물 상자</v>
          </cell>
        </row>
        <row r="2205">
          <cell r="A2205">
            <v>23700061</v>
          </cell>
          <cell r="B2205" t="str">
            <v>아스테카의 대형 용골</v>
          </cell>
        </row>
        <row r="2206">
          <cell r="A2206">
            <v>23700062</v>
          </cell>
          <cell r="B2206" t="str">
            <v>아스테카의 호두나무</v>
          </cell>
        </row>
        <row r="2207">
          <cell r="A2207">
            <v>23700063</v>
          </cell>
          <cell r="B2207" t="str">
            <v>아스테카의 호두나무 돛대</v>
          </cell>
        </row>
        <row r="2208">
          <cell r="A2208">
            <v>23700064</v>
          </cell>
          <cell r="B2208" t="str">
            <v>아스테카의 대형 포문</v>
          </cell>
        </row>
        <row r="2209">
          <cell r="A2209">
            <v>23700065</v>
          </cell>
          <cell r="B2209" t="str">
            <v>용맹한 독수리 도면</v>
          </cell>
        </row>
        <row r="2210">
          <cell r="A2210">
            <v>23700066</v>
          </cell>
          <cell r="B2210" t="str">
            <v>용맹한 독수리 문장 도안</v>
          </cell>
        </row>
        <row r="2211">
          <cell r="A2211">
            <v>23700067</v>
          </cell>
          <cell r="B2211" t="str">
            <v>전문 탐험가용 침낭</v>
          </cell>
        </row>
        <row r="2212">
          <cell r="A2212">
            <v>23700068</v>
          </cell>
          <cell r="B2212" t="str">
            <v>토마스 튜의 장비 의뢰서</v>
          </cell>
        </row>
        <row r="2213">
          <cell r="A2213">
            <v>23700069</v>
          </cell>
          <cell r="B2213" t="str">
            <v>토마스 튜의 호화로운 보물 상자</v>
          </cell>
        </row>
        <row r="2214">
          <cell r="A2214">
            <v>23700070</v>
          </cell>
          <cell r="B2214" t="str">
            <v>토마스 튜의 평범한 보물 상자</v>
          </cell>
        </row>
        <row r="2215">
          <cell r="A2215">
            <v>23700071</v>
          </cell>
          <cell r="B2215" t="str">
            <v>토마스 튜의 낡은 보물 상자</v>
          </cell>
        </row>
        <row r="2216">
          <cell r="A2216">
            <v>23700072</v>
          </cell>
          <cell r="B2216" t="str">
            <v>토마스 튜의 호화로운 보물 상자T</v>
          </cell>
        </row>
        <row r="2217">
          <cell r="A2217">
            <v>23700073</v>
          </cell>
          <cell r="B2217" t="str">
            <v>토마스 튜의 평범한 보물 상자T</v>
          </cell>
        </row>
        <row r="2218">
          <cell r="A2218">
            <v>23700074</v>
          </cell>
          <cell r="B2218" t="str">
            <v>토마스 튜의 낡은 보물 상자T</v>
          </cell>
        </row>
        <row r="2219">
          <cell r="A2219">
            <v>23700075</v>
          </cell>
          <cell r="B2219" t="str">
            <v>인도의 흑단나무</v>
          </cell>
        </row>
        <row r="2220">
          <cell r="A2220">
            <v>23700076</v>
          </cell>
          <cell r="B2220" t="str">
            <v>인도의 대형 용골</v>
          </cell>
        </row>
        <row r="2221">
          <cell r="A2221">
            <v>23700077</v>
          </cell>
          <cell r="B2221" t="str">
            <v>인도의 흑단나무 돛대</v>
          </cell>
        </row>
        <row r="2222">
          <cell r="A2222">
            <v>23700078</v>
          </cell>
          <cell r="B2222" t="str">
            <v>인도의 개량형 대형 포문</v>
          </cell>
        </row>
        <row r="2223">
          <cell r="A2223">
            <v>23700079</v>
          </cell>
          <cell r="B2223" t="str">
            <v>S급 토마스 튜의 옥빛 석판</v>
          </cell>
        </row>
        <row r="2224">
          <cell r="A2224">
            <v>23700080</v>
          </cell>
          <cell r="B2224" t="str">
            <v>S급 토마스 튜의 푸른빛 석판</v>
          </cell>
        </row>
        <row r="2225">
          <cell r="A2225">
            <v>23700081</v>
          </cell>
          <cell r="B2225" t="str">
            <v>S급 토마스 튜의 보라빛 석판</v>
          </cell>
        </row>
        <row r="2226">
          <cell r="A2226">
            <v>23700082</v>
          </cell>
          <cell r="B2226" t="str">
            <v>S급 토마스 튜의 제련서</v>
          </cell>
        </row>
        <row r="2227">
          <cell r="A2227">
            <v>23700083</v>
          </cell>
          <cell r="B2227" t="str">
            <v>S급 토마스 튜의 봉제서</v>
          </cell>
        </row>
        <row r="2228">
          <cell r="A2228">
            <v>23700084</v>
          </cell>
          <cell r="B2228" t="str">
            <v>S급 토마스 튜의 가공서</v>
          </cell>
        </row>
        <row r="2229">
          <cell r="A2229">
            <v>23700085</v>
          </cell>
          <cell r="B2229" t="str">
            <v>아미티 도면</v>
          </cell>
        </row>
        <row r="2230">
          <cell r="A2230">
            <v>23700086</v>
          </cell>
          <cell r="B2230" t="str">
            <v>아미티 문장 도안</v>
          </cell>
        </row>
        <row r="2231">
          <cell r="A2231">
            <v>23700087</v>
          </cell>
          <cell r="B2231" t="str">
            <v>하급 훈련서</v>
          </cell>
        </row>
        <row r="2232">
          <cell r="A2232">
            <v>23700088</v>
          </cell>
          <cell r="B2232" t="str">
            <v>중급 훈련서</v>
          </cell>
        </row>
        <row r="2233">
          <cell r="A2233">
            <v>23700089</v>
          </cell>
          <cell r="B2233" t="str">
            <v>상급 훈련서</v>
          </cell>
        </row>
        <row r="2234">
          <cell r="A2234">
            <v>23700090</v>
          </cell>
          <cell r="B2234" t="str">
            <v>최상급 훈련서</v>
          </cell>
        </row>
        <row r="2235">
          <cell r="A2235">
            <v>23700091</v>
          </cell>
          <cell r="B2235" t="str">
            <v>훈련 가속권 5분</v>
          </cell>
        </row>
        <row r="2236">
          <cell r="A2236">
            <v>23700092</v>
          </cell>
          <cell r="B2236" t="str">
            <v>훈련 가속권 10분</v>
          </cell>
        </row>
        <row r="2237">
          <cell r="A2237">
            <v>23700093</v>
          </cell>
          <cell r="B2237" t="str">
            <v>훈련 가속권 30분</v>
          </cell>
        </row>
        <row r="2238">
          <cell r="A2238">
            <v>23700094</v>
          </cell>
          <cell r="B2238" t="str">
            <v>훈련 가속권 1시간</v>
          </cell>
        </row>
        <row r="2239">
          <cell r="A2239">
            <v>23700095</v>
          </cell>
          <cell r="B2239" t="str">
            <v>훈련 가속권 6시간</v>
          </cell>
        </row>
        <row r="2240">
          <cell r="A2240">
            <v>23700096</v>
          </cell>
          <cell r="B2240" t="str">
            <v>훈련 가속권 1일</v>
          </cell>
        </row>
        <row r="2241">
          <cell r="A2241">
            <v>23700097</v>
          </cell>
          <cell r="B2241" t="str">
            <v>강화 적송 포문</v>
          </cell>
        </row>
        <row r="2242">
          <cell r="A2242">
            <v>23700099</v>
          </cell>
          <cell r="B2242" t="str">
            <v>녹이 슨 금빛 파이프</v>
          </cell>
        </row>
        <row r="2243">
          <cell r="A2243">
            <v>23700100</v>
          </cell>
          <cell r="B2243" t="str">
            <v>녹이 슨 은빛 파이프</v>
          </cell>
        </row>
        <row r="2244">
          <cell r="A2244">
            <v>23700101</v>
          </cell>
          <cell r="B2244" t="str">
            <v>허름한 건반</v>
          </cell>
        </row>
        <row r="2245">
          <cell r="A2245">
            <v>23700102</v>
          </cell>
          <cell r="B2245" t="str">
            <v>스톱 막대기</v>
          </cell>
        </row>
        <row r="2246">
          <cell r="A2246">
            <v>23700103</v>
          </cell>
          <cell r="B2246" t="str">
            <v>유령선의 호화로운 보물 상자</v>
          </cell>
        </row>
        <row r="2247">
          <cell r="A2247">
            <v>23700104</v>
          </cell>
          <cell r="B2247" t="str">
            <v>유령선의 평범한 보물 상자</v>
          </cell>
        </row>
        <row r="2248">
          <cell r="A2248">
            <v>23700105</v>
          </cell>
          <cell r="B2248" t="str">
            <v>유령선의 낡은 보물 상자</v>
          </cell>
        </row>
        <row r="2249">
          <cell r="A2249">
            <v>23700106</v>
          </cell>
          <cell r="B2249" t="str">
            <v>보상 선택 상자(TEST)</v>
          </cell>
        </row>
        <row r="2250">
          <cell r="A2250">
            <v>23700107</v>
          </cell>
          <cell r="B2250" t="str">
            <v>사면증</v>
          </cell>
        </row>
        <row r="2251">
          <cell r="A2251">
            <v>23700108</v>
          </cell>
          <cell r="B2251" t="str">
            <v>조잡한 나무 육분의</v>
          </cell>
        </row>
        <row r="2252">
          <cell r="A2252">
            <v>23700109</v>
          </cell>
          <cell r="B2252" t="str">
            <v>고급 원목 육분의</v>
          </cell>
        </row>
        <row r="2253">
          <cell r="A2253">
            <v>23700110</v>
          </cell>
          <cell r="B2253" t="str">
            <v>낡은 황동 육분의</v>
          </cell>
        </row>
        <row r="2254">
          <cell r="A2254">
            <v>23700111</v>
          </cell>
          <cell r="B2254" t="str">
            <v>고급 황동 육분의</v>
          </cell>
        </row>
        <row r="2255">
          <cell r="A2255">
            <v>23700112</v>
          </cell>
          <cell r="B2255" t="str">
            <v>강화 가문비나무 포문</v>
          </cell>
        </row>
        <row r="2256">
          <cell r="A2256">
            <v>23700113</v>
          </cell>
          <cell r="B2256" t="str">
            <v>D급 무기 선택 상자</v>
          </cell>
        </row>
        <row r="2257">
          <cell r="A2257">
            <v>23700114</v>
          </cell>
          <cell r="B2257" t="str">
            <v>D급 몸 선택 상자</v>
          </cell>
        </row>
        <row r="2258">
          <cell r="A2258">
            <v>23700115</v>
          </cell>
          <cell r="B2258" t="str">
            <v>D급 머리 선택 상자</v>
          </cell>
        </row>
        <row r="2259">
          <cell r="A2259">
            <v>23700116</v>
          </cell>
          <cell r="B2259" t="str">
            <v>D급 장신구 선택 상자</v>
          </cell>
        </row>
        <row r="2260">
          <cell r="A2260">
            <v>23700117</v>
          </cell>
          <cell r="B2260" t="str">
            <v>D급 얼굴장식 선택 상자</v>
          </cell>
        </row>
        <row r="2261">
          <cell r="A2261">
            <v>23700118</v>
          </cell>
          <cell r="B2261" t="str">
            <v>D급 망토 선택 상자</v>
          </cell>
        </row>
        <row r="2262">
          <cell r="A2262">
            <v>23700119</v>
          </cell>
          <cell r="B2262" t="str">
            <v>C급 무기 선택 상자</v>
          </cell>
        </row>
        <row r="2263">
          <cell r="A2263">
            <v>23700120</v>
          </cell>
          <cell r="B2263" t="str">
            <v>C급 몸 선택 상자</v>
          </cell>
        </row>
        <row r="2264">
          <cell r="A2264">
            <v>23700121</v>
          </cell>
          <cell r="B2264" t="str">
            <v>C급 머리 선택 상자</v>
          </cell>
        </row>
        <row r="2265">
          <cell r="A2265">
            <v>23700122</v>
          </cell>
          <cell r="B2265" t="str">
            <v>C급 장신구 선택 상자</v>
          </cell>
        </row>
        <row r="2266">
          <cell r="A2266">
            <v>23700123</v>
          </cell>
          <cell r="B2266" t="str">
            <v>C급 얼굴장식 선택 상자</v>
          </cell>
        </row>
        <row r="2267">
          <cell r="A2267">
            <v>23700124</v>
          </cell>
          <cell r="B2267" t="str">
            <v>C급 망토 선택 상자</v>
          </cell>
        </row>
        <row r="2268">
          <cell r="A2268">
            <v>23700125</v>
          </cell>
          <cell r="B2268" t="str">
            <v>B급 무기 선택 상자</v>
          </cell>
        </row>
        <row r="2269">
          <cell r="A2269">
            <v>23700126</v>
          </cell>
          <cell r="B2269" t="str">
            <v>B급 몸 선택 상자</v>
          </cell>
        </row>
        <row r="2270">
          <cell r="A2270">
            <v>23700127</v>
          </cell>
          <cell r="B2270" t="str">
            <v>B급 머리 선택 상자</v>
          </cell>
        </row>
        <row r="2271">
          <cell r="A2271">
            <v>23700128</v>
          </cell>
          <cell r="B2271" t="str">
            <v>B급 장신구 선택 상자</v>
          </cell>
        </row>
        <row r="2272">
          <cell r="A2272">
            <v>23700129</v>
          </cell>
          <cell r="B2272" t="str">
            <v>B급 얼굴장식 선택 상자</v>
          </cell>
        </row>
        <row r="2273">
          <cell r="A2273">
            <v>23700130</v>
          </cell>
          <cell r="B2273" t="str">
            <v>B급 망토 선택 상자</v>
          </cell>
        </row>
        <row r="2274">
          <cell r="A2274">
            <v>23700131</v>
          </cell>
          <cell r="B2274" t="str">
            <v>A급 몸 선택 상자</v>
          </cell>
        </row>
        <row r="2275">
          <cell r="A2275">
            <v>23700132</v>
          </cell>
          <cell r="B2275" t="str">
            <v>A급 머리 선택 상자</v>
          </cell>
        </row>
        <row r="2276">
          <cell r="A2276">
            <v>23700133</v>
          </cell>
          <cell r="B2276" t="str">
            <v>A급 부품 선택 상자</v>
          </cell>
        </row>
        <row r="2277">
          <cell r="A2277">
            <v>23700134</v>
          </cell>
          <cell r="B2277" t="str">
            <v>협동 임무 전투 참여 보상</v>
          </cell>
        </row>
        <row r="2278">
          <cell r="A2278">
            <v>23700135</v>
          </cell>
          <cell r="B2278" t="str">
            <v>협동 임무 교역 참여 보상</v>
          </cell>
        </row>
        <row r="2279">
          <cell r="A2279">
            <v>23700136</v>
          </cell>
          <cell r="B2279" t="str">
            <v>협동 임무 모험 참여 보상</v>
          </cell>
        </row>
        <row r="2280">
          <cell r="A2280">
            <v>23700137</v>
          </cell>
          <cell r="B2280" t="str">
            <v>소형/중형 판재 선택 교환권</v>
          </cell>
        </row>
        <row r="2281">
          <cell r="A2281">
            <v>23700138</v>
          </cell>
          <cell r="B2281" t="str">
            <v>소형/중형 돛대 선택 교환권</v>
          </cell>
        </row>
        <row r="2282">
          <cell r="A2282">
            <v>23700139</v>
          </cell>
          <cell r="B2282" t="str">
            <v>소형/중형 포문 선택 교환권</v>
          </cell>
        </row>
        <row r="2283">
          <cell r="A2283">
            <v>23700140</v>
          </cell>
          <cell r="B2283" t="str">
            <v>대형 판재 선택 교환권</v>
          </cell>
        </row>
        <row r="2284">
          <cell r="A2284">
            <v>23700141</v>
          </cell>
          <cell r="B2284" t="str">
            <v>대형 돛대 선택 교환권</v>
          </cell>
        </row>
        <row r="2285">
          <cell r="A2285">
            <v>23700142</v>
          </cell>
          <cell r="B2285" t="str">
            <v>대형 포문 선택 교환권</v>
          </cell>
        </row>
        <row r="2286">
          <cell r="A2286">
            <v>23700143</v>
          </cell>
          <cell r="B2286" t="str">
            <v>최하급 임명장 선택 교환권</v>
          </cell>
        </row>
        <row r="2287">
          <cell r="A2287">
            <v>23700144</v>
          </cell>
          <cell r="B2287" t="str">
            <v>하급 임명장 선택 교환권</v>
          </cell>
        </row>
        <row r="2288">
          <cell r="A2288">
            <v>23700145</v>
          </cell>
          <cell r="B2288" t="str">
            <v>중급 임명장 선택 교환권</v>
          </cell>
        </row>
        <row r="2289">
          <cell r="A2289">
            <v>23700146</v>
          </cell>
          <cell r="B2289" t="str">
            <v>상급 임명장 선택 교환권</v>
          </cell>
        </row>
        <row r="2290">
          <cell r="A2290">
            <v>23700147</v>
          </cell>
          <cell r="B2290" t="str">
            <v>최상급 임명장 선택 교환권</v>
          </cell>
        </row>
        <row r="2291">
          <cell r="A2291">
            <v>23700148</v>
          </cell>
          <cell r="B2291" t="str">
            <v>중급 교본 선택 교환권</v>
          </cell>
        </row>
        <row r="2292">
          <cell r="A2292">
            <v>23700149</v>
          </cell>
          <cell r="B2292" t="str">
            <v>4등급 선박 선택 교환권</v>
          </cell>
        </row>
        <row r="2293">
          <cell r="A2293">
            <v>23700150</v>
          </cell>
          <cell r="B2293" t="str">
            <v>6등급 선박 선택 교환권</v>
          </cell>
        </row>
        <row r="2294">
          <cell r="A2294">
            <v>23700151</v>
          </cell>
          <cell r="B2294" t="str">
            <v>8등급 선박 선택 교환권</v>
          </cell>
        </row>
        <row r="2295">
          <cell r="A2295">
            <v>23700152</v>
          </cell>
          <cell r="B2295" t="str">
            <v>10등급 선박 선택 교환권</v>
          </cell>
        </row>
        <row r="2296">
          <cell r="A2296">
            <v>23700153</v>
          </cell>
          <cell r="B2296" t="str">
            <v>12등급 선박 선택 교환권</v>
          </cell>
        </row>
        <row r="2297">
          <cell r="A2297">
            <v>23700154</v>
          </cell>
          <cell r="B2297" t="str">
            <v>14등급 선박 선택 교환권</v>
          </cell>
        </row>
        <row r="2298">
          <cell r="A2298">
            <v>23700155</v>
          </cell>
          <cell r="B2298" t="str">
            <v>모비딕의 호화로운 보물 상자</v>
          </cell>
        </row>
        <row r="2299">
          <cell r="A2299">
            <v>23700156</v>
          </cell>
          <cell r="B2299" t="str">
            <v>모비딕의 평범한 보물 상자</v>
          </cell>
        </row>
        <row r="2300">
          <cell r="A2300">
            <v>23700157</v>
          </cell>
          <cell r="B2300" t="str">
            <v>모비딕의 낡은 보물 상자</v>
          </cell>
        </row>
        <row r="2301">
          <cell r="A2301">
            <v>23700158</v>
          </cell>
          <cell r="B2301" t="str">
            <v>모비딕의 호화로운 보물 상자T</v>
          </cell>
        </row>
        <row r="2302">
          <cell r="A2302">
            <v>23700159</v>
          </cell>
          <cell r="B2302" t="str">
            <v>모비딕의 평범한 보물 상자T</v>
          </cell>
        </row>
        <row r="2303">
          <cell r="A2303">
            <v>23700160</v>
          </cell>
          <cell r="B2303" t="str">
            <v>모비딕의 낡은 보물 상자T</v>
          </cell>
        </row>
        <row r="2304">
          <cell r="A2304">
            <v>23700161</v>
          </cell>
          <cell r="B2304" t="str">
            <v>최상급 훈련 재료 선택 교환권</v>
          </cell>
        </row>
        <row r="2305">
          <cell r="A2305">
            <v>23700162</v>
          </cell>
          <cell r="B2305" t="str">
            <v>고급 교본 선택 교환권</v>
          </cell>
        </row>
        <row r="2306">
          <cell r="A2306">
            <v>23700163</v>
          </cell>
          <cell r="B2306" t="str">
            <v>모비딕의 옥빛 석판</v>
          </cell>
        </row>
        <row r="2307">
          <cell r="A2307">
            <v>23700164</v>
          </cell>
          <cell r="B2307" t="str">
            <v>모비딕의 푸른빛 석판</v>
          </cell>
        </row>
        <row r="2308">
          <cell r="A2308">
            <v>23700165</v>
          </cell>
          <cell r="B2308" t="str">
            <v>모비딕의 보라빛 석판</v>
          </cell>
        </row>
        <row r="2309">
          <cell r="A2309">
            <v>23700166</v>
          </cell>
          <cell r="B2309" t="str">
            <v>모비딕의 제련서</v>
          </cell>
        </row>
        <row r="2310">
          <cell r="A2310">
            <v>23700167</v>
          </cell>
          <cell r="B2310" t="str">
            <v>모비딕의 봉제서</v>
          </cell>
        </row>
        <row r="2311">
          <cell r="A2311">
            <v>23700168</v>
          </cell>
          <cell r="B2311" t="str">
            <v>모비딕의 가공서</v>
          </cell>
        </row>
        <row r="2312">
          <cell r="A2312">
            <v>23700169</v>
          </cell>
          <cell r="B2312" t="str">
            <v>모비딕의 장비 의뢰서</v>
          </cell>
        </row>
        <row r="2313">
          <cell r="A2313">
            <v>23700170</v>
          </cell>
          <cell r="B2313" t="str">
            <v>모비딕의 부품 의뢰서</v>
          </cell>
        </row>
        <row r="2314">
          <cell r="A2314">
            <v>23700171</v>
          </cell>
          <cell r="B2314" t="str">
            <v>모비딕 문장 도안</v>
          </cell>
        </row>
        <row r="2315">
          <cell r="A2315" t="str">
            <v>#23700172</v>
          </cell>
          <cell r="B2315" t="str">
            <v>스킬라의 호화로운 보물 상자</v>
          </cell>
        </row>
        <row r="2316">
          <cell r="A2316" t="str">
            <v>#23700173</v>
          </cell>
          <cell r="B2316" t="str">
            <v>스킬라의 평범한 보물 상자</v>
          </cell>
        </row>
        <row r="2317">
          <cell r="A2317" t="str">
            <v>#23700174</v>
          </cell>
          <cell r="B2317" t="str">
            <v>스킬라의 낡은 보물 상자</v>
          </cell>
        </row>
        <row r="2318">
          <cell r="A2318" t="str">
            <v>#23700175</v>
          </cell>
          <cell r="B2318" t="str">
            <v>스킬라의 호화로운 보물 상자T</v>
          </cell>
        </row>
        <row r="2319">
          <cell r="A2319" t="str">
            <v>#23700176</v>
          </cell>
          <cell r="B2319" t="str">
            <v>스킬라의 평범한 보물 상자T</v>
          </cell>
        </row>
        <row r="2320">
          <cell r="A2320" t="str">
            <v>#23700177</v>
          </cell>
          <cell r="B2320" t="str">
            <v>스킬라의 낡은 보물 상자T</v>
          </cell>
        </row>
        <row r="2321">
          <cell r="A2321" t="str">
            <v>#23700178</v>
          </cell>
          <cell r="B2321" t="str">
            <v>스킬라의 옥빛 석판</v>
          </cell>
        </row>
        <row r="2322">
          <cell r="A2322" t="str">
            <v>#23700179</v>
          </cell>
          <cell r="B2322" t="str">
            <v>스킬라의 푸른빛 석판</v>
          </cell>
        </row>
        <row r="2323">
          <cell r="A2323" t="str">
            <v>#23700180</v>
          </cell>
          <cell r="B2323" t="str">
            <v>스킬라의 보라빛 석판</v>
          </cell>
        </row>
        <row r="2324">
          <cell r="A2324" t="str">
            <v>#23700181</v>
          </cell>
          <cell r="B2324" t="str">
            <v>스킬라의 제련서</v>
          </cell>
        </row>
        <row r="2325">
          <cell r="A2325" t="str">
            <v>#23700182</v>
          </cell>
          <cell r="B2325" t="str">
            <v>스킬라의 봉제서</v>
          </cell>
        </row>
        <row r="2326">
          <cell r="A2326" t="str">
            <v>#23700183</v>
          </cell>
          <cell r="B2326" t="str">
            <v>스킬라의 가공서</v>
          </cell>
        </row>
        <row r="2327">
          <cell r="A2327" t="str">
            <v>#23700184</v>
          </cell>
          <cell r="B2327" t="str">
            <v>스킬라 장비 의뢰서</v>
          </cell>
        </row>
        <row r="2328">
          <cell r="A2328" t="str">
            <v>#23700185</v>
          </cell>
          <cell r="B2328" t="str">
            <v>스킬라 부품 의뢰서</v>
          </cell>
        </row>
        <row r="2329">
          <cell r="A2329" t="str">
            <v>#23700186</v>
          </cell>
          <cell r="B2329" t="str">
            <v>스킬라 문장 도안</v>
          </cell>
        </row>
        <row r="2330">
          <cell r="A2330">
            <v>23700187</v>
          </cell>
          <cell r="B2330" t="str">
            <v>개봉된 편지</v>
          </cell>
        </row>
        <row r="2331">
          <cell r="A2331">
            <v>23700188</v>
          </cell>
          <cell r="B2331" t="str">
            <v>개봉된 편지</v>
          </cell>
        </row>
        <row r="2332">
          <cell r="A2332">
            <v>23700189</v>
          </cell>
          <cell r="B2332" t="str">
            <v>개봉된 편지</v>
          </cell>
        </row>
        <row r="2333">
          <cell r="A2333">
            <v>23700190</v>
          </cell>
          <cell r="B2333" t="str">
            <v>개봉된 편지</v>
          </cell>
        </row>
        <row r="2334">
          <cell r="A2334">
            <v>23700191</v>
          </cell>
          <cell r="B2334" t="str">
            <v>거대 가오리의 호화로운 보물 상자</v>
          </cell>
        </row>
        <row r="2335">
          <cell r="A2335">
            <v>23700192</v>
          </cell>
          <cell r="B2335" t="str">
            <v>거대 가오리의 평범한 보물 상자</v>
          </cell>
        </row>
        <row r="2336">
          <cell r="A2336">
            <v>23700193</v>
          </cell>
          <cell r="B2336" t="str">
            <v>거대 가오리의 낡은 보물 상자</v>
          </cell>
        </row>
        <row r="2337">
          <cell r="A2337">
            <v>23700194</v>
          </cell>
          <cell r="B2337" t="str">
            <v>거대 가오리의 호화로운 보물 상자T</v>
          </cell>
        </row>
        <row r="2338">
          <cell r="A2338">
            <v>23700195</v>
          </cell>
          <cell r="B2338" t="str">
            <v>거대 가오리의 평범한 보물 상자T</v>
          </cell>
        </row>
        <row r="2339">
          <cell r="A2339">
            <v>23700196</v>
          </cell>
          <cell r="B2339" t="str">
            <v>거대 가오리의 낡은 보물 상자T</v>
          </cell>
        </row>
        <row r="2340">
          <cell r="A2340">
            <v>23700197</v>
          </cell>
          <cell r="B2340" t="str">
            <v>거대 가오리의 옥빛 석판</v>
          </cell>
        </row>
        <row r="2341">
          <cell r="A2341">
            <v>23700198</v>
          </cell>
          <cell r="B2341" t="str">
            <v>거대 가오리의 푸른빛 석판</v>
          </cell>
        </row>
        <row r="2342">
          <cell r="A2342">
            <v>23700199</v>
          </cell>
          <cell r="B2342" t="str">
            <v>거대 가오리의 보랏빛 석판</v>
          </cell>
        </row>
        <row r="2343">
          <cell r="A2343">
            <v>23700200</v>
          </cell>
          <cell r="B2343" t="str">
            <v>거대 가오리의 제련서</v>
          </cell>
        </row>
        <row r="2344">
          <cell r="A2344">
            <v>23700201</v>
          </cell>
          <cell r="B2344" t="str">
            <v>거대 가오리의 봉제서</v>
          </cell>
        </row>
        <row r="2345">
          <cell r="A2345">
            <v>23700202</v>
          </cell>
          <cell r="B2345" t="str">
            <v>빛바랜 은화</v>
          </cell>
        </row>
        <row r="2346">
          <cell r="A2346">
            <v>23700203</v>
          </cell>
          <cell r="B2346" t="str">
            <v>빛바랜 금화</v>
          </cell>
        </row>
        <row r="2347">
          <cell r="A2347">
            <v>23700204</v>
          </cell>
          <cell r="B2347" t="str">
            <v>헤진 포대자루</v>
          </cell>
        </row>
        <row r="2348">
          <cell r="A2348">
            <v>23700205</v>
          </cell>
          <cell r="B2348" t="str">
            <v>삭아버린 상자</v>
          </cell>
        </row>
        <row r="2349">
          <cell r="A2349">
            <v>23700206</v>
          </cell>
          <cell r="B2349" t="str">
            <v>포대자루 수선 의뢰서</v>
          </cell>
        </row>
        <row r="2350">
          <cell r="A2350">
            <v>23700207</v>
          </cell>
          <cell r="B2350" t="str">
            <v>상자 수리 의뢰서</v>
          </cell>
        </row>
        <row r="2351">
          <cell r="A2351">
            <v>23700208</v>
          </cell>
          <cell r="B2351" t="str">
            <v>쫓겨난 토마스 튜의 호화로운 보물 상자</v>
          </cell>
        </row>
        <row r="2352">
          <cell r="A2352">
            <v>23700209</v>
          </cell>
          <cell r="B2352" t="str">
            <v>쫓겨난 토마스 튜의 평범한 보물 상자</v>
          </cell>
        </row>
        <row r="2353">
          <cell r="A2353">
            <v>23700210</v>
          </cell>
          <cell r="B2353" t="str">
            <v>쫓겨난 토마스 튜의 낡은 보물 상자</v>
          </cell>
        </row>
        <row r="2354">
          <cell r="A2354">
            <v>23700211</v>
          </cell>
          <cell r="B2354" t="str">
            <v>거대 가오리의 가공서</v>
          </cell>
        </row>
        <row r="2355">
          <cell r="A2355">
            <v>23700212</v>
          </cell>
          <cell r="B2355" t="str">
            <v>거대 가오리 장비 의뢰서</v>
          </cell>
        </row>
        <row r="2356">
          <cell r="A2356">
            <v>23700213</v>
          </cell>
          <cell r="B2356" t="str">
            <v>거대 가오리 부품 의뢰서</v>
          </cell>
        </row>
        <row r="2357">
          <cell r="A2357">
            <v>23700214</v>
          </cell>
          <cell r="B2357" t="str">
            <v>거대 가오리 문장 도안</v>
          </cell>
        </row>
        <row r="2358">
          <cell r="A2358">
            <v>23700215</v>
          </cell>
          <cell r="B2358" t="str">
            <v>(신)검은 수염의 호화로운 보물 상자T</v>
          </cell>
        </row>
        <row r="2359">
          <cell r="A2359">
            <v>23700216</v>
          </cell>
          <cell r="B2359" t="str">
            <v>(신)검은 수염의 평범한 보물 상자T</v>
          </cell>
        </row>
        <row r="2360">
          <cell r="A2360">
            <v>23700217</v>
          </cell>
          <cell r="B2360" t="str">
            <v>(신)검은 수염의 낡은 보물 상자T</v>
          </cell>
        </row>
        <row r="2361">
          <cell r="A2361">
            <v>23700218</v>
          </cell>
          <cell r="B2361" t="str">
            <v>(신)검은 수염의 호화로운 보물 상자</v>
          </cell>
        </row>
        <row r="2362">
          <cell r="A2362">
            <v>23700219</v>
          </cell>
          <cell r="B2362" t="str">
            <v>(신)검은 수염의 평범한 보물 상자</v>
          </cell>
        </row>
        <row r="2363">
          <cell r="A2363">
            <v>23700220</v>
          </cell>
          <cell r="B2363" t="str">
            <v>(신)검은 수염의 낡은 보물 상자</v>
          </cell>
        </row>
        <row r="2364">
          <cell r="A2364">
            <v>23700221</v>
          </cell>
          <cell r="B2364" t="str">
            <v>(신)아스테카의 호화로운 보물 상자T</v>
          </cell>
        </row>
        <row r="2365">
          <cell r="A2365">
            <v>23700222</v>
          </cell>
          <cell r="B2365" t="str">
            <v>(신)아스테카의 평범한 보물 상자T</v>
          </cell>
        </row>
        <row r="2366">
          <cell r="A2366">
            <v>23700223</v>
          </cell>
          <cell r="B2366" t="str">
            <v>(신)아스테카의 낡은 보물 상자T</v>
          </cell>
        </row>
        <row r="2367">
          <cell r="A2367">
            <v>23700224</v>
          </cell>
          <cell r="B2367" t="str">
            <v>(신)아스테카의 호화로운 보물 상자</v>
          </cell>
        </row>
        <row r="2368">
          <cell r="A2368">
            <v>23700225</v>
          </cell>
          <cell r="B2368" t="str">
            <v>(신)아스테카의 평범한 보물 상자</v>
          </cell>
        </row>
        <row r="2369">
          <cell r="A2369">
            <v>23700226</v>
          </cell>
          <cell r="B2369" t="str">
            <v>(신)아스테카의 낡은 보물 상자</v>
          </cell>
        </row>
        <row r="2370">
          <cell r="A2370">
            <v>23700227</v>
          </cell>
          <cell r="B2370" t="str">
            <v>(신)토마스 튜의 호화로운 보물 상자</v>
          </cell>
        </row>
        <row r="2371">
          <cell r="A2371">
            <v>23700228</v>
          </cell>
          <cell r="B2371" t="str">
            <v>(신)토마스 튜의 평범한 보물 상자</v>
          </cell>
        </row>
        <row r="2372">
          <cell r="A2372">
            <v>23700229</v>
          </cell>
          <cell r="B2372" t="str">
            <v>(신)토마스 튜의 낡은 보물 상자</v>
          </cell>
        </row>
        <row r="2373">
          <cell r="A2373">
            <v>23700230</v>
          </cell>
          <cell r="B2373" t="str">
            <v>(신)토마스 튜의 호화로운 보물 상자T</v>
          </cell>
        </row>
        <row r="2374">
          <cell r="A2374">
            <v>23700231</v>
          </cell>
          <cell r="B2374" t="str">
            <v>(신)토마스 튜의 평범한 보물 상자T</v>
          </cell>
        </row>
        <row r="2375">
          <cell r="A2375">
            <v>23700232</v>
          </cell>
          <cell r="B2375" t="str">
            <v>(신)토마스 튜의 낡은 보물 상자T</v>
          </cell>
        </row>
        <row r="2376">
          <cell r="A2376">
            <v>23700233</v>
          </cell>
          <cell r="B2376" t="str">
            <v>전열함 인도 계약서</v>
          </cell>
        </row>
        <row r="2377">
          <cell r="A2377">
            <v>23700234</v>
          </cell>
          <cell r="B2377" t="str">
            <v>클리퍼 인도 계약서</v>
          </cell>
        </row>
        <row r="2378">
          <cell r="A2378">
            <v>23700235</v>
          </cell>
          <cell r="B2378" t="str">
            <v>라르와이얄 인도 계약서</v>
          </cell>
        </row>
        <row r="2379">
          <cell r="A2379">
            <v>23700236</v>
          </cell>
          <cell r="B2379" t="str">
            <v>사견선 인도 계약서</v>
          </cell>
        </row>
        <row r="2380">
          <cell r="A2380">
            <v>23700237</v>
          </cell>
          <cell r="B2380" t="str">
            <v>대형 몽충 인도 계약서</v>
          </cell>
        </row>
        <row r="2381">
          <cell r="A2381">
            <v>23700238</v>
          </cell>
          <cell r="B2381" t="str">
            <v>넵투노 인도 계약서</v>
          </cell>
        </row>
        <row r="2382">
          <cell r="A2382">
            <v>23700239</v>
          </cell>
          <cell r="B2382" t="str">
            <v>오스만 갤리온 인도 계약서</v>
          </cell>
        </row>
        <row r="2383">
          <cell r="A2383">
            <v>23700240</v>
          </cell>
          <cell r="B2383" t="str">
            <v>서프라이즈 인도 계약서</v>
          </cell>
        </row>
        <row r="2384">
          <cell r="A2384">
            <v>23700241</v>
          </cell>
          <cell r="B2384" t="str">
            <v>용수선 인도 계약서</v>
          </cell>
        </row>
        <row r="2385">
          <cell r="A2385">
            <v>23700242</v>
          </cell>
          <cell r="B2385" t="str">
            <v>보선 인도 계약서</v>
          </cell>
        </row>
        <row r="2386">
          <cell r="A2386">
            <v>23700243</v>
          </cell>
          <cell r="B2386" t="str">
            <v>황금 누선 인도 계약서</v>
          </cell>
        </row>
        <row r="2387">
          <cell r="A2387">
            <v>23700244</v>
          </cell>
          <cell r="B2387" t="str">
            <v>황금 철갑선 인도 계약서</v>
          </cell>
        </row>
        <row r="2388">
          <cell r="A2388">
            <v>23700245</v>
          </cell>
          <cell r="B2388" t="str">
            <v>황금 테메레르 인도 계약서</v>
          </cell>
        </row>
        <row r="2389">
          <cell r="A2389">
            <v>23700246</v>
          </cell>
          <cell r="B2389" t="str">
            <v>황금 플라잉 클라우드 인도 계약서</v>
          </cell>
        </row>
        <row r="2390">
          <cell r="A2390">
            <v>23700247</v>
          </cell>
          <cell r="B2390" t="str">
            <v>황금 인데버 인도 계약서</v>
          </cell>
        </row>
        <row r="2391">
          <cell r="A2391">
            <v>23700248</v>
          </cell>
          <cell r="B2391" t="str">
            <v>돌아온 토마스 튜의 호화로운 보물 상자</v>
          </cell>
        </row>
        <row r="2392">
          <cell r="A2392">
            <v>23700249</v>
          </cell>
          <cell r="B2392" t="str">
            <v>돌아온 토마스 튜의 평범한 보물 상자</v>
          </cell>
        </row>
        <row r="2393">
          <cell r="A2393">
            <v>23700250</v>
          </cell>
          <cell r="B2393" t="str">
            <v>돌아온 토마스 튜의 낡은 보물 상자</v>
          </cell>
        </row>
        <row r="2394">
          <cell r="A2394">
            <v>23700251</v>
          </cell>
          <cell r="B2394" t="str">
            <v>돌아온 토마스 튜의 호화로운 보물 상자T</v>
          </cell>
        </row>
        <row r="2395">
          <cell r="A2395">
            <v>23700252</v>
          </cell>
          <cell r="B2395" t="str">
            <v>돌아온 토마스 튜의 평범한 보물 상자T</v>
          </cell>
        </row>
        <row r="2396">
          <cell r="A2396">
            <v>23700253</v>
          </cell>
          <cell r="B2396" t="str">
            <v>돌아온 토마스 튜의 낡은 보물 상자T</v>
          </cell>
        </row>
        <row r="2397">
          <cell r="A2397">
            <v>23700254</v>
          </cell>
          <cell r="B2397" t="str">
            <v>돌아온 토마스 튜의 제련서</v>
          </cell>
        </row>
        <row r="2398">
          <cell r="A2398">
            <v>23700255</v>
          </cell>
          <cell r="B2398" t="str">
            <v>돌아온 토마스 튜의 봉제서</v>
          </cell>
        </row>
        <row r="2399">
          <cell r="A2399">
            <v>23700256</v>
          </cell>
          <cell r="B2399" t="str">
            <v>돌아온 토마스 튜의 가공서</v>
          </cell>
        </row>
        <row r="2400">
          <cell r="A2400">
            <v>23700257</v>
          </cell>
          <cell r="B2400" t="str">
            <v>돌아온 토마스 튜의 부품 의뢰서</v>
          </cell>
        </row>
        <row r="2401">
          <cell r="A2401">
            <v>23700258</v>
          </cell>
          <cell r="B2401" t="str">
            <v>강화된 인도의 흑단나무</v>
          </cell>
        </row>
        <row r="2402">
          <cell r="A2402">
            <v>23700259</v>
          </cell>
          <cell r="B2402" t="str">
            <v>강화된 인도의 대형 용골</v>
          </cell>
        </row>
        <row r="2403">
          <cell r="A2403">
            <v>23700260</v>
          </cell>
          <cell r="B2403" t="str">
            <v>강화된 인도의 흑단나무 돛대</v>
          </cell>
        </row>
        <row r="2404">
          <cell r="A2404">
            <v>23700261</v>
          </cell>
          <cell r="B2404" t="str">
            <v>강화된 인도의 개량형 대형 포문</v>
          </cell>
        </row>
        <row r="2405">
          <cell r="A2405">
            <v>23700262</v>
          </cell>
          <cell r="B2405" t="str">
            <v>강화 아미티 도면</v>
          </cell>
        </row>
        <row r="2406">
          <cell r="A2406">
            <v>23700263</v>
          </cell>
          <cell r="B2406" t="str">
            <v>아미티 인도 계약서</v>
          </cell>
        </row>
        <row r="2407">
          <cell r="A2407">
            <v>23700264</v>
          </cell>
          <cell r="B2407" t="str">
            <v>상급 마체테</v>
          </cell>
        </row>
        <row r="2408">
          <cell r="A2408">
            <v>23700265</v>
          </cell>
          <cell r="B2408" t="str">
            <v>시즌 황금 선박 인도 계약서_3</v>
          </cell>
        </row>
        <row r="2409">
          <cell r="A2409">
            <v>23700266</v>
          </cell>
          <cell r="B2409" t="str">
            <v>시즌 백은 선박 인도 계약서_3</v>
          </cell>
        </row>
        <row r="2410">
          <cell r="A2410">
            <v>23700267</v>
          </cell>
          <cell r="B2410" t="str">
            <v>시즌 황동 선박 인도 계약서_3</v>
          </cell>
        </row>
        <row r="2411">
          <cell r="A2411">
            <v>23700268</v>
          </cell>
          <cell r="B2411" t="str">
            <v>솔레이유 로열 인도 계약서</v>
          </cell>
        </row>
        <row r="2412">
          <cell r="A2412">
            <v>23700269</v>
          </cell>
          <cell r="B2412" t="str">
            <v>산 펠리페 인도 계약서</v>
          </cell>
        </row>
        <row r="2413">
          <cell r="A2413">
            <v>23700270</v>
          </cell>
          <cell r="B2413" t="str">
            <v>대복선 인도 계약서</v>
          </cell>
        </row>
        <row r="2414">
          <cell r="A2414">
            <v>23700271</v>
          </cell>
          <cell r="B2414" t="str">
            <v>종 인도 계약서</v>
          </cell>
        </row>
        <row r="2415">
          <cell r="A2415">
            <v>23700272</v>
          </cell>
          <cell r="B2415" t="str">
            <v>레트로퓨처 코르벳 인도 계약서</v>
          </cell>
        </row>
        <row r="2416">
          <cell r="A2416">
            <v>23700273</v>
          </cell>
          <cell r="B2416" t="str">
            <v>황금 솔레이유 로열 인도 계약서</v>
          </cell>
        </row>
        <row r="2417">
          <cell r="A2417">
            <v>23700274</v>
          </cell>
          <cell r="B2417" t="str">
            <v>황금 산 펠리페 인도 계약서</v>
          </cell>
        </row>
        <row r="2418">
          <cell r="A2418">
            <v>23700275</v>
          </cell>
          <cell r="B2418" t="str">
            <v>황금 대복선 인도 계약서</v>
          </cell>
        </row>
        <row r="2419">
          <cell r="A2419">
            <v>23700276</v>
          </cell>
          <cell r="B2419" t="str">
            <v>황금 종 인도 계약서</v>
          </cell>
        </row>
        <row r="2420">
          <cell r="A2420">
            <v>23700277</v>
          </cell>
          <cell r="B2420" t="str">
            <v>황금 레트로퓨처 코르벳 인도 계약서</v>
          </cell>
        </row>
        <row r="2421">
          <cell r="A2421">
            <v>23700278</v>
          </cell>
          <cell r="B2421" t="str">
            <v>야코프 발바커의 호화로운 보물 상자</v>
          </cell>
        </row>
        <row r="2422">
          <cell r="A2422">
            <v>23700279</v>
          </cell>
          <cell r="B2422" t="str">
            <v>야코프 발바커의 평범한 보물 상자</v>
          </cell>
        </row>
        <row r="2423">
          <cell r="A2423">
            <v>23700280</v>
          </cell>
          <cell r="B2423" t="str">
            <v>야코프 발바커의 낡은 보물 상자</v>
          </cell>
        </row>
        <row r="2424">
          <cell r="A2424">
            <v>23700281</v>
          </cell>
          <cell r="B2424" t="str">
            <v>야코프 발바커의 호화로운 보물 상자T</v>
          </cell>
        </row>
        <row r="2425">
          <cell r="A2425">
            <v>23700282</v>
          </cell>
          <cell r="B2425" t="str">
            <v>야코프 발바커의 평범한 보물 상자T</v>
          </cell>
        </row>
        <row r="2426">
          <cell r="A2426">
            <v>23700283</v>
          </cell>
          <cell r="B2426" t="str">
            <v>야코프 발바커의 낡은 보물 상자T</v>
          </cell>
        </row>
        <row r="2427">
          <cell r="A2427">
            <v>23700284</v>
          </cell>
          <cell r="B2427" t="str">
            <v>도금된 나무</v>
          </cell>
        </row>
        <row r="2428">
          <cell r="A2428">
            <v>23700285</v>
          </cell>
          <cell r="B2428" t="str">
            <v>도금된 용골</v>
          </cell>
        </row>
        <row r="2429">
          <cell r="A2429">
            <v>23700286</v>
          </cell>
          <cell r="B2429" t="str">
            <v>도금된 돛대</v>
          </cell>
        </row>
        <row r="2430">
          <cell r="A2430">
            <v>23700287</v>
          </cell>
          <cell r="B2430" t="str">
            <v>도금된 포문</v>
          </cell>
        </row>
        <row r="2431">
          <cell r="A2431">
            <v>23700288</v>
          </cell>
          <cell r="B2431" t="str">
            <v>바다의 정복자 도면</v>
          </cell>
        </row>
        <row r="2432">
          <cell r="A2432">
            <v>23700289</v>
          </cell>
          <cell r="B2432" t="str">
            <v>야코프 발바커 토벌령</v>
          </cell>
        </row>
        <row r="2433">
          <cell r="A2433">
            <v>23700290</v>
          </cell>
          <cell r="B2433" t="str">
            <v>야코프 발바커의 장비 설계도</v>
          </cell>
        </row>
        <row r="2434">
          <cell r="A2434">
            <v>23700291</v>
          </cell>
          <cell r="B2434" t="str">
            <v>야코프 발바커의 부품 설계도</v>
          </cell>
        </row>
        <row r="2435">
          <cell r="A2435">
            <v>23700292</v>
          </cell>
          <cell r="B2435" t="str">
            <v>야코프 발바커의 주조 도구</v>
          </cell>
        </row>
        <row r="2436">
          <cell r="A2436">
            <v>23700293</v>
          </cell>
          <cell r="B2436" t="str">
            <v>야코프 발바커의 제련 도구</v>
          </cell>
        </row>
        <row r="2437">
          <cell r="A2437">
            <v>23700294</v>
          </cell>
          <cell r="B2437" t="str">
            <v>야코프 발바커의 금 파편</v>
          </cell>
        </row>
        <row r="2438">
          <cell r="A2438">
            <v>23700295</v>
          </cell>
          <cell r="B2438" t="str">
            <v>황금 아이언 사이즈 인도 계약서</v>
          </cell>
        </row>
        <row r="2439">
          <cell r="A2439">
            <v>23700296</v>
          </cell>
          <cell r="B2439" t="str">
            <v>황금 탐사용 안택선 인도 계약서</v>
          </cell>
        </row>
        <row r="2440">
          <cell r="A2440">
            <v>23700297</v>
          </cell>
          <cell r="B2440" t="str">
            <v>황금 테르모필레 인도 계약서</v>
          </cell>
        </row>
        <row r="2441">
          <cell r="A2441">
            <v>23700298</v>
          </cell>
          <cell r="B2441" t="str">
            <v>황금 천지환 인도 계약서</v>
          </cell>
        </row>
        <row r="2442">
          <cell r="A2442">
            <v>23700299</v>
          </cell>
          <cell r="B2442" t="str">
            <v>황금 라모르 인도 계약서</v>
          </cell>
        </row>
        <row r="2443">
          <cell r="A2443">
            <v>23700300</v>
          </cell>
          <cell r="B2443" t="str">
            <v>23등급 황금 선박 선택권</v>
          </cell>
        </row>
        <row r="2444">
          <cell r="A2444">
            <v>23700301</v>
          </cell>
          <cell r="B2444" t="str">
            <v>발바커 특제 설계서</v>
          </cell>
        </row>
        <row r="2445">
          <cell r="A2445">
            <v>23700302</v>
          </cell>
          <cell r="B2445" t="str">
            <v>특수 마닐라 갤리온 인도 계약서</v>
          </cell>
        </row>
        <row r="2446">
          <cell r="A2446">
            <v>23700303</v>
          </cell>
          <cell r="B2446" t="str">
            <v>시즌 황금 선박 인도 계약서_4</v>
          </cell>
        </row>
        <row r="2447">
          <cell r="A2447">
            <v>23700304</v>
          </cell>
          <cell r="B2447" t="str">
            <v>시즌 백은 선박 인도 계약서_4</v>
          </cell>
        </row>
        <row r="2448">
          <cell r="A2448">
            <v>23700305</v>
          </cell>
          <cell r="B2448" t="str">
            <v>시즌 황동 선박 인도 계약서_4</v>
          </cell>
        </row>
        <row r="2449">
          <cell r="A2449">
            <v>23700306</v>
          </cell>
          <cell r="B2449" t="str">
            <v>인게르마늘란트 인도 계약서</v>
          </cell>
        </row>
        <row r="2450">
          <cell r="A2450">
            <v>23700307</v>
          </cell>
          <cell r="B2450" t="str">
            <v>정크 스쿠너 인도 계약서</v>
          </cell>
        </row>
        <row r="2451">
          <cell r="A2451">
            <v>23700308</v>
          </cell>
          <cell r="B2451" t="str">
            <v>바사 인도 계약서</v>
          </cell>
        </row>
        <row r="2452">
          <cell r="A2452">
            <v>23700309</v>
          </cell>
          <cell r="B2452" t="str">
            <v>부첸타우르 인도 계약서</v>
          </cell>
        </row>
        <row r="2453">
          <cell r="A2453">
            <v>23700310</v>
          </cell>
          <cell r="B2453" t="str">
            <v>정성공의 해남선 인도 계약서</v>
          </cell>
        </row>
        <row r="2454">
          <cell r="A2454">
            <v>23700311</v>
          </cell>
          <cell r="B2454" t="str">
            <v>황금 인게르마늘란트 인도 계약서</v>
          </cell>
        </row>
        <row r="2455">
          <cell r="A2455">
            <v>23700312</v>
          </cell>
          <cell r="B2455" t="str">
            <v>황금 정크 스쿠너 인도 계약서</v>
          </cell>
        </row>
        <row r="2456">
          <cell r="A2456">
            <v>23700313</v>
          </cell>
          <cell r="B2456" t="str">
            <v>황금 바사 인도 계약서</v>
          </cell>
        </row>
        <row r="2457">
          <cell r="A2457">
            <v>23700314</v>
          </cell>
          <cell r="B2457" t="str">
            <v>황금 부첸타우르 인도 계약서</v>
          </cell>
        </row>
        <row r="2458">
          <cell r="A2458">
            <v>23700315</v>
          </cell>
          <cell r="B2458" t="str">
            <v>황금 정성공의 해남선 인도 계약서</v>
          </cell>
        </row>
        <row r="2459">
          <cell r="A2459">
            <v>23700316</v>
          </cell>
          <cell r="B2459" t="str">
            <v>26등급 황금 선박 선택권</v>
          </cell>
        </row>
        <row r="2460">
          <cell r="A2460">
            <v>23710001</v>
          </cell>
          <cell r="B2460" t="str">
            <v>1~6등급 판재 선택 교환권</v>
          </cell>
        </row>
        <row r="2461">
          <cell r="A2461">
            <v>23710002</v>
          </cell>
          <cell r="B2461" t="str">
            <v>1~6등급 돛대 선택 교환권</v>
          </cell>
        </row>
        <row r="2462">
          <cell r="A2462">
            <v>23710003</v>
          </cell>
          <cell r="B2462" t="str">
            <v>1~6등급 포문 선택 교환권</v>
          </cell>
        </row>
        <row r="2463">
          <cell r="A2463">
            <v>23710004</v>
          </cell>
          <cell r="B2463" t="str">
            <v>1~12등급 도면 선택 교환권</v>
          </cell>
        </row>
        <row r="2464">
          <cell r="A2464">
            <v>23710005</v>
          </cell>
          <cell r="B2464" t="str">
            <v>1~8등급 판재 선택 교환권</v>
          </cell>
        </row>
        <row r="2465">
          <cell r="A2465">
            <v>23710006</v>
          </cell>
          <cell r="B2465" t="str">
            <v>1~8등급 돛대 선택 교환권</v>
          </cell>
        </row>
        <row r="2466">
          <cell r="A2466">
            <v>23710007</v>
          </cell>
          <cell r="B2466" t="str">
            <v>1~8등급 포문 선택 교환권</v>
          </cell>
        </row>
        <row r="2467">
          <cell r="A2467">
            <v>23710008</v>
          </cell>
          <cell r="B2467" t="str">
            <v>1~10등급 판재 선택 교환권</v>
          </cell>
        </row>
        <row r="2468">
          <cell r="A2468">
            <v>23710009</v>
          </cell>
          <cell r="B2468" t="str">
            <v>1~10등급 돛대 선택 교환권</v>
          </cell>
        </row>
        <row r="2469">
          <cell r="A2469">
            <v>23710010</v>
          </cell>
          <cell r="B2469" t="str">
            <v>1~10등급 포문 선택 교환권</v>
          </cell>
        </row>
        <row r="2470">
          <cell r="A2470">
            <v>23710011</v>
          </cell>
          <cell r="B2470" t="str">
            <v>1~12등급 판재 선택 교환권</v>
          </cell>
        </row>
        <row r="2471">
          <cell r="A2471">
            <v>23710012</v>
          </cell>
          <cell r="B2471" t="str">
            <v>1~12등급 돛대 선택 교환권</v>
          </cell>
        </row>
        <row r="2472">
          <cell r="A2472">
            <v>23710013</v>
          </cell>
          <cell r="B2472" t="str">
            <v>1~12등급 포문 선택 교환권</v>
          </cell>
        </row>
        <row r="2473">
          <cell r="A2473">
            <v>23710014</v>
          </cell>
          <cell r="B2473" t="str">
            <v>1~13등급 판재 선택 교환권</v>
          </cell>
        </row>
        <row r="2474">
          <cell r="A2474">
            <v>23710015</v>
          </cell>
          <cell r="B2474" t="str">
            <v>1~13등급 돛대 선택 교환권</v>
          </cell>
        </row>
        <row r="2475">
          <cell r="A2475">
            <v>23710016</v>
          </cell>
          <cell r="B2475" t="str">
            <v>1~13등급 포문 선택 교환권</v>
          </cell>
        </row>
        <row r="2476">
          <cell r="A2476">
            <v>23710017</v>
          </cell>
          <cell r="B2476" t="str">
            <v>1~13등급 도면 선택 교환권</v>
          </cell>
        </row>
        <row r="2477">
          <cell r="A2477">
            <v>23710018</v>
          </cell>
          <cell r="B2477" t="str">
            <v>1~14등급 판재 선택 교환권</v>
          </cell>
        </row>
        <row r="2478">
          <cell r="A2478">
            <v>23710019</v>
          </cell>
          <cell r="B2478" t="str">
            <v>1~14등급 돛대 선택 교환권</v>
          </cell>
        </row>
        <row r="2479">
          <cell r="A2479">
            <v>23710020</v>
          </cell>
          <cell r="B2479" t="str">
            <v>1~14등급 포문 선택 교환권</v>
          </cell>
        </row>
        <row r="2480">
          <cell r="A2480">
            <v>23710021</v>
          </cell>
          <cell r="B2480" t="str">
            <v>1~14등급 도면 선택 교환권</v>
          </cell>
        </row>
        <row r="2481">
          <cell r="A2481">
            <v>23710022</v>
          </cell>
          <cell r="B2481" t="str">
            <v>1~15등급 판재 선택 교환권</v>
          </cell>
        </row>
        <row r="2482">
          <cell r="A2482">
            <v>23710023</v>
          </cell>
          <cell r="B2482" t="str">
            <v>1~15등급 돛대 선택 교환권</v>
          </cell>
        </row>
        <row r="2483">
          <cell r="A2483">
            <v>23710024</v>
          </cell>
          <cell r="B2483" t="str">
            <v>1~15등급 포문 선택 교환권</v>
          </cell>
        </row>
        <row r="2484">
          <cell r="A2484">
            <v>23710025</v>
          </cell>
          <cell r="B2484" t="str">
            <v>1~15등급 도면 선택 교환권</v>
          </cell>
        </row>
        <row r="2485">
          <cell r="A2485">
            <v>23710026</v>
          </cell>
          <cell r="B2485" t="str">
            <v>1~16등급 판재 선택 교환권</v>
          </cell>
        </row>
        <row r="2486">
          <cell r="A2486">
            <v>23710027</v>
          </cell>
          <cell r="B2486" t="str">
            <v>1~16등급 돛대 선택 교환권</v>
          </cell>
        </row>
        <row r="2487">
          <cell r="A2487">
            <v>23710028</v>
          </cell>
          <cell r="B2487" t="str">
            <v>1~16등급 포문 선택 교환권</v>
          </cell>
        </row>
        <row r="2488">
          <cell r="A2488">
            <v>23710029</v>
          </cell>
          <cell r="B2488" t="str">
            <v>1~16등급 도면 선택 교환권</v>
          </cell>
        </row>
        <row r="2489">
          <cell r="A2489">
            <v>23710030</v>
          </cell>
          <cell r="B2489" t="str">
            <v>1~17등급 판재 선택 교환권</v>
          </cell>
        </row>
        <row r="2490">
          <cell r="A2490">
            <v>23710031</v>
          </cell>
          <cell r="B2490" t="str">
            <v>1~17등급 돛대 선택 교환권</v>
          </cell>
        </row>
        <row r="2491">
          <cell r="A2491">
            <v>23710032</v>
          </cell>
          <cell r="B2491" t="str">
            <v>1~17등급 포문 선택 교환권</v>
          </cell>
        </row>
        <row r="2492">
          <cell r="A2492">
            <v>23710033</v>
          </cell>
          <cell r="B2492" t="str">
            <v>1~17등급 도면 선택 교환권</v>
          </cell>
        </row>
        <row r="2493">
          <cell r="A2493">
            <v>23710034</v>
          </cell>
          <cell r="B2493" t="str">
            <v>B급 부품 상자</v>
          </cell>
        </row>
        <row r="2494">
          <cell r="A2494">
            <v>23710035</v>
          </cell>
          <cell r="B2494" t="str">
            <v>A급 장비 상자</v>
          </cell>
        </row>
        <row r="2495">
          <cell r="A2495">
            <v>23710036</v>
          </cell>
          <cell r="B2495" t="str">
            <v>A급 부품 상자</v>
          </cell>
        </row>
        <row r="2496">
          <cell r="A2496">
            <v>23710037</v>
          </cell>
          <cell r="B2496" t="str">
            <v>B급 장비 상자</v>
          </cell>
        </row>
        <row r="2497">
          <cell r="A2497">
            <v>23710038</v>
          </cell>
          <cell r="B2497" t="str">
            <v>C급 장비 상자</v>
          </cell>
        </row>
        <row r="2498">
          <cell r="A2498">
            <v>23710039</v>
          </cell>
          <cell r="B2498" t="str">
            <v>D급 장비 상자</v>
          </cell>
        </row>
        <row r="2499">
          <cell r="A2499">
            <v>23710040</v>
          </cell>
          <cell r="B2499" t="str">
            <v>A급 장비 제작 재료 상자</v>
          </cell>
        </row>
        <row r="2500">
          <cell r="A2500">
            <v>23710041</v>
          </cell>
          <cell r="B2500" t="str">
            <v>A급 부품 제작 재료 상자</v>
          </cell>
        </row>
        <row r="2501">
          <cell r="A2501">
            <v>23710042</v>
          </cell>
          <cell r="B2501" t="str">
            <v>1~18등급 판재 선택 교환권</v>
          </cell>
        </row>
        <row r="2502">
          <cell r="A2502">
            <v>23710043</v>
          </cell>
          <cell r="B2502" t="str">
            <v>1~18등급 돛대 선택 교환권</v>
          </cell>
        </row>
        <row r="2503">
          <cell r="A2503">
            <v>23710044</v>
          </cell>
          <cell r="B2503" t="str">
            <v>1~18등급 포문 선택 교환권</v>
          </cell>
        </row>
        <row r="2504">
          <cell r="A2504">
            <v>23710045</v>
          </cell>
          <cell r="B2504" t="str">
            <v>1~18등급 도면 선택 교환권</v>
          </cell>
        </row>
        <row r="2505">
          <cell r="A2505">
            <v>23710046</v>
          </cell>
          <cell r="B2505" t="str">
            <v>크리스마스 고급 선물 상자_2023</v>
          </cell>
        </row>
        <row r="2506">
          <cell r="A2506">
            <v>23710047</v>
          </cell>
          <cell r="B2506" t="str">
            <v>크리스마스 선물 상자_2023</v>
          </cell>
        </row>
        <row r="2507">
          <cell r="A2507">
            <v>23710048</v>
          </cell>
          <cell r="B2507" t="str">
            <v>크리스마스 작은 선물 상자_2023</v>
          </cell>
        </row>
        <row r="2508">
          <cell r="A2508">
            <v>23710049</v>
          </cell>
          <cell r="B2508" t="str">
            <v>S급 합성 재료 선택 상자</v>
          </cell>
        </row>
        <row r="2509">
          <cell r="A2509">
            <v>23710050</v>
          </cell>
          <cell r="B2509" t="str">
            <v>가속 선택 교환권</v>
          </cell>
        </row>
        <row r="2510">
          <cell r="A2510">
            <v>23710051</v>
          </cell>
          <cell r="B2510" t="str">
            <v>성장 기능 가속 선택 교환권</v>
          </cell>
        </row>
        <row r="2511">
          <cell r="A2511">
            <v>23710052</v>
          </cell>
          <cell r="B2511" t="str">
            <v>항해사 기능 가속 선택 교환권</v>
          </cell>
        </row>
        <row r="2512">
          <cell r="A2512">
            <v>23710053</v>
          </cell>
          <cell r="B2512" t="str">
            <v>생산 기능 가속 선택 교환권</v>
          </cell>
        </row>
        <row r="2513">
          <cell r="A2513">
            <v>23710054</v>
          </cell>
          <cell r="B2513" t="str">
            <v>A등급 부품 선택 교환권</v>
          </cell>
        </row>
        <row r="2514">
          <cell r="A2514">
            <v>23710055</v>
          </cell>
          <cell r="B2514" t="str">
            <v>가속 선택 교환권_GL</v>
          </cell>
        </row>
        <row r="2515">
          <cell r="A2515">
            <v>23710056</v>
          </cell>
          <cell r="B2515" t="str">
            <v>성장 기능 가속 선택 교환권_GL</v>
          </cell>
        </row>
        <row r="2516">
          <cell r="A2516">
            <v>23710057</v>
          </cell>
          <cell r="B2516" t="str">
            <v>18등급 선박 선택 교환권</v>
          </cell>
        </row>
        <row r="2517">
          <cell r="A2517">
            <v>23710058</v>
          </cell>
          <cell r="B2517" t="str">
            <v>1주년 선물 상자</v>
          </cell>
        </row>
        <row r="2518">
          <cell r="A2518">
            <v>23710059</v>
          </cell>
          <cell r="B2518" t="str">
            <v>이순신 제독 교환권</v>
          </cell>
        </row>
        <row r="2519">
          <cell r="A2519">
            <v>23710060</v>
          </cell>
          <cell r="B2519" t="str">
            <v>상급 훈련 재료 선택 교환권</v>
          </cell>
        </row>
        <row r="2520">
          <cell r="A2520">
            <v>23710061</v>
          </cell>
          <cell r="B2520" t="str">
            <v>중급 훈련 재료 선택 교환권</v>
          </cell>
        </row>
        <row r="2521">
          <cell r="A2521">
            <v>23710062</v>
          </cell>
          <cell r="B2521" t="str">
            <v>망가진 선박 부품 묶음</v>
          </cell>
        </row>
        <row r="2522">
          <cell r="A2522">
            <v>23710063</v>
          </cell>
          <cell r="B2522" t="str">
            <v>D급 하사품 상자</v>
          </cell>
        </row>
        <row r="2523">
          <cell r="A2523">
            <v>23710064</v>
          </cell>
          <cell r="B2523" t="str">
            <v>C급 하사품 상자</v>
          </cell>
        </row>
        <row r="2524">
          <cell r="A2524">
            <v>23710065</v>
          </cell>
          <cell r="B2524" t="str">
            <v>B급 하사품 상자</v>
          </cell>
        </row>
        <row r="2525">
          <cell r="A2525">
            <v>23710066</v>
          </cell>
          <cell r="B2525" t="str">
            <v>A급 하사품 상자</v>
          </cell>
        </row>
        <row r="2526">
          <cell r="A2526">
            <v>23710067</v>
          </cell>
          <cell r="B2526" t="str">
            <v>1~16등급 선박 건조 상자</v>
          </cell>
        </row>
        <row r="2527">
          <cell r="A2527">
            <v>23710068</v>
          </cell>
          <cell r="B2527" t="str">
            <v>1~17등급 선박 건조 상자</v>
          </cell>
        </row>
        <row r="2528">
          <cell r="A2528">
            <v>23710069</v>
          </cell>
          <cell r="B2528" t="str">
            <v>대형 용골 선택 교환권</v>
          </cell>
        </row>
        <row r="2529">
          <cell r="A2529">
            <v>23710070</v>
          </cell>
          <cell r="B2529" t="str">
            <v>고급 모험 항해사 선택 교환권</v>
          </cell>
        </row>
        <row r="2530">
          <cell r="A2530">
            <v>23710071</v>
          </cell>
          <cell r="B2530" t="str">
            <v>고급 교역 항해사 선택 교환권</v>
          </cell>
        </row>
        <row r="2531">
          <cell r="A2531">
            <v>23710072</v>
          </cell>
          <cell r="B2531" t="str">
            <v>고급 전투 항해사 선택 교환권</v>
          </cell>
        </row>
        <row r="2532">
          <cell r="A2532">
            <v>23710073</v>
          </cell>
          <cell r="B2532" t="str">
            <v>티켓 선택 교환권 1</v>
          </cell>
        </row>
        <row r="2533">
          <cell r="A2533">
            <v>23710074</v>
          </cell>
          <cell r="B2533" t="str">
            <v>1~19등급 판재 선택 교환권</v>
          </cell>
        </row>
        <row r="2534">
          <cell r="A2534">
            <v>23710075</v>
          </cell>
          <cell r="B2534" t="str">
            <v>1~19등급 돛대 선택 교환권</v>
          </cell>
        </row>
        <row r="2535">
          <cell r="A2535">
            <v>23710076</v>
          </cell>
          <cell r="B2535" t="str">
            <v>1~19등급 포문 선택 교환권</v>
          </cell>
        </row>
        <row r="2536">
          <cell r="A2536">
            <v>23710077</v>
          </cell>
          <cell r="B2536" t="str">
            <v>1~19등급 도면 선택 교환권</v>
          </cell>
        </row>
        <row r="2537">
          <cell r="A2537">
            <v>23710078</v>
          </cell>
          <cell r="B2537" t="str">
            <v>부품 요청서 선택 교환권</v>
          </cell>
        </row>
        <row r="2538">
          <cell r="A2538">
            <v>23710079</v>
          </cell>
          <cell r="B2538" t="str">
            <v>장비 요청서 선택 교환권</v>
          </cell>
        </row>
        <row r="2539">
          <cell r="A2539">
            <v>23710080</v>
          </cell>
          <cell r="B2539" t="str">
            <v>창세기전 항해사 계약서 선택 교환권</v>
          </cell>
        </row>
        <row r="2540">
          <cell r="A2540">
            <v>23710081</v>
          </cell>
          <cell r="B2540" t="str">
            <v>합성 재료 선택 교환권 (B 재료)</v>
          </cell>
        </row>
        <row r="2541">
          <cell r="A2541">
            <v>23710082</v>
          </cell>
          <cell r="B2541" t="str">
            <v>합성 재료 선택 교환권 (A 재료)</v>
          </cell>
        </row>
        <row r="2542">
          <cell r="A2542">
            <v>23710083</v>
          </cell>
          <cell r="B2542" t="str">
            <v>합성 재료 선택 교환권 (S 재료)</v>
          </cell>
        </row>
        <row r="2543">
          <cell r="A2543">
            <v>23710084</v>
          </cell>
          <cell r="B2543" t="str">
            <v>C급 자원 선택 상자</v>
          </cell>
        </row>
        <row r="2544">
          <cell r="A2544">
            <v>23710085</v>
          </cell>
          <cell r="B2544" t="str">
            <v>C~B급 자원 선택 상자</v>
          </cell>
        </row>
        <row r="2545">
          <cell r="A2545">
            <v>23710086</v>
          </cell>
          <cell r="B2545" t="str">
            <v>C~A급 자원 선택 상자</v>
          </cell>
        </row>
        <row r="2546">
          <cell r="A2546">
            <v>23710087</v>
          </cell>
          <cell r="B2546" t="str">
            <v>C~S급 자원 선택 상자</v>
          </cell>
        </row>
        <row r="2547">
          <cell r="A2547">
            <v>23710088</v>
          </cell>
          <cell r="B2547" t="str">
            <v>A급 무기 선택 상자</v>
          </cell>
        </row>
        <row r="2548">
          <cell r="A2548">
            <v>23710089</v>
          </cell>
          <cell r="B2548" t="str">
            <v>A급 장신구 선택 상자</v>
          </cell>
        </row>
        <row r="2549">
          <cell r="A2549">
            <v>23710090</v>
          </cell>
          <cell r="B2549" t="str">
            <v>상회 보급 중형 판재 선택 교환권</v>
          </cell>
        </row>
        <row r="2550">
          <cell r="A2550">
            <v>23710091</v>
          </cell>
          <cell r="B2550" t="str">
            <v>상회 보급 중형 돛대 선택 교환권</v>
          </cell>
        </row>
        <row r="2551">
          <cell r="A2551">
            <v>23710092</v>
          </cell>
          <cell r="B2551" t="str">
            <v>상회 보급 중형 포문 선택 교환권</v>
          </cell>
        </row>
        <row r="2552">
          <cell r="A2552">
            <v>23710093</v>
          </cell>
          <cell r="B2552" t="str">
            <v>상회 보급 가속권 10분 선택 상자_KR</v>
          </cell>
        </row>
        <row r="2553">
          <cell r="A2553">
            <v>23710094</v>
          </cell>
          <cell r="B2553" t="str">
            <v>상회 보급 가속권 30분 선택 상자_KR</v>
          </cell>
        </row>
        <row r="2554">
          <cell r="A2554">
            <v>23710095</v>
          </cell>
          <cell r="B2554" t="str">
            <v>상회 보급 가속권 1시간 선택 상자_KR</v>
          </cell>
        </row>
        <row r="2555">
          <cell r="A2555">
            <v>23710096</v>
          </cell>
          <cell r="B2555" t="str">
            <v>상회 보급 가속권 10분 선택 상자_GL</v>
          </cell>
        </row>
        <row r="2556">
          <cell r="A2556">
            <v>23710097</v>
          </cell>
          <cell r="B2556" t="str">
            <v>상회 보급 가속권 30분 선택 상자_GL</v>
          </cell>
        </row>
        <row r="2557">
          <cell r="A2557">
            <v>23710098</v>
          </cell>
          <cell r="B2557" t="str">
            <v>상회 보급 가속권 1시간 선택 상자_GL</v>
          </cell>
        </row>
        <row r="2558">
          <cell r="A2558">
            <v>23710099</v>
          </cell>
          <cell r="B2558" t="str">
            <v>먼지 쌓인 상회 상자</v>
          </cell>
        </row>
        <row r="2559">
          <cell r="A2559">
            <v>23710100</v>
          </cell>
          <cell r="B2559" t="str">
            <v>상회 보급 C등급 부품 제작 재료 선택 상자</v>
          </cell>
        </row>
        <row r="2560">
          <cell r="A2560">
            <v>23710101</v>
          </cell>
          <cell r="B2560" t="str">
            <v>상회 보급 C등급 장비 제작 재료 선택 상자</v>
          </cell>
        </row>
        <row r="2561">
          <cell r="A2561">
            <v>23710102</v>
          </cell>
          <cell r="B2561" t="str">
            <v>상회 보급 B등급 부품 제작 재료 선택 상자</v>
          </cell>
        </row>
        <row r="2562">
          <cell r="A2562">
            <v>23710103</v>
          </cell>
          <cell r="B2562" t="str">
            <v>상회 보급 B등급 장비 제작 재료 선택 상자</v>
          </cell>
        </row>
        <row r="2563">
          <cell r="A2563">
            <v>23710104</v>
          </cell>
          <cell r="B2563" t="str">
            <v>상회 보급 A등급 부품 제작 재료 선택 상자</v>
          </cell>
        </row>
        <row r="2564">
          <cell r="A2564">
            <v>23710105</v>
          </cell>
          <cell r="B2564" t="str">
            <v>상회 보급 A등급 장비 제작 재료 선택 상자</v>
          </cell>
        </row>
        <row r="2565">
          <cell r="A2565">
            <v>23710106</v>
          </cell>
          <cell r="B2565" t="str">
            <v>무뎌진 선박 부품 묶음</v>
          </cell>
        </row>
        <row r="2566">
          <cell r="A2566">
            <v>23710107</v>
          </cell>
          <cell r="B2566" t="str">
            <v>A급 얼굴장식 선택 상자</v>
          </cell>
        </row>
        <row r="2567">
          <cell r="A2567">
            <v>23710108</v>
          </cell>
          <cell r="B2567" t="str">
            <v>A급 망토 선택 상자</v>
          </cell>
        </row>
        <row r="2568">
          <cell r="A2568">
            <v>23710109</v>
          </cell>
          <cell r="B2568" t="str">
            <v>초급/중급/고급 교본 선택 교환권</v>
          </cell>
        </row>
        <row r="2569">
          <cell r="A2569">
            <v>23710110</v>
          </cell>
          <cell r="B2569" t="str">
            <v>예바와 잉게보르크 계약서 선택 교환권</v>
          </cell>
        </row>
        <row r="2570">
          <cell r="A2570">
            <v>23710111</v>
          </cell>
          <cell r="B2570" t="str">
            <v>1~20등급 판재 선택 교환권</v>
          </cell>
        </row>
        <row r="2571">
          <cell r="A2571">
            <v>23710112</v>
          </cell>
          <cell r="B2571" t="str">
            <v>1~20등급 돛대 선택 교환권</v>
          </cell>
        </row>
        <row r="2572">
          <cell r="A2572">
            <v>23710113</v>
          </cell>
          <cell r="B2572" t="str">
            <v>1~20등급 포문 선택 교환권</v>
          </cell>
        </row>
        <row r="2573">
          <cell r="A2573">
            <v>23710114</v>
          </cell>
          <cell r="B2573" t="str">
            <v>1~20등급 도면 선택 교환권</v>
          </cell>
        </row>
        <row r="2574">
          <cell r="A2574">
            <v>23710115</v>
          </cell>
          <cell r="B2574" t="str">
            <v>A급 상급 부품 선택 상자</v>
          </cell>
        </row>
        <row r="2575">
          <cell r="A2575">
            <v>23710116</v>
          </cell>
          <cell r="B2575" t="str">
            <v>공용 도면 선택 교환권</v>
          </cell>
        </row>
        <row r="2576">
          <cell r="A2576">
            <v>23710117</v>
          </cell>
          <cell r="B2576" t="str">
            <v>초대형 판재 선택 교환권</v>
          </cell>
        </row>
        <row r="2577">
          <cell r="A2577">
            <v>23710118</v>
          </cell>
          <cell r="B2577" t="str">
            <v>초대형 돛대 선택 교환권</v>
          </cell>
        </row>
        <row r="2578">
          <cell r="A2578">
            <v>23710119</v>
          </cell>
          <cell r="B2578" t="str">
            <v>초대형 포문 선택 교환권</v>
          </cell>
        </row>
        <row r="2579">
          <cell r="A2579">
            <v>23710120</v>
          </cell>
          <cell r="B2579" t="str">
            <v>새내기 제독선 교환 상자</v>
          </cell>
        </row>
        <row r="2580">
          <cell r="A2580">
            <v>23710121</v>
          </cell>
          <cell r="B2580" t="str">
            <v>상경과 청린 계약서 선택 교환권</v>
          </cell>
        </row>
        <row r="2581">
          <cell r="A2581">
            <v>23710122</v>
          </cell>
          <cell r="B2581" t="str">
            <v>고급 티켓 선택 교환권</v>
          </cell>
        </row>
        <row r="2582">
          <cell r="A2582">
            <v>23710123</v>
          </cell>
          <cell r="B2582" t="str">
            <v>1~21등급 판재 선택 교환권</v>
          </cell>
        </row>
        <row r="2583">
          <cell r="A2583">
            <v>23710124</v>
          </cell>
          <cell r="B2583" t="str">
            <v>1~21등급 돛대 선택 교환권</v>
          </cell>
        </row>
        <row r="2584">
          <cell r="A2584">
            <v>23710125</v>
          </cell>
          <cell r="B2584" t="str">
            <v>1~21등급 포문 선택 교환권</v>
          </cell>
        </row>
        <row r="2585">
          <cell r="A2585">
            <v>23710126</v>
          </cell>
          <cell r="B2585" t="str">
            <v>1~21등급 도면 선택 교환권</v>
          </cell>
        </row>
        <row r="2586">
          <cell r="A2586">
            <v>23710127</v>
          </cell>
          <cell r="B2586" t="str">
            <v>초대형 용골 선택 교환권</v>
          </cell>
        </row>
        <row r="2587">
          <cell r="A2587">
            <v>23710128</v>
          </cell>
          <cell r="B2587" t="str">
            <v>마와르와 켈레벡 계약서 선택 교환권</v>
          </cell>
        </row>
        <row r="2588">
          <cell r="A2588">
            <v>23710129</v>
          </cell>
          <cell r="B2588" t="str">
            <v>니타와 코르넬리아 계약서 선택 교환권</v>
          </cell>
        </row>
        <row r="2589">
          <cell r="A2589">
            <v>23710130</v>
          </cell>
          <cell r="B2589" t="str">
            <v>승급 1단계 재료 선택 교환권</v>
          </cell>
        </row>
        <row r="2590">
          <cell r="A2590">
            <v>23710131</v>
          </cell>
          <cell r="B2590" t="str">
            <v>승급 2단계 재료 선택 교환권</v>
          </cell>
        </row>
        <row r="2591">
          <cell r="A2591">
            <v>23710132</v>
          </cell>
          <cell r="B2591" t="str">
            <v>승급 3단계 재료 선택 교환권</v>
          </cell>
        </row>
        <row r="2592">
          <cell r="A2592">
            <v>23710133</v>
          </cell>
          <cell r="B2592" t="str">
            <v>승급 4단계 재료 선택 교환권</v>
          </cell>
        </row>
        <row r="2593">
          <cell r="A2593">
            <v>23710134</v>
          </cell>
          <cell r="B2593" t="str">
            <v>유료 제독 선택 교환권</v>
          </cell>
        </row>
        <row r="2594">
          <cell r="A2594">
            <v>23710135</v>
          </cell>
          <cell r="B2594" t="str">
            <v>유료 제독 선택 교환권_GL</v>
          </cell>
        </row>
        <row r="2595">
          <cell r="A2595">
            <v>23710136</v>
          </cell>
          <cell r="B2595" t="str">
            <v>에르난 오브레곤 항해사 교환권</v>
          </cell>
        </row>
        <row r="2596">
          <cell r="A2596">
            <v>23710137</v>
          </cell>
          <cell r="B2596" t="str">
            <v>판재 선택 교환권</v>
          </cell>
        </row>
        <row r="2597">
          <cell r="A2597">
            <v>23710138</v>
          </cell>
          <cell r="B2597" t="str">
            <v>돛대 선택 교환권</v>
          </cell>
        </row>
        <row r="2598">
          <cell r="A2598">
            <v>23710139</v>
          </cell>
          <cell r="B2598" t="str">
            <v>포문 선택 교환권</v>
          </cell>
        </row>
        <row r="2599">
          <cell r="A2599">
            <v>23710140</v>
          </cell>
          <cell r="B2599" t="str">
            <v>용골 선택 교환권</v>
          </cell>
        </row>
        <row r="2600">
          <cell r="A2600">
            <v>23710141</v>
          </cell>
          <cell r="B2600" t="str">
            <v>1~6등급 선박 재료 선택 상자</v>
          </cell>
        </row>
        <row r="2601">
          <cell r="A2601">
            <v>23710142</v>
          </cell>
          <cell r="B2601" t="str">
            <v>1~8등급 선박 재료 선택 상자</v>
          </cell>
        </row>
        <row r="2602">
          <cell r="A2602">
            <v>23710143</v>
          </cell>
          <cell r="B2602" t="str">
            <v>1~10등급 선박 재료 선택 상자</v>
          </cell>
        </row>
        <row r="2603">
          <cell r="A2603">
            <v>23710144</v>
          </cell>
          <cell r="B2603" t="str">
            <v>1~12등급 선박 재료 선택 상자</v>
          </cell>
        </row>
        <row r="2604">
          <cell r="A2604">
            <v>23710145</v>
          </cell>
          <cell r="B2604" t="str">
            <v>1~13등급 선박 재료 선택 상자</v>
          </cell>
        </row>
        <row r="2605">
          <cell r="A2605">
            <v>23710146</v>
          </cell>
          <cell r="B2605" t="str">
            <v>1~14등급 선박 재료 선택 상자</v>
          </cell>
        </row>
        <row r="2606">
          <cell r="A2606">
            <v>23710147</v>
          </cell>
          <cell r="B2606" t="str">
            <v>1~15등급 선박 재료 선택 상자</v>
          </cell>
        </row>
        <row r="2607">
          <cell r="A2607">
            <v>23710148</v>
          </cell>
          <cell r="B2607" t="str">
            <v>1~16등급 선박 재료 선택 상자</v>
          </cell>
        </row>
        <row r="2608">
          <cell r="A2608">
            <v>23710149</v>
          </cell>
          <cell r="B2608" t="str">
            <v>1~17등급 선박 재료 선택 상자</v>
          </cell>
        </row>
        <row r="2609">
          <cell r="A2609">
            <v>23710150</v>
          </cell>
          <cell r="B2609" t="str">
            <v>1~18등급 선박 재료 선택 상자</v>
          </cell>
        </row>
        <row r="2610">
          <cell r="A2610">
            <v>23710151</v>
          </cell>
          <cell r="B2610" t="str">
            <v>1~19등급 선박 재료 선택 상자</v>
          </cell>
        </row>
        <row r="2611">
          <cell r="A2611">
            <v>23710152</v>
          </cell>
          <cell r="B2611" t="str">
            <v>1~20등급 선박 재료 선택 상자</v>
          </cell>
        </row>
        <row r="2612">
          <cell r="A2612">
            <v>23710153</v>
          </cell>
          <cell r="B2612" t="str">
            <v>1~21등급 선박 재료 선택 상자</v>
          </cell>
        </row>
        <row r="2613">
          <cell r="A2613">
            <v>23710154</v>
          </cell>
          <cell r="B2613" t="str">
            <v>아니사와 아이셀 계약서 선택 교환권</v>
          </cell>
        </row>
        <row r="2614">
          <cell r="A2614">
            <v>23710155</v>
          </cell>
          <cell r="B2614" t="str">
            <v>가은정과 타츠마루 계약서 선택 교환권</v>
          </cell>
        </row>
        <row r="2615">
          <cell r="A2615">
            <v>23710156</v>
          </cell>
          <cell r="B2615" t="str">
            <v>보름달 의상 선택 교환권</v>
          </cell>
        </row>
        <row r="2616">
          <cell r="A2616">
            <v>23710157</v>
          </cell>
          <cell r="B2616" t="str">
            <v>초월서</v>
          </cell>
        </row>
        <row r="2617">
          <cell r="A2617">
            <v>23710158</v>
          </cell>
          <cell r="B2617" t="str">
            <v>최고급 교본 선택 교환권</v>
          </cell>
        </row>
        <row r="2618">
          <cell r="A2618">
            <v>23710159</v>
          </cell>
          <cell r="B2618" t="str">
            <v>항해사 경험치 영약</v>
          </cell>
        </row>
        <row r="2619">
          <cell r="A2619">
            <v>23710160</v>
          </cell>
          <cell r="B2619" t="str">
            <v>S등급 항해사 선택 교환권</v>
          </cell>
        </row>
        <row r="2620">
          <cell r="A2620">
            <v>23710161</v>
          </cell>
          <cell r="B2620" t="str">
            <v>S등급 항해사 선택 교환권_GL</v>
          </cell>
        </row>
        <row r="2621">
          <cell r="A2621">
            <v>23710162</v>
          </cell>
          <cell r="B2621" t="str">
            <v>메흐메트 슐루크 교환권</v>
          </cell>
        </row>
        <row r="2622">
          <cell r="A2622">
            <v>23710163</v>
          </cell>
          <cell r="B2622" t="str">
            <v>크리스마스 최고급 선물 상자</v>
          </cell>
        </row>
        <row r="2623">
          <cell r="A2623">
            <v>23710164</v>
          </cell>
          <cell r="B2623" t="str">
            <v>1~22등급 판재 선택 교환권</v>
          </cell>
        </row>
        <row r="2624">
          <cell r="A2624">
            <v>23710165</v>
          </cell>
          <cell r="B2624" t="str">
            <v>1~22등급 돛대 선택 교환권</v>
          </cell>
        </row>
        <row r="2625">
          <cell r="A2625">
            <v>23710166</v>
          </cell>
          <cell r="B2625" t="str">
            <v>1~22등급 포문 선택 교환권</v>
          </cell>
        </row>
        <row r="2626">
          <cell r="A2626">
            <v>23710167</v>
          </cell>
          <cell r="B2626" t="str">
            <v>1~22등급 도면 선택 교환권</v>
          </cell>
        </row>
        <row r="2627">
          <cell r="A2627">
            <v>23710168</v>
          </cell>
          <cell r="B2627" t="str">
            <v>투자 시즌 1 상자</v>
          </cell>
        </row>
        <row r="2628">
          <cell r="A2628">
            <v>23710169</v>
          </cell>
          <cell r="B2628" t="str">
            <v>22등급 황금 선박 선택권</v>
          </cell>
        </row>
        <row r="2629">
          <cell r="A2629">
            <v>23710170</v>
          </cell>
          <cell r="B2629" t="str">
            <v>특수 합성 부품 선택권Ⅰ</v>
          </cell>
        </row>
        <row r="2630">
          <cell r="A2630">
            <v>23710171</v>
          </cell>
          <cell r="B2630" t="str">
            <v>S등급 여관 항해사 선택권Ⅰ</v>
          </cell>
        </row>
        <row r="2631">
          <cell r="A2631">
            <v>23710172</v>
          </cell>
          <cell r="B2631" t="str">
            <v>1~22등급 선박 재료 선택 상자</v>
          </cell>
        </row>
        <row r="2632">
          <cell r="A2632">
            <v>23710173</v>
          </cell>
          <cell r="B2632" t="str">
            <v>S등급 부품 선택 상자</v>
          </cell>
        </row>
        <row r="2633">
          <cell r="A2633">
            <v>23710174</v>
          </cell>
          <cell r="B2633" t="str">
            <v>S등급 고급 부품 선택 상자</v>
          </cell>
        </row>
        <row r="2634">
          <cell r="A2634">
            <v>23710175</v>
          </cell>
          <cell r="B2634" t="str">
            <v>투자 시즌 2 상자</v>
          </cell>
        </row>
        <row r="2635">
          <cell r="A2635">
            <v>23710176</v>
          </cell>
          <cell r="B2635" t="str">
            <v>항해사 공용 계약서 선택권</v>
          </cell>
        </row>
        <row r="2636">
          <cell r="A2636">
            <v>23710179</v>
          </cell>
          <cell r="B2636" t="str">
            <v>시즌 황금 선박 인도 계약서_1</v>
          </cell>
        </row>
        <row r="2637">
          <cell r="A2637">
            <v>23710180</v>
          </cell>
          <cell r="B2637" t="str">
            <v>시즌 백은 선박 인도 계약서_1</v>
          </cell>
        </row>
        <row r="2638">
          <cell r="A2638">
            <v>23710181</v>
          </cell>
          <cell r="B2638" t="str">
            <v>시즌 황동 선박 인도 계약서_1</v>
          </cell>
        </row>
        <row r="2639">
          <cell r="A2639">
            <v>23710182</v>
          </cell>
          <cell r="B2639" t="str">
            <v>1~23등급 판재 선택 교환권</v>
          </cell>
        </row>
        <row r="2640">
          <cell r="A2640">
            <v>23710183</v>
          </cell>
          <cell r="B2640" t="str">
            <v>1~23등급 돛대 선택 교환권</v>
          </cell>
        </row>
        <row r="2641">
          <cell r="A2641">
            <v>23710184</v>
          </cell>
          <cell r="B2641" t="str">
            <v>1~23등급 포문 선택 교환권</v>
          </cell>
        </row>
        <row r="2642">
          <cell r="A2642">
            <v>23710185</v>
          </cell>
          <cell r="B2642" t="str">
            <v>1~23등급 도면 선택 교환권</v>
          </cell>
        </row>
        <row r="2643">
          <cell r="A2643">
            <v>23710188</v>
          </cell>
          <cell r="B2643" t="str">
            <v>에스메랄다 항해사 교환권</v>
          </cell>
        </row>
        <row r="2644">
          <cell r="A2644">
            <v>23710189</v>
          </cell>
          <cell r="B2644" t="str">
            <v>유료 항해사 선택권</v>
          </cell>
        </row>
        <row r="2645">
          <cell r="A2645">
            <v>23710190</v>
          </cell>
          <cell r="B2645" t="str">
            <v>두카트 주머니</v>
          </cell>
        </row>
        <row r="2646">
          <cell r="A2646">
            <v>23710191</v>
          </cell>
          <cell r="B2646" t="str">
            <v>아스트롤라베 선택 교환권</v>
          </cell>
        </row>
        <row r="2647">
          <cell r="A2647">
            <v>23710192</v>
          </cell>
          <cell r="B2647" t="str">
            <v>훈련서 선택 교환권</v>
          </cell>
        </row>
        <row r="2648">
          <cell r="A2648">
            <v>23710193</v>
          </cell>
          <cell r="B2648" t="str">
            <v>교본 선택 교환권2</v>
          </cell>
        </row>
        <row r="2649">
          <cell r="A2649">
            <v>23710194</v>
          </cell>
          <cell r="B2649" t="str">
            <v>임명장 선택 교환권</v>
          </cell>
        </row>
        <row r="2650">
          <cell r="A2650">
            <v>23710195</v>
          </cell>
          <cell r="B2650" t="str">
            <v>꾸미기 재료 선택 교환권</v>
          </cell>
        </row>
        <row r="2651">
          <cell r="A2651">
            <v>23710196</v>
          </cell>
          <cell r="B2651" t="str">
            <v>제작 재료 선택 교환권</v>
          </cell>
        </row>
        <row r="2652">
          <cell r="A2652">
            <v>23710197</v>
          </cell>
          <cell r="B2652" t="str">
            <v>여관 항해사 선택권</v>
          </cell>
        </row>
        <row r="2653">
          <cell r="A2653">
            <v>23710198</v>
          </cell>
          <cell r="B2653" t="str">
            <v>공헌도 중형 선박 재료 선택 상자</v>
          </cell>
        </row>
        <row r="2654">
          <cell r="A2654">
            <v>23710199</v>
          </cell>
          <cell r="B2654" t="str">
            <v>공헌도 대형 선박 재료 선택 상자</v>
          </cell>
        </row>
        <row r="2655">
          <cell r="A2655">
            <v>23710200</v>
          </cell>
          <cell r="B2655" t="str">
            <v>22등급 선박 교환권</v>
          </cell>
        </row>
        <row r="2656">
          <cell r="A2656">
            <v>23710201</v>
          </cell>
          <cell r="B2656" t="str">
            <v>투자 시즌 1 종료 상자</v>
          </cell>
        </row>
        <row r="2657">
          <cell r="A2657">
            <v>23710202</v>
          </cell>
          <cell r="B2657" t="str">
            <v>S등급 강화 부품 선택 상자</v>
          </cell>
        </row>
        <row r="2658">
          <cell r="A2658">
            <v>23710203</v>
          </cell>
          <cell r="B2658" t="str">
            <v>24등급 황금 선박 선택권</v>
          </cell>
        </row>
        <row r="2659">
          <cell r="A2659">
            <v>23710204</v>
          </cell>
          <cell r="B2659" t="str">
            <v>시즌 황금 선박 인도 계약서_2</v>
          </cell>
        </row>
        <row r="2660">
          <cell r="A2660">
            <v>23710205</v>
          </cell>
          <cell r="B2660" t="str">
            <v>시즌 백은 선박 인도 계약서_2</v>
          </cell>
        </row>
        <row r="2661">
          <cell r="A2661">
            <v>23710206</v>
          </cell>
          <cell r="B2661" t="str">
            <v>시즌 황동 선박 인도 계약서_2</v>
          </cell>
        </row>
        <row r="2662">
          <cell r="A2662">
            <v>23710207</v>
          </cell>
          <cell r="B2662" t="str">
            <v>황금 마닐라 갤리온 인도 계약서</v>
          </cell>
        </row>
        <row r="2663">
          <cell r="A2663">
            <v>23710208</v>
          </cell>
          <cell r="B2663" t="str">
            <v>황금 애들러 인도 계약서</v>
          </cell>
        </row>
        <row r="2664">
          <cell r="A2664">
            <v>23710209</v>
          </cell>
          <cell r="B2664" t="str">
            <v>황금 베네치안 갤리스 인도 계약서</v>
          </cell>
        </row>
        <row r="2665">
          <cell r="A2665">
            <v>23710210</v>
          </cell>
          <cell r="B2665" t="str">
            <v>황금 판옥선 인도 계약서</v>
          </cell>
        </row>
        <row r="2666">
          <cell r="A2666">
            <v>23710211</v>
          </cell>
          <cell r="B2666" t="str">
            <v>황금 양선 인도 계약서</v>
          </cell>
        </row>
        <row r="2667">
          <cell r="A2667">
            <v>23710212</v>
          </cell>
          <cell r="B2667" t="str">
            <v>1~23등급 선박 재료 선택 상자</v>
          </cell>
        </row>
        <row r="2668">
          <cell r="A2668">
            <v>23710213</v>
          </cell>
          <cell r="B2668" t="str">
            <v>22등급 개량형 선박 교환권</v>
          </cell>
        </row>
        <row r="2669">
          <cell r="A2669">
            <v>23710214</v>
          </cell>
          <cell r="B2669" t="str">
            <v>합성 요청서 선택 교환권</v>
          </cell>
        </row>
        <row r="2670">
          <cell r="A2670">
            <v>23710215</v>
          </cell>
          <cell r="B2670" t="str">
            <v>탐험가용 소형 천막</v>
          </cell>
        </row>
        <row r="2671">
          <cell r="A2671">
            <v>23710216</v>
          </cell>
          <cell r="B2671" t="str">
            <v>해적의 보물 창고 지도</v>
          </cell>
        </row>
        <row r="2672">
          <cell r="A2672">
            <v>23710217</v>
          </cell>
          <cell r="B2672" t="str">
            <v>먼지 쌓인 보물 상자</v>
          </cell>
        </row>
        <row r="2673">
          <cell r="A2673">
            <v>23710218</v>
          </cell>
          <cell r="B2673" t="str">
            <v>판옥선 인도 계약서</v>
          </cell>
        </row>
        <row r="2674">
          <cell r="A2674">
            <v>23710219</v>
          </cell>
          <cell r="B2674" t="str">
            <v>양선 인도 계약서</v>
          </cell>
        </row>
        <row r="2675">
          <cell r="A2675">
            <v>23710220</v>
          </cell>
          <cell r="B2675" t="str">
            <v>마닐라 갤리온 인도 계약서</v>
          </cell>
        </row>
        <row r="2676">
          <cell r="A2676">
            <v>23710221</v>
          </cell>
          <cell r="B2676" t="str">
            <v>애들러 인도 계약서</v>
          </cell>
        </row>
        <row r="2677">
          <cell r="A2677">
            <v>23710222</v>
          </cell>
          <cell r="B2677" t="str">
            <v>베네치안 갤리스 인도 계약서</v>
          </cell>
        </row>
        <row r="2678">
          <cell r="A2678">
            <v>23710223</v>
          </cell>
          <cell r="B2678" t="str">
            <v>낡은 토마스 튜의 재료 선택 상자</v>
          </cell>
        </row>
        <row r="2679">
          <cell r="A2679">
            <v>23710224</v>
          </cell>
          <cell r="B2679" t="str">
            <v>이올린 팬드래건 제독 교환권</v>
          </cell>
        </row>
        <row r="2680">
          <cell r="A2680">
            <v>23710225</v>
          </cell>
          <cell r="B2680" t="str">
            <v>1~24등급 판재 선택 교환권</v>
          </cell>
        </row>
        <row r="2681">
          <cell r="A2681">
            <v>23710226</v>
          </cell>
          <cell r="B2681" t="str">
            <v>1~24등급 돛대 선택 교환권</v>
          </cell>
        </row>
        <row r="2682">
          <cell r="A2682">
            <v>23710227</v>
          </cell>
          <cell r="B2682" t="str">
            <v>1~24등급 포문 선택 교환권</v>
          </cell>
        </row>
        <row r="2683">
          <cell r="A2683">
            <v>23710228</v>
          </cell>
          <cell r="B2683" t="str">
            <v>1~24등급 도면 선택 교환권</v>
          </cell>
        </row>
        <row r="2684">
          <cell r="A2684">
            <v>23710229</v>
          </cell>
          <cell r="B2684" t="str">
            <v>S등급 항해사 선택 교환권 1</v>
          </cell>
        </row>
        <row r="2685">
          <cell r="A2685">
            <v>23710230</v>
          </cell>
          <cell r="B2685" t="str">
            <v>특수 합성 부품 선택권 II</v>
          </cell>
        </row>
        <row r="2686">
          <cell r="A2686">
            <v>23710231</v>
          </cell>
          <cell r="B2686" t="str">
            <v>한정 항해사 선택 교환권</v>
          </cell>
        </row>
        <row r="2687">
          <cell r="A2687">
            <v>23710232</v>
          </cell>
          <cell r="B2687" t="str">
            <v>23등급 개량형 선박 교환권</v>
          </cell>
        </row>
        <row r="2688">
          <cell r="A2688">
            <v>23710233</v>
          </cell>
          <cell r="B2688" t="str">
            <v>24등급 선박 건조 상자</v>
          </cell>
        </row>
        <row r="2689">
          <cell r="A2689">
            <v>23710234</v>
          </cell>
          <cell r="B2689" t="str">
            <v>승급 재료 상자 Ⅰ</v>
          </cell>
        </row>
        <row r="2690">
          <cell r="A2690">
            <v>23710235</v>
          </cell>
          <cell r="B2690" t="str">
            <v>승급 재료 상자 Ⅱ</v>
          </cell>
        </row>
        <row r="2691">
          <cell r="A2691">
            <v>23710236</v>
          </cell>
          <cell r="B2691" t="str">
            <v>승급 재료 상자 Ⅲ</v>
          </cell>
        </row>
        <row r="2692">
          <cell r="A2692">
            <v>23710237</v>
          </cell>
          <cell r="B2692" t="str">
            <v>승급 재료 상자 Ⅳ</v>
          </cell>
        </row>
        <row r="2693">
          <cell r="A2693">
            <v>23710238</v>
          </cell>
          <cell r="B2693" t="str">
            <v>기본 제독 교환권</v>
          </cell>
        </row>
        <row r="2694">
          <cell r="A2694">
            <v>23710239</v>
          </cell>
          <cell r="B2694" t="str">
            <v>흑태자 교환권</v>
          </cell>
        </row>
        <row r="2695">
          <cell r="A2695">
            <v>23710240</v>
          </cell>
          <cell r="B2695" t="str">
            <v>초보자 재해 해소 아이템 상자</v>
          </cell>
        </row>
        <row r="2696">
          <cell r="A2696">
            <v>23710241</v>
          </cell>
          <cell r="B2696" t="str">
            <v>25등급 황금 선박 선택권</v>
          </cell>
        </row>
        <row r="2697">
          <cell r="A2697">
            <v>23710242</v>
          </cell>
          <cell r="B2697" t="str">
            <v>초보자 모험 도구 아이템 상자</v>
          </cell>
        </row>
        <row r="2698">
          <cell r="A2698">
            <v>23710243</v>
          </cell>
          <cell r="B2698" t="str">
            <v>특수 문장 도안 교환권</v>
          </cell>
        </row>
        <row r="2699">
          <cell r="A2699">
            <v>23710244</v>
          </cell>
          <cell r="B2699" t="str">
            <v>일반 문장 도안 교환권</v>
          </cell>
        </row>
        <row r="2700">
          <cell r="A2700">
            <v>23710245</v>
          </cell>
          <cell r="B2700" t="str">
            <v>얼굴장식 외형 선택 상자</v>
          </cell>
        </row>
        <row r="2701">
          <cell r="A2701">
            <v>23710246</v>
          </cell>
          <cell r="B2701" t="str">
            <v>항해사 외형 장비 선택 상자</v>
          </cell>
        </row>
        <row r="2702">
          <cell r="A2702">
            <v>23710247</v>
          </cell>
          <cell r="B2702" t="str">
            <v>망토 외형 선택 상자</v>
          </cell>
        </row>
        <row r="2703">
          <cell r="A2703">
            <v>23710248</v>
          </cell>
          <cell r="B2703" t="str">
            <v>블랙 레이븐 교환권</v>
          </cell>
        </row>
        <row r="2704">
          <cell r="A2704">
            <v>23710249</v>
          </cell>
          <cell r="B2704" t="str">
            <v>카라 마우에 교환권</v>
          </cell>
        </row>
        <row r="2705">
          <cell r="A2705">
            <v>23710250</v>
          </cell>
          <cell r="B2705" t="str">
            <v>초월의 증표</v>
          </cell>
        </row>
        <row r="2706">
          <cell r="A2706">
            <v>23710251</v>
          </cell>
          <cell r="B2706" t="str">
            <v>S등급 여관 항해사 선택권II</v>
          </cell>
        </row>
        <row r="2707">
          <cell r="A2707">
            <v>23710252</v>
          </cell>
          <cell r="B2707" t="str">
            <v>구름 사제 특수 합성 기간제 부품 선택권</v>
          </cell>
        </row>
        <row r="2708">
          <cell r="A2708">
            <v>23710253</v>
          </cell>
          <cell r="B2708" t="str">
            <v>신록 특수 합성 기간제 부품 선택권</v>
          </cell>
        </row>
        <row r="2709">
          <cell r="A2709">
            <v>23710254</v>
          </cell>
          <cell r="B2709" t="str">
            <v>황금향 특수 합성 기간제 부품 선택권</v>
          </cell>
        </row>
        <row r="2710">
          <cell r="A2710">
            <v>23710255</v>
          </cell>
          <cell r="B2710" t="str">
            <v>창공 특수 합성 기간제 부품 선택권</v>
          </cell>
        </row>
        <row r="2711">
          <cell r="A2711">
            <v>23710256</v>
          </cell>
          <cell r="B2711" t="str">
            <v>은하 특수 합성 기간제 부품 선택권</v>
          </cell>
        </row>
        <row r="2712">
          <cell r="A2712">
            <v>23710257</v>
          </cell>
          <cell r="B2712" t="str">
            <v>영옥 특수 합성 기간제 부품 선택권</v>
          </cell>
        </row>
        <row r="2713">
          <cell r="A2713">
            <v>23710258</v>
          </cell>
          <cell r="B2713" t="str">
            <v>광륜 특수 합성 기간제 부품 선택권</v>
          </cell>
        </row>
        <row r="2714">
          <cell r="A2714">
            <v>23710259</v>
          </cell>
          <cell r="B2714" t="str">
            <v>특수 합성 부품 선택권Ⅲ</v>
          </cell>
        </row>
        <row r="2715">
          <cell r="A2715">
            <v>23710260</v>
          </cell>
          <cell r="B2715" t="str">
            <v>기본 제독 선택 교환권_CN</v>
          </cell>
        </row>
        <row r="2716">
          <cell r="A2716">
            <v>23710261</v>
          </cell>
          <cell r="B2716" t="str">
            <v>예술학자 선택권I</v>
          </cell>
        </row>
        <row r="2717">
          <cell r="A2717">
            <v>23710262</v>
          </cell>
          <cell r="B2717" t="str">
            <v>상담사 선택권I</v>
          </cell>
        </row>
        <row r="2718">
          <cell r="A2718">
            <v>23710263</v>
          </cell>
          <cell r="B2718" t="str">
            <v>1~24등급 선박 재료 선택 상자</v>
          </cell>
        </row>
        <row r="2719">
          <cell r="A2719">
            <v>23710264</v>
          </cell>
          <cell r="B2719" t="str">
            <v>선박 외형 부품 선택권</v>
          </cell>
        </row>
        <row r="2720">
          <cell r="A2720">
            <v>23710265</v>
          </cell>
          <cell r="B2720" t="str">
            <v>경쟁 항해사 교환권I</v>
          </cell>
        </row>
        <row r="2721">
          <cell r="A2721">
            <v>23710266</v>
          </cell>
          <cell r="B2721" t="str">
            <v>경쟁 항해사 전용 장비 선택 상자I</v>
          </cell>
        </row>
        <row r="2722">
          <cell r="A2722">
            <v>23710267</v>
          </cell>
          <cell r="B2722" t="str">
            <v>동방의 모험 경쟁 지도</v>
          </cell>
        </row>
        <row r="2723">
          <cell r="A2723">
            <v>23710268</v>
          </cell>
          <cell r="B2723" t="str">
            <v>1~25등급 판재 선택 교환권</v>
          </cell>
        </row>
        <row r="2724">
          <cell r="A2724">
            <v>23710269</v>
          </cell>
          <cell r="B2724" t="str">
            <v>1~25등급 돛대 선택 교환권</v>
          </cell>
        </row>
        <row r="2725">
          <cell r="A2725">
            <v>23710270</v>
          </cell>
          <cell r="B2725" t="str">
            <v>1~25등급 포문 선택 교환권</v>
          </cell>
        </row>
        <row r="2726">
          <cell r="A2726">
            <v>23710271</v>
          </cell>
          <cell r="B2726" t="str">
            <v>1~25등급 도면 선택 교환권</v>
          </cell>
        </row>
        <row r="2727">
          <cell r="A2727">
            <v>23710272</v>
          </cell>
          <cell r="B2727" t="str">
            <v>탐험가 선택권I</v>
          </cell>
        </row>
        <row r="2728">
          <cell r="A2728">
            <v>23710273</v>
          </cell>
          <cell r="B2728" t="str">
            <v>특공대 선택권I</v>
          </cell>
        </row>
        <row r="2729">
          <cell r="A2729">
            <v>23710274</v>
          </cell>
          <cell r="B2729" t="str">
            <v>호박 선물 상자</v>
          </cell>
        </row>
        <row r="2730">
          <cell r="A2730">
            <v>23710275</v>
          </cell>
          <cell r="B2730" t="str">
            <v>초보자 특별 승급 상자</v>
          </cell>
        </row>
        <row r="2731">
          <cell r="A2731">
            <v>23710276</v>
          </cell>
          <cell r="B2731" t="str">
            <v>초보자 특별 전투 상자</v>
          </cell>
        </row>
        <row r="2732">
          <cell r="A2732">
            <v>23710277</v>
          </cell>
          <cell r="B2732" t="str">
            <v>초보자 특별 모험 상자</v>
          </cell>
        </row>
        <row r="2733">
          <cell r="A2733">
            <v>23710278</v>
          </cell>
          <cell r="B2733" t="str">
            <v>초보자 특별 교역 상자</v>
          </cell>
        </row>
        <row r="2734">
          <cell r="A2734">
            <v>23710279</v>
          </cell>
          <cell r="B2734" t="str">
            <v>초보자 특별 생산 상자</v>
          </cell>
        </row>
        <row r="2735">
          <cell r="A2735">
            <v>23710280</v>
          </cell>
          <cell r="B2735" t="str">
            <v>초보 졸업 축하 선박 상자</v>
          </cell>
        </row>
        <row r="2736">
          <cell r="A2736">
            <v>23710281</v>
          </cell>
          <cell r="B2736" t="str">
            <v>투자가 선택권I</v>
          </cell>
        </row>
        <row r="2737">
          <cell r="A2737">
            <v>23710282</v>
          </cell>
          <cell r="B2737" t="str">
            <v>대사수 선택권I</v>
          </cell>
        </row>
        <row r="2738">
          <cell r="A2738">
            <v>23710283</v>
          </cell>
          <cell r="B2738" t="str">
            <v>항해사 전용 장비 선택권Ⅰ</v>
          </cell>
        </row>
        <row r="2739">
          <cell r="A2739">
            <v>23710284</v>
          </cell>
          <cell r="B2739" t="str">
            <v>C등급 항해사 승급 재료 상자 Ⅰ</v>
          </cell>
        </row>
        <row r="2740">
          <cell r="A2740">
            <v>23710285</v>
          </cell>
          <cell r="B2740" t="str">
            <v>B등급 항해사 승급 재료 상자 Ⅰ</v>
          </cell>
        </row>
        <row r="2741">
          <cell r="A2741">
            <v>23710286</v>
          </cell>
          <cell r="B2741" t="str">
            <v>B등급 항해사 승급 재료 상자 Ⅱ</v>
          </cell>
        </row>
        <row r="2742">
          <cell r="A2742">
            <v>23710287</v>
          </cell>
          <cell r="B2742" t="str">
            <v>A등급 항해사 승급 재료 상자 Ⅰ</v>
          </cell>
        </row>
        <row r="2743">
          <cell r="A2743">
            <v>23710288</v>
          </cell>
          <cell r="B2743" t="str">
            <v>동방의 모험 경쟁 지도 Ⅱ</v>
          </cell>
        </row>
        <row r="2744">
          <cell r="A2744">
            <v>23720001</v>
          </cell>
          <cell r="B2744" t="str">
            <v>대포 요청서</v>
          </cell>
        </row>
        <row r="2745">
          <cell r="A2745">
            <v>23720002</v>
          </cell>
          <cell r="B2745" t="str">
            <v>돛 요청서</v>
          </cell>
        </row>
        <row r="2746">
          <cell r="A2746">
            <v>23720003</v>
          </cell>
          <cell r="B2746" t="str">
            <v>장갑 요청서</v>
          </cell>
        </row>
        <row r="2747">
          <cell r="A2747">
            <v>23720004</v>
          </cell>
          <cell r="B2747" t="str">
            <v>전투 충각 요청서</v>
          </cell>
        </row>
        <row r="2748">
          <cell r="A2748">
            <v>23720005</v>
          </cell>
          <cell r="B2748" t="str">
            <v>항해 충각 요청서</v>
          </cell>
        </row>
        <row r="2749">
          <cell r="A2749">
            <v>23720006</v>
          </cell>
          <cell r="B2749" t="str">
            <v>전투 선수상 요청서</v>
          </cell>
        </row>
        <row r="2750">
          <cell r="A2750">
            <v>23720007</v>
          </cell>
          <cell r="B2750" t="str">
            <v>항해 선수상 요청서</v>
          </cell>
        </row>
        <row r="2751">
          <cell r="A2751">
            <v>23720008</v>
          </cell>
          <cell r="B2751" t="str">
            <v>닻 요청서</v>
          </cell>
        </row>
        <row r="2752">
          <cell r="A2752">
            <v>23720009</v>
          </cell>
          <cell r="B2752" t="str">
            <v>특수 부품 요청서</v>
          </cell>
        </row>
        <row r="2753">
          <cell r="A2753">
            <v>23720010</v>
          </cell>
          <cell r="B2753" t="str">
            <v>검은 바다의 증표</v>
          </cell>
        </row>
        <row r="2754">
          <cell r="A2754">
            <v>23720011</v>
          </cell>
          <cell r="B2754" t="str">
            <v>화성 기사단의 증표</v>
          </cell>
        </row>
        <row r="2755">
          <cell r="A2755">
            <v>23720012</v>
          </cell>
          <cell r="B2755" t="str">
            <v>구름 사제의 증표</v>
          </cell>
        </row>
        <row r="2756">
          <cell r="A2756">
            <v>23720013</v>
          </cell>
          <cell r="B2756" t="str">
            <v>무기 요청서</v>
          </cell>
        </row>
        <row r="2757">
          <cell r="A2757">
            <v>23720014</v>
          </cell>
          <cell r="B2757" t="str">
            <v>머리 요청서</v>
          </cell>
        </row>
        <row r="2758">
          <cell r="A2758">
            <v>23720015</v>
          </cell>
          <cell r="B2758" t="str">
            <v>몸 요청서</v>
          </cell>
        </row>
        <row r="2759">
          <cell r="A2759">
            <v>23720016</v>
          </cell>
          <cell r="B2759" t="str">
            <v>망토 요청서</v>
          </cell>
        </row>
        <row r="2760">
          <cell r="A2760">
            <v>23720017</v>
          </cell>
          <cell r="B2760" t="str">
            <v>장신구 요청서</v>
          </cell>
        </row>
        <row r="2761">
          <cell r="A2761">
            <v>23720018</v>
          </cell>
          <cell r="B2761" t="str">
            <v>얼굴 장식 요청서</v>
          </cell>
        </row>
        <row r="2762">
          <cell r="A2762">
            <v>23720019</v>
          </cell>
          <cell r="B2762" t="str">
            <v>안타리아의 흔적</v>
          </cell>
        </row>
        <row r="2763">
          <cell r="A2763">
            <v>23720020</v>
          </cell>
          <cell r="B2763" t="str">
            <v>신록의 증표</v>
          </cell>
        </row>
        <row r="2764">
          <cell r="A2764">
            <v>23720021</v>
          </cell>
          <cell r="B2764" t="str">
            <v>황금향의 증표</v>
          </cell>
        </row>
        <row r="2765">
          <cell r="A2765">
            <v>23720022</v>
          </cell>
          <cell r="B2765" t="str">
            <v>창공의 증표</v>
          </cell>
        </row>
        <row r="2766">
          <cell r="A2766">
            <v>23720023</v>
          </cell>
          <cell r="B2766" t="str">
            <v>은하의 증표</v>
          </cell>
        </row>
        <row r="2767">
          <cell r="A2767">
            <v>23720024</v>
          </cell>
          <cell r="B2767" t="str">
            <v>부품 요청서</v>
          </cell>
        </row>
        <row r="2768">
          <cell r="A2768">
            <v>23720025</v>
          </cell>
          <cell r="B2768" t="str">
            <v>장비 요청서</v>
          </cell>
        </row>
        <row r="2769">
          <cell r="A2769">
            <v>23800000</v>
          </cell>
          <cell r="B2769" t="str">
            <v>타렛테 특수 위장</v>
          </cell>
        </row>
        <row r="2770">
          <cell r="A2770">
            <v>23800001</v>
          </cell>
          <cell r="B2770" t="str">
            <v>바르카 특수 위장</v>
          </cell>
        </row>
        <row r="2771">
          <cell r="A2771">
            <v>23800002</v>
          </cell>
          <cell r="B2771" t="str">
            <v>한자 코그 특수 위장</v>
          </cell>
        </row>
        <row r="2772">
          <cell r="A2772">
            <v>23800003</v>
          </cell>
          <cell r="B2772" t="str">
            <v>파묻힌 주화 보물 상자</v>
          </cell>
        </row>
        <row r="2773">
          <cell r="A2773">
            <v>23800004</v>
          </cell>
          <cell r="B2773" t="str">
            <v>순백의 세라프 위장(사용 안함)</v>
          </cell>
        </row>
        <row r="2774">
          <cell r="A2774">
            <v>23810000</v>
          </cell>
          <cell r="B2774" t="str">
            <v>수에즈 운하 이용권</v>
          </cell>
        </row>
        <row r="2775">
          <cell r="A2775">
            <v>23810001</v>
          </cell>
          <cell r="B2775" t="str">
            <v>수에즈 운하 운송 이용권</v>
          </cell>
        </row>
        <row r="2776">
          <cell r="A2776">
            <v>23810002</v>
          </cell>
          <cell r="B2776" t="str">
            <v>파나마 운하 이용권</v>
          </cell>
        </row>
        <row r="2777">
          <cell r="A2777">
            <v>23810003</v>
          </cell>
          <cell r="B2777" t="str">
            <v>파나마 운하 운송 이용권</v>
          </cell>
        </row>
        <row r="2778">
          <cell r="A2778">
            <v>23810004</v>
          </cell>
          <cell r="B2778" t="str">
            <v>투자 시즌 3 상자</v>
          </cell>
        </row>
        <row r="2779">
          <cell r="A2779">
            <v>23810005</v>
          </cell>
          <cell r="B2779" t="str">
            <v>투자 시즌 4 상자</v>
          </cell>
        </row>
        <row r="2780">
          <cell r="A2780">
            <v>23810006</v>
          </cell>
          <cell r="B2780" t="str">
            <v>투자 시즌 5 상자</v>
          </cell>
        </row>
        <row r="2781">
          <cell r="A2781">
            <v>23810007</v>
          </cell>
          <cell r="B2781" t="str">
            <v>투자 시즌 6 상자</v>
          </cell>
        </row>
        <row r="2782">
          <cell r="A2782">
            <v>23810008</v>
          </cell>
          <cell r="B2782" t="str">
            <v>투자 시즌 7 상자</v>
          </cell>
        </row>
        <row r="2783">
          <cell r="A2783">
            <v>23810009</v>
          </cell>
          <cell r="B2783" t="str">
            <v>투자 시즌 8 상자</v>
          </cell>
        </row>
        <row r="2784">
          <cell r="A2784">
            <v>23810010</v>
          </cell>
          <cell r="B2784" t="str">
            <v>투자 시즌 9 상자</v>
          </cell>
        </row>
        <row r="2785">
          <cell r="A2785">
            <v>23810011</v>
          </cell>
          <cell r="B2785" t="str">
            <v>#더미</v>
          </cell>
        </row>
        <row r="2786">
          <cell r="A2786">
            <v>23810012</v>
          </cell>
          <cell r="B2786" t="str">
            <v>#더미</v>
          </cell>
        </row>
        <row r="2787">
          <cell r="A2787">
            <v>23810013</v>
          </cell>
          <cell r="B2787" t="str">
            <v>운하 이용권</v>
          </cell>
        </row>
        <row r="2788">
          <cell r="A2788">
            <v>23810014</v>
          </cell>
          <cell r="B2788" t="str">
            <v>운하 운송권</v>
          </cell>
        </row>
        <row r="2789">
          <cell r="A2789">
            <v>23900000</v>
          </cell>
          <cell r="B2789" t="str">
            <v>거문고자리 단서</v>
          </cell>
        </row>
        <row r="2790">
          <cell r="A2790">
            <v>23900001</v>
          </cell>
          <cell r="B2790" t="str">
            <v>게자리 단서</v>
          </cell>
        </row>
        <row r="2791">
          <cell r="A2791">
            <v>23900002</v>
          </cell>
          <cell r="B2791" t="str">
            <v>겨울의 다이아몬드 단서</v>
          </cell>
        </row>
        <row r="2792">
          <cell r="A2792">
            <v>23900005</v>
          </cell>
          <cell r="B2792" t="str">
            <v>겨울의 대삼각형 단서</v>
          </cell>
        </row>
        <row r="2793">
          <cell r="A2793">
            <v>23900007</v>
          </cell>
          <cell r="B2793" t="str">
            <v>고래자리 단서</v>
          </cell>
        </row>
        <row r="2794">
          <cell r="A2794">
            <v>23900009</v>
          </cell>
          <cell r="B2794" t="str">
            <v>고물자리 단서</v>
          </cell>
        </row>
        <row r="2795">
          <cell r="A2795">
            <v>23900010</v>
          </cell>
          <cell r="B2795" t="str">
            <v>공작자리 단서</v>
          </cell>
        </row>
        <row r="2796">
          <cell r="A2796">
            <v>23900011</v>
          </cell>
          <cell r="B2796" t="str">
            <v>궁수자리 단서</v>
          </cell>
        </row>
        <row r="2797">
          <cell r="A2797">
            <v>23900012</v>
          </cell>
          <cell r="B2797" t="str">
            <v>그물자리 단서</v>
          </cell>
        </row>
        <row r="2798">
          <cell r="A2798">
            <v>23900013</v>
          </cell>
          <cell r="B2798" t="str">
            <v>까마귀자리 단서</v>
          </cell>
        </row>
        <row r="2799">
          <cell r="A2799">
            <v>23900014</v>
          </cell>
          <cell r="B2799" t="str">
            <v>날치자리 단서</v>
          </cell>
        </row>
        <row r="2800">
          <cell r="A2800">
            <v>23900015</v>
          </cell>
          <cell r="B2800" t="str">
            <v>남십자자리 단서</v>
          </cell>
        </row>
        <row r="2801">
          <cell r="A2801">
            <v>23900016</v>
          </cell>
          <cell r="B2801" t="str">
            <v>남쪽물고기자리 단서</v>
          </cell>
        </row>
        <row r="2802">
          <cell r="A2802">
            <v>23900017</v>
          </cell>
          <cell r="B2802" t="str">
            <v>남쪽삼각형자리 단서</v>
          </cell>
        </row>
        <row r="2803">
          <cell r="A2803">
            <v>23900018</v>
          </cell>
          <cell r="B2803" t="str">
            <v>독수리자리 단서</v>
          </cell>
        </row>
        <row r="2804">
          <cell r="A2804">
            <v>23900020</v>
          </cell>
          <cell r="B2804" t="str">
            <v>돌고래자리 단서</v>
          </cell>
        </row>
        <row r="2805">
          <cell r="A2805">
            <v>23900021</v>
          </cell>
          <cell r="B2805" t="str">
            <v>돛자리 단서</v>
          </cell>
        </row>
        <row r="2806">
          <cell r="A2806">
            <v>23900022</v>
          </cell>
          <cell r="B2806" t="str">
            <v>두루미자리 단서</v>
          </cell>
        </row>
        <row r="2807">
          <cell r="A2807">
            <v>23900023</v>
          </cell>
          <cell r="B2807" t="str">
            <v>마차부자리 단서</v>
          </cell>
        </row>
        <row r="2808">
          <cell r="A2808">
            <v>23900025</v>
          </cell>
          <cell r="B2808" t="str">
            <v>머리털자리 단서</v>
          </cell>
        </row>
        <row r="2809">
          <cell r="A2809">
            <v>23900026</v>
          </cell>
          <cell r="B2809" t="str">
            <v>목동자리 단서</v>
          </cell>
        </row>
        <row r="2810">
          <cell r="A2810">
            <v>23900027</v>
          </cell>
          <cell r="B2810" t="str">
            <v>물고기자리 단서</v>
          </cell>
        </row>
        <row r="2811">
          <cell r="A2811">
            <v>23900028</v>
          </cell>
          <cell r="B2811" t="str">
            <v>물병자리 단서</v>
          </cell>
        </row>
        <row r="2812">
          <cell r="A2812">
            <v>23900030</v>
          </cell>
          <cell r="B2812" t="str">
            <v>바다뱀자리 단서</v>
          </cell>
        </row>
        <row r="2813">
          <cell r="A2813">
            <v>23900031</v>
          </cell>
          <cell r="B2813" t="str">
            <v>방패자리 단서</v>
          </cell>
        </row>
        <row r="2814">
          <cell r="A2814">
            <v>23900032</v>
          </cell>
          <cell r="B2814" t="str">
            <v>백조자리 단서</v>
          </cell>
        </row>
        <row r="2815">
          <cell r="A2815">
            <v>23900033</v>
          </cell>
          <cell r="B2815" t="str">
            <v>뱀주인자리 단서</v>
          </cell>
        </row>
        <row r="2816">
          <cell r="A2816">
            <v>23900036</v>
          </cell>
          <cell r="B2816" t="str">
            <v>봄의 대삼각형 단서</v>
          </cell>
        </row>
        <row r="2817">
          <cell r="A2817">
            <v>23900037</v>
          </cell>
          <cell r="B2817" t="str">
            <v>북쪽왕관자리 단서</v>
          </cell>
        </row>
        <row r="2818">
          <cell r="A2818">
            <v>23900039</v>
          </cell>
          <cell r="B2818" t="str">
            <v>사냥개자리 단서</v>
          </cell>
        </row>
        <row r="2819">
          <cell r="A2819">
            <v>23900041</v>
          </cell>
          <cell r="B2819" t="str">
            <v>사자자리 단서</v>
          </cell>
        </row>
        <row r="2820">
          <cell r="A2820">
            <v>23900042</v>
          </cell>
          <cell r="B2820" t="str">
            <v>삼각형자리 단서</v>
          </cell>
        </row>
        <row r="2821">
          <cell r="A2821">
            <v>23900043</v>
          </cell>
          <cell r="B2821" t="str">
            <v>쌍둥이자리 단서</v>
          </cell>
        </row>
        <row r="2822">
          <cell r="A2822">
            <v>23900044</v>
          </cell>
          <cell r="B2822" t="str">
            <v>안드로메다자리 단서</v>
          </cell>
        </row>
        <row r="2823">
          <cell r="A2823">
            <v>23900045</v>
          </cell>
          <cell r="B2823" t="str">
            <v>양자리 단서</v>
          </cell>
        </row>
        <row r="2824">
          <cell r="A2824">
            <v>23900047</v>
          </cell>
          <cell r="B2824" t="str">
            <v>에리다누스자리 단서</v>
          </cell>
        </row>
        <row r="2825">
          <cell r="A2825">
            <v>23900049</v>
          </cell>
          <cell r="B2825" t="str">
            <v>여름의 대삼각형 단서</v>
          </cell>
        </row>
        <row r="2826">
          <cell r="A2826">
            <v>23900051</v>
          </cell>
          <cell r="B2826" t="str">
            <v>염소자리 단서</v>
          </cell>
        </row>
        <row r="2827">
          <cell r="A2827">
            <v>23900053</v>
          </cell>
          <cell r="B2827" t="str">
            <v>오리온의 허리띠 단서</v>
          </cell>
        </row>
        <row r="2828">
          <cell r="A2828">
            <v>23900054</v>
          </cell>
          <cell r="B2828" t="str">
            <v>오리온자리 단서</v>
          </cell>
        </row>
        <row r="2829">
          <cell r="A2829">
            <v>23900057</v>
          </cell>
          <cell r="B2829" t="str">
            <v>외뿔소자리 단서</v>
          </cell>
        </row>
        <row r="2830">
          <cell r="A2830">
            <v>23900058</v>
          </cell>
          <cell r="B2830" t="str">
            <v>용골자리 단서</v>
          </cell>
        </row>
        <row r="2831">
          <cell r="A2831">
            <v>23900059</v>
          </cell>
          <cell r="B2831" t="str">
            <v>용자리 단서</v>
          </cell>
        </row>
        <row r="2832">
          <cell r="A2832">
            <v>23900061</v>
          </cell>
          <cell r="B2832" t="str">
            <v>이리자리 단서</v>
          </cell>
        </row>
        <row r="2833">
          <cell r="A2833">
            <v>23900062</v>
          </cell>
          <cell r="B2833" t="str">
            <v>작은개자리 단서</v>
          </cell>
        </row>
        <row r="2834">
          <cell r="A2834">
            <v>23900064</v>
          </cell>
          <cell r="B2834" t="str">
            <v>작은곰자리 단서</v>
          </cell>
        </row>
        <row r="2835">
          <cell r="A2835">
            <v>23900066</v>
          </cell>
          <cell r="B2835" t="str">
            <v>전갈자리 단서</v>
          </cell>
        </row>
        <row r="2836">
          <cell r="A2836">
            <v>23900067</v>
          </cell>
          <cell r="B2836" t="str">
            <v>처녀자리 단서</v>
          </cell>
        </row>
        <row r="2837">
          <cell r="A2837">
            <v>23900068</v>
          </cell>
          <cell r="B2837" t="str">
            <v>천칭자리 단서</v>
          </cell>
        </row>
        <row r="2838">
          <cell r="A2838">
            <v>23900070</v>
          </cell>
          <cell r="B2838" t="str">
            <v>카시오페이아자리 단서</v>
          </cell>
        </row>
        <row r="2839">
          <cell r="A2839">
            <v>23900071</v>
          </cell>
          <cell r="B2839" t="str">
            <v>컵자리 단서</v>
          </cell>
        </row>
        <row r="2840">
          <cell r="A2840">
            <v>23900073</v>
          </cell>
          <cell r="B2840" t="str">
            <v>케페우스자리 단서</v>
          </cell>
        </row>
        <row r="2841">
          <cell r="A2841">
            <v>23900074</v>
          </cell>
          <cell r="B2841" t="str">
            <v>센타우루스자리 단서</v>
          </cell>
        </row>
        <row r="2842">
          <cell r="A2842">
            <v>23900075</v>
          </cell>
          <cell r="B2842" t="str">
            <v>큰개자리 단서</v>
          </cell>
        </row>
        <row r="2843">
          <cell r="A2843">
            <v>23900076</v>
          </cell>
          <cell r="B2843" t="str">
            <v>큰곰자리 단서</v>
          </cell>
        </row>
        <row r="2844">
          <cell r="A2844">
            <v>23900078</v>
          </cell>
          <cell r="B2844" t="str">
            <v>페가수스자리 단서</v>
          </cell>
        </row>
        <row r="2845">
          <cell r="A2845">
            <v>23900079</v>
          </cell>
          <cell r="B2845" t="str">
            <v>페르세우스자리 단서</v>
          </cell>
        </row>
        <row r="2846">
          <cell r="A2846">
            <v>23900082</v>
          </cell>
          <cell r="B2846" t="str">
            <v>헤르쿨레스자리 단서</v>
          </cell>
        </row>
        <row r="2847">
          <cell r="A2847">
            <v>23900085</v>
          </cell>
          <cell r="B2847" t="str">
            <v>화살자리 단서</v>
          </cell>
        </row>
        <row r="2848">
          <cell r="A2848">
            <v>23900086</v>
          </cell>
          <cell r="B2848" t="str">
            <v>황소자리 단서</v>
          </cell>
        </row>
        <row r="2849">
          <cell r="A2849">
            <v>23900088</v>
          </cell>
          <cell r="B2849" t="str">
            <v>남쪽왕관자리 단서</v>
          </cell>
        </row>
        <row r="2850">
          <cell r="A2850">
            <v>23900089</v>
          </cell>
          <cell r="B2850" t="str">
            <v>뱀자리 단서</v>
          </cell>
        </row>
        <row r="2851">
          <cell r="A2851">
            <v>23900091</v>
          </cell>
          <cell r="B2851" t="str">
            <v>제단자리 단서</v>
          </cell>
        </row>
        <row r="2852">
          <cell r="A2852">
            <v>23900093</v>
          </cell>
          <cell r="B2852" t="str">
            <v>조랑말자리 단서</v>
          </cell>
        </row>
        <row r="2853">
          <cell r="A2853">
            <v>23900095</v>
          </cell>
          <cell r="B2853" t="str">
            <v>아르고자리 단서</v>
          </cell>
        </row>
        <row r="2854">
          <cell r="A2854">
            <v>23900098</v>
          </cell>
          <cell r="B2854" t="str">
            <v>큰부리새자리 단서</v>
          </cell>
        </row>
        <row r="2855">
          <cell r="A2855">
            <v>23900099</v>
          </cell>
          <cell r="B2855" t="str">
            <v>봉황자리 단서</v>
          </cell>
        </row>
        <row r="2856">
          <cell r="A2856">
            <v>23900100</v>
          </cell>
          <cell r="B2856" t="str">
            <v>선단명 변경 티켓</v>
          </cell>
        </row>
        <row r="2857">
          <cell r="A2857">
            <v>23900101</v>
          </cell>
          <cell r="B2857" t="str">
            <v>강화제</v>
          </cell>
        </row>
        <row r="2858">
          <cell r="A2858" t="str">
            <v>##23900102</v>
          </cell>
          <cell r="B2858" t="str">
            <v>항해사 장비 강화제</v>
          </cell>
        </row>
        <row r="2859">
          <cell r="A2859">
            <v>23900103</v>
          </cell>
          <cell r="B2859" t="str">
            <v>강화 보호제</v>
          </cell>
        </row>
        <row r="2860">
          <cell r="A2860" t="str">
            <v>##23900104</v>
          </cell>
          <cell r="B2860" t="str">
            <v>항해사 장비 보호제</v>
          </cell>
        </row>
        <row r="2861">
          <cell r="A2861">
            <v>23900105</v>
          </cell>
          <cell r="B2861" t="str">
            <v>중급 인양 로프</v>
          </cell>
        </row>
        <row r="2862">
          <cell r="A2862">
            <v>23900106</v>
          </cell>
          <cell r="B2862" t="str">
            <v>고급 인양 로프</v>
          </cell>
        </row>
        <row r="2863">
          <cell r="A2863">
            <v>23900107</v>
          </cell>
          <cell r="B2863" t="str">
            <v>특별한 인양 로프</v>
          </cell>
        </row>
        <row r="2864">
          <cell r="A2864">
            <v>23900108</v>
          </cell>
          <cell r="B2864" t="str">
            <v>전설의 인양 로프</v>
          </cell>
        </row>
        <row r="2865">
          <cell r="A2865">
            <v>23900109</v>
          </cell>
          <cell r="B2865" t="str">
            <v>희귀한 보물상자</v>
          </cell>
        </row>
        <row r="2866">
          <cell r="A2866">
            <v>23900110</v>
          </cell>
          <cell r="B2866" t="str">
            <v>보물상자 열쇠</v>
          </cell>
        </row>
        <row r="2867">
          <cell r="A2867">
            <v>23900111</v>
          </cell>
          <cell r="B2867" t="str">
            <v>진귀한 보물상자</v>
          </cell>
        </row>
        <row r="2868">
          <cell r="A2868">
            <v>23900112</v>
          </cell>
          <cell r="B2868" t="str">
            <v>귀중한 보물상자</v>
          </cell>
        </row>
        <row r="2869">
          <cell r="A2869">
            <v>23900113</v>
          </cell>
          <cell r="B2869" t="str">
            <v>테메레르 인도 계약서</v>
          </cell>
        </row>
        <row r="2870">
          <cell r="A2870">
            <v>23900114</v>
          </cell>
          <cell r="B2870" t="str">
            <v>철갑선 인도 계약서</v>
          </cell>
        </row>
        <row r="2871">
          <cell r="A2871">
            <v>23900115</v>
          </cell>
          <cell r="B2871" t="str">
            <v>인데버 인도 계약서</v>
          </cell>
        </row>
        <row r="2872">
          <cell r="A2872">
            <v>23900116</v>
          </cell>
          <cell r="B2872" t="str">
            <v>플라잉 클라우드 인도 계약서</v>
          </cell>
        </row>
        <row r="2873">
          <cell r="A2873">
            <v>23900117</v>
          </cell>
          <cell r="B2873" t="str">
            <v>누선 인도 계약서</v>
          </cell>
        </row>
        <row r="2874">
          <cell r="A2874">
            <v>23900118</v>
          </cell>
          <cell r="B2874" t="str">
            <v>선물 상자</v>
          </cell>
        </row>
        <row r="2875">
          <cell r="A2875">
            <v>23900119</v>
          </cell>
          <cell r="B2875" t="str">
            <v>강화 분리서</v>
          </cell>
        </row>
        <row r="2876">
          <cell r="A2876">
            <v>23900120</v>
          </cell>
          <cell r="B2876" t="str">
            <v>1단계 부품 강화서</v>
          </cell>
        </row>
        <row r="2877">
          <cell r="A2877">
            <v>23900121</v>
          </cell>
          <cell r="B2877" t="str">
            <v>2단계 부품 강화서</v>
          </cell>
        </row>
        <row r="2878">
          <cell r="A2878">
            <v>23900122</v>
          </cell>
          <cell r="B2878" t="str">
            <v>3단계 부품 강화서</v>
          </cell>
        </row>
        <row r="2879">
          <cell r="A2879">
            <v>23900123</v>
          </cell>
          <cell r="B2879" t="str">
            <v>4단계 부품 강화서</v>
          </cell>
        </row>
        <row r="2880">
          <cell r="A2880">
            <v>23900124</v>
          </cell>
          <cell r="B2880" t="str">
            <v>5단계 부품 강화서</v>
          </cell>
        </row>
        <row r="2881">
          <cell r="A2881">
            <v>23900125</v>
          </cell>
          <cell r="B2881" t="str">
            <v>6단계 부품 강화서</v>
          </cell>
        </row>
        <row r="2882">
          <cell r="A2882">
            <v>23900126</v>
          </cell>
          <cell r="B2882" t="str">
            <v>7단계 부품 강화서</v>
          </cell>
        </row>
        <row r="2883">
          <cell r="A2883">
            <v>23900127</v>
          </cell>
          <cell r="B2883" t="str">
            <v>8단계 부품 강화서</v>
          </cell>
        </row>
        <row r="2884">
          <cell r="A2884">
            <v>23900128</v>
          </cell>
          <cell r="B2884" t="str">
            <v>9단계 부품 강화서</v>
          </cell>
        </row>
        <row r="2885">
          <cell r="A2885">
            <v>23900129</v>
          </cell>
          <cell r="B2885" t="str">
            <v>10단계 부품 강화서</v>
          </cell>
        </row>
        <row r="2886">
          <cell r="A2886">
            <v>23900130</v>
          </cell>
          <cell r="B2886" t="str">
            <v>1단계 장비 강화서</v>
          </cell>
        </row>
        <row r="2887">
          <cell r="A2887">
            <v>23900131</v>
          </cell>
          <cell r="B2887" t="str">
            <v>2단계 장비 강화서</v>
          </cell>
        </row>
        <row r="2888">
          <cell r="A2888">
            <v>23900132</v>
          </cell>
          <cell r="B2888" t="str">
            <v>3단계 장비 강화서</v>
          </cell>
        </row>
        <row r="2889">
          <cell r="A2889">
            <v>23900133</v>
          </cell>
          <cell r="B2889" t="str">
            <v>4단계 장비 강화서</v>
          </cell>
        </row>
        <row r="2890">
          <cell r="A2890">
            <v>23900134</v>
          </cell>
          <cell r="B2890" t="str">
            <v>5단계 장비 강화서</v>
          </cell>
        </row>
        <row r="2891">
          <cell r="A2891">
            <v>23900135</v>
          </cell>
          <cell r="B2891" t="str">
            <v>6단계 장비 강화서</v>
          </cell>
        </row>
        <row r="2892">
          <cell r="A2892">
            <v>23900136</v>
          </cell>
          <cell r="B2892" t="str">
            <v>7단계 장비 강화서</v>
          </cell>
        </row>
        <row r="2893">
          <cell r="A2893">
            <v>23900137</v>
          </cell>
          <cell r="B2893" t="str">
            <v>8단계 장비 강화서</v>
          </cell>
        </row>
        <row r="2894">
          <cell r="A2894">
            <v>23900138</v>
          </cell>
          <cell r="B2894" t="str">
            <v>9단계 장비 강화서</v>
          </cell>
        </row>
        <row r="2895">
          <cell r="A2895">
            <v>23900139</v>
          </cell>
          <cell r="B2895" t="str">
            <v>10단계 장비 강화서</v>
          </cell>
        </row>
        <row r="2896">
          <cell r="A2896">
            <v>23900140</v>
          </cell>
          <cell r="B2896" t="str">
            <v>선물 상자 2</v>
          </cell>
        </row>
        <row r="2897">
          <cell r="A2897" t="str">
            <v>#23100036</v>
          </cell>
          <cell r="B2897" t="str">
            <v>풍속도</v>
          </cell>
        </row>
        <row r="2898">
          <cell r="A2898" t="str">
            <v>#23421092</v>
          </cell>
          <cell r="B2898" t="str">
            <v>뗀석기 파편</v>
          </cell>
        </row>
        <row r="2899">
          <cell r="A2899" t="str">
            <v>#23421093</v>
          </cell>
          <cell r="B2899" t="str">
            <v>부러진 촛대</v>
          </cell>
        </row>
        <row r="2900">
          <cell r="A2900" t="str">
            <v>#23421094</v>
          </cell>
          <cell r="B2900" t="str">
            <v>석판 조각</v>
          </cell>
        </row>
        <row r="2901">
          <cell r="A2901" t="str">
            <v>#23421095</v>
          </cell>
          <cell r="B2901" t="str">
            <v>찣겨진 양피지</v>
          </cell>
        </row>
        <row r="2902">
          <cell r="A2902" t="str">
            <v>#23421096</v>
          </cell>
          <cell r="B2902" t="str">
            <v>풍화된 동전</v>
          </cell>
        </row>
        <row r="2903">
          <cell r="A2903" t="str">
            <v>#23421097</v>
          </cell>
          <cell r="B2903" t="str">
            <v>녹슨 단검</v>
          </cell>
        </row>
        <row r="2904">
          <cell r="A2904" t="str">
            <v>#23421098</v>
          </cell>
          <cell r="B2904" t="str">
            <v>점토판 조각</v>
          </cell>
        </row>
        <row r="2905">
          <cell r="A2905" t="str">
            <v>#23421099</v>
          </cell>
          <cell r="B2905" t="str">
            <v>빛 바랜 거울</v>
          </cell>
        </row>
        <row r="2906">
          <cell r="A2906" t="str">
            <v>#23421100</v>
          </cell>
          <cell r="B2906" t="str">
            <v>도자기 파편</v>
          </cell>
        </row>
        <row r="2907">
          <cell r="A2907" t="str">
            <v>#23421101</v>
          </cell>
          <cell r="B2907" t="str">
            <v>빛 바랜 왕관</v>
          </cell>
        </row>
        <row r="2908">
          <cell r="A2908" t="str">
            <v>#23421102</v>
          </cell>
          <cell r="B2908" t="str">
            <v>하드텍</v>
          </cell>
        </row>
        <row r="2909">
          <cell r="A2909" t="str">
            <v>#23421103</v>
          </cell>
          <cell r="B2909" t="str">
            <v>육포</v>
          </cell>
        </row>
        <row r="2910">
          <cell r="A2910" t="str">
            <v>#23421104</v>
          </cell>
          <cell r="B2910" t="str">
            <v>과메기</v>
          </cell>
        </row>
        <row r="2911">
          <cell r="A2911" t="str">
            <v>#23421105</v>
          </cell>
          <cell r="B2911" t="str">
            <v>사과 파이</v>
          </cell>
        </row>
        <row r="2912">
          <cell r="A2912" t="str">
            <v>#23421106</v>
          </cell>
          <cell r="B2912" t="str">
            <v>나시고렝</v>
          </cell>
        </row>
        <row r="2913">
          <cell r="A2913" t="str">
            <v>#23421107</v>
          </cell>
          <cell r="B2913" t="str">
            <v>북경 카오야</v>
          </cell>
        </row>
        <row r="2914">
          <cell r="A2914" t="str">
            <v>#23421108</v>
          </cell>
          <cell r="B2914" t="str">
            <v>바클라바</v>
          </cell>
        </row>
        <row r="2915">
          <cell r="A2915" t="str">
            <v>#23421109</v>
          </cell>
          <cell r="B2915" t="str">
            <v>생선회</v>
          </cell>
        </row>
        <row r="2916">
          <cell r="A2916" t="str">
            <v>#23421110</v>
          </cell>
          <cell r="B2916" t="str">
            <v>돌마데스</v>
          </cell>
        </row>
        <row r="2917">
          <cell r="A2917" t="str">
            <v>#23421111</v>
          </cell>
          <cell r="B2917" t="str">
            <v>신선로</v>
          </cell>
        </row>
        <row r="2918">
          <cell r="A2918" t="str">
            <v>#23421112</v>
          </cell>
          <cell r="B2918" t="str">
            <v>은 도금 촛대</v>
          </cell>
        </row>
        <row r="2919">
          <cell r="A2919" t="str">
            <v>#23421113</v>
          </cell>
          <cell r="B2919" t="str">
            <v>황동 거울</v>
          </cell>
        </row>
        <row r="2920">
          <cell r="A2920" t="str">
            <v>#23421114</v>
          </cell>
          <cell r="B2920" t="str">
            <v>은사 보석함</v>
          </cell>
        </row>
        <row r="2921">
          <cell r="A2921" t="str">
            <v>#23421115</v>
          </cell>
          <cell r="B2921" t="str">
            <v>병 속의 배 모형</v>
          </cell>
        </row>
        <row r="2922">
          <cell r="A2922" t="str">
            <v>#23421116</v>
          </cell>
          <cell r="B2922" t="str">
            <v>호화로운 깃펜</v>
          </cell>
        </row>
        <row r="2923">
          <cell r="A2923" t="str">
            <v>#23421117</v>
          </cell>
          <cell r="B2923" t="str">
            <v>탁상시계</v>
          </cell>
        </row>
        <row r="2924">
          <cell r="A2924" t="str">
            <v>#23421118</v>
          </cell>
          <cell r="B2924" t="str">
            <v>옥 도장</v>
          </cell>
        </row>
        <row r="2925">
          <cell r="A2925" t="str">
            <v>#23421119</v>
          </cell>
          <cell r="B2925" t="str">
            <v>작은 동물상</v>
          </cell>
        </row>
        <row r="2926">
          <cell r="A2926" t="str">
            <v>#23421120</v>
          </cell>
          <cell r="B2926" t="str">
            <v>목제 지구본</v>
          </cell>
        </row>
        <row r="2927">
          <cell r="A2927" t="str">
            <v>#23421121</v>
          </cell>
          <cell r="B2927" t="str">
            <v>화려한 양장본</v>
          </cell>
        </row>
        <row r="2928">
          <cell r="A2928">
            <v>23421122</v>
          </cell>
          <cell r="B2928" t="str">
            <v>초월서2더미</v>
          </cell>
        </row>
        <row r="2929">
          <cell r="A2929">
            <v>23421123</v>
          </cell>
          <cell r="B2929" t="str">
            <v>보상 확률 상자(TEST)</v>
          </cell>
        </row>
        <row r="2930">
          <cell r="A2930">
            <v>23990001</v>
          </cell>
          <cell r="B2930" t="str">
            <v>테스트용 더미 A</v>
          </cell>
        </row>
        <row r="2931">
          <cell r="A2931">
            <v>23990002</v>
          </cell>
          <cell r="B2931" t="str">
            <v>테스트용 더미 B</v>
          </cell>
        </row>
        <row r="2932">
          <cell r="A2932">
            <v>23990003</v>
          </cell>
          <cell r="B2932" t="str">
            <v>테스트용 더미 C</v>
          </cell>
        </row>
        <row r="2933">
          <cell r="A2933">
            <v>23990004</v>
          </cell>
          <cell r="B2933" t="str">
            <v>테스트용 더미 D</v>
          </cell>
        </row>
        <row r="2934">
          <cell r="A2934">
            <v>23990005</v>
          </cell>
          <cell r="B2934" t="str">
            <v>테스트용 더미 E</v>
          </cell>
        </row>
        <row r="2935">
          <cell r="A2935">
            <v>23990006</v>
          </cell>
          <cell r="B2935" t="str">
            <v>테스트용 더미 F</v>
          </cell>
        </row>
        <row r="2936">
          <cell r="A2936">
            <v>23990007</v>
          </cell>
          <cell r="B2936" t="str">
            <v>테스트용 더미 G</v>
          </cell>
        </row>
        <row r="2937">
          <cell r="A2937">
            <v>23990008</v>
          </cell>
          <cell r="B2937" t="str">
            <v>테스트용 더미 H</v>
          </cell>
        </row>
      </sheetData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X384"/>
  <sheetViews>
    <sheetView zoomScale="85" zoomScaleNormal="85" workbookViewId="0">
      <pane xSplit="3" ySplit="9" topLeftCell="AE362" activePane="bottomRight" state="frozen"/>
      <selection pane="topRight" activeCell="D1" sqref="D1"/>
      <selection pane="bottomLeft" activeCell="A10" sqref="A10"/>
      <selection pane="bottomRight" activeCell="B380" sqref="B380"/>
    </sheetView>
  </sheetViews>
  <sheetFormatPr defaultColWidth="9.140625" defaultRowHeight="13.5"/>
  <cols>
    <col min="1" max="1" width="18.5703125" style="1" customWidth="1"/>
    <col min="2" max="2" width="32.42578125" style="1" bestFit="1" customWidth="1"/>
    <col min="3" max="3" width="49.85546875" style="1" customWidth="1"/>
    <col min="4" max="4" width="37.140625" style="1" bestFit="1" customWidth="1"/>
    <col min="5" max="6" width="15.140625" style="1" customWidth="1"/>
    <col min="7" max="7" width="25.42578125" style="1" bestFit="1" customWidth="1"/>
    <col min="8" max="8" width="26.42578125" style="1" bestFit="1" customWidth="1"/>
    <col min="9" max="9" width="15.140625" style="1" customWidth="1"/>
    <col min="10" max="10" width="17.85546875" style="1" customWidth="1"/>
    <col min="11" max="11" width="15.140625" style="1" customWidth="1"/>
    <col min="12" max="12" width="15.85546875" style="1" customWidth="1"/>
    <col min="13" max="13" width="15.140625" style="1" customWidth="1"/>
    <col min="14" max="14" width="15.85546875" style="1" customWidth="1"/>
    <col min="15" max="15" width="15.140625" style="1" customWidth="1"/>
    <col min="16" max="16" width="15.85546875" style="1" customWidth="1"/>
    <col min="17" max="17" width="15.140625" style="1" customWidth="1"/>
    <col min="18" max="18" width="15.85546875" style="1" customWidth="1"/>
    <col min="19" max="19" width="15.140625" style="1" customWidth="1"/>
    <col min="20" max="20" width="15.85546875" style="1" customWidth="1"/>
    <col min="21" max="21" width="15.140625" style="1" customWidth="1"/>
    <col min="22" max="22" width="15.85546875" style="1" customWidth="1"/>
    <col min="23" max="23" width="15.140625" style="1" customWidth="1"/>
    <col min="24" max="24" width="15.85546875" style="1" customWidth="1"/>
    <col min="25" max="25" width="15.140625" style="1" customWidth="1"/>
    <col min="26" max="26" width="15.85546875" style="1" customWidth="1"/>
    <col min="27" max="27" width="15.140625" style="1" customWidth="1"/>
    <col min="28" max="28" width="15.85546875" style="1" customWidth="1"/>
    <col min="29" max="29" width="15.140625" style="1" customWidth="1"/>
    <col min="30" max="30" width="15.85546875" style="1" customWidth="1"/>
    <col min="31" max="31" width="15.140625" style="1" customWidth="1"/>
    <col min="32" max="32" width="15.85546875" style="1" customWidth="1"/>
    <col min="33" max="33" width="15.140625" style="1" customWidth="1"/>
    <col min="34" max="34" width="15.85546875" style="1" customWidth="1"/>
    <col min="35" max="38" width="15.140625" style="1" customWidth="1"/>
    <col min="39" max="39" width="19.5703125" style="1" bestFit="1" customWidth="1"/>
    <col min="40" max="40" width="19.7109375" style="1" bestFit="1" customWidth="1"/>
    <col min="41" max="41" width="19.5703125" style="1" bestFit="1" customWidth="1"/>
    <col min="42" max="42" width="19.7109375" style="1" bestFit="1" customWidth="1"/>
    <col min="43" max="43" width="19.5703125" style="1" bestFit="1" customWidth="1"/>
    <col min="44" max="44" width="19.7109375" style="1" bestFit="1" customWidth="1"/>
    <col min="45" max="45" width="19.5703125" style="1" bestFit="1" customWidth="1"/>
    <col min="46" max="46" width="19.7109375" style="1" bestFit="1" customWidth="1"/>
    <col min="47" max="48" width="19.7109375" style="1" customWidth="1"/>
    <col min="49" max="49" width="19.7109375" style="1" bestFit="1" customWidth="1"/>
    <col min="50" max="50" width="20.140625" style="1" customWidth="1"/>
    <col min="51" max="16384" width="9.140625" style="1"/>
  </cols>
  <sheetData>
    <row r="1" spans="1:50" ht="15">
      <c r="A1" s="6" t="s">
        <v>5</v>
      </c>
      <c r="B1" s="3"/>
      <c r="C1" s="7" t="s">
        <v>20</v>
      </c>
      <c r="D1" s="3"/>
      <c r="E1" s="7" t="s">
        <v>821</v>
      </c>
      <c r="F1" s="7" t="s">
        <v>822</v>
      </c>
      <c r="G1" s="7" t="s">
        <v>2647</v>
      </c>
      <c r="H1" s="7" t="s">
        <v>2646</v>
      </c>
      <c r="I1" s="7" t="s">
        <v>612</v>
      </c>
      <c r="J1" s="3"/>
      <c r="K1" s="7" t="s">
        <v>613</v>
      </c>
      <c r="L1" s="3"/>
      <c r="M1" s="7" t="s">
        <v>614</v>
      </c>
      <c r="N1" s="3"/>
      <c r="O1" s="7" t="s">
        <v>615</v>
      </c>
      <c r="P1" s="3"/>
      <c r="Q1" s="7" t="s">
        <v>616</v>
      </c>
      <c r="R1" s="3"/>
      <c r="S1" s="7" t="s">
        <v>617</v>
      </c>
      <c r="T1" s="3"/>
      <c r="U1" s="7" t="s">
        <v>618</v>
      </c>
      <c r="V1" s="3"/>
      <c r="W1" s="7" t="s">
        <v>619</v>
      </c>
      <c r="X1" s="3"/>
      <c r="Y1" s="7" t="s">
        <v>620</v>
      </c>
      <c r="Z1" s="3"/>
      <c r="AA1" s="7" t="s">
        <v>621</v>
      </c>
      <c r="AB1" s="3"/>
      <c r="AC1" s="7" t="s">
        <v>622</v>
      </c>
      <c r="AD1" s="3"/>
      <c r="AE1" s="7" t="s">
        <v>623</v>
      </c>
      <c r="AF1" s="3"/>
      <c r="AG1" s="7" t="s">
        <v>624</v>
      </c>
      <c r="AH1" s="3"/>
      <c r="AI1" s="7" t="s">
        <v>625</v>
      </c>
      <c r="AJ1" s="7" t="s">
        <v>516</v>
      </c>
      <c r="AK1" s="7" t="s">
        <v>519</v>
      </c>
      <c r="AL1" s="7" t="s">
        <v>520</v>
      </c>
      <c r="AM1" s="7" t="s">
        <v>27</v>
      </c>
      <c r="AN1" s="7" t="s">
        <v>28</v>
      </c>
      <c r="AO1" s="7" t="s">
        <v>30</v>
      </c>
      <c r="AP1" s="7" t="s">
        <v>31</v>
      </c>
      <c r="AQ1" s="7" t="s">
        <v>32</v>
      </c>
      <c r="AR1" s="7" t="s">
        <v>33</v>
      </c>
      <c r="AS1" s="7" t="s">
        <v>34</v>
      </c>
      <c r="AT1" s="7" t="s">
        <v>35</v>
      </c>
      <c r="AU1" s="7" t="s">
        <v>2037</v>
      </c>
      <c r="AV1" s="7" t="s">
        <v>2030</v>
      </c>
      <c r="AW1" s="7" t="s">
        <v>2031</v>
      </c>
      <c r="AX1" s="7" t="s">
        <v>3441</v>
      </c>
    </row>
    <row r="2" spans="1:50" ht="27">
      <c r="A2" s="6" t="s">
        <v>50</v>
      </c>
      <c r="B2" s="3"/>
      <c r="C2" s="7" t="s">
        <v>6</v>
      </c>
      <c r="D2" s="3"/>
      <c r="E2" s="7" t="s">
        <v>7</v>
      </c>
      <c r="F2" s="7" t="s">
        <v>7</v>
      </c>
      <c r="G2" s="7" t="s">
        <v>2628</v>
      </c>
      <c r="H2" s="7" t="s">
        <v>7</v>
      </c>
      <c r="I2" s="7" t="s">
        <v>38</v>
      </c>
      <c r="J2" s="3"/>
      <c r="K2" s="7" t="s">
        <v>38</v>
      </c>
      <c r="L2" s="3"/>
      <c r="M2" s="7" t="s">
        <v>38</v>
      </c>
      <c r="N2" s="3"/>
      <c r="O2" s="7" t="s">
        <v>38</v>
      </c>
      <c r="P2" s="3"/>
      <c r="Q2" s="7" t="s">
        <v>38</v>
      </c>
      <c r="R2" s="3"/>
      <c r="S2" s="7" t="s">
        <v>38</v>
      </c>
      <c r="T2" s="3"/>
      <c r="U2" s="7" t="s">
        <v>7</v>
      </c>
      <c r="V2" s="3"/>
      <c r="W2" s="7" t="s">
        <v>7</v>
      </c>
      <c r="X2" s="3"/>
      <c r="Y2" s="7" t="s">
        <v>7</v>
      </c>
      <c r="Z2" s="3"/>
      <c r="AA2" s="7" t="s">
        <v>7</v>
      </c>
      <c r="AB2" s="3"/>
      <c r="AC2" s="7" t="s">
        <v>7</v>
      </c>
      <c r="AD2" s="3"/>
      <c r="AE2" s="7" t="s">
        <v>7</v>
      </c>
      <c r="AF2" s="3"/>
      <c r="AG2" s="7" t="s">
        <v>7</v>
      </c>
      <c r="AH2" s="3"/>
      <c r="AI2" s="7" t="s">
        <v>7</v>
      </c>
      <c r="AJ2" s="7" t="s">
        <v>517</v>
      </c>
      <c r="AK2" s="7" t="s">
        <v>517</v>
      </c>
      <c r="AL2" s="7" t="s">
        <v>517</v>
      </c>
      <c r="AM2" s="7" t="s">
        <v>26</v>
      </c>
      <c r="AN2" s="7" t="s">
        <v>29</v>
      </c>
      <c r="AO2" s="7" t="s">
        <v>26</v>
      </c>
      <c r="AP2" s="7" t="s">
        <v>29</v>
      </c>
      <c r="AQ2" s="7" t="s">
        <v>26</v>
      </c>
      <c r="AR2" s="7" t="s">
        <v>29</v>
      </c>
      <c r="AS2" s="7" t="s">
        <v>26</v>
      </c>
      <c r="AT2" s="7" t="s">
        <v>6</v>
      </c>
      <c r="AU2" s="7" t="s">
        <v>2032</v>
      </c>
      <c r="AV2" s="7" t="s">
        <v>2032</v>
      </c>
      <c r="AW2" s="7" t="s">
        <v>2032</v>
      </c>
      <c r="AX2" s="7" t="s">
        <v>7</v>
      </c>
    </row>
    <row r="3" spans="1:50" ht="15">
      <c r="A3" s="8" t="s">
        <v>1</v>
      </c>
      <c r="B3" s="3" t="s">
        <v>57</v>
      </c>
      <c r="C3" s="9">
        <v>1</v>
      </c>
      <c r="D3" s="3" t="s">
        <v>57</v>
      </c>
      <c r="E3" s="9" t="s">
        <v>0</v>
      </c>
      <c r="F3" s="9" t="s">
        <v>0</v>
      </c>
      <c r="G3" s="9" t="s">
        <v>0</v>
      </c>
      <c r="H3" s="9" t="s">
        <v>0</v>
      </c>
      <c r="I3" s="9" t="s">
        <v>0</v>
      </c>
      <c r="J3" s="3" t="s">
        <v>57</v>
      </c>
      <c r="K3" s="9" t="s">
        <v>0</v>
      </c>
      <c r="L3" s="3" t="s">
        <v>57</v>
      </c>
      <c r="M3" s="9" t="s">
        <v>0</v>
      </c>
      <c r="N3" s="3" t="s">
        <v>57</v>
      </c>
      <c r="O3" s="9" t="s">
        <v>0</v>
      </c>
      <c r="P3" s="3" t="s">
        <v>57</v>
      </c>
      <c r="Q3" s="9" t="s">
        <v>0</v>
      </c>
      <c r="R3" s="3" t="s">
        <v>57</v>
      </c>
      <c r="S3" s="9" t="s">
        <v>0</v>
      </c>
      <c r="T3" s="3" t="s">
        <v>0</v>
      </c>
      <c r="U3" s="9" t="s">
        <v>0</v>
      </c>
      <c r="V3" s="3"/>
      <c r="W3" s="9" t="s">
        <v>0</v>
      </c>
      <c r="X3" s="3"/>
      <c r="Y3" s="9" t="s">
        <v>0</v>
      </c>
      <c r="Z3" s="3"/>
      <c r="AA3" s="9" t="s">
        <v>0</v>
      </c>
      <c r="AB3" s="3"/>
      <c r="AC3" s="9" t="s">
        <v>0</v>
      </c>
      <c r="AD3" s="3"/>
      <c r="AE3" s="9" t="s">
        <v>0</v>
      </c>
      <c r="AF3" s="3"/>
      <c r="AG3" s="9" t="s">
        <v>0</v>
      </c>
      <c r="AH3" s="3"/>
      <c r="AI3" s="9" t="s">
        <v>0</v>
      </c>
      <c r="AJ3" s="9" t="s">
        <v>518</v>
      </c>
      <c r="AK3" s="9" t="s">
        <v>518</v>
      </c>
      <c r="AL3" s="9" t="s">
        <v>518</v>
      </c>
      <c r="AM3" s="9" t="s">
        <v>0</v>
      </c>
      <c r="AN3" s="9" t="s">
        <v>0</v>
      </c>
      <c r="AO3" s="9" t="s">
        <v>0</v>
      </c>
      <c r="AP3" s="9" t="s">
        <v>0</v>
      </c>
      <c r="AQ3" s="9" t="s">
        <v>0</v>
      </c>
      <c r="AR3" s="9" t="s">
        <v>0</v>
      </c>
      <c r="AS3" s="9" t="s">
        <v>0</v>
      </c>
      <c r="AT3" s="9" t="s">
        <v>0</v>
      </c>
      <c r="AU3" s="9" t="s">
        <v>0</v>
      </c>
      <c r="AV3" s="9" t="s">
        <v>0</v>
      </c>
      <c r="AW3" s="9" t="s">
        <v>0</v>
      </c>
      <c r="AX3" s="9" t="s">
        <v>0</v>
      </c>
    </row>
    <row r="4" spans="1:50" ht="15">
      <c r="A4" s="8" t="s">
        <v>560</v>
      </c>
      <c r="B4" s="3" t="s">
        <v>0</v>
      </c>
      <c r="C4" s="9" t="s">
        <v>0</v>
      </c>
      <c r="D4" s="3" t="s">
        <v>0</v>
      </c>
      <c r="E4" s="9" t="s">
        <v>0</v>
      </c>
      <c r="F4" s="9" t="s">
        <v>0</v>
      </c>
      <c r="G4" s="9" t="s">
        <v>0</v>
      </c>
      <c r="H4" s="9" t="s">
        <v>0</v>
      </c>
      <c r="I4" s="9">
        <v>1</v>
      </c>
      <c r="J4" s="3" t="s">
        <v>0</v>
      </c>
      <c r="K4" s="9">
        <v>1</v>
      </c>
      <c r="L4" s="3" t="s">
        <v>0</v>
      </c>
      <c r="M4" s="9">
        <v>1</v>
      </c>
      <c r="N4" s="3" t="s">
        <v>0</v>
      </c>
      <c r="O4" s="9">
        <v>1</v>
      </c>
      <c r="P4" s="3" t="s">
        <v>0</v>
      </c>
      <c r="Q4" s="9">
        <v>1</v>
      </c>
      <c r="R4" s="3" t="s">
        <v>0</v>
      </c>
      <c r="S4" s="9">
        <v>1</v>
      </c>
      <c r="T4" s="3" t="s">
        <v>0</v>
      </c>
      <c r="U4" s="9">
        <v>1</v>
      </c>
      <c r="V4" s="3"/>
      <c r="W4" s="9">
        <v>1</v>
      </c>
      <c r="X4" s="3"/>
      <c r="Y4" s="9">
        <v>1</v>
      </c>
      <c r="Z4" s="3"/>
      <c r="AA4" s="9">
        <v>1</v>
      </c>
      <c r="AB4" s="3"/>
      <c r="AC4" s="9">
        <v>1</v>
      </c>
      <c r="AD4" s="3"/>
      <c r="AE4" s="9">
        <v>1</v>
      </c>
      <c r="AF4" s="3"/>
      <c r="AG4" s="9">
        <v>1</v>
      </c>
      <c r="AH4" s="3"/>
      <c r="AI4" s="9">
        <v>1</v>
      </c>
      <c r="AJ4" s="9" t="s">
        <v>0</v>
      </c>
      <c r="AK4" s="9" t="s">
        <v>0</v>
      </c>
      <c r="AL4" s="9" t="s">
        <v>0</v>
      </c>
      <c r="AM4" s="9">
        <v>1</v>
      </c>
      <c r="AN4" s="9">
        <v>1</v>
      </c>
      <c r="AO4" s="9">
        <v>1</v>
      </c>
      <c r="AP4" s="9">
        <v>1</v>
      </c>
      <c r="AQ4" s="9">
        <v>1</v>
      </c>
      <c r="AR4" s="9">
        <v>1</v>
      </c>
      <c r="AS4" s="9">
        <v>1</v>
      </c>
      <c r="AT4" s="9">
        <v>1</v>
      </c>
      <c r="AU4" s="9" t="s">
        <v>0</v>
      </c>
      <c r="AV4" s="9" t="s">
        <v>0</v>
      </c>
      <c r="AW4" s="9" t="s">
        <v>0</v>
      </c>
      <c r="AX4" s="9" t="s">
        <v>3440</v>
      </c>
    </row>
    <row r="5" spans="1:50" ht="15">
      <c r="A5" s="8" t="s">
        <v>2</v>
      </c>
      <c r="B5" s="3" t="s">
        <v>58</v>
      </c>
      <c r="C5" s="9" t="s">
        <v>0</v>
      </c>
      <c r="D5" s="3" t="s">
        <v>58</v>
      </c>
      <c r="E5" s="9">
        <v>10</v>
      </c>
      <c r="F5" s="9">
        <v>10</v>
      </c>
      <c r="G5" s="9" t="s">
        <v>0</v>
      </c>
      <c r="H5" s="9" t="s">
        <v>0</v>
      </c>
      <c r="I5" s="9" t="s">
        <v>0</v>
      </c>
      <c r="J5" s="3" t="s">
        <v>58</v>
      </c>
      <c r="K5" s="9" t="s">
        <v>0</v>
      </c>
      <c r="L5" s="3" t="s">
        <v>58</v>
      </c>
      <c r="M5" s="9" t="s">
        <v>0</v>
      </c>
      <c r="N5" s="3" t="s">
        <v>58</v>
      </c>
      <c r="O5" s="9" t="s">
        <v>0</v>
      </c>
      <c r="P5" s="3" t="s">
        <v>58</v>
      </c>
      <c r="Q5" s="9" t="s">
        <v>0</v>
      </c>
      <c r="R5" s="3" t="s">
        <v>58</v>
      </c>
      <c r="S5" s="9" t="s">
        <v>0</v>
      </c>
      <c r="T5" s="3" t="s">
        <v>0</v>
      </c>
      <c r="U5" s="9" t="s">
        <v>0</v>
      </c>
      <c r="V5" s="3"/>
      <c r="W5" s="9" t="s">
        <v>0</v>
      </c>
      <c r="X5" s="3"/>
      <c r="Y5" s="9" t="s">
        <v>0</v>
      </c>
      <c r="Z5" s="3"/>
      <c r="AA5" s="9" t="s">
        <v>0</v>
      </c>
      <c r="AB5" s="3"/>
      <c r="AC5" s="9" t="s">
        <v>0</v>
      </c>
      <c r="AD5" s="3"/>
      <c r="AE5" s="9" t="s">
        <v>0</v>
      </c>
      <c r="AF5" s="3"/>
      <c r="AG5" s="9" t="s">
        <v>0</v>
      </c>
      <c r="AH5" s="3"/>
      <c r="AI5" s="9" t="s">
        <v>0</v>
      </c>
      <c r="AJ5" s="9" t="s">
        <v>518</v>
      </c>
      <c r="AK5" s="9" t="s">
        <v>518</v>
      </c>
      <c r="AL5" s="9" t="s">
        <v>518</v>
      </c>
      <c r="AM5" s="9" t="s">
        <v>0</v>
      </c>
      <c r="AN5" s="9" t="s">
        <v>0</v>
      </c>
      <c r="AO5" s="9" t="s">
        <v>0</v>
      </c>
      <c r="AP5" s="9" t="s">
        <v>0</v>
      </c>
      <c r="AQ5" s="9" t="s">
        <v>0</v>
      </c>
      <c r="AR5" s="9" t="s">
        <v>0</v>
      </c>
      <c r="AS5" s="9" t="s">
        <v>0</v>
      </c>
      <c r="AT5" s="9" t="s">
        <v>0</v>
      </c>
      <c r="AU5" s="9" t="s">
        <v>0</v>
      </c>
      <c r="AV5" s="9" t="s">
        <v>0</v>
      </c>
      <c r="AW5" s="9" t="s">
        <v>0</v>
      </c>
      <c r="AX5" s="9" t="s">
        <v>0</v>
      </c>
    </row>
    <row r="6" spans="1:50" ht="15">
      <c r="A6" s="8" t="s">
        <v>3</v>
      </c>
      <c r="B6" s="3" t="s">
        <v>59</v>
      </c>
      <c r="C6" s="9" t="s">
        <v>0</v>
      </c>
      <c r="D6" s="3" t="s">
        <v>59</v>
      </c>
      <c r="E6" s="9">
        <v>1000</v>
      </c>
      <c r="F6" s="9">
        <v>1000</v>
      </c>
      <c r="G6" s="9" t="s">
        <v>0</v>
      </c>
      <c r="H6" s="9" t="s">
        <v>0</v>
      </c>
      <c r="I6" s="9" t="s">
        <v>0</v>
      </c>
      <c r="J6" s="3" t="s">
        <v>59</v>
      </c>
      <c r="K6" s="9" t="s">
        <v>0</v>
      </c>
      <c r="L6" s="3" t="s">
        <v>59</v>
      </c>
      <c r="M6" s="9" t="s">
        <v>0</v>
      </c>
      <c r="N6" s="3" t="s">
        <v>59</v>
      </c>
      <c r="O6" s="9" t="s">
        <v>0</v>
      </c>
      <c r="P6" s="3" t="s">
        <v>59</v>
      </c>
      <c r="Q6" s="9" t="s">
        <v>0</v>
      </c>
      <c r="R6" s="3" t="s">
        <v>59</v>
      </c>
      <c r="S6" s="9" t="s">
        <v>0</v>
      </c>
      <c r="T6" s="3" t="s">
        <v>0</v>
      </c>
      <c r="U6" s="9" t="s">
        <v>0</v>
      </c>
      <c r="V6" s="3"/>
      <c r="W6" s="9" t="s">
        <v>0</v>
      </c>
      <c r="X6" s="3"/>
      <c r="Y6" s="9" t="s">
        <v>0</v>
      </c>
      <c r="Z6" s="3"/>
      <c r="AA6" s="9" t="s">
        <v>0</v>
      </c>
      <c r="AB6" s="3"/>
      <c r="AC6" s="9" t="s">
        <v>0</v>
      </c>
      <c r="AD6" s="3"/>
      <c r="AE6" s="9" t="s">
        <v>0</v>
      </c>
      <c r="AF6" s="3"/>
      <c r="AG6" s="9" t="s">
        <v>0</v>
      </c>
      <c r="AH6" s="3"/>
      <c r="AI6" s="9" t="s">
        <v>0</v>
      </c>
      <c r="AJ6" s="9" t="s">
        <v>518</v>
      </c>
      <c r="AK6" s="9" t="s">
        <v>518</v>
      </c>
      <c r="AL6" s="9" t="s">
        <v>518</v>
      </c>
      <c r="AM6" s="9" t="s">
        <v>0</v>
      </c>
      <c r="AN6" s="9" t="s">
        <v>0</v>
      </c>
      <c r="AO6" s="9" t="s">
        <v>0</v>
      </c>
      <c r="AP6" s="9" t="s">
        <v>0</v>
      </c>
      <c r="AQ6" s="9" t="s">
        <v>0</v>
      </c>
      <c r="AR6" s="9" t="s">
        <v>0</v>
      </c>
      <c r="AS6" s="9" t="s">
        <v>0</v>
      </c>
      <c r="AT6" s="9" t="s">
        <v>0</v>
      </c>
      <c r="AU6" s="9" t="s">
        <v>0</v>
      </c>
      <c r="AV6" s="9" t="s">
        <v>0</v>
      </c>
      <c r="AW6" s="9" t="s">
        <v>0</v>
      </c>
      <c r="AX6" s="9" t="s">
        <v>0</v>
      </c>
    </row>
    <row r="7" spans="1:50" ht="15">
      <c r="A7" s="8" t="s">
        <v>4</v>
      </c>
      <c r="B7" s="3" t="s">
        <v>60</v>
      </c>
      <c r="C7" s="9" t="s">
        <v>0</v>
      </c>
      <c r="D7" s="3" t="s">
        <v>60</v>
      </c>
      <c r="E7" s="9" t="s">
        <v>0</v>
      </c>
      <c r="F7" s="9" t="s">
        <v>0</v>
      </c>
      <c r="G7" s="9" t="s">
        <v>0</v>
      </c>
      <c r="H7" s="9" t="s">
        <v>0</v>
      </c>
      <c r="I7" s="9" t="s">
        <v>0</v>
      </c>
      <c r="J7" s="3" t="s">
        <v>60</v>
      </c>
      <c r="K7" s="9" t="s">
        <v>0</v>
      </c>
      <c r="L7" s="3" t="s">
        <v>60</v>
      </c>
      <c r="M7" s="9" t="s">
        <v>0</v>
      </c>
      <c r="N7" s="3" t="s">
        <v>60</v>
      </c>
      <c r="O7" s="9" t="s">
        <v>0</v>
      </c>
      <c r="P7" s="3" t="s">
        <v>60</v>
      </c>
      <c r="Q7" s="9" t="s">
        <v>0</v>
      </c>
      <c r="R7" s="3" t="s">
        <v>60</v>
      </c>
      <c r="S7" s="9" t="s">
        <v>0</v>
      </c>
      <c r="T7" s="3" t="s">
        <v>0</v>
      </c>
      <c r="U7" s="9" t="s">
        <v>0</v>
      </c>
      <c r="V7" s="3"/>
      <c r="W7" s="9" t="s">
        <v>0</v>
      </c>
      <c r="X7" s="3"/>
      <c r="Y7" s="9" t="s">
        <v>0</v>
      </c>
      <c r="Z7" s="3"/>
      <c r="AA7" s="9" t="s">
        <v>0</v>
      </c>
      <c r="AB7" s="3"/>
      <c r="AC7" s="9" t="s">
        <v>0</v>
      </c>
      <c r="AD7" s="3"/>
      <c r="AE7" s="9" t="s">
        <v>0</v>
      </c>
      <c r="AF7" s="3"/>
      <c r="AG7" s="9" t="s">
        <v>0</v>
      </c>
      <c r="AH7" s="3"/>
      <c r="AI7" s="9" t="s">
        <v>0</v>
      </c>
      <c r="AJ7" s="9" t="s">
        <v>518</v>
      </c>
      <c r="AK7" s="9" t="s">
        <v>518</v>
      </c>
      <c r="AL7" s="9" t="s">
        <v>518</v>
      </c>
      <c r="AM7" s="9" t="s">
        <v>0</v>
      </c>
      <c r="AN7" s="9" t="s">
        <v>0</v>
      </c>
      <c r="AO7" s="9" t="s">
        <v>0</v>
      </c>
      <c r="AP7" s="9" t="s">
        <v>0</v>
      </c>
      <c r="AQ7" s="9" t="s">
        <v>0</v>
      </c>
      <c r="AR7" s="9" t="s">
        <v>0</v>
      </c>
      <c r="AS7" s="9" t="s">
        <v>0</v>
      </c>
      <c r="AT7" s="9" t="s">
        <v>0</v>
      </c>
      <c r="AU7" s="9" t="s">
        <v>0</v>
      </c>
      <c r="AV7" s="9" t="s">
        <v>0</v>
      </c>
      <c r="AW7" s="9" t="s">
        <v>0</v>
      </c>
      <c r="AX7" s="9" t="s">
        <v>0</v>
      </c>
    </row>
    <row r="8" spans="1:50" ht="15">
      <c r="A8" s="8" t="s">
        <v>10</v>
      </c>
      <c r="B8" s="3" t="s">
        <v>57</v>
      </c>
      <c r="C8" s="9" t="s">
        <v>0</v>
      </c>
      <c r="D8" s="3" t="s">
        <v>57</v>
      </c>
      <c r="E8" s="9" t="s">
        <v>0</v>
      </c>
      <c r="F8" s="9" t="s">
        <v>0</v>
      </c>
      <c r="G8" s="9" t="s">
        <v>0</v>
      </c>
      <c r="H8" s="9" t="s">
        <v>0</v>
      </c>
      <c r="I8" s="9" t="s">
        <v>51</v>
      </c>
      <c r="J8" s="3" t="s">
        <v>57</v>
      </c>
      <c r="K8" s="9" t="s">
        <v>51</v>
      </c>
      <c r="L8" s="3" t="s">
        <v>57</v>
      </c>
      <c r="M8" s="9" t="s">
        <v>51</v>
      </c>
      <c r="N8" s="3" t="s">
        <v>57</v>
      </c>
      <c r="O8" s="9" t="s">
        <v>51</v>
      </c>
      <c r="P8" s="3" t="s">
        <v>57</v>
      </c>
      <c r="Q8" s="9" t="s">
        <v>51</v>
      </c>
      <c r="R8" s="3" t="s">
        <v>57</v>
      </c>
      <c r="S8" s="9" t="s">
        <v>51</v>
      </c>
      <c r="T8" s="3" t="s">
        <v>0</v>
      </c>
      <c r="U8" s="9" t="s">
        <v>51</v>
      </c>
      <c r="V8" s="3"/>
      <c r="W8" s="9" t="s">
        <v>51</v>
      </c>
      <c r="X8" s="3"/>
      <c r="Y8" s="9" t="s">
        <v>51</v>
      </c>
      <c r="Z8" s="3"/>
      <c r="AA8" s="9" t="s">
        <v>51</v>
      </c>
      <c r="AB8" s="3"/>
      <c r="AC8" s="9" t="s">
        <v>51</v>
      </c>
      <c r="AD8" s="3"/>
      <c r="AE8" s="9" t="s">
        <v>51</v>
      </c>
      <c r="AF8" s="3"/>
      <c r="AG8" s="9" t="s">
        <v>51</v>
      </c>
      <c r="AH8" s="3"/>
      <c r="AI8" s="9" t="s">
        <v>51</v>
      </c>
      <c r="AJ8" s="9" t="s">
        <v>518</v>
      </c>
      <c r="AK8" s="9" t="s">
        <v>518</v>
      </c>
      <c r="AL8" s="9" t="s">
        <v>518</v>
      </c>
      <c r="AM8" s="9" t="s">
        <v>0</v>
      </c>
      <c r="AN8" s="9" t="s">
        <v>0</v>
      </c>
      <c r="AO8" s="9" t="s">
        <v>0</v>
      </c>
      <c r="AP8" s="9" t="s">
        <v>0</v>
      </c>
      <c r="AQ8" s="9" t="s">
        <v>0</v>
      </c>
      <c r="AR8" s="9" t="s">
        <v>0</v>
      </c>
      <c r="AS8" s="9" t="s">
        <v>0</v>
      </c>
      <c r="AT8" s="9" t="s">
        <v>0</v>
      </c>
      <c r="AU8" s="9" t="s">
        <v>2033</v>
      </c>
      <c r="AV8" s="9" t="s">
        <v>2033</v>
      </c>
      <c r="AW8" s="9" t="s">
        <v>2033</v>
      </c>
      <c r="AX8" s="9" t="s">
        <v>0</v>
      </c>
    </row>
    <row r="9" spans="1:50" ht="15">
      <c r="A9" s="8" t="s">
        <v>557</v>
      </c>
      <c r="B9" s="3" t="s">
        <v>57</v>
      </c>
      <c r="C9" s="9">
        <v>1</v>
      </c>
      <c r="D9" s="3" t="s">
        <v>57</v>
      </c>
      <c r="E9" s="9" t="s">
        <v>0</v>
      </c>
      <c r="F9" s="9" t="s">
        <v>0</v>
      </c>
      <c r="G9" s="9" t="s">
        <v>0</v>
      </c>
      <c r="H9" s="9" t="s">
        <v>0</v>
      </c>
      <c r="I9" s="9" t="s">
        <v>0</v>
      </c>
      <c r="J9" s="3" t="s">
        <v>57</v>
      </c>
      <c r="K9" s="9" t="s">
        <v>0</v>
      </c>
      <c r="L9" s="3" t="s">
        <v>57</v>
      </c>
      <c r="M9" s="9" t="s">
        <v>0</v>
      </c>
      <c r="N9" s="3" t="s">
        <v>57</v>
      </c>
      <c r="O9" s="9" t="s">
        <v>0</v>
      </c>
      <c r="P9" s="3" t="s">
        <v>57</v>
      </c>
      <c r="Q9" s="9" t="s">
        <v>0</v>
      </c>
      <c r="R9" s="3" t="s">
        <v>57</v>
      </c>
      <c r="S9" s="9" t="s">
        <v>0</v>
      </c>
      <c r="T9" s="3" t="s">
        <v>0</v>
      </c>
      <c r="U9" s="9" t="s">
        <v>0</v>
      </c>
      <c r="V9" s="3"/>
      <c r="W9" s="9" t="s">
        <v>0</v>
      </c>
      <c r="X9" s="3"/>
      <c r="Y9" s="9" t="s">
        <v>0</v>
      </c>
      <c r="Z9" s="3"/>
      <c r="AA9" s="9" t="s">
        <v>0</v>
      </c>
      <c r="AB9" s="3"/>
      <c r="AC9" s="9" t="s">
        <v>0</v>
      </c>
      <c r="AD9" s="3"/>
      <c r="AE9" s="9" t="s">
        <v>0</v>
      </c>
      <c r="AF9" s="3"/>
      <c r="AG9" s="9" t="s">
        <v>0</v>
      </c>
      <c r="AH9" s="3"/>
      <c r="AI9" s="9" t="s">
        <v>0</v>
      </c>
      <c r="AJ9" s="9" t="s">
        <v>0</v>
      </c>
      <c r="AK9" s="9" t="s">
        <v>0</v>
      </c>
      <c r="AL9" s="9" t="s">
        <v>0</v>
      </c>
      <c r="AM9" s="9" t="s">
        <v>0</v>
      </c>
      <c r="AN9" s="9">
        <v>1</v>
      </c>
      <c r="AO9" s="9" t="s">
        <v>0</v>
      </c>
      <c r="AP9" s="9">
        <v>1</v>
      </c>
      <c r="AQ9" s="9" t="s">
        <v>0</v>
      </c>
      <c r="AR9" s="9">
        <v>1</v>
      </c>
      <c r="AS9" s="9" t="s">
        <v>0</v>
      </c>
      <c r="AT9" s="9">
        <v>1</v>
      </c>
      <c r="AU9" s="9" t="s">
        <v>0</v>
      </c>
      <c r="AV9" s="9" t="s">
        <v>0</v>
      </c>
      <c r="AW9" s="9" t="s">
        <v>0</v>
      </c>
      <c r="AX9" s="9" t="s">
        <v>0</v>
      </c>
    </row>
    <row r="10" spans="1:50" ht="15">
      <c r="A10" s="10">
        <v>45000000</v>
      </c>
      <c r="B10" s="22" t="s">
        <v>133</v>
      </c>
      <c r="C10" s="11" t="s">
        <v>195</v>
      </c>
      <c r="D10" s="4" t="s">
        <v>68</v>
      </c>
      <c r="E10" s="11">
        <v>700</v>
      </c>
      <c r="F10" s="11">
        <v>100</v>
      </c>
      <c r="G10" s="11">
        <v>10</v>
      </c>
      <c r="H10" s="11">
        <v>-40</v>
      </c>
      <c r="I10" s="11">
        <f>IFERROR(INDEX(ShipPartShape!$A:$A,MATCH(D10,ShipPartShape!$B:$B,0)),"-")</f>
        <v>46000001</v>
      </c>
      <c r="J10" s="4" t="s">
        <v>70</v>
      </c>
      <c r="K10" s="11">
        <f>IFERROR(INDEX(ShipPartShape!$A:$A,MATCH(J10,ShipPartShape!$B:$B,0)),"-")</f>
        <v>46700001</v>
      </c>
      <c r="L10" s="4" t="s">
        <v>69</v>
      </c>
      <c r="M10" s="11">
        <f>IFERROR(INDEX(ShipPartShape!$A:$A,MATCH(L10,ShipPartShape!$B:$B,0)),"-")</f>
        <v>46300001</v>
      </c>
      <c r="N10" s="4"/>
      <c r="O10" s="11" t="str">
        <f>IFERROR(INDEX(ShipPartShape!$A:$A,MATCH(N10,ShipPartShape!$B:$B,0)),"-")</f>
        <v>-</v>
      </c>
      <c r="P10" s="4"/>
      <c r="Q10" s="11" t="str">
        <f>IFERROR(INDEX(ShipPartShape!$A:$A,MATCH(P10,ShipPartShape!$B:$B,0)),"-")</f>
        <v>-</v>
      </c>
      <c r="R10" s="4"/>
      <c r="S10" s="11" t="str">
        <f>IFERROR(INDEX(ShipPartShape!$A:$A,MATCH(R10,ShipPartShape!$B:$B,0)),"-")</f>
        <v>-</v>
      </c>
      <c r="T10" s="4" t="s">
        <v>606</v>
      </c>
      <c r="U10" s="11">
        <f>IFERROR(INDEX(ShipPartShape!$A:$A,MATCH(T10,ShipPartShape!$B:$B,0)),"-")</f>
        <v>46600003</v>
      </c>
      <c r="V10" s="4" t="s">
        <v>608</v>
      </c>
      <c r="W10" s="11">
        <f>IFERROR(INDEX(ShipPartShape!$A:$A,MATCH(V10,ShipPartShape!$B:$B,0)),"-")</f>
        <v>46600004</v>
      </c>
      <c r="X10" s="4" t="s">
        <v>604</v>
      </c>
      <c r="Y10" s="11">
        <f>IFERROR(INDEX(ShipPartShape!$A:$A,MATCH(X10,ShipPartShape!$B:$B,0)),"-")</f>
        <v>46600005</v>
      </c>
      <c r="Z10" s="4" t="s">
        <v>603</v>
      </c>
      <c r="AA10" s="11">
        <f>IFERROR(INDEX(ShipPartShape!$A:$A,MATCH(Z10,ShipPartShape!$B:$B,0)),"-")</f>
        <v>46600007</v>
      </c>
      <c r="AB10" s="4"/>
      <c r="AC10" s="11" t="str">
        <f>IFERROR(INDEX(ShipPartShape!$A:$A,MATCH(AB10,ShipPartShape!$B:$B,0)),"-")</f>
        <v>-</v>
      </c>
      <c r="AD10" s="4"/>
      <c r="AE10" s="11" t="str">
        <f>IFERROR(INDEX(ShipPartShape!$A:$A,MATCH(AD10,ShipPartShape!$B:$B,0)),"-")</f>
        <v>-</v>
      </c>
      <c r="AF10" s="4"/>
      <c r="AG10" s="11" t="str">
        <f>IFERROR(INDEX(ShipPartShape!$A:$A,MATCH(AF10,ShipPartShape!$B:$B,0)),"-")</f>
        <v>-</v>
      </c>
      <c r="AH10" s="4"/>
      <c r="AI10" s="11" t="str">
        <f>IFERROR(INDEX(ShipPartShape!$A:$A,MATCH(AH10,ShipPartShape!$B:$B,0)),"-")</f>
        <v>-</v>
      </c>
      <c r="AJ10" s="11" t="s">
        <v>518</v>
      </c>
      <c r="AK10" s="11" t="s">
        <v>518</v>
      </c>
      <c r="AL10" s="11" t="s">
        <v>518</v>
      </c>
      <c r="AM10" s="11" t="s">
        <v>0</v>
      </c>
      <c r="AN10" s="11" t="s">
        <v>0</v>
      </c>
      <c r="AO10" s="11" t="s">
        <v>0</v>
      </c>
      <c r="AP10" s="11" t="s">
        <v>0</v>
      </c>
      <c r="AQ10" s="11" t="s">
        <v>0</v>
      </c>
      <c r="AR10" s="11" t="s">
        <v>0</v>
      </c>
      <c r="AS10" s="11" t="s">
        <v>0</v>
      </c>
      <c r="AT10" s="11" t="s">
        <v>0</v>
      </c>
      <c r="AU10" s="11">
        <v>47600016</v>
      </c>
      <c r="AV10" s="11" t="s">
        <v>0</v>
      </c>
      <c r="AW10" s="11" t="s">
        <v>0</v>
      </c>
      <c r="AX10" s="11" t="s">
        <v>0</v>
      </c>
    </row>
    <row r="11" spans="1:50" ht="15">
      <c r="A11" s="10">
        <f>A10+1</f>
        <v>45000001</v>
      </c>
      <c r="B11" s="4" t="s">
        <v>148</v>
      </c>
      <c r="C11" s="11" t="s">
        <v>195</v>
      </c>
      <c r="D11" s="4" t="s">
        <v>72</v>
      </c>
      <c r="E11" s="11">
        <v>700</v>
      </c>
      <c r="F11" s="11">
        <v>100</v>
      </c>
      <c r="G11" s="11" t="s">
        <v>0</v>
      </c>
      <c r="H11" s="11" t="s">
        <v>545</v>
      </c>
      <c r="I11" s="11">
        <f>IFERROR(INDEX(ShipPartShape!$A:$A,MATCH(D11,ShipPartShape!$B:$B,0)),"-")</f>
        <v>46000002</v>
      </c>
      <c r="J11" s="4" t="s">
        <v>69</v>
      </c>
      <c r="K11" s="11">
        <f>IFERROR(INDEX(ShipPartShape!$A:$A,MATCH(J11,ShipPartShape!$B:$B,0)),"-")</f>
        <v>46300001</v>
      </c>
      <c r="L11" s="4" t="s">
        <v>70</v>
      </c>
      <c r="M11" s="11">
        <f>IFERROR(INDEX(ShipPartShape!$A:$A,MATCH(L11,ShipPartShape!$B:$B,0)),"-")</f>
        <v>46700001</v>
      </c>
      <c r="N11" s="4"/>
      <c r="O11" s="11" t="str">
        <f>IFERROR(INDEX(ShipPartShape!$A:$A,MATCH(N11,ShipPartShape!$B:$B,0)),"-")</f>
        <v>-</v>
      </c>
      <c r="P11" s="4"/>
      <c r="Q11" s="11" t="str">
        <f>IFERROR(INDEX(ShipPartShape!$A:$A,MATCH(P11,ShipPartShape!$B:$B,0)),"-")</f>
        <v>-</v>
      </c>
      <c r="R11" s="4"/>
      <c r="S11" s="11" t="str">
        <f>IFERROR(INDEX(ShipPartShape!$A:$A,MATCH(R11,ShipPartShape!$B:$B,0)),"-")</f>
        <v>-</v>
      </c>
      <c r="T11" s="4"/>
      <c r="U11" s="11" t="str">
        <f>IFERROR(INDEX(ShipPartShape!$A:$A,MATCH(T11,ShipPartShape!$B:$B,0)),"-")</f>
        <v>-</v>
      </c>
      <c r="V11" s="4"/>
      <c r="W11" s="11" t="str">
        <f>IFERROR(INDEX(ShipPartShape!$A:$A,MATCH(V11,ShipPartShape!$B:$B,0)),"-")</f>
        <v>-</v>
      </c>
      <c r="X11" s="4"/>
      <c r="Y11" s="11" t="str">
        <f>IFERROR(INDEX(ShipPartShape!$A:$A,MATCH(X11,ShipPartShape!$B:$B,0)),"-")</f>
        <v>-</v>
      </c>
      <c r="Z11" s="4"/>
      <c r="AA11" s="11" t="str">
        <f>IFERROR(INDEX(ShipPartShape!$A:$A,MATCH(Z11,ShipPartShape!$B:$B,0)),"-")</f>
        <v>-</v>
      </c>
      <c r="AB11" s="4"/>
      <c r="AC11" s="11" t="str">
        <f>IFERROR(INDEX(ShipPartShape!$A:$A,MATCH(AB11,ShipPartShape!$B:$B,0)),"-")</f>
        <v>-</v>
      </c>
      <c r="AD11" s="4"/>
      <c r="AE11" s="11" t="str">
        <f>IFERROR(INDEX(ShipPartShape!$A:$A,MATCH(AD11,ShipPartShape!$B:$B,0)),"-")</f>
        <v>-</v>
      </c>
      <c r="AF11" s="4"/>
      <c r="AG11" s="11" t="str">
        <f>IFERROR(INDEX(ShipPartShape!$A:$A,MATCH(AF11,ShipPartShape!$B:$B,0)),"-")</f>
        <v>-</v>
      </c>
      <c r="AH11" s="4"/>
      <c r="AI11" s="11" t="str">
        <f>IFERROR(INDEX(ShipPartShape!$A:$A,MATCH(AH11,ShipPartShape!$B:$B,0)),"-")</f>
        <v>-</v>
      </c>
      <c r="AJ11" s="11" t="s">
        <v>518</v>
      </c>
      <c r="AK11" s="11" t="s">
        <v>518</v>
      </c>
      <c r="AL11" s="11" t="s">
        <v>518</v>
      </c>
      <c r="AM11" s="11" t="s">
        <v>95</v>
      </c>
      <c r="AN11" s="11" t="s">
        <v>0</v>
      </c>
      <c r="AO11" s="11" t="s">
        <v>0</v>
      </c>
      <c r="AP11" s="11" t="s">
        <v>0</v>
      </c>
      <c r="AQ11" s="11" t="s">
        <v>0</v>
      </c>
      <c r="AR11" s="11" t="s">
        <v>0</v>
      </c>
      <c r="AS11" s="11" t="s">
        <v>0</v>
      </c>
      <c r="AT11" s="11" t="s">
        <v>0</v>
      </c>
      <c r="AU11" s="11">
        <v>47600016</v>
      </c>
      <c r="AV11" s="11" t="s">
        <v>0</v>
      </c>
      <c r="AW11" s="11" t="s">
        <v>0</v>
      </c>
      <c r="AX11" s="11" t="s">
        <v>0</v>
      </c>
    </row>
    <row r="12" spans="1:50" ht="15">
      <c r="A12" s="10">
        <f t="shared" ref="A12:A75" si="0">A11+1</f>
        <v>45000002</v>
      </c>
      <c r="B12" s="4" t="s">
        <v>149</v>
      </c>
      <c r="C12" s="11" t="s">
        <v>195</v>
      </c>
      <c r="D12" s="4" t="s">
        <v>74</v>
      </c>
      <c r="E12" s="11">
        <v>700</v>
      </c>
      <c r="F12" s="11">
        <v>100</v>
      </c>
      <c r="G12" s="11" t="s">
        <v>0</v>
      </c>
      <c r="H12" s="11" t="s">
        <v>545</v>
      </c>
      <c r="I12" s="11">
        <f>IFERROR(INDEX(ShipPartShape!$A:$A,MATCH(D12,ShipPartShape!$B:$B,0)),"-")</f>
        <v>46000003</v>
      </c>
      <c r="J12" s="4" t="s">
        <v>783</v>
      </c>
      <c r="K12" s="11">
        <f>IFERROR(INDEX(ShipPartShape!$A:$A,MATCH(J12,ShipPartShape!$B:$B,0)),"-")</f>
        <v>46100002</v>
      </c>
      <c r="L12" s="4" t="s">
        <v>322</v>
      </c>
      <c r="M12" s="11">
        <f>IFERROR(INDEX(ShipPartShape!$A:$A,MATCH(L12,ShipPartShape!$B:$B,0)),"-")</f>
        <v>46200001</v>
      </c>
      <c r="N12" s="4" t="s">
        <v>69</v>
      </c>
      <c r="O12" s="11">
        <f>IFERROR(INDEX(ShipPartShape!$A:$A,MATCH(N12,ShipPartShape!$B:$B,0)),"-")</f>
        <v>46300001</v>
      </c>
      <c r="P12" s="4"/>
      <c r="Q12" s="11" t="str">
        <f>IFERROR(INDEX(ShipPartShape!$A:$A,MATCH(P12,ShipPartShape!$B:$B,0)),"-")</f>
        <v>-</v>
      </c>
      <c r="R12" s="4"/>
      <c r="S12" s="11" t="str">
        <f>IFERROR(INDEX(ShipPartShape!$A:$A,MATCH(R12,ShipPartShape!$B:$B,0)),"-")</f>
        <v>-</v>
      </c>
      <c r="T12" s="4"/>
      <c r="U12" s="11" t="str">
        <f>IFERROR(INDEX(ShipPartShape!$A:$A,MATCH(T12,ShipPartShape!$B:$B,0)),"-")</f>
        <v>-</v>
      </c>
      <c r="V12" s="4"/>
      <c r="W12" s="11" t="str">
        <f>IFERROR(INDEX(ShipPartShape!$A:$A,MATCH(V12,ShipPartShape!$B:$B,0)),"-")</f>
        <v>-</v>
      </c>
      <c r="X12" s="4"/>
      <c r="Y12" s="11" t="str">
        <f>IFERROR(INDEX(ShipPartShape!$A:$A,MATCH(X12,ShipPartShape!$B:$B,0)),"-")</f>
        <v>-</v>
      </c>
      <c r="Z12" s="4"/>
      <c r="AA12" s="11" t="str">
        <f>IFERROR(INDEX(ShipPartShape!$A:$A,MATCH(Z12,ShipPartShape!$B:$B,0)),"-")</f>
        <v>-</v>
      </c>
      <c r="AB12" s="4"/>
      <c r="AC12" s="11" t="str">
        <f>IFERROR(INDEX(ShipPartShape!$A:$A,MATCH(AB12,ShipPartShape!$B:$B,0)),"-")</f>
        <v>-</v>
      </c>
      <c r="AD12" s="4"/>
      <c r="AE12" s="11" t="str">
        <f>IFERROR(INDEX(ShipPartShape!$A:$A,MATCH(AD12,ShipPartShape!$B:$B,0)),"-")</f>
        <v>-</v>
      </c>
      <c r="AF12" s="4"/>
      <c r="AG12" s="11" t="str">
        <f>IFERROR(INDEX(ShipPartShape!$A:$A,MATCH(AF12,ShipPartShape!$B:$B,0)),"-")</f>
        <v>-</v>
      </c>
      <c r="AH12" s="4"/>
      <c r="AI12" s="11" t="str">
        <f>IFERROR(INDEX(ShipPartShape!$A:$A,MATCH(AH12,ShipPartShape!$B:$B,0)),"-")</f>
        <v>-</v>
      </c>
      <c r="AJ12" s="11" t="s">
        <v>518</v>
      </c>
      <c r="AK12" s="11" t="s">
        <v>518</v>
      </c>
      <c r="AL12" s="11" t="s">
        <v>518</v>
      </c>
      <c r="AM12" s="11" t="s">
        <v>0</v>
      </c>
      <c r="AN12" s="11" t="s">
        <v>0</v>
      </c>
      <c r="AO12" s="11" t="s">
        <v>0</v>
      </c>
      <c r="AP12" s="11" t="s">
        <v>0</v>
      </c>
      <c r="AQ12" s="11" t="s">
        <v>0</v>
      </c>
      <c r="AR12" s="11" t="s">
        <v>0</v>
      </c>
      <c r="AS12" s="11" t="s">
        <v>0</v>
      </c>
      <c r="AT12" s="11" t="s">
        <v>0</v>
      </c>
      <c r="AU12" s="11">
        <v>47600016</v>
      </c>
      <c r="AV12" s="11" t="s">
        <v>0</v>
      </c>
      <c r="AW12" s="11" t="s">
        <v>0</v>
      </c>
      <c r="AX12" s="11" t="s">
        <v>0</v>
      </c>
    </row>
    <row r="13" spans="1:50" ht="15">
      <c r="A13" s="10">
        <f t="shared" si="0"/>
        <v>45000003</v>
      </c>
      <c r="B13" s="4" t="s">
        <v>150</v>
      </c>
      <c r="C13" s="11" t="s">
        <v>195</v>
      </c>
      <c r="D13" s="4" t="s">
        <v>75</v>
      </c>
      <c r="E13" s="11">
        <v>700</v>
      </c>
      <c r="F13" s="11">
        <v>100</v>
      </c>
      <c r="G13" s="11" t="s">
        <v>0</v>
      </c>
      <c r="H13" s="11" t="s">
        <v>545</v>
      </c>
      <c r="I13" s="11">
        <f>IFERROR(INDEX(ShipPartShape!$A:$A,MATCH(D13,ShipPartShape!$B:$B,0)),"-")</f>
        <v>46000004</v>
      </c>
      <c r="J13" s="4" t="s">
        <v>322</v>
      </c>
      <c r="K13" s="11">
        <f>IFERROR(INDEX(ShipPartShape!$A:$A,MATCH(J13,ShipPartShape!$B:$B,0)),"-")</f>
        <v>46200001</v>
      </c>
      <c r="L13" s="4" t="s">
        <v>69</v>
      </c>
      <c r="M13" s="11">
        <f>IFERROR(INDEX(ShipPartShape!$A:$A,MATCH(L13,ShipPartShape!$B:$B,0)),"-")</f>
        <v>46300001</v>
      </c>
      <c r="N13" s="4" t="s">
        <v>70</v>
      </c>
      <c r="O13" s="11">
        <f>IFERROR(INDEX(ShipPartShape!$A:$A,MATCH(N13,ShipPartShape!$B:$B,0)),"-")</f>
        <v>46700001</v>
      </c>
      <c r="P13" s="4"/>
      <c r="Q13" s="11" t="str">
        <f>IFERROR(INDEX(ShipPartShape!$A:$A,MATCH(P13,ShipPartShape!$B:$B,0)),"-")</f>
        <v>-</v>
      </c>
      <c r="R13" s="4"/>
      <c r="S13" s="11" t="str">
        <f>IFERROR(INDEX(ShipPartShape!$A:$A,MATCH(R13,ShipPartShape!$B:$B,0)),"-")</f>
        <v>-</v>
      </c>
      <c r="T13" s="4"/>
      <c r="U13" s="11" t="str">
        <f>IFERROR(INDEX(ShipPartShape!$A:$A,MATCH(T13,ShipPartShape!$B:$B,0)),"-")</f>
        <v>-</v>
      </c>
      <c r="V13" s="4"/>
      <c r="W13" s="11" t="str">
        <f>IFERROR(INDEX(ShipPartShape!$A:$A,MATCH(V13,ShipPartShape!$B:$B,0)),"-")</f>
        <v>-</v>
      </c>
      <c r="X13" s="4"/>
      <c r="Y13" s="11" t="str">
        <f>IFERROR(INDEX(ShipPartShape!$A:$A,MATCH(X13,ShipPartShape!$B:$B,0)),"-")</f>
        <v>-</v>
      </c>
      <c r="Z13" s="4"/>
      <c r="AA13" s="11" t="str">
        <f>IFERROR(INDEX(ShipPartShape!$A:$A,MATCH(Z13,ShipPartShape!$B:$B,0)),"-")</f>
        <v>-</v>
      </c>
      <c r="AB13" s="4"/>
      <c r="AC13" s="11" t="str">
        <f>IFERROR(INDEX(ShipPartShape!$A:$A,MATCH(AB13,ShipPartShape!$B:$B,0)),"-")</f>
        <v>-</v>
      </c>
      <c r="AD13" s="4"/>
      <c r="AE13" s="11" t="str">
        <f>IFERROR(INDEX(ShipPartShape!$A:$A,MATCH(AD13,ShipPartShape!$B:$B,0)),"-")</f>
        <v>-</v>
      </c>
      <c r="AF13" s="4"/>
      <c r="AG13" s="11" t="str">
        <f>IFERROR(INDEX(ShipPartShape!$A:$A,MATCH(AF13,ShipPartShape!$B:$B,0)),"-")</f>
        <v>-</v>
      </c>
      <c r="AH13" s="4"/>
      <c r="AI13" s="11" t="str">
        <f>IFERROR(INDEX(ShipPartShape!$A:$A,MATCH(AH13,ShipPartShape!$B:$B,0)),"-")</f>
        <v>-</v>
      </c>
      <c r="AJ13" s="11" t="s">
        <v>518</v>
      </c>
      <c r="AK13" s="11" t="s">
        <v>518</v>
      </c>
      <c r="AL13" s="11" t="s">
        <v>518</v>
      </c>
      <c r="AM13" s="11" t="s">
        <v>0</v>
      </c>
      <c r="AN13" s="11" t="s">
        <v>0</v>
      </c>
      <c r="AO13" s="11" t="s">
        <v>0</v>
      </c>
      <c r="AP13" s="11" t="s">
        <v>0</v>
      </c>
      <c r="AQ13" s="11" t="s">
        <v>0</v>
      </c>
      <c r="AR13" s="11" t="s">
        <v>0</v>
      </c>
      <c r="AS13" s="11" t="s">
        <v>0</v>
      </c>
      <c r="AT13" s="11" t="s">
        <v>0</v>
      </c>
      <c r="AU13" s="11">
        <v>47600016</v>
      </c>
      <c r="AV13" s="11" t="s">
        <v>0</v>
      </c>
      <c r="AW13" s="11" t="s">
        <v>0</v>
      </c>
      <c r="AX13" s="11" t="s">
        <v>0</v>
      </c>
    </row>
    <row r="14" spans="1:50" ht="15">
      <c r="A14" s="10">
        <f t="shared" si="0"/>
        <v>45000004</v>
      </c>
      <c r="B14" s="4" t="s">
        <v>151</v>
      </c>
      <c r="C14" s="11" t="s">
        <v>195</v>
      </c>
      <c r="D14" s="4" t="s">
        <v>73</v>
      </c>
      <c r="E14" s="11">
        <v>700</v>
      </c>
      <c r="F14" s="11">
        <v>100</v>
      </c>
      <c r="G14" s="11" t="s">
        <v>0</v>
      </c>
      <c r="H14" s="11" t="s">
        <v>545</v>
      </c>
      <c r="I14" s="11">
        <f>IFERROR(INDEX(ShipPartShape!$A:$A,MATCH(D14,ShipPartShape!$B:$B,0)),"-")</f>
        <v>46000005</v>
      </c>
      <c r="J14" s="4" t="s">
        <v>322</v>
      </c>
      <c r="K14" s="11">
        <f>IFERROR(INDEX(ShipPartShape!$A:$A,MATCH(J14,ShipPartShape!$B:$B,0)),"-")</f>
        <v>46200001</v>
      </c>
      <c r="L14" s="4" t="s">
        <v>69</v>
      </c>
      <c r="M14" s="11">
        <f>IFERROR(INDEX(ShipPartShape!$A:$A,MATCH(L14,ShipPartShape!$B:$B,0)),"-")</f>
        <v>46300001</v>
      </c>
      <c r="N14" s="4" t="s">
        <v>70</v>
      </c>
      <c r="O14" s="11">
        <f>IFERROR(INDEX(ShipPartShape!$A:$A,MATCH(N14,ShipPartShape!$B:$B,0)),"-")</f>
        <v>46700001</v>
      </c>
      <c r="P14" s="4"/>
      <c r="Q14" s="11" t="str">
        <f>IFERROR(INDEX(ShipPartShape!$A:$A,MATCH(P14,ShipPartShape!$B:$B,0)),"-")</f>
        <v>-</v>
      </c>
      <c r="R14" s="4"/>
      <c r="S14" s="11" t="str">
        <f>IFERROR(INDEX(ShipPartShape!$A:$A,MATCH(R14,ShipPartShape!$B:$B,0)),"-")</f>
        <v>-</v>
      </c>
      <c r="T14" s="4"/>
      <c r="U14" s="11" t="str">
        <f>IFERROR(INDEX(ShipPartShape!$A:$A,MATCH(T14,ShipPartShape!$B:$B,0)),"-")</f>
        <v>-</v>
      </c>
      <c r="V14" s="4"/>
      <c r="W14" s="11" t="str">
        <f>IFERROR(INDEX(ShipPartShape!$A:$A,MATCH(V14,ShipPartShape!$B:$B,0)),"-")</f>
        <v>-</v>
      </c>
      <c r="X14" s="4"/>
      <c r="Y14" s="11" t="str">
        <f>IFERROR(INDEX(ShipPartShape!$A:$A,MATCH(X14,ShipPartShape!$B:$B,0)),"-")</f>
        <v>-</v>
      </c>
      <c r="Z14" s="4"/>
      <c r="AA14" s="11" t="str">
        <f>IFERROR(INDEX(ShipPartShape!$A:$A,MATCH(Z14,ShipPartShape!$B:$B,0)),"-")</f>
        <v>-</v>
      </c>
      <c r="AB14" s="4"/>
      <c r="AC14" s="11" t="str">
        <f>IFERROR(INDEX(ShipPartShape!$A:$A,MATCH(AB14,ShipPartShape!$B:$B,0)),"-")</f>
        <v>-</v>
      </c>
      <c r="AD14" s="4"/>
      <c r="AE14" s="11" t="str">
        <f>IFERROR(INDEX(ShipPartShape!$A:$A,MATCH(AD14,ShipPartShape!$B:$B,0)),"-")</f>
        <v>-</v>
      </c>
      <c r="AF14" s="4"/>
      <c r="AG14" s="11" t="str">
        <f>IFERROR(INDEX(ShipPartShape!$A:$A,MATCH(AF14,ShipPartShape!$B:$B,0)),"-")</f>
        <v>-</v>
      </c>
      <c r="AH14" s="4"/>
      <c r="AI14" s="11" t="str">
        <f>IFERROR(INDEX(ShipPartShape!$A:$A,MATCH(AH14,ShipPartShape!$B:$B,0)),"-")</f>
        <v>-</v>
      </c>
      <c r="AJ14" s="11" t="s">
        <v>518</v>
      </c>
      <c r="AK14" s="11" t="s">
        <v>518</v>
      </c>
      <c r="AL14" s="11" t="s">
        <v>518</v>
      </c>
      <c r="AM14" s="11" t="s">
        <v>0</v>
      </c>
      <c r="AN14" s="11" t="s">
        <v>0</v>
      </c>
      <c r="AO14" s="11" t="s">
        <v>0</v>
      </c>
      <c r="AP14" s="11" t="s">
        <v>0</v>
      </c>
      <c r="AQ14" s="11" t="s">
        <v>0</v>
      </c>
      <c r="AR14" s="11" t="s">
        <v>0</v>
      </c>
      <c r="AS14" s="11" t="s">
        <v>0</v>
      </c>
      <c r="AT14" s="11" t="s">
        <v>0</v>
      </c>
      <c r="AU14" s="11">
        <v>47600016</v>
      </c>
      <c r="AV14" s="11" t="s">
        <v>0</v>
      </c>
      <c r="AW14" s="11" t="s">
        <v>0</v>
      </c>
      <c r="AX14" s="11" t="s">
        <v>0</v>
      </c>
    </row>
    <row r="15" spans="1:50" ht="15">
      <c r="A15" s="10">
        <f t="shared" si="0"/>
        <v>45000005</v>
      </c>
      <c r="B15" s="4" t="s">
        <v>142</v>
      </c>
      <c r="C15" s="11" t="s">
        <v>195</v>
      </c>
      <c r="D15" s="4" t="s">
        <v>76</v>
      </c>
      <c r="E15" s="11">
        <v>700</v>
      </c>
      <c r="F15" s="11">
        <v>100</v>
      </c>
      <c r="G15" s="11" t="s">
        <v>0</v>
      </c>
      <c r="H15" s="11" t="s">
        <v>545</v>
      </c>
      <c r="I15" s="11">
        <f>IFERROR(INDEX(ShipPartShape!$A:$A,MATCH(D15,ShipPartShape!$B:$B,0)),"-")</f>
        <v>46000006</v>
      </c>
      <c r="J15" s="4" t="s">
        <v>322</v>
      </c>
      <c r="K15" s="11">
        <f>IFERROR(INDEX(ShipPartShape!$A:$A,MATCH(J15,ShipPartShape!$B:$B,0)),"-")</f>
        <v>46200001</v>
      </c>
      <c r="L15" s="4" t="s">
        <v>69</v>
      </c>
      <c r="M15" s="11">
        <f>IFERROR(INDEX(ShipPartShape!$A:$A,MATCH(L15,ShipPartShape!$B:$B,0)),"-")</f>
        <v>46300001</v>
      </c>
      <c r="N15" s="4" t="s">
        <v>70</v>
      </c>
      <c r="O15" s="11">
        <f>IFERROR(INDEX(ShipPartShape!$A:$A,MATCH(N15,ShipPartShape!$B:$B,0)),"-")</f>
        <v>46700001</v>
      </c>
      <c r="P15" s="4"/>
      <c r="Q15" s="11" t="str">
        <f>IFERROR(INDEX(ShipPartShape!$A:$A,MATCH(P15,ShipPartShape!$B:$B,0)),"-")</f>
        <v>-</v>
      </c>
      <c r="R15" s="4"/>
      <c r="S15" s="11" t="str">
        <f>IFERROR(INDEX(ShipPartShape!$A:$A,MATCH(R15,ShipPartShape!$B:$B,0)),"-")</f>
        <v>-</v>
      </c>
      <c r="T15" s="4"/>
      <c r="U15" s="11" t="str">
        <f>IFERROR(INDEX(ShipPartShape!$A:$A,MATCH(T15,ShipPartShape!$B:$B,0)),"-")</f>
        <v>-</v>
      </c>
      <c r="V15" s="4"/>
      <c r="W15" s="11" t="str">
        <f>IFERROR(INDEX(ShipPartShape!$A:$A,MATCH(V15,ShipPartShape!$B:$B,0)),"-")</f>
        <v>-</v>
      </c>
      <c r="X15" s="4"/>
      <c r="Y15" s="11" t="str">
        <f>IFERROR(INDEX(ShipPartShape!$A:$A,MATCH(X15,ShipPartShape!$B:$B,0)),"-")</f>
        <v>-</v>
      </c>
      <c r="Z15" s="4"/>
      <c r="AA15" s="11" t="str">
        <f>IFERROR(INDEX(ShipPartShape!$A:$A,MATCH(Z15,ShipPartShape!$B:$B,0)),"-")</f>
        <v>-</v>
      </c>
      <c r="AB15" s="4"/>
      <c r="AC15" s="11" t="str">
        <f>IFERROR(INDEX(ShipPartShape!$A:$A,MATCH(AB15,ShipPartShape!$B:$B,0)),"-")</f>
        <v>-</v>
      </c>
      <c r="AD15" s="4"/>
      <c r="AE15" s="11" t="str">
        <f>IFERROR(INDEX(ShipPartShape!$A:$A,MATCH(AD15,ShipPartShape!$B:$B,0)),"-")</f>
        <v>-</v>
      </c>
      <c r="AF15" s="4"/>
      <c r="AG15" s="11" t="str">
        <f>IFERROR(INDEX(ShipPartShape!$A:$A,MATCH(AF15,ShipPartShape!$B:$B,0)),"-")</f>
        <v>-</v>
      </c>
      <c r="AH15" s="4"/>
      <c r="AI15" s="11" t="str">
        <f>IFERROR(INDEX(ShipPartShape!$A:$A,MATCH(AH15,ShipPartShape!$B:$B,0)),"-")</f>
        <v>-</v>
      </c>
      <c r="AJ15" s="11" t="s">
        <v>518</v>
      </c>
      <c r="AK15" s="11" t="s">
        <v>518</v>
      </c>
      <c r="AL15" s="11" t="s">
        <v>518</v>
      </c>
      <c r="AM15" s="11" t="s">
        <v>0</v>
      </c>
      <c r="AN15" s="11" t="s">
        <v>0</v>
      </c>
      <c r="AO15" s="11" t="s">
        <v>0</v>
      </c>
      <c r="AP15" s="11" t="s">
        <v>0</v>
      </c>
      <c r="AQ15" s="11" t="s">
        <v>0</v>
      </c>
      <c r="AR15" s="11" t="s">
        <v>0</v>
      </c>
      <c r="AS15" s="11" t="s">
        <v>0</v>
      </c>
      <c r="AT15" s="11" t="s">
        <v>0</v>
      </c>
      <c r="AU15" s="11">
        <v>47600016</v>
      </c>
      <c r="AV15" s="11" t="s">
        <v>0</v>
      </c>
      <c r="AW15" s="11" t="s">
        <v>0</v>
      </c>
      <c r="AX15" s="11" t="s">
        <v>0</v>
      </c>
    </row>
    <row r="16" spans="1:50" ht="15">
      <c r="A16" s="10">
        <f t="shared" si="0"/>
        <v>45000006</v>
      </c>
      <c r="B16" s="4" t="s">
        <v>152</v>
      </c>
      <c r="C16" s="11" t="s">
        <v>195</v>
      </c>
      <c r="D16" s="4" t="s">
        <v>71</v>
      </c>
      <c r="E16" s="11">
        <v>700</v>
      </c>
      <c r="F16" s="11">
        <v>100</v>
      </c>
      <c r="G16" s="11" t="s">
        <v>0</v>
      </c>
      <c r="H16" s="11" t="s">
        <v>545</v>
      </c>
      <c r="I16" s="11">
        <f>IFERROR(INDEX(ShipPartShape!$A:$A,MATCH(D16,ShipPartShape!$B:$B,0)),"-")</f>
        <v>46000007</v>
      </c>
      <c r="J16" s="4" t="s">
        <v>783</v>
      </c>
      <c r="K16" s="11">
        <f>IFERROR(INDEX(ShipPartShape!$A:$A,MATCH(J16,ShipPartShape!$B:$B,0)),"-")</f>
        <v>46100002</v>
      </c>
      <c r="L16" s="4" t="s">
        <v>322</v>
      </c>
      <c r="M16" s="11">
        <f>IFERROR(INDEX(ShipPartShape!$A:$A,MATCH(L16,ShipPartShape!$B:$B,0)),"-")</f>
        <v>46200001</v>
      </c>
      <c r="N16" s="4" t="s">
        <v>69</v>
      </c>
      <c r="O16" s="11">
        <f>IFERROR(INDEX(ShipPartShape!$A:$A,MATCH(N16,ShipPartShape!$B:$B,0)),"-")</f>
        <v>46300001</v>
      </c>
      <c r="P16" s="4" t="s">
        <v>70</v>
      </c>
      <c r="Q16" s="11">
        <f>IFERROR(INDEX(ShipPartShape!$A:$A,MATCH(P16,ShipPartShape!$B:$B,0)),"-")</f>
        <v>46700001</v>
      </c>
      <c r="R16" s="4"/>
      <c r="S16" s="11" t="str">
        <f>IFERROR(INDEX(ShipPartShape!$A:$A,MATCH(R16,ShipPartShape!$B:$B,0)),"-")</f>
        <v>-</v>
      </c>
      <c r="T16" s="4"/>
      <c r="U16" s="11" t="str">
        <f>IFERROR(INDEX(ShipPartShape!$A:$A,MATCH(T16,ShipPartShape!$B:$B,0)),"-")</f>
        <v>-</v>
      </c>
      <c r="V16" s="4"/>
      <c r="W16" s="11" t="str">
        <f>IFERROR(INDEX(ShipPartShape!$A:$A,MATCH(V16,ShipPartShape!$B:$B,0)),"-")</f>
        <v>-</v>
      </c>
      <c r="X16" s="4"/>
      <c r="Y16" s="11" t="str">
        <f>IFERROR(INDEX(ShipPartShape!$A:$A,MATCH(X16,ShipPartShape!$B:$B,0)),"-")</f>
        <v>-</v>
      </c>
      <c r="Z16" s="4"/>
      <c r="AA16" s="11" t="str">
        <f>IFERROR(INDEX(ShipPartShape!$A:$A,MATCH(Z16,ShipPartShape!$B:$B,0)),"-")</f>
        <v>-</v>
      </c>
      <c r="AB16" s="4"/>
      <c r="AC16" s="11" t="str">
        <f>IFERROR(INDEX(ShipPartShape!$A:$A,MATCH(AB16,ShipPartShape!$B:$B,0)),"-")</f>
        <v>-</v>
      </c>
      <c r="AD16" s="4"/>
      <c r="AE16" s="11" t="str">
        <f>IFERROR(INDEX(ShipPartShape!$A:$A,MATCH(AD16,ShipPartShape!$B:$B,0)),"-")</f>
        <v>-</v>
      </c>
      <c r="AF16" s="4"/>
      <c r="AG16" s="11" t="str">
        <f>IFERROR(INDEX(ShipPartShape!$A:$A,MATCH(AF16,ShipPartShape!$B:$B,0)),"-")</f>
        <v>-</v>
      </c>
      <c r="AH16" s="4"/>
      <c r="AI16" s="11" t="str">
        <f>IFERROR(INDEX(ShipPartShape!$A:$A,MATCH(AH16,ShipPartShape!$B:$B,0)),"-")</f>
        <v>-</v>
      </c>
      <c r="AJ16" s="11" t="s">
        <v>518</v>
      </c>
      <c r="AK16" s="11" t="s">
        <v>518</v>
      </c>
      <c r="AL16" s="11" t="s">
        <v>518</v>
      </c>
      <c r="AM16" s="11" t="s">
        <v>0</v>
      </c>
      <c r="AN16" s="11" t="s">
        <v>0</v>
      </c>
      <c r="AO16" s="11" t="s">
        <v>0</v>
      </c>
      <c r="AP16" s="11" t="s">
        <v>0</v>
      </c>
      <c r="AQ16" s="11" t="s">
        <v>0</v>
      </c>
      <c r="AR16" s="11" t="s">
        <v>0</v>
      </c>
      <c r="AS16" s="11" t="s">
        <v>0</v>
      </c>
      <c r="AT16" s="11" t="s">
        <v>0</v>
      </c>
      <c r="AU16" s="11">
        <v>47600016</v>
      </c>
      <c r="AV16" s="11" t="s">
        <v>0</v>
      </c>
      <c r="AW16" s="11" t="s">
        <v>0</v>
      </c>
      <c r="AX16" s="11" t="s">
        <v>0</v>
      </c>
    </row>
    <row r="17" spans="1:50" ht="15">
      <c r="A17" s="10">
        <f t="shared" si="0"/>
        <v>45000007</v>
      </c>
      <c r="B17" s="22" t="s">
        <v>167</v>
      </c>
      <c r="C17" s="11" t="s">
        <v>4003</v>
      </c>
      <c r="D17" s="4" t="s">
        <v>168</v>
      </c>
      <c r="E17" s="11">
        <v>600</v>
      </c>
      <c r="F17" s="11">
        <v>100</v>
      </c>
      <c r="G17" s="11">
        <v>10</v>
      </c>
      <c r="H17" s="11">
        <v>-10</v>
      </c>
      <c r="I17" s="11">
        <f>IFERROR(INDEX(ShipPartShape!$A:$A,MATCH(D17,ShipPartShape!$B:$B,0)),"-")</f>
        <v>46000008</v>
      </c>
      <c r="J17" s="4" t="s">
        <v>70</v>
      </c>
      <c r="K17" s="11">
        <f>IFERROR(INDEX(ShipPartShape!$A:$A,MATCH(J17,ShipPartShape!$B:$B,0)),"-")</f>
        <v>46700001</v>
      </c>
      <c r="L17" s="4" t="s">
        <v>69</v>
      </c>
      <c r="M17" s="11">
        <f>IFERROR(INDEX(ShipPartShape!$A:$A,MATCH(L17,ShipPartShape!$B:$B,0)),"-")</f>
        <v>46300001</v>
      </c>
      <c r="N17" s="4"/>
      <c r="O17" s="11" t="str">
        <f>IFERROR(INDEX(ShipPartShape!$A:$A,MATCH(N17,ShipPartShape!$B:$B,0)),"-")</f>
        <v>-</v>
      </c>
      <c r="P17" s="4"/>
      <c r="Q17" s="11" t="str">
        <f>IFERROR(INDEX(ShipPartShape!$A:$A,MATCH(P17,ShipPartShape!$B:$B,0)),"-")</f>
        <v>-</v>
      </c>
      <c r="R17" s="4"/>
      <c r="S17" s="11" t="str">
        <f>IFERROR(INDEX(ShipPartShape!$A:$A,MATCH(R17,ShipPartShape!$B:$B,0)),"-")</f>
        <v>-</v>
      </c>
      <c r="T17" s="4" t="s">
        <v>601</v>
      </c>
      <c r="U17" s="11">
        <f>IFERROR(INDEX(ShipPartShape!$A:$A,MATCH(T17,ShipPartShape!$B:$B,0)),"-")</f>
        <v>46600001</v>
      </c>
      <c r="V17" s="4" t="s">
        <v>602</v>
      </c>
      <c r="W17" s="11">
        <f>IFERROR(INDEX(ShipPartShape!$A:$A,MATCH(V17,ShipPartShape!$B:$B,0)),"-")</f>
        <v>46600002</v>
      </c>
      <c r="X17" s="4" t="s">
        <v>603</v>
      </c>
      <c r="Y17" s="11">
        <f>IFERROR(INDEX(ShipPartShape!$A:$A,MATCH(X17,ShipPartShape!$B:$B,0)),"-")</f>
        <v>46600007</v>
      </c>
      <c r="Z17" s="4" t="s">
        <v>604</v>
      </c>
      <c r="AA17" s="11">
        <f>IFERROR(INDEX(ShipPartShape!$A:$A,MATCH(Z17,ShipPartShape!$B:$B,0)),"-")</f>
        <v>46600005</v>
      </c>
      <c r="AB17" s="4"/>
      <c r="AC17" s="11" t="str">
        <f>IFERROR(INDEX(ShipPartShape!$A:$A,MATCH(AB17,ShipPartShape!$B:$B,0)),"-")</f>
        <v>-</v>
      </c>
      <c r="AD17" s="4"/>
      <c r="AE17" s="11" t="str">
        <f>IFERROR(INDEX(ShipPartShape!$A:$A,MATCH(AD17,ShipPartShape!$B:$B,0)),"-")</f>
        <v>-</v>
      </c>
      <c r="AF17" s="4"/>
      <c r="AG17" s="11" t="str">
        <f>IFERROR(INDEX(ShipPartShape!$A:$A,MATCH(AF17,ShipPartShape!$B:$B,0)),"-")</f>
        <v>-</v>
      </c>
      <c r="AH17" s="4"/>
      <c r="AI17" s="11" t="str">
        <f>IFERROR(INDEX(ShipPartShape!$A:$A,MATCH(AH17,ShipPartShape!$B:$B,0)),"-")</f>
        <v>-</v>
      </c>
      <c r="AJ17" s="11" t="s">
        <v>518</v>
      </c>
      <c r="AK17" s="11" t="s">
        <v>518</v>
      </c>
      <c r="AL17" s="11" t="s">
        <v>518</v>
      </c>
      <c r="AM17" s="11" t="s">
        <v>95</v>
      </c>
      <c r="AN17" s="11" t="s">
        <v>0</v>
      </c>
      <c r="AO17" s="11" t="s">
        <v>0</v>
      </c>
      <c r="AP17" s="11" t="s">
        <v>0</v>
      </c>
      <c r="AQ17" s="11" t="s">
        <v>0</v>
      </c>
      <c r="AR17" s="11" t="s">
        <v>0</v>
      </c>
      <c r="AS17" s="11" t="s">
        <v>0</v>
      </c>
      <c r="AT17" s="11" t="s">
        <v>0</v>
      </c>
      <c r="AU17" s="11">
        <v>47600014</v>
      </c>
      <c r="AV17" s="11" t="s">
        <v>0</v>
      </c>
      <c r="AW17" s="11" t="s">
        <v>0</v>
      </c>
      <c r="AX17" s="11" t="s">
        <v>0</v>
      </c>
    </row>
    <row r="18" spans="1:50" ht="15">
      <c r="A18" s="10">
        <f t="shared" si="0"/>
        <v>45000008</v>
      </c>
      <c r="B18" s="4" t="s">
        <v>169</v>
      </c>
      <c r="C18" s="11" t="s">
        <v>200</v>
      </c>
      <c r="D18" s="4" t="s">
        <v>508</v>
      </c>
      <c r="E18" s="11">
        <v>600</v>
      </c>
      <c r="F18" s="11">
        <v>100</v>
      </c>
      <c r="G18" s="11" t="s">
        <v>0</v>
      </c>
      <c r="H18" s="11" t="s">
        <v>545</v>
      </c>
      <c r="I18" s="11">
        <f>IFERROR(INDEX(ShipPartShape!$A:$A,MATCH(D18,ShipPartShape!$B:$B,0)),"-")</f>
        <v>46000009</v>
      </c>
      <c r="J18" s="4" t="s">
        <v>69</v>
      </c>
      <c r="K18" s="11">
        <f>IFERROR(INDEX(ShipPartShape!$A:$A,MATCH(J18,ShipPartShape!$B:$B,0)),"-")</f>
        <v>46300001</v>
      </c>
      <c r="L18" s="4" t="s">
        <v>70</v>
      </c>
      <c r="M18" s="11">
        <f>IFERROR(INDEX(ShipPartShape!$A:$A,MATCH(L18,ShipPartShape!$B:$B,0)),"-")</f>
        <v>46700001</v>
      </c>
      <c r="N18" s="4"/>
      <c r="O18" s="11" t="str">
        <f>IFERROR(INDEX(ShipPartShape!$A:$A,MATCH(N18,ShipPartShape!$B:$B,0)),"-")</f>
        <v>-</v>
      </c>
      <c r="P18" s="4"/>
      <c r="Q18" s="11" t="str">
        <f>IFERROR(INDEX(ShipPartShape!$A:$A,MATCH(P18,ShipPartShape!$B:$B,0)),"-")</f>
        <v>-</v>
      </c>
      <c r="R18" s="4"/>
      <c r="S18" s="11" t="str">
        <f>IFERROR(INDEX(ShipPartShape!$A:$A,MATCH(R18,ShipPartShape!$B:$B,0)),"-")</f>
        <v>-</v>
      </c>
      <c r="T18" s="4"/>
      <c r="U18" s="11" t="str">
        <f>IFERROR(INDEX(ShipPartShape!$A:$A,MATCH(T18,ShipPartShape!$B:$B,0)),"-")</f>
        <v>-</v>
      </c>
      <c r="V18" s="4"/>
      <c r="W18" s="11" t="str">
        <f>IFERROR(INDEX(ShipPartShape!$A:$A,MATCH(V18,ShipPartShape!$B:$B,0)),"-")</f>
        <v>-</v>
      </c>
      <c r="X18" s="4"/>
      <c r="Y18" s="11" t="str">
        <f>IFERROR(INDEX(ShipPartShape!$A:$A,MATCH(X18,ShipPartShape!$B:$B,0)),"-")</f>
        <v>-</v>
      </c>
      <c r="Z18" s="4"/>
      <c r="AA18" s="11" t="str">
        <f>IFERROR(INDEX(ShipPartShape!$A:$A,MATCH(Z18,ShipPartShape!$B:$B,0)),"-")</f>
        <v>-</v>
      </c>
      <c r="AB18" s="4"/>
      <c r="AC18" s="11" t="str">
        <f>IFERROR(INDEX(ShipPartShape!$A:$A,MATCH(AB18,ShipPartShape!$B:$B,0)),"-")</f>
        <v>-</v>
      </c>
      <c r="AD18" s="4"/>
      <c r="AE18" s="11" t="str">
        <f>IFERROR(INDEX(ShipPartShape!$A:$A,MATCH(AD18,ShipPartShape!$B:$B,0)),"-")</f>
        <v>-</v>
      </c>
      <c r="AF18" s="4"/>
      <c r="AG18" s="11" t="str">
        <f>IFERROR(INDEX(ShipPartShape!$A:$A,MATCH(AF18,ShipPartShape!$B:$B,0)),"-")</f>
        <v>-</v>
      </c>
      <c r="AH18" s="4"/>
      <c r="AI18" s="11" t="str">
        <f>IFERROR(INDEX(ShipPartShape!$A:$A,MATCH(AH18,ShipPartShape!$B:$B,0)),"-")</f>
        <v>-</v>
      </c>
      <c r="AJ18" s="11" t="s">
        <v>518</v>
      </c>
      <c r="AK18" s="11" t="s">
        <v>518</v>
      </c>
      <c r="AL18" s="11" t="s">
        <v>518</v>
      </c>
      <c r="AM18" s="11" t="s">
        <v>0</v>
      </c>
      <c r="AN18" s="11" t="s">
        <v>0</v>
      </c>
      <c r="AO18" s="11" t="s">
        <v>0</v>
      </c>
      <c r="AP18" s="11" t="s">
        <v>0</v>
      </c>
      <c r="AQ18" s="11" t="s">
        <v>0</v>
      </c>
      <c r="AR18" s="11" t="s">
        <v>0</v>
      </c>
      <c r="AS18" s="11" t="s">
        <v>0</v>
      </c>
      <c r="AT18" s="11" t="s">
        <v>0</v>
      </c>
      <c r="AU18" s="11">
        <v>47600014</v>
      </c>
      <c r="AV18" s="11" t="s">
        <v>0</v>
      </c>
      <c r="AW18" s="11" t="s">
        <v>0</v>
      </c>
      <c r="AX18" s="11" t="s">
        <v>0</v>
      </c>
    </row>
    <row r="19" spans="1:50" ht="15">
      <c r="A19" s="10">
        <f t="shared" si="0"/>
        <v>45000009</v>
      </c>
      <c r="B19" s="4" t="s">
        <v>171</v>
      </c>
      <c r="C19" s="11" t="s">
        <v>200</v>
      </c>
      <c r="D19" s="4" t="s">
        <v>172</v>
      </c>
      <c r="E19" s="11">
        <v>600</v>
      </c>
      <c r="F19" s="11">
        <v>100</v>
      </c>
      <c r="G19" s="11" t="s">
        <v>0</v>
      </c>
      <c r="H19" s="11" t="s">
        <v>545</v>
      </c>
      <c r="I19" s="11">
        <f>IFERROR(INDEX(ShipPartShape!$A:$A,MATCH(D19,ShipPartShape!$B:$B,0)),"-")</f>
        <v>46000010</v>
      </c>
      <c r="J19" s="4" t="s">
        <v>783</v>
      </c>
      <c r="K19" s="11">
        <f>IFERROR(INDEX(ShipPartShape!$A:$A,MATCH(J19,ShipPartShape!$B:$B,0)),"-")</f>
        <v>46100002</v>
      </c>
      <c r="L19" s="4" t="s">
        <v>322</v>
      </c>
      <c r="M19" s="11">
        <f>IFERROR(INDEX(ShipPartShape!$A:$A,MATCH(L19,ShipPartShape!$B:$B,0)),"-")</f>
        <v>46200001</v>
      </c>
      <c r="N19" s="4" t="s">
        <v>69</v>
      </c>
      <c r="O19" s="11">
        <f>IFERROR(INDEX(ShipPartShape!$A:$A,MATCH(N19,ShipPartShape!$B:$B,0)),"-")</f>
        <v>46300001</v>
      </c>
      <c r="P19" s="4"/>
      <c r="Q19" s="11" t="str">
        <f>IFERROR(INDEX(ShipPartShape!$A:$A,MATCH(P19,ShipPartShape!$B:$B,0)),"-")</f>
        <v>-</v>
      </c>
      <c r="R19" s="4"/>
      <c r="S19" s="11" t="str">
        <f>IFERROR(INDEX(ShipPartShape!$A:$A,MATCH(R19,ShipPartShape!$B:$B,0)),"-")</f>
        <v>-</v>
      </c>
      <c r="T19" s="4"/>
      <c r="U19" s="11" t="str">
        <f>IFERROR(INDEX(ShipPartShape!$A:$A,MATCH(T19,ShipPartShape!$B:$B,0)),"-")</f>
        <v>-</v>
      </c>
      <c r="V19" s="4"/>
      <c r="W19" s="11" t="str">
        <f>IFERROR(INDEX(ShipPartShape!$A:$A,MATCH(V19,ShipPartShape!$B:$B,0)),"-")</f>
        <v>-</v>
      </c>
      <c r="X19" s="4"/>
      <c r="Y19" s="11" t="str">
        <f>IFERROR(INDEX(ShipPartShape!$A:$A,MATCH(X19,ShipPartShape!$B:$B,0)),"-")</f>
        <v>-</v>
      </c>
      <c r="Z19" s="4"/>
      <c r="AA19" s="11" t="str">
        <f>IFERROR(INDEX(ShipPartShape!$A:$A,MATCH(Z19,ShipPartShape!$B:$B,0)),"-")</f>
        <v>-</v>
      </c>
      <c r="AB19" s="4"/>
      <c r="AC19" s="11" t="str">
        <f>IFERROR(INDEX(ShipPartShape!$A:$A,MATCH(AB19,ShipPartShape!$B:$B,0)),"-")</f>
        <v>-</v>
      </c>
      <c r="AD19" s="4"/>
      <c r="AE19" s="11" t="str">
        <f>IFERROR(INDEX(ShipPartShape!$A:$A,MATCH(AD19,ShipPartShape!$B:$B,0)),"-")</f>
        <v>-</v>
      </c>
      <c r="AF19" s="4"/>
      <c r="AG19" s="11" t="str">
        <f>IFERROR(INDEX(ShipPartShape!$A:$A,MATCH(AF19,ShipPartShape!$B:$B,0)),"-")</f>
        <v>-</v>
      </c>
      <c r="AH19" s="4"/>
      <c r="AI19" s="11" t="str">
        <f>IFERROR(INDEX(ShipPartShape!$A:$A,MATCH(AH19,ShipPartShape!$B:$B,0)),"-")</f>
        <v>-</v>
      </c>
      <c r="AJ19" s="11" t="s">
        <v>518</v>
      </c>
      <c r="AK19" s="11" t="s">
        <v>518</v>
      </c>
      <c r="AL19" s="11" t="s">
        <v>518</v>
      </c>
      <c r="AM19" s="11" t="s">
        <v>0</v>
      </c>
      <c r="AN19" s="11" t="s">
        <v>0</v>
      </c>
      <c r="AO19" s="11" t="s">
        <v>0</v>
      </c>
      <c r="AP19" s="11" t="s">
        <v>0</v>
      </c>
      <c r="AQ19" s="11" t="s">
        <v>0</v>
      </c>
      <c r="AR19" s="11" t="s">
        <v>0</v>
      </c>
      <c r="AS19" s="11" t="s">
        <v>0</v>
      </c>
      <c r="AT19" s="11" t="s">
        <v>0</v>
      </c>
      <c r="AU19" s="11">
        <v>47600014</v>
      </c>
      <c r="AV19" s="11" t="s">
        <v>0</v>
      </c>
      <c r="AW19" s="11" t="s">
        <v>0</v>
      </c>
      <c r="AX19" s="11" t="s">
        <v>0</v>
      </c>
    </row>
    <row r="20" spans="1:50" ht="15">
      <c r="A20" s="10">
        <f t="shared" si="0"/>
        <v>45000010</v>
      </c>
      <c r="B20" s="4" t="s">
        <v>173</v>
      </c>
      <c r="C20" s="11" t="s">
        <v>200</v>
      </c>
      <c r="D20" s="4" t="s">
        <v>174</v>
      </c>
      <c r="E20" s="11">
        <v>600</v>
      </c>
      <c r="F20" s="11">
        <v>100</v>
      </c>
      <c r="G20" s="11" t="s">
        <v>0</v>
      </c>
      <c r="H20" s="11" t="s">
        <v>545</v>
      </c>
      <c r="I20" s="11">
        <f>IFERROR(INDEX(ShipPartShape!$A:$A,MATCH(D20,ShipPartShape!$B:$B,0)),"-")</f>
        <v>46000011</v>
      </c>
      <c r="J20" s="4" t="s">
        <v>322</v>
      </c>
      <c r="K20" s="11">
        <f>IFERROR(INDEX(ShipPartShape!$A:$A,MATCH(J20,ShipPartShape!$B:$B,0)),"-")</f>
        <v>46200001</v>
      </c>
      <c r="L20" s="4" t="s">
        <v>69</v>
      </c>
      <c r="M20" s="11">
        <f>IFERROR(INDEX(ShipPartShape!$A:$A,MATCH(L20,ShipPartShape!$B:$B,0)),"-")</f>
        <v>46300001</v>
      </c>
      <c r="N20" s="4" t="s">
        <v>70</v>
      </c>
      <c r="O20" s="11">
        <f>IFERROR(INDEX(ShipPartShape!$A:$A,MATCH(N20,ShipPartShape!$B:$B,0)),"-")</f>
        <v>46700001</v>
      </c>
      <c r="P20" s="4" t="s">
        <v>233</v>
      </c>
      <c r="Q20" s="11">
        <f>IFERROR(INDEX(ShipPartShape!$A:$A,MATCH(P20,ShipPartShape!$B:$B,0)),"-")</f>
        <v>46400001</v>
      </c>
      <c r="R20" s="4"/>
      <c r="S20" s="11" t="str">
        <f>IFERROR(INDEX(ShipPartShape!$A:$A,MATCH(R20,ShipPartShape!$B:$B,0)),"-")</f>
        <v>-</v>
      </c>
      <c r="T20" s="4"/>
      <c r="U20" s="11" t="str">
        <f>IFERROR(INDEX(ShipPartShape!$A:$A,MATCH(T20,ShipPartShape!$B:$B,0)),"-")</f>
        <v>-</v>
      </c>
      <c r="V20" s="4"/>
      <c r="W20" s="11" t="str">
        <f>IFERROR(INDEX(ShipPartShape!$A:$A,MATCH(V20,ShipPartShape!$B:$B,0)),"-")</f>
        <v>-</v>
      </c>
      <c r="X20" s="4"/>
      <c r="Y20" s="11" t="str">
        <f>IFERROR(INDEX(ShipPartShape!$A:$A,MATCH(X20,ShipPartShape!$B:$B,0)),"-")</f>
        <v>-</v>
      </c>
      <c r="Z20" s="4"/>
      <c r="AA20" s="11" t="str">
        <f>IFERROR(INDEX(ShipPartShape!$A:$A,MATCH(Z20,ShipPartShape!$B:$B,0)),"-")</f>
        <v>-</v>
      </c>
      <c r="AB20" s="4"/>
      <c r="AC20" s="11" t="str">
        <f>IFERROR(INDEX(ShipPartShape!$A:$A,MATCH(AB20,ShipPartShape!$B:$B,0)),"-")</f>
        <v>-</v>
      </c>
      <c r="AD20" s="4"/>
      <c r="AE20" s="11" t="str">
        <f>IFERROR(INDEX(ShipPartShape!$A:$A,MATCH(AD20,ShipPartShape!$B:$B,0)),"-")</f>
        <v>-</v>
      </c>
      <c r="AF20" s="4"/>
      <c r="AG20" s="11" t="str">
        <f>IFERROR(INDEX(ShipPartShape!$A:$A,MATCH(AF20,ShipPartShape!$B:$B,0)),"-")</f>
        <v>-</v>
      </c>
      <c r="AH20" s="4"/>
      <c r="AI20" s="11" t="str">
        <f>IFERROR(INDEX(ShipPartShape!$A:$A,MATCH(AH20,ShipPartShape!$B:$B,0)),"-")</f>
        <v>-</v>
      </c>
      <c r="AJ20" s="11" t="s">
        <v>518</v>
      </c>
      <c r="AK20" s="11" t="s">
        <v>518</v>
      </c>
      <c r="AL20" s="11" t="s">
        <v>518</v>
      </c>
      <c r="AM20" s="11" t="s">
        <v>0</v>
      </c>
      <c r="AN20" s="11" t="s">
        <v>0</v>
      </c>
      <c r="AO20" s="11" t="s">
        <v>0</v>
      </c>
      <c r="AP20" s="11" t="s">
        <v>0</v>
      </c>
      <c r="AQ20" s="11" t="s">
        <v>0</v>
      </c>
      <c r="AR20" s="11" t="s">
        <v>0</v>
      </c>
      <c r="AS20" s="11" t="s">
        <v>0</v>
      </c>
      <c r="AT20" s="11" t="s">
        <v>0</v>
      </c>
      <c r="AU20" s="11">
        <v>47600014</v>
      </c>
      <c r="AV20" s="11" t="s">
        <v>0</v>
      </c>
      <c r="AW20" s="11" t="s">
        <v>0</v>
      </c>
      <c r="AX20" s="11" t="s">
        <v>0</v>
      </c>
    </row>
    <row r="21" spans="1:50" ht="15">
      <c r="A21" s="10">
        <f t="shared" si="0"/>
        <v>45000011</v>
      </c>
      <c r="B21" s="4" t="s">
        <v>175</v>
      </c>
      <c r="C21" s="11" t="s">
        <v>200</v>
      </c>
      <c r="D21" s="4" t="s">
        <v>176</v>
      </c>
      <c r="E21" s="11">
        <v>600</v>
      </c>
      <c r="F21" s="11">
        <v>100</v>
      </c>
      <c r="G21" s="11" t="s">
        <v>0</v>
      </c>
      <c r="H21" s="11" t="s">
        <v>545</v>
      </c>
      <c r="I21" s="11">
        <f>IFERROR(INDEX(ShipPartShape!$A:$A,MATCH(D21,ShipPartShape!$B:$B,0)),"-")</f>
        <v>46000012</v>
      </c>
      <c r="J21" s="4" t="s">
        <v>322</v>
      </c>
      <c r="K21" s="11">
        <f>IFERROR(INDEX(ShipPartShape!$A:$A,MATCH(J21,ShipPartShape!$B:$B,0)),"-")</f>
        <v>46200001</v>
      </c>
      <c r="L21" s="4" t="s">
        <v>69</v>
      </c>
      <c r="M21" s="11">
        <f>IFERROR(INDEX(ShipPartShape!$A:$A,MATCH(L21,ShipPartShape!$B:$B,0)),"-")</f>
        <v>46300001</v>
      </c>
      <c r="N21" s="4" t="s">
        <v>70</v>
      </c>
      <c r="O21" s="11">
        <f>IFERROR(INDEX(ShipPartShape!$A:$A,MATCH(N21,ShipPartShape!$B:$B,0)),"-")</f>
        <v>46700001</v>
      </c>
      <c r="P21" s="4"/>
      <c r="Q21" s="11" t="str">
        <f>IFERROR(INDEX(ShipPartShape!$A:$A,MATCH(P21,ShipPartShape!$B:$B,0)),"-")</f>
        <v>-</v>
      </c>
      <c r="R21" s="4"/>
      <c r="S21" s="11" t="str">
        <f>IFERROR(INDEX(ShipPartShape!$A:$A,MATCH(R21,ShipPartShape!$B:$B,0)),"-")</f>
        <v>-</v>
      </c>
      <c r="T21" s="4"/>
      <c r="U21" s="11" t="str">
        <f>IFERROR(INDEX(ShipPartShape!$A:$A,MATCH(T21,ShipPartShape!$B:$B,0)),"-")</f>
        <v>-</v>
      </c>
      <c r="V21" s="4"/>
      <c r="W21" s="11" t="str">
        <f>IFERROR(INDEX(ShipPartShape!$A:$A,MATCH(V21,ShipPartShape!$B:$B,0)),"-")</f>
        <v>-</v>
      </c>
      <c r="X21" s="4"/>
      <c r="Y21" s="11" t="str">
        <f>IFERROR(INDEX(ShipPartShape!$A:$A,MATCH(X21,ShipPartShape!$B:$B,0)),"-")</f>
        <v>-</v>
      </c>
      <c r="Z21" s="4"/>
      <c r="AA21" s="11" t="str">
        <f>IFERROR(INDEX(ShipPartShape!$A:$A,MATCH(Z21,ShipPartShape!$B:$B,0)),"-")</f>
        <v>-</v>
      </c>
      <c r="AB21" s="4"/>
      <c r="AC21" s="11" t="str">
        <f>IFERROR(INDEX(ShipPartShape!$A:$A,MATCH(AB21,ShipPartShape!$B:$B,0)),"-")</f>
        <v>-</v>
      </c>
      <c r="AD21" s="4"/>
      <c r="AE21" s="11" t="str">
        <f>IFERROR(INDEX(ShipPartShape!$A:$A,MATCH(AD21,ShipPartShape!$B:$B,0)),"-")</f>
        <v>-</v>
      </c>
      <c r="AF21" s="4"/>
      <c r="AG21" s="11" t="str">
        <f>IFERROR(INDEX(ShipPartShape!$A:$A,MATCH(AF21,ShipPartShape!$B:$B,0)),"-")</f>
        <v>-</v>
      </c>
      <c r="AH21" s="4"/>
      <c r="AI21" s="11" t="str">
        <f>IFERROR(INDEX(ShipPartShape!$A:$A,MATCH(AH21,ShipPartShape!$B:$B,0)),"-")</f>
        <v>-</v>
      </c>
      <c r="AJ21" s="11" t="s">
        <v>518</v>
      </c>
      <c r="AK21" s="11" t="s">
        <v>518</v>
      </c>
      <c r="AL21" s="11" t="s">
        <v>518</v>
      </c>
      <c r="AM21" s="11" t="s">
        <v>0</v>
      </c>
      <c r="AN21" s="11" t="s">
        <v>0</v>
      </c>
      <c r="AO21" s="11" t="s">
        <v>0</v>
      </c>
      <c r="AP21" s="11" t="s">
        <v>0</v>
      </c>
      <c r="AQ21" s="11" t="s">
        <v>0</v>
      </c>
      <c r="AR21" s="11" t="s">
        <v>0</v>
      </c>
      <c r="AS21" s="11" t="s">
        <v>0</v>
      </c>
      <c r="AT21" s="11" t="s">
        <v>0</v>
      </c>
      <c r="AU21" s="11">
        <v>47600014</v>
      </c>
      <c r="AV21" s="11" t="s">
        <v>0</v>
      </c>
      <c r="AW21" s="11" t="s">
        <v>0</v>
      </c>
      <c r="AX21" s="11" t="s">
        <v>0</v>
      </c>
    </row>
    <row r="22" spans="1:50" ht="15">
      <c r="A22" s="10">
        <f t="shared" si="0"/>
        <v>45000012</v>
      </c>
      <c r="B22" s="4" t="s">
        <v>177</v>
      </c>
      <c r="C22" s="11" t="s">
        <v>200</v>
      </c>
      <c r="D22" s="4" t="s">
        <v>178</v>
      </c>
      <c r="E22" s="11">
        <v>600</v>
      </c>
      <c r="F22" s="11">
        <v>100</v>
      </c>
      <c r="G22" s="11" t="s">
        <v>0</v>
      </c>
      <c r="H22" s="11" t="s">
        <v>545</v>
      </c>
      <c r="I22" s="11">
        <f>IFERROR(INDEX(ShipPartShape!$A:$A,MATCH(D22,ShipPartShape!$B:$B,0)),"-")</f>
        <v>46000013</v>
      </c>
      <c r="J22" s="4" t="s">
        <v>322</v>
      </c>
      <c r="K22" s="11">
        <f>IFERROR(INDEX(ShipPartShape!$A:$A,MATCH(J22,ShipPartShape!$B:$B,0)),"-")</f>
        <v>46200001</v>
      </c>
      <c r="L22" s="4" t="s">
        <v>69</v>
      </c>
      <c r="M22" s="11">
        <f>IFERROR(INDEX(ShipPartShape!$A:$A,MATCH(L22,ShipPartShape!$B:$B,0)),"-")</f>
        <v>46300001</v>
      </c>
      <c r="N22" s="4" t="s">
        <v>70</v>
      </c>
      <c r="O22" s="11">
        <f>IFERROR(INDEX(ShipPartShape!$A:$A,MATCH(N22,ShipPartShape!$B:$B,0)),"-")</f>
        <v>46700001</v>
      </c>
      <c r="P22" s="4"/>
      <c r="Q22" s="11" t="str">
        <f>IFERROR(INDEX(ShipPartShape!$A:$A,MATCH(P22,ShipPartShape!$B:$B,0)),"-")</f>
        <v>-</v>
      </c>
      <c r="R22" s="4"/>
      <c r="S22" s="11" t="str">
        <f>IFERROR(INDEX(ShipPartShape!$A:$A,MATCH(R22,ShipPartShape!$B:$B,0)),"-")</f>
        <v>-</v>
      </c>
      <c r="T22" s="4"/>
      <c r="U22" s="11" t="str">
        <f>IFERROR(INDEX(ShipPartShape!$A:$A,MATCH(T22,ShipPartShape!$B:$B,0)),"-")</f>
        <v>-</v>
      </c>
      <c r="V22" s="4"/>
      <c r="W22" s="11" t="str">
        <f>IFERROR(INDEX(ShipPartShape!$A:$A,MATCH(V22,ShipPartShape!$B:$B,0)),"-")</f>
        <v>-</v>
      </c>
      <c r="X22" s="4"/>
      <c r="Y22" s="11" t="str">
        <f>IFERROR(INDEX(ShipPartShape!$A:$A,MATCH(X22,ShipPartShape!$B:$B,0)),"-")</f>
        <v>-</v>
      </c>
      <c r="Z22" s="4"/>
      <c r="AA22" s="11" t="str">
        <f>IFERROR(INDEX(ShipPartShape!$A:$A,MATCH(Z22,ShipPartShape!$B:$B,0)),"-")</f>
        <v>-</v>
      </c>
      <c r="AB22" s="4"/>
      <c r="AC22" s="11" t="str">
        <f>IFERROR(INDEX(ShipPartShape!$A:$A,MATCH(AB22,ShipPartShape!$B:$B,0)),"-")</f>
        <v>-</v>
      </c>
      <c r="AD22" s="4"/>
      <c r="AE22" s="11" t="str">
        <f>IFERROR(INDEX(ShipPartShape!$A:$A,MATCH(AD22,ShipPartShape!$B:$B,0)),"-")</f>
        <v>-</v>
      </c>
      <c r="AF22" s="4"/>
      <c r="AG22" s="11" t="str">
        <f>IFERROR(INDEX(ShipPartShape!$A:$A,MATCH(AF22,ShipPartShape!$B:$B,0)),"-")</f>
        <v>-</v>
      </c>
      <c r="AH22" s="4"/>
      <c r="AI22" s="11" t="str">
        <f>IFERROR(INDEX(ShipPartShape!$A:$A,MATCH(AH22,ShipPartShape!$B:$B,0)),"-")</f>
        <v>-</v>
      </c>
      <c r="AJ22" s="11" t="s">
        <v>518</v>
      </c>
      <c r="AK22" s="11" t="s">
        <v>518</v>
      </c>
      <c r="AL22" s="11" t="s">
        <v>518</v>
      </c>
      <c r="AM22" s="11" t="s">
        <v>0</v>
      </c>
      <c r="AN22" s="11" t="s">
        <v>0</v>
      </c>
      <c r="AO22" s="11" t="s">
        <v>0</v>
      </c>
      <c r="AP22" s="11" t="s">
        <v>0</v>
      </c>
      <c r="AQ22" s="11" t="s">
        <v>0</v>
      </c>
      <c r="AR22" s="11" t="s">
        <v>0</v>
      </c>
      <c r="AS22" s="11" t="s">
        <v>0</v>
      </c>
      <c r="AT22" s="11" t="s">
        <v>0</v>
      </c>
      <c r="AU22" s="11">
        <v>47600014</v>
      </c>
      <c r="AV22" s="11" t="s">
        <v>0</v>
      </c>
      <c r="AW22" s="11" t="s">
        <v>0</v>
      </c>
      <c r="AX22" s="11" t="s">
        <v>0</v>
      </c>
    </row>
    <row r="23" spans="1:50" ht="15">
      <c r="A23" s="10">
        <f t="shared" si="0"/>
        <v>45000013</v>
      </c>
      <c r="B23" s="4" t="s">
        <v>179</v>
      </c>
      <c r="C23" s="11" t="s">
        <v>200</v>
      </c>
      <c r="D23" s="4" t="s">
        <v>180</v>
      </c>
      <c r="E23" s="11">
        <v>600</v>
      </c>
      <c r="F23" s="11">
        <v>100</v>
      </c>
      <c r="G23" s="11" t="s">
        <v>0</v>
      </c>
      <c r="H23" s="11" t="s">
        <v>545</v>
      </c>
      <c r="I23" s="11">
        <f>IFERROR(INDEX(ShipPartShape!$A:$A,MATCH(D23,ShipPartShape!$B:$B,0)),"-")</f>
        <v>46000014</v>
      </c>
      <c r="J23" s="4" t="s">
        <v>70</v>
      </c>
      <c r="K23" s="11">
        <f>IFERROR(INDEX(ShipPartShape!$A:$A,MATCH(J23,ShipPartShape!$B:$B,0)),"-")</f>
        <v>46700001</v>
      </c>
      <c r="L23" s="4"/>
      <c r="M23" s="11" t="str">
        <f>IFERROR(INDEX(ShipPartShape!$A:$A,MATCH(L23,ShipPartShape!$B:$B,0)),"-")</f>
        <v>-</v>
      </c>
      <c r="N23" s="4"/>
      <c r="O23" s="11" t="str">
        <f>IFERROR(INDEX(ShipPartShape!$A:$A,MATCH(N23,ShipPartShape!$B:$B,0)),"-")</f>
        <v>-</v>
      </c>
      <c r="P23" s="4"/>
      <c r="Q23" s="11" t="str">
        <f>IFERROR(INDEX(ShipPartShape!$A:$A,MATCH(P23,ShipPartShape!$B:$B,0)),"-")</f>
        <v>-</v>
      </c>
      <c r="R23" s="4"/>
      <c r="S23" s="11" t="str">
        <f>IFERROR(INDEX(ShipPartShape!$A:$A,MATCH(R23,ShipPartShape!$B:$B,0)),"-")</f>
        <v>-</v>
      </c>
      <c r="T23" s="4"/>
      <c r="U23" s="11" t="str">
        <f>IFERROR(INDEX(ShipPartShape!$A:$A,MATCH(T23,ShipPartShape!$B:$B,0)),"-")</f>
        <v>-</v>
      </c>
      <c r="V23" s="4"/>
      <c r="W23" s="11" t="str">
        <f>IFERROR(INDEX(ShipPartShape!$A:$A,MATCH(V23,ShipPartShape!$B:$B,0)),"-")</f>
        <v>-</v>
      </c>
      <c r="X23" s="4"/>
      <c r="Y23" s="11" t="str">
        <f>IFERROR(INDEX(ShipPartShape!$A:$A,MATCH(X23,ShipPartShape!$B:$B,0)),"-")</f>
        <v>-</v>
      </c>
      <c r="Z23" s="4"/>
      <c r="AA23" s="11" t="str">
        <f>IFERROR(INDEX(ShipPartShape!$A:$A,MATCH(Z23,ShipPartShape!$B:$B,0)),"-")</f>
        <v>-</v>
      </c>
      <c r="AB23" s="4"/>
      <c r="AC23" s="11" t="str">
        <f>IFERROR(INDEX(ShipPartShape!$A:$A,MATCH(AB23,ShipPartShape!$B:$B,0)),"-")</f>
        <v>-</v>
      </c>
      <c r="AD23" s="4"/>
      <c r="AE23" s="11" t="str">
        <f>IFERROR(INDEX(ShipPartShape!$A:$A,MATCH(AD23,ShipPartShape!$B:$B,0)),"-")</f>
        <v>-</v>
      </c>
      <c r="AF23" s="4"/>
      <c r="AG23" s="11" t="str">
        <f>IFERROR(INDEX(ShipPartShape!$A:$A,MATCH(AF23,ShipPartShape!$B:$B,0)),"-")</f>
        <v>-</v>
      </c>
      <c r="AH23" s="4"/>
      <c r="AI23" s="11" t="str">
        <f>IFERROR(INDEX(ShipPartShape!$A:$A,MATCH(AH23,ShipPartShape!$B:$B,0)),"-")</f>
        <v>-</v>
      </c>
      <c r="AJ23" s="11" t="s">
        <v>518</v>
      </c>
      <c r="AK23" s="11" t="s">
        <v>518</v>
      </c>
      <c r="AL23" s="11" t="s">
        <v>518</v>
      </c>
      <c r="AM23" s="11" t="s">
        <v>95</v>
      </c>
      <c r="AN23" s="11" t="s">
        <v>0</v>
      </c>
      <c r="AO23" s="11" t="s">
        <v>0</v>
      </c>
      <c r="AP23" s="11" t="s">
        <v>0</v>
      </c>
      <c r="AQ23" s="11" t="s">
        <v>0</v>
      </c>
      <c r="AR23" s="11" t="s">
        <v>0</v>
      </c>
      <c r="AS23" s="11" t="s">
        <v>0</v>
      </c>
      <c r="AT23" s="11" t="s">
        <v>0</v>
      </c>
      <c r="AU23" s="11">
        <v>47600014</v>
      </c>
      <c r="AV23" s="11" t="s">
        <v>0</v>
      </c>
      <c r="AW23" s="11" t="s">
        <v>0</v>
      </c>
      <c r="AX23" s="11" t="s">
        <v>0</v>
      </c>
    </row>
    <row r="24" spans="1:50" ht="15">
      <c r="A24" s="10">
        <f t="shared" si="0"/>
        <v>45000014</v>
      </c>
      <c r="B24" s="4" t="s">
        <v>181</v>
      </c>
      <c r="C24" s="11" t="s">
        <v>200</v>
      </c>
      <c r="D24" s="4" t="s">
        <v>182</v>
      </c>
      <c r="E24" s="11">
        <v>600</v>
      </c>
      <c r="F24" s="11">
        <v>100</v>
      </c>
      <c r="G24" s="11" t="s">
        <v>0</v>
      </c>
      <c r="H24" s="11" t="s">
        <v>545</v>
      </c>
      <c r="I24" s="11">
        <f>IFERROR(INDEX(ShipPartShape!$A:$A,MATCH(D24,ShipPartShape!$B:$B,0)),"-")</f>
        <v>46000015</v>
      </c>
      <c r="J24" s="4" t="s">
        <v>69</v>
      </c>
      <c r="K24" s="11">
        <f>IFERROR(INDEX(ShipPartShape!$A:$A,MATCH(J24,ShipPartShape!$B:$B,0)),"-")</f>
        <v>46300001</v>
      </c>
      <c r="L24" s="4" t="s">
        <v>70</v>
      </c>
      <c r="M24" s="11">
        <f>IFERROR(INDEX(ShipPartShape!$A:$A,MATCH(L24,ShipPartShape!$B:$B,0)),"-")</f>
        <v>46700001</v>
      </c>
      <c r="N24" s="4"/>
      <c r="O24" s="11" t="str">
        <f>IFERROR(INDEX(ShipPartShape!$A:$A,MATCH(N24,ShipPartShape!$B:$B,0)),"-")</f>
        <v>-</v>
      </c>
      <c r="P24" s="4"/>
      <c r="Q24" s="11" t="str">
        <f>IFERROR(INDEX(ShipPartShape!$A:$A,MATCH(P24,ShipPartShape!$B:$B,0)),"-")</f>
        <v>-</v>
      </c>
      <c r="R24" s="4"/>
      <c r="S24" s="11" t="str">
        <f>IFERROR(INDEX(ShipPartShape!$A:$A,MATCH(R24,ShipPartShape!$B:$B,0)),"-")</f>
        <v>-</v>
      </c>
      <c r="T24" s="4"/>
      <c r="U24" s="11" t="str">
        <f>IFERROR(INDEX(ShipPartShape!$A:$A,MATCH(T24,ShipPartShape!$B:$B,0)),"-")</f>
        <v>-</v>
      </c>
      <c r="V24" s="4"/>
      <c r="W24" s="11" t="str">
        <f>IFERROR(INDEX(ShipPartShape!$A:$A,MATCH(V24,ShipPartShape!$B:$B,0)),"-")</f>
        <v>-</v>
      </c>
      <c r="X24" s="4"/>
      <c r="Y24" s="11" t="str">
        <f>IFERROR(INDEX(ShipPartShape!$A:$A,MATCH(X24,ShipPartShape!$B:$B,0)),"-")</f>
        <v>-</v>
      </c>
      <c r="Z24" s="4"/>
      <c r="AA24" s="11" t="str">
        <f>IFERROR(INDEX(ShipPartShape!$A:$A,MATCH(Z24,ShipPartShape!$B:$B,0)),"-")</f>
        <v>-</v>
      </c>
      <c r="AB24" s="4"/>
      <c r="AC24" s="11" t="str">
        <f>IFERROR(INDEX(ShipPartShape!$A:$A,MATCH(AB24,ShipPartShape!$B:$B,0)),"-")</f>
        <v>-</v>
      </c>
      <c r="AD24" s="4"/>
      <c r="AE24" s="11" t="str">
        <f>IFERROR(INDEX(ShipPartShape!$A:$A,MATCH(AD24,ShipPartShape!$B:$B,0)),"-")</f>
        <v>-</v>
      </c>
      <c r="AF24" s="4"/>
      <c r="AG24" s="11" t="str">
        <f>IFERROR(INDEX(ShipPartShape!$A:$A,MATCH(AF24,ShipPartShape!$B:$B,0)),"-")</f>
        <v>-</v>
      </c>
      <c r="AH24" s="4"/>
      <c r="AI24" s="11" t="str">
        <f>IFERROR(INDEX(ShipPartShape!$A:$A,MATCH(AH24,ShipPartShape!$B:$B,0)),"-")</f>
        <v>-</v>
      </c>
      <c r="AJ24" s="11" t="s">
        <v>518</v>
      </c>
      <c r="AK24" s="11" t="s">
        <v>518</v>
      </c>
      <c r="AL24" s="11" t="s">
        <v>518</v>
      </c>
      <c r="AM24" s="11" t="s">
        <v>0</v>
      </c>
      <c r="AN24" s="11" t="s">
        <v>0</v>
      </c>
      <c r="AO24" s="11" t="s">
        <v>0</v>
      </c>
      <c r="AP24" s="11" t="s">
        <v>0</v>
      </c>
      <c r="AQ24" s="11" t="s">
        <v>0</v>
      </c>
      <c r="AR24" s="11" t="s">
        <v>0</v>
      </c>
      <c r="AS24" s="11" t="s">
        <v>0</v>
      </c>
      <c r="AT24" s="11" t="s">
        <v>0</v>
      </c>
      <c r="AU24" s="11">
        <v>47600014</v>
      </c>
      <c r="AV24" s="11" t="s">
        <v>0</v>
      </c>
      <c r="AW24" s="11" t="s">
        <v>0</v>
      </c>
      <c r="AX24" s="11" t="s">
        <v>0</v>
      </c>
    </row>
    <row r="25" spans="1:50" ht="15">
      <c r="A25" s="10">
        <f t="shared" si="0"/>
        <v>45000015</v>
      </c>
      <c r="B25" s="4" t="s">
        <v>183</v>
      </c>
      <c r="C25" s="11" t="s">
        <v>200</v>
      </c>
      <c r="D25" s="4" t="s">
        <v>184</v>
      </c>
      <c r="E25" s="11">
        <v>600</v>
      </c>
      <c r="F25" s="11">
        <v>100</v>
      </c>
      <c r="G25" s="11" t="s">
        <v>0</v>
      </c>
      <c r="H25" s="11" t="s">
        <v>545</v>
      </c>
      <c r="I25" s="11">
        <f>IFERROR(INDEX(ShipPartShape!$A:$A,MATCH(D25,ShipPartShape!$B:$B,0)),"-")</f>
        <v>46000016</v>
      </c>
      <c r="J25" s="4" t="s">
        <v>783</v>
      </c>
      <c r="K25" s="11">
        <f>IFERROR(INDEX(ShipPartShape!$A:$A,MATCH(J25,ShipPartShape!$B:$B,0)),"-")</f>
        <v>46100002</v>
      </c>
      <c r="L25" s="4" t="s">
        <v>322</v>
      </c>
      <c r="M25" s="11">
        <f>IFERROR(INDEX(ShipPartShape!$A:$A,MATCH(L25,ShipPartShape!$B:$B,0)),"-")</f>
        <v>46200001</v>
      </c>
      <c r="N25" s="4" t="s">
        <v>69</v>
      </c>
      <c r="O25" s="11">
        <f>IFERROR(INDEX(ShipPartShape!$A:$A,MATCH(N25,ShipPartShape!$B:$B,0)),"-")</f>
        <v>46300001</v>
      </c>
      <c r="P25" s="4"/>
      <c r="Q25" s="11" t="str">
        <f>IFERROR(INDEX(ShipPartShape!$A:$A,MATCH(P25,ShipPartShape!$B:$B,0)),"-")</f>
        <v>-</v>
      </c>
      <c r="R25" s="4"/>
      <c r="S25" s="11" t="str">
        <f>IFERROR(INDEX(ShipPartShape!$A:$A,MATCH(R25,ShipPartShape!$B:$B,0)),"-")</f>
        <v>-</v>
      </c>
      <c r="T25" s="4"/>
      <c r="U25" s="11" t="str">
        <f>IFERROR(INDEX(ShipPartShape!$A:$A,MATCH(T25,ShipPartShape!$B:$B,0)),"-")</f>
        <v>-</v>
      </c>
      <c r="V25" s="4"/>
      <c r="W25" s="11" t="str">
        <f>IFERROR(INDEX(ShipPartShape!$A:$A,MATCH(V25,ShipPartShape!$B:$B,0)),"-")</f>
        <v>-</v>
      </c>
      <c r="X25" s="4"/>
      <c r="Y25" s="11" t="str">
        <f>IFERROR(INDEX(ShipPartShape!$A:$A,MATCH(X25,ShipPartShape!$B:$B,0)),"-")</f>
        <v>-</v>
      </c>
      <c r="Z25" s="4"/>
      <c r="AA25" s="11" t="str">
        <f>IFERROR(INDEX(ShipPartShape!$A:$A,MATCH(Z25,ShipPartShape!$B:$B,0)),"-")</f>
        <v>-</v>
      </c>
      <c r="AB25" s="4"/>
      <c r="AC25" s="11" t="str">
        <f>IFERROR(INDEX(ShipPartShape!$A:$A,MATCH(AB25,ShipPartShape!$B:$B,0)),"-")</f>
        <v>-</v>
      </c>
      <c r="AD25" s="4"/>
      <c r="AE25" s="11" t="str">
        <f>IFERROR(INDEX(ShipPartShape!$A:$A,MATCH(AD25,ShipPartShape!$B:$B,0)),"-")</f>
        <v>-</v>
      </c>
      <c r="AF25" s="4"/>
      <c r="AG25" s="11" t="str">
        <f>IFERROR(INDEX(ShipPartShape!$A:$A,MATCH(AF25,ShipPartShape!$B:$B,0)),"-")</f>
        <v>-</v>
      </c>
      <c r="AH25" s="4"/>
      <c r="AI25" s="11" t="str">
        <f>IFERROR(INDEX(ShipPartShape!$A:$A,MATCH(AH25,ShipPartShape!$B:$B,0)),"-")</f>
        <v>-</v>
      </c>
      <c r="AJ25" s="11" t="s">
        <v>518</v>
      </c>
      <c r="AK25" s="11" t="s">
        <v>518</v>
      </c>
      <c r="AL25" s="11" t="s">
        <v>518</v>
      </c>
      <c r="AM25" s="11" t="s">
        <v>0</v>
      </c>
      <c r="AN25" s="11" t="s">
        <v>0</v>
      </c>
      <c r="AO25" s="11" t="s">
        <v>0</v>
      </c>
      <c r="AP25" s="11" t="s">
        <v>0</v>
      </c>
      <c r="AQ25" s="11" t="s">
        <v>0</v>
      </c>
      <c r="AR25" s="11" t="s">
        <v>0</v>
      </c>
      <c r="AS25" s="11" t="s">
        <v>0</v>
      </c>
      <c r="AT25" s="11" t="s">
        <v>0</v>
      </c>
      <c r="AU25" s="11">
        <v>47600014</v>
      </c>
      <c r="AV25" s="11" t="s">
        <v>0</v>
      </c>
      <c r="AW25" s="11" t="s">
        <v>0</v>
      </c>
      <c r="AX25" s="11" t="s">
        <v>0</v>
      </c>
    </row>
    <row r="26" spans="1:50" ht="15">
      <c r="A26" s="10">
        <f t="shared" si="0"/>
        <v>45000016</v>
      </c>
      <c r="B26" s="4" t="s">
        <v>185</v>
      </c>
      <c r="C26" s="11" t="s">
        <v>200</v>
      </c>
      <c r="D26" s="4" t="s">
        <v>186</v>
      </c>
      <c r="E26" s="11">
        <v>600</v>
      </c>
      <c r="F26" s="11">
        <v>100</v>
      </c>
      <c r="G26" s="11" t="s">
        <v>0</v>
      </c>
      <c r="H26" s="11" t="s">
        <v>545</v>
      </c>
      <c r="I26" s="11">
        <f>IFERROR(INDEX(ShipPartShape!$A:$A,MATCH(D26,ShipPartShape!$B:$B,0)),"-")</f>
        <v>46000017</v>
      </c>
      <c r="J26" s="4" t="s">
        <v>96</v>
      </c>
      <c r="K26" s="11">
        <f>IFERROR(INDEX(ShipPartShape!$A:$A,MATCH(J26,ShipPartShape!$B:$B,0)),"-")</f>
        <v>46200001</v>
      </c>
      <c r="L26" s="4" t="s">
        <v>69</v>
      </c>
      <c r="M26" s="11">
        <f>IFERROR(INDEX(ShipPartShape!$A:$A,MATCH(L26,ShipPartShape!$B:$B,0)),"-")</f>
        <v>46300001</v>
      </c>
      <c r="N26" s="4" t="s">
        <v>70</v>
      </c>
      <c r="O26" s="11">
        <f>IFERROR(INDEX(ShipPartShape!$A:$A,MATCH(N26,ShipPartShape!$B:$B,0)),"-")</f>
        <v>46700001</v>
      </c>
      <c r="P26" s="4"/>
      <c r="Q26" s="11" t="str">
        <f>IFERROR(INDEX(ShipPartShape!$A:$A,MATCH(P26,ShipPartShape!$B:$B,0)),"-")</f>
        <v>-</v>
      </c>
      <c r="R26" s="4"/>
      <c r="S26" s="11" t="str">
        <f>IFERROR(INDEX(ShipPartShape!$A:$A,MATCH(R26,ShipPartShape!$B:$B,0)),"-")</f>
        <v>-</v>
      </c>
      <c r="T26" s="4"/>
      <c r="U26" s="11" t="str">
        <f>IFERROR(INDEX(ShipPartShape!$A:$A,MATCH(T26,ShipPartShape!$B:$B,0)),"-")</f>
        <v>-</v>
      </c>
      <c r="V26" s="4"/>
      <c r="W26" s="11" t="str">
        <f>IFERROR(INDEX(ShipPartShape!$A:$A,MATCH(V26,ShipPartShape!$B:$B,0)),"-")</f>
        <v>-</v>
      </c>
      <c r="X26" s="4"/>
      <c r="Y26" s="11" t="str">
        <f>IFERROR(INDEX(ShipPartShape!$A:$A,MATCH(X26,ShipPartShape!$B:$B,0)),"-")</f>
        <v>-</v>
      </c>
      <c r="Z26" s="4"/>
      <c r="AA26" s="11" t="str">
        <f>IFERROR(INDEX(ShipPartShape!$A:$A,MATCH(Z26,ShipPartShape!$B:$B,0)),"-")</f>
        <v>-</v>
      </c>
      <c r="AB26" s="4"/>
      <c r="AC26" s="11" t="str">
        <f>IFERROR(INDEX(ShipPartShape!$A:$A,MATCH(AB26,ShipPartShape!$B:$B,0)),"-")</f>
        <v>-</v>
      </c>
      <c r="AD26" s="4"/>
      <c r="AE26" s="11" t="str">
        <f>IFERROR(INDEX(ShipPartShape!$A:$A,MATCH(AD26,ShipPartShape!$B:$B,0)),"-")</f>
        <v>-</v>
      </c>
      <c r="AF26" s="4"/>
      <c r="AG26" s="11" t="str">
        <f>IFERROR(INDEX(ShipPartShape!$A:$A,MATCH(AF26,ShipPartShape!$B:$B,0)),"-")</f>
        <v>-</v>
      </c>
      <c r="AH26" s="4"/>
      <c r="AI26" s="11" t="str">
        <f>IFERROR(INDEX(ShipPartShape!$A:$A,MATCH(AH26,ShipPartShape!$B:$B,0)),"-")</f>
        <v>-</v>
      </c>
      <c r="AJ26" s="11" t="s">
        <v>518</v>
      </c>
      <c r="AK26" s="11" t="s">
        <v>518</v>
      </c>
      <c r="AL26" s="11" t="s">
        <v>518</v>
      </c>
      <c r="AM26" s="11" t="s">
        <v>0</v>
      </c>
      <c r="AN26" s="11" t="s">
        <v>0</v>
      </c>
      <c r="AO26" s="11" t="s">
        <v>0</v>
      </c>
      <c r="AP26" s="11" t="s">
        <v>0</v>
      </c>
      <c r="AQ26" s="11" t="s">
        <v>0</v>
      </c>
      <c r="AR26" s="11" t="s">
        <v>0</v>
      </c>
      <c r="AS26" s="11" t="s">
        <v>0</v>
      </c>
      <c r="AT26" s="11" t="s">
        <v>0</v>
      </c>
      <c r="AU26" s="11">
        <v>47600014</v>
      </c>
      <c r="AV26" s="11" t="s">
        <v>0</v>
      </c>
      <c r="AW26" s="11" t="s">
        <v>0</v>
      </c>
      <c r="AX26" s="11" t="s">
        <v>0</v>
      </c>
    </row>
    <row r="27" spans="1:50" ht="15">
      <c r="A27" s="10">
        <f t="shared" si="0"/>
        <v>45000017</v>
      </c>
      <c r="B27" s="4" t="s">
        <v>187</v>
      </c>
      <c r="C27" s="11" t="s">
        <v>200</v>
      </c>
      <c r="D27" s="4" t="s">
        <v>188</v>
      </c>
      <c r="E27" s="11">
        <v>600</v>
      </c>
      <c r="F27" s="11">
        <v>100</v>
      </c>
      <c r="G27" s="11" t="s">
        <v>0</v>
      </c>
      <c r="H27" s="11" t="s">
        <v>545</v>
      </c>
      <c r="I27" s="11">
        <f>IFERROR(INDEX(ShipPartShape!$A:$A,MATCH(D27,ShipPartShape!$B:$B,0)),"-")</f>
        <v>46000018</v>
      </c>
      <c r="J27" s="4" t="s">
        <v>96</v>
      </c>
      <c r="K27" s="11">
        <f>IFERROR(INDEX(ShipPartShape!$A:$A,MATCH(J27,ShipPartShape!$B:$B,0)),"-")</f>
        <v>46200001</v>
      </c>
      <c r="L27" s="4" t="s">
        <v>69</v>
      </c>
      <c r="M27" s="11">
        <f>IFERROR(INDEX(ShipPartShape!$A:$A,MATCH(L27,ShipPartShape!$B:$B,0)),"-")</f>
        <v>46300001</v>
      </c>
      <c r="N27" s="4" t="s">
        <v>70</v>
      </c>
      <c r="O27" s="11">
        <f>IFERROR(INDEX(ShipPartShape!$A:$A,MATCH(N27,ShipPartShape!$B:$B,0)),"-")</f>
        <v>46700001</v>
      </c>
      <c r="P27" s="4"/>
      <c r="Q27" s="11" t="str">
        <f>IFERROR(INDEX(ShipPartShape!$A:$A,MATCH(P27,ShipPartShape!$B:$B,0)),"-")</f>
        <v>-</v>
      </c>
      <c r="R27" s="4"/>
      <c r="S27" s="11" t="str">
        <f>IFERROR(INDEX(ShipPartShape!$A:$A,MATCH(R27,ShipPartShape!$B:$B,0)),"-")</f>
        <v>-</v>
      </c>
      <c r="T27" s="4"/>
      <c r="U27" s="11" t="str">
        <f>IFERROR(INDEX(ShipPartShape!$A:$A,MATCH(T27,ShipPartShape!$B:$B,0)),"-")</f>
        <v>-</v>
      </c>
      <c r="V27" s="4"/>
      <c r="W27" s="11" t="str">
        <f>IFERROR(INDEX(ShipPartShape!$A:$A,MATCH(V27,ShipPartShape!$B:$B,0)),"-")</f>
        <v>-</v>
      </c>
      <c r="X27" s="4"/>
      <c r="Y27" s="11" t="str">
        <f>IFERROR(INDEX(ShipPartShape!$A:$A,MATCH(X27,ShipPartShape!$B:$B,0)),"-")</f>
        <v>-</v>
      </c>
      <c r="Z27" s="4"/>
      <c r="AA27" s="11" t="str">
        <f>IFERROR(INDEX(ShipPartShape!$A:$A,MATCH(Z27,ShipPartShape!$B:$B,0)),"-")</f>
        <v>-</v>
      </c>
      <c r="AB27" s="4"/>
      <c r="AC27" s="11" t="str">
        <f>IFERROR(INDEX(ShipPartShape!$A:$A,MATCH(AB27,ShipPartShape!$B:$B,0)),"-")</f>
        <v>-</v>
      </c>
      <c r="AD27" s="4"/>
      <c r="AE27" s="11" t="str">
        <f>IFERROR(INDEX(ShipPartShape!$A:$A,MATCH(AD27,ShipPartShape!$B:$B,0)),"-")</f>
        <v>-</v>
      </c>
      <c r="AF27" s="4"/>
      <c r="AG27" s="11" t="str">
        <f>IFERROR(INDEX(ShipPartShape!$A:$A,MATCH(AF27,ShipPartShape!$B:$B,0)),"-")</f>
        <v>-</v>
      </c>
      <c r="AH27" s="4"/>
      <c r="AI27" s="11" t="str">
        <f>IFERROR(INDEX(ShipPartShape!$A:$A,MATCH(AH27,ShipPartShape!$B:$B,0)),"-")</f>
        <v>-</v>
      </c>
      <c r="AJ27" s="11" t="s">
        <v>518</v>
      </c>
      <c r="AK27" s="11" t="s">
        <v>518</v>
      </c>
      <c r="AL27" s="11" t="s">
        <v>518</v>
      </c>
      <c r="AM27" s="11" t="s">
        <v>0</v>
      </c>
      <c r="AN27" s="11" t="s">
        <v>0</v>
      </c>
      <c r="AO27" s="11" t="s">
        <v>0</v>
      </c>
      <c r="AP27" s="11" t="s">
        <v>0</v>
      </c>
      <c r="AQ27" s="11" t="s">
        <v>0</v>
      </c>
      <c r="AR27" s="11" t="s">
        <v>0</v>
      </c>
      <c r="AS27" s="11" t="s">
        <v>0</v>
      </c>
      <c r="AT27" s="11" t="s">
        <v>0</v>
      </c>
      <c r="AU27" s="11">
        <v>47600014</v>
      </c>
      <c r="AV27" s="11" t="s">
        <v>0</v>
      </c>
      <c r="AW27" s="11" t="s">
        <v>0</v>
      </c>
      <c r="AX27" s="11" t="s">
        <v>0</v>
      </c>
    </row>
    <row r="28" spans="1:50" ht="15">
      <c r="A28" s="10">
        <f t="shared" si="0"/>
        <v>45000018</v>
      </c>
      <c r="B28" s="4" t="s">
        <v>189</v>
      </c>
      <c r="C28" s="11" t="s">
        <v>200</v>
      </c>
      <c r="D28" s="4" t="s">
        <v>190</v>
      </c>
      <c r="E28" s="11">
        <v>600</v>
      </c>
      <c r="F28" s="11">
        <v>100</v>
      </c>
      <c r="G28" s="11" t="s">
        <v>0</v>
      </c>
      <c r="H28" s="11" t="s">
        <v>545</v>
      </c>
      <c r="I28" s="11">
        <f>IFERROR(INDEX(ShipPartShape!$A:$A,MATCH(D28,ShipPartShape!$B:$B,0)),"-")</f>
        <v>46000019</v>
      </c>
      <c r="J28" s="4" t="s">
        <v>96</v>
      </c>
      <c r="K28" s="11">
        <f>IFERROR(INDEX(ShipPartShape!$A:$A,MATCH(J28,ShipPartShape!$B:$B,0)),"-")</f>
        <v>46200001</v>
      </c>
      <c r="L28" s="4" t="s">
        <v>69</v>
      </c>
      <c r="M28" s="11">
        <f>IFERROR(INDEX(ShipPartShape!$A:$A,MATCH(L28,ShipPartShape!$B:$B,0)),"-")</f>
        <v>46300001</v>
      </c>
      <c r="N28" s="4" t="s">
        <v>70</v>
      </c>
      <c r="O28" s="11">
        <f>IFERROR(INDEX(ShipPartShape!$A:$A,MATCH(N28,ShipPartShape!$B:$B,0)),"-")</f>
        <v>46700001</v>
      </c>
      <c r="P28" s="4"/>
      <c r="Q28" s="11" t="str">
        <f>IFERROR(INDEX(ShipPartShape!$A:$A,MATCH(P28,ShipPartShape!$B:$B,0)),"-")</f>
        <v>-</v>
      </c>
      <c r="R28" s="4"/>
      <c r="S28" s="11" t="str">
        <f>IFERROR(INDEX(ShipPartShape!$A:$A,MATCH(R28,ShipPartShape!$B:$B,0)),"-")</f>
        <v>-</v>
      </c>
      <c r="T28" s="4"/>
      <c r="U28" s="11" t="str">
        <f>IFERROR(INDEX(ShipPartShape!$A:$A,MATCH(T28,ShipPartShape!$B:$B,0)),"-")</f>
        <v>-</v>
      </c>
      <c r="V28" s="4"/>
      <c r="W28" s="11" t="str">
        <f>IFERROR(INDEX(ShipPartShape!$A:$A,MATCH(V28,ShipPartShape!$B:$B,0)),"-")</f>
        <v>-</v>
      </c>
      <c r="X28" s="4"/>
      <c r="Y28" s="11" t="str">
        <f>IFERROR(INDEX(ShipPartShape!$A:$A,MATCH(X28,ShipPartShape!$B:$B,0)),"-")</f>
        <v>-</v>
      </c>
      <c r="Z28" s="4"/>
      <c r="AA28" s="11" t="str">
        <f>IFERROR(INDEX(ShipPartShape!$A:$A,MATCH(Z28,ShipPartShape!$B:$B,0)),"-")</f>
        <v>-</v>
      </c>
      <c r="AB28" s="4"/>
      <c r="AC28" s="11" t="str">
        <f>IFERROR(INDEX(ShipPartShape!$A:$A,MATCH(AB28,ShipPartShape!$B:$B,0)),"-")</f>
        <v>-</v>
      </c>
      <c r="AD28" s="4"/>
      <c r="AE28" s="11" t="str">
        <f>IFERROR(INDEX(ShipPartShape!$A:$A,MATCH(AD28,ShipPartShape!$B:$B,0)),"-")</f>
        <v>-</v>
      </c>
      <c r="AF28" s="4"/>
      <c r="AG28" s="11" t="str">
        <f>IFERROR(INDEX(ShipPartShape!$A:$A,MATCH(AF28,ShipPartShape!$B:$B,0)),"-")</f>
        <v>-</v>
      </c>
      <c r="AH28" s="4"/>
      <c r="AI28" s="11" t="str">
        <f>IFERROR(INDEX(ShipPartShape!$A:$A,MATCH(AH28,ShipPartShape!$B:$B,0)),"-")</f>
        <v>-</v>
      </c>
      <c r="AJ28" s="11" t="s">
        <v>518</v>
      </c>
      <c r="AK28" s="11" t="s">
        <v>518</v>
      </c>
      <c r="AL28" s="11" t="s">
        <v>518</v>
      </c>
      <c r="AM28" s="11" t="s">
        <v>0</v>
      </c>
      <c r="AN28" s="11" t="s">
        <v>0</v>
      </c>
      <c r="AO28" s="11" t="s">
        <v>0</v>
      </c>
      <c r="AP28" s="11" t="s">
        <v>0</v>
      </c>
      <c r="AQ28" s="11" t="s">
        <v>0</v>
      </c>
      <c r="AR28" s="11" t="s">
        <v>0</v>
      </c>
      <c r="AS28" s="11" t="s">
        <v>0</v>
      </c>
      <c r="AT28" s="11" t="s">
        <v>0</v>
      </c>
      <c r="AU28" s="11">
        <v>47600014</v>
      </c>
      <c r="AV28" s="11" t="s">
        <v>0</v>
      </c>
      <c r="AW28" s="11" t="s">
        <v>0</v>
      </c>
      <c r="AX28" s="11" t="s">
        <v>0</v>
      </c>
    </row>
    <row r="29" spans="1:50" ht="15">
      <c r="A29" s="10">
        <f t="shared" si="0"/>
        <v>45000019</v>
      </c>
      <c r="B29" s="22" t="s">
        <v>134</v>
      </c>
      <c r="C29" s="11" t="s">
        <v>196</v>
      </c>
      <c r="D29" s="4" t="s">
        <v>111</v>
      </c>
      <c r="E29" s="11">
        <v>600</v>
      </c>
      <c r="F29" s="11">
        <v>100</v>
      </c>
      <c r="G29" s="11">
        <v>10</v>
      </c>
      <c r="H29" s="11">
        <v>-20</v>
      </c>
      <c r="I29" s="11">
        <f>IFERROR(INDEX(ShipPartShape!$A:$A,MATCH(D29,ShipPartShape!$B:$B,0)),"-")</f>
        <v>46000020</v>
      </c>
      <c r="J29" s="4" t="s">
        <v>1216</v>
      </c>
      <c r="K29" s="11">
        <f>IFERROR(INDEX(ShipPartShape!$A:$A,MATCH(J29,ShipPartShape!$B:$B,0)),"-")</f>
        <v>46700014</v>
      </c>
      <c r="L29" s="4" t="s">
        <v>69</v>
      </c>
      <c r="M29" s="11">
        <f>IFERROR(INDEX(ShipPartShape!$A:$A,MATCH(L29,ShipPartShape!$B:$B,0)),"-")</f>
        <v>46300001</v>
      </c>
      <c r="N29" s="4"/>
      <c r="O29" s="11" t="str">
        <f>IFERROR(INDEX(ShipPartShape!$A:$A,MATCH(N29,ShipPartShape!$B:$B,0)),"-")</f>
        <v>-</v>
      </c>
      <c r="P29" s="4"/>
      <c r="Q29" s="11" t="str">
        <f>IFERROR(INDEX(ShipPartShape!$A:$A,MATCH(P29,ShipPartShape!$B:$B,0)),"-")</f>
        <v>-</v>
      </c>
      <c r="R29" s="4"/>
      <c r="S29" s="11" t="str">
        <f>IFERROR(INDEX(ShipPartShape!$A:$A,MATCH(R29,ShipPartShape!$B:$B,0)),"-")</f>
        <v>-</v>
      </c>
      <c r="T29" s="4" t="s">
        <v>601</v>
      </c>
      <c r="U29" s="11">
        <f>IFERROR(INDEX(ShipPartShape!$A:$A,MATCH(T29,ShipPartShape!$B:$B,0)),"-")</f>
        <v>46600001</v>
      </c>
      <c r="V29" s="4" t="s">
        <v>602</v>
      </c>
      <c r="W29" s="11">
        <f>IFERROR(INDEX(ShipPartShape!$A:$A,MATCH(V29,ShipPartShape!$B:$B,0)),"-")</f>
        <v>46600002</v>
      </c>
      <c r="X29" s="4" t="s">
        <v>604</v>
      </c>
      <c r="Y29" s="11">
        <f>IFERROR(INDEX(ShipPartShape!$A:$A,MATCH(X29,ShipPartShape!$B:$B,0)),"-")</f>
        <v>46600005</v>
      </c>
      <c r="Z29" s="4" t="s">
        <v>607</v>
      </c>
      <c r="AA29" s="11">
        <f>IFERROR(INDEX(ShipPartShape!$A:$A,MATCH(Z29,ShipPartShape!$B:$B,0)),"-")</f>
        <v>46600008</v>
      </c>
      <c r="AB29" s="4"/>
      <c r="AC29" s="11" t="str">
        <f>IFERROR(INDEX(ShipPartShape!$A:$A,MATCH(AB29,ShipPartShape!$B:$B,0)),"-")</f>
        <v>-</v>
      </c>
      <c r="AD29" s="4"/>
      <c r="AE29" s="11" t="str">
        <f>IFERROR(INDEX(ShipPartShape!$A:$A,MATCH(AD29,ShipPartShape!$B:$B,0)),"-")</f>
        <v>-</v>
      </c>
      <c r="AF29" s="4"/>
      <c r="AG29" s="11" t="str">
        <f>IFERROR(INDEX(ShipPartShape!$A:$A,MATCH(AF29,ShipPartShape!$B:$B,0)),"-")</f>
        <v>-</v>
      </c>
      <c r="AH29" s="4"/>
      <c r="AI29" s="11" t="str">
        <f>IFERROR(INDEX(ShipPartShape!$A:$A,MATCH(AH29,ShipPartShape!$B:$B,0)),"-")</f>
        <v>-</v>
      </c>
      <c r="AJ29" s="11" t="s">
        <v>518</v>
      </c>
      <c r="AK29" s="11" t="s">
        <v>518</v>
      </c>
      <c r="AL29" s="11" t="s">
        <v>518</v>
      </c>
      <c r="AM29" s="11" t="s">
        <v>95</v>
      </c>
      <c r="AN29" s="11" t="s">
        <v>0</v>
      </c>
      <c r="AO29" s="11" t="s">
        <v>0</v>
      </c>
      <c r="AP29" s="11" t="s">
        <v>0</v>
      </c>
      <c r="AQ29" s="11" t="s">
        <v>0</v>
      </c>
      <c r="AR29" s="11" t="s">
        <v>0</v>
      </c>
      <c r="AS29" s="11" t="s">
        <v>0</v>
      </c>
      <c r="AT29" s="11" t="s">
        <v>0</v>
      </c>
      <c r="AU29" s="11">
        <v>47600014</v>
      </c>
      <c r="AV29" s="11" t="s">
        <v>0</v>
      </c>
      <c r="AW29" s="11" t="s">
        <v>0</v>
      </c>
      <c r="AX29" s="11" t="s">
        <v>0</v>
      </c>
    </row>
    <row r="30" spans="1:50" ht="15">
      <c r="A30" s="10">
        <f t="shared" si="0"/>
        <v>45000020</v>
      </c>
      <c r="B30" s="4" t="s">
        <v>138</v>
      </c>
      <c r="C30" s="11" t="s">
        <v>196</v>
      </c>
      <c r="D30" s="4" t="s">
        <v>112</v>
      </c>
      <c r="E30" s="11">
        <v>600</v>
      </c>
      <c r="F30" s="11">
        <v>100</v>
      </c>
      <c r="G30" s="11" t="s">
        <v>0</v>
      </c>
      <c r="H30" s="11" t="s">
        <v>545</v>
      </c>
      <c r="I30" s="11">
        <f>IFERROR(INDEX(ShipPartShape!$A:$A,MATCH(D30,ShipPartShape!$B:$B,0)),"-")</f>
        <v>46000021</v>
      </c>
      <c r="J30" s="4" t="s">
        <v>69</v>
      </c>
      <c r="K30" s="11">
        <f>IFERROR(INDEX(ShipPartShape!$A:$A,MATCH(J30,ShipPartShape!$B:$B,0)),"-")</f>
        <v>46300001</v>
      </c>
      <c r="L30" s="4" t="s">
        <v>70</v>
      </c>
      <c r="M30" s="11">
        <f>IFERROR(INDEX(ShipPartShape!$A:$A,MATCH(L30,ShipPartShape!$B:$B,0)),"-")</f>
        <v>46700001</v>
      </c>
      <c r="N30" s="4"/>
      <c r="O30" s="11" t="str">
        <f>IFERROR(INDEX(ShipPartShape!$A:$A,MATCH(N30,ShipPartShape!$B:$B,0)),"-")</f>
        <v>-</v>
      </c>
      <c r="P30" s="4"/>
      <c r="Q30" s="11" t="str">
        <f>IFERROR(INDEX(ShipPartShape!$A:$A,MATCH(P30,ShipPartShape!$B:$B,0)),"-")</f>
        <v>-</v>
      </c>
      <c r="R30" s="4"/>
      <c r="S30" s="11" t="str">
        <f>IFERROR(INDEX(ShipPartShape!$A:$A,MATCH(R30,ShipPartShape!$B:$B,0)),"-")</f>
        <v>-</v>
      </c>
      <c r="T30" s="4"/>
      <c r="U30" s="11" t="str">
        <f>IFERROR(INDEX(ShipPartShape!$A:$A,MATCH(T30,ShipPartShape!$B:$B,0)),"-")</f>
        <v>-</v>
      </c>
      <c r="V30" s="4"/>
      <c r="W30" s="11" t="str">
        <f>IFERROR(INDEX(ShipPartShape!$A:$A,MATCH(V30,ShipPartShape!$B:$B,0)),"-")</f>
        <v>-</v>
      </c>
      <c r="X30" s="4"/>
      <c r="Y30" s="11" t="str">
        <f>IFERROR(INDEX(ShipPartShape!$A:$A,MATCH(X30,ShipPartShape!$B:$B,0)),"-")</f>
        <v>-</v>
      </c>
      <c r="Z30" s="4"/>
      <c r="AA30" s="11" t="str">
        <f>IFERROR(INDEX(ShipPartShape!$A:$A,MATCH(Z30,ShipPartShape!$B:$B,0)),"-")</f>
        <v>-</v>
      </c>
      <c r="AB30" s="4"/>
      <c r="AC30" s="11" t="str">
        <f>IFERROR(INDEX(ShipPartShape!$A:$A,MATCH(AB30,ShipPartShape!$B:$B,0)),"-")</f>
        <v>-</v>
      </c>
      <c r="AD30" s="4"/>
      <c r="AE30" s="11" t="str">
        <f>IFERROR(INDEX(ShipPartShape!$A:$A,MATCH(AD30,ShipPartShape!$B:$B,0)),"-")</f>
        <v>-</v>
      </c>
      <c r="AF30" s="4"/>
      <c r="AG30" s="11" t="str">
        <f>IFERROR(INDEX(ShipPartShape!$A:$A,MATCH(AF30,ShipPartShape!$B:$B,0)),"-")</f>
        <v>-</v>
      </c>
      <c r="AH30" s="4"/>
      <c r="AI30" s="11" t="str">
        <f>IFERROR(INDEX(ShipPartShape!$A:$A,MATCH(AH30,ShipPartShape!$B:$B,0)),"-")</f>
        <v>-</v>
      </c>
      <c r="AJ30" s="11" t="s">
        <v>518</v>
      </c>
      <c r="AK30" s="11" t="s">
        <v>518</v>
      </c>
      <c r="AL30" s="11" t="s">
        <v>518</v>
      </c>
      <c r="AM30" s="11" t="s">
        <v>0</v>
      </c>
      <c r="AN30" s="11" t="s">
        <v>0</v>
      </c>
      <c r="AO30" s="11" t="s">
        <v>0</v>
      </c>
      <c r="AP30" s="11" t="s">
        <v>0</v>
      </c>
      <c r="AQ30" s="11" t="s">
        <v>0</v>
      </c>
      <c r="AR30" s="11" t="s">
        <v>0</v>
      </c>
      <c r="AS30" s="11" t="s">
        <v>0</v>
      </c>
      <c r="AT30" s="11" t="s">
        <v>0</v>
      </c>
      <c r="AU30" s="11">
        <v>47600014</v>
      </c>
      <c r="AV30" s="11" t="s">
        <v>0</v>
      </c>
      <c r="AW30" s="11" t="s">
        <v>0</v>
      </c>
      <c r="AX30" s="11" t="s">
        <v>0</v>
      </c>
    </row>
    <row r="31" spans="1:50" ht="15">
      <c r="A31" s="10">
        <f t="shared" si="0"/>
        <v>45000021</v>
      </c>
      <c r="B31" s="4" t="s">
        <v>139</v>
      </c>
      <c r="C31" s="11" t="s">
        <v>196</v>
      </c>
      <c r="D31" s="4" t="s">
        <v>113</v>
      </c>
      <c r="E31" s="11">
        <v>600</v>
      </c>
      <c r="F31" s="11">
        <v>100</v>
      </c>
      <c r="G31" s="11" t="s">
        <v>0</v>
      </c>
      <c r="H31" s="11" t="s">
        <v>545</v>
      </c>
      <c r="I31" s="11">
        <f>IFERROR(INDEX(ShipPartShape!$A:$A,MATCH(D31,ShipPartShape!$B:$B,0)),"-")</f>
        <v>46000022</v>
      </c>
      <c r="J31" s="4" t="s">
        <v>783</v>
      </c>
      <c r="K31" s="11">
        <f>IFERROR(INDEX(ShipPartShape!$A:$A,MATCH(J31,ShipPartShape!$B:$B,0)),"-")</f>
        <v>46100002</v>
      </c>
      <c r="L31" s="4" t="s">
        <v>96</v>
      </c>
      <c r="M31" s="11">
        <f>IFERROR(INDEX(ShipPartShape!$A:$A,MATCH(L31,ShipPartShape!$B:$B,0)),"-")</f>
        <v>46200001</v>
      </c>
      <c r="N31" s="4" t="s">
        <v>69</v>
      </c>
      <c r="O31" s="11">
        <f>IFERROR(INDEX(ShipPartShape!$A:$A,MATCH(N31,ShipPartShape!$B:$B,0)),"-")</f>
        <v>46300001</v>
      </c>
      <c r="P31" s="4"/>
      <c r="Q31" s="11" t="str">
        <f>IFERROR(INDEX(ShipPartShape!$A:$A,MATCH(P31,ShipPartShape!$B:$B,0)),"-")</f>
        <v>-</v>
      </c>
      <c r="R31" s="4"/>
      <c r="S31" s="11" t="str">
        <f>IFERROR(INDEX(ShipPartShape!$A:$A,MATCH(R31,ShipPartShape!$B:$B,0)),"-")</f>
        <v>-</v>
      </c>
      <c r="T31" s="4"/>
      <c r="U31" s="11" t="str">
        <f>IFERROR(INDEX(ShipPartShape!$A:$A,MATCH(T31,ShipPartShape!$B:$B,0)),"-")</f>
        <v>-</v>
      </c>
      <c r="V31" s="4"/>
      <c r="W31" s="11" t="str">
        <f>IFERROR(INDEX(ShipPartShape!$A:$A,MATCH(V31,ShipPartShape!$B:$B,0)),"-")</f>
        <v>-</v>
      </c>
      <c r="X31" s="4"/>
      <c r="Y31" s="11" t="str">
        <f>IFERROR(INDEX(ShipPartShape!$A:$A,MATCH(X31,ShipPartShape!$B:$B,0)),"-")</f>
        <v>-</v>
      </c>
      <c r="Z31" s="4"/>
      <c r="AA31" s="11" t="str">
        <f>IFERROR(INDEX(ShipPartShape!$A:$A,MATCH(Z31,ShipPartShape!$B:$B,0)),"-")</f>
        <v>-</v>
      </c>
      <c r="AB31" s="4"/>
      <c r="AC31" s="11" t="str">
        <f>IFERROR(INDEX(ShipPartShape!$A:$A,MATCH(AB31,ShipPartShape!$B:$B,0)),"-")</f>
        <v>-</v>
      </c>
      <c r="AD31" s="4"/>
      <c r="AE31" s="11" t="str">
        <f>IFERROR(INDEX(ShipPartShape!$A:$A,MATCH(AD31,ShipPartShape!$B:$B,0)),"-")</f>
        <v>-</v>
      </c>
      <c r="AF31" s="4"/>
      <c r="AG31" s="11" t="str">
        <f>IFERROR(INDEX(ShipPartShape!$A:$A,MATCH(AF31,ShipPartShape!$B:$B,0)),"-")</f>
        <v>-</v>
      </c>
      <c r="AH31" s="4"/>
      <c r="AI31" s="11" t="str">
        <f>IFERROR(INDEX(ShipPartShape!$A:$A,MATCH(AH31,ShipPartShape!$B:$B,0)),"-")</f>
        <v>-</v>
      </c>
      <c r="AJ31" s="11" t="s">
        <v>518</v>
      </c>
      <c r="AK31" s="11" t="s">
        <v>518</v>
      </c>
      <c r="AL31" s="11" t="s">
        <v>518</v>
      </c>
      <c r="AM31" s="11" t="s">
        <v>0</v>
      </c>
      <c r="AN31" s="11" t="s">
        <v>0</v>
      </c>
      <c r="AO31" s="11" t="s">
        <v>0</v>
      </c>
      <c r="AP31" s="11" t="s">
        <v>0</v>
      </c>
      <c r="AQ31" s="11" t="s">
        <v>0</v>
      </c>
      <c r="AR31" s="11" t="s">
        <v>0</v>
      </c>
      <c r="AS31" s="11" t="s">
        <v>0</v>
      </c>
      <c r="AT31" s="11" t="s">
        <v>0</v>
      </c>
      <c r="AU31" s="11">
        <v>47600014</v>
      </c>
      <c r="AV31" s="11" t="s">
        <v>0</v>
      </c>
      <c r="AW31" s="11" t="s">
        <v>0</v>
      </c>
      <c r="AX31" s="11" t="s">
        <v>0</v>
      </c>
    </row>
    <row r="32" spans="1:50" ht="15">
      <c r="A32" s="10">
        <f t="shared" si="0"/>
        <v>45000022</v>
      </c>
      <c r="B32" s="4" t="s">
        <v>140</v>
      </c>
      <c r="C32" s="11" t="s">
        <v>196</v>
      </c>
      <c r="D32" s="4" t="s">
        <v>114</v>
      </c>
      <c r="E32" s="11">
        <v>600</v>
      </c>
      <c r="F32" s="11">
        <v>100</v>
      </c>
      <c r="G32" s="11" t="s">
        <v>0</v>
      </c>
      <c r="H32" s="11" t="s">
        <v>545</v>
      </c>
      <c r="I32" s="11">
        <f>IFERROR(INDEX(ShipPartShape!$A:$A,MATCH(D32,ShipPartShape!$B:$B,0)),"-")</f>
        <v>46000023</v>
      </c>
      <c r="J32" s="4" t="s">
        <v>96</v>
      </c>
      <c r="K32" s="11">
        <f>IFERROR(INDEX(ShipPartShape!$A:$A,MATCH(J32,ShipPartShape!$B:$B,0)),"-")</f>
        <v>46200001</v>
      </c>
      <c r="L32" s="4" t="s">
        <v>69</v>
      </c>
      <c r="M32" s="11">
        <f>IFERROR(INDEX(ShipPartShape!$A:$A,MATCH(L32,ShipPartShape!$B:$B,0)),"-")</f>
        <v>46300001</v>
      </c>
      <c r="N32" s="4" t="s">
        <v>70</v>
      </c>
      <c r="O32" s="11">
        <f>IFERROR(INDEX(ShipPartShape!$A:$A,MATCH(N32,ShipPartShape!$B:$B,0)),"-")</f>
        <v>46700001</v>
      </c>
      <c r="P32" s="4"/>
      <c r="Q32" s="11" t="str">
        <f>IFERROR(INDEX(ShipPartShape!$A:$A,MATCH(P32,ShipPartShape!$B:$B,0)),"-")</f>
        <v>-</v>
      </c>
      <c r="R32" s="4"/>
      <c r="S32" s="11" t="str">
        <f>IFERROR(INDEX(ShipPartShape!$A:$A,MATCH(R32,ShipPartShape!$B:$B,0)),"-")</f>
        <v>-</v>
      </c>
      <c r="T32" s="4"/>
      <c r="U32" s="11" t="str">
        <f>IFERROR(INDEX(ShipPartShape!$A:$A,MATCH(T32,ShipPartShape!$B:$B,0)),"-")</f>
        <v>-</v>
      </c>
      <c r="V32" s="4"/>
      <c r="W32" s="11" t="str">
        <f>IFERROR(INDEX(ShipPartShape!$A:$A,MATCH(V32,ShipPartShape!$B:$B,0)),"-")</f>
        <v>-</v>
      </c>
      <c r="X32" s="4"/>
      <c r="Y32" s="11" t="str">
        <f>IFERROR(INDEX(ShipPartShape!$A:$A,MATCH(X32,ShipPartShape!$B:$B,0)),"-")</f>
        <v>-</v>
      </c>
      <c r="Z32" s="4"/>
      <c r="AA32" s="11" t="str">
        <f>IFERROR(INDEX(ShipPartShape!$A:$A,MATCH(Z32,ShipPartShape!$B:$B,0)),"-")</f>
        <v>-</v>
      </c>
      <c r="AB32" s="4"/>
      <c r="AC32" s="11" t="str">
        <f>IFERROR(INDEX(ShipPartShape!$A:$A,MATCH(AB32,ShipPartShape!$B:$B,0)),"-")</f>
        <v>-</v>
      </c>
      <c r="AD32" s="4"/>
      <c r="AE32" s="11" t="str">
        <f>IFERROR(INDEX(ShipPartShape!$A:$A,MATCH(AD32,ShipPartShape!$B:$B,0)),"-")</f>
        <v>-</v>
      </c>
      <c r="AF32" s="4"/>
      <c r="AG32" s="11" t="str">
        <f>IFERROR(INDEX(ShipPartShape!$A:$A,MATCH(AF32,ShipPartShape!$B:$B,0)),"-")</f>
        <v>-</v>
      </c>
      <c r="AH32" s="4"/>
      <c r="AI32" s="11" t="str">
        <f>IFERROR(INDEX(ShipPartShape!$A:$A,MATCH(AH32,ShipPartShape!$B:$B,0)),"-")</f>
        <v>-</v>
      </c>
      <c r="AJ32" s="11" t="s">
        <v>518</v>
      </c>
      <c r="AK32" s="11" t="s">
        <v>518</v>
      </c>
      <c r="AL32" s="11" t="s">
        <v>518</v>
      </c>
      <c r="AM32" s="11" t="s">
        <v>0</v>
      </c>
      <c r="AN32" s="11" t="s">
        <v>0</v>
      </c>
      <c r="AO32" s="11" t="s">
        <v>0</v>
      </c>
      <c r="AP32" s="11" t="s">
        <v>0</v>
      </c>
      <c r="AQ32" s="11" t="s">
        <v>0</v>
      </c>
      <c r="AR32" s="11" t="s">
        <v>0</v>
      </c>
      <c r="AS32" s="11" t="s">
        <v>0</v>
      </c>
      <c r="AT32" s="11" t="s">
        <v>0</v>
      </c>
      <c r="AU32" s="11">
        <v>47600014</v>
      </c>
      <c r="AV32" s="11" t="s">
        <v>0</v>
      </c>
      <c r="AW32" s="11" t="s">
        <v>0</v>
      </c>
      <c r="AX32" s="11" t="s">
        <v>0</v>
      </c>
    </row>
    <row r="33" spans="1:50" ht="15">
      <c r="A33" s="10">
        <f t="shared" si="0"/>
        <v>45000023</v>
      </c>
      <c r="B33" s="4" t="s">
        <v>141</v>
      </c>
      <c r="C33" s="11" t="s">
        <v>196</v>
      </c>
      <c r="D33" s="4" t="s">
        <v>115</v>
      </c>
      <c r="E33" s="11">
        <v>600</v>
      </c>
      <c r="F33" s="11">
        <v>100</v>
      </c>
      <c r="G33" s="11" t="s">
        <v>0</v>
      </c>
      <c r="H33" s="11" t="s">
        <v>545</v>
      </c>
      <c r="I33" s="11">
        <f>IFERROR(INDEX(ShipPartShape!$A:$A,MATCH(D33,ShipPartShape!$B:$B,0)),"-")</f>
        <v>46000024</v>
      </c>
      <c r="J33" s="4" t="s">
        <v>96</v>
      </c>
      <c r="K33" s="11">
        <f>IFERROR(INDEX(ShipPartShape!$A:$A,MATCH(J33,ShipPartShape!$B:$B,0)),"-")</f>
        <v>46200001</v>
      </c>
      <c r="L33" s="4" t="s">
        <v>69</v>
      </c>
      <c r="M33" s="11">
        <f>IFERROR(INDEX(ShipPartShape!$A:$A,MATCH(L33,ShipPartShape!$B:$B,0)),"-")</f>
        <v>46300001</v>
      </c>
      <c r="N33" s="4" t="s">
        <v>70</v>
      </c>
      <c r="O33" s="11">
        <f>IFERROR(INDEX(ShipPartShape!$A:$A,MATCH(N33,ShipPartShape!$B:$B,0)),"-")</f>
        <v>46700001</v>
      </c>
      <c r="P33" s="4"/>
      <c r="Q33" s="11" t="str">
        <f>IFERROR(INDEX(ShipPartShape!$A:$A,MATCH(P33,ShipPartShape!$B:$B,0)),"-")</f>
        <v>-</v>
      </c>
      <c r="R33" s="4"/>
      <c r="S33" s="11" t="str">
        <f>IFERROR(INDEX(ShipPartShape!$A:$A,MATCH(R33,ShipPartShape!$B:$B,0)),"-")</f>
        <v>-</v>
      </c>
      <c r="T33" s="4"/>
      <c r="U33" s="11" t="str">
        <f>IFERROR(INDEX(ShipPartShape!$A:$A,MATCH(T33,ShipPartShape!$B:$B,0)),"-")</f>
        <v>-</v>
      </c>
      <c r="V33" s="4"/>
      <c r="W33" s="11" t="str">
        <f>IFERROR(INDEX(ShipPartShape!$A:$A,MATCH(V33,ShipPartShape!$B:$B,0)),"-")</f>
        <v>-</v>
      </c>
      <c r="X33" s="4"/>
      <c r="Y33" s="11" t="str">
        <f>IFERROR(INDEX(ShipPartShape!$A:$A,MATCH(X33,ShipPartShape!$B:$B,0)),"-")</f>
        <v>-</v>
      </c>
      <c r="Z33" s="4"/>
      <c r="AA33" s="11" t="str">
        <f>IFERROR(INDEX(ShipPartShape!$A:$A,MATCH(Z33,ShipPartShape!$B:$B,0)),"-")</f>
        <v>-</v>
      </c>
      <c r="AB33" s="4"/>
      <c r="AC33" s="11" t="str">
        <f>IFERROR(INDEX(ShipPartShape!$A:$A,MATCH(AB33,ShipPartShape!$B:$B,0)),"-")</f>
        <v>-</v>
      </c>
      <c r="AD33" s="4"/>
      <c r="AE33" s="11" t="str">
        <f>IFERROR(INDEX(ShipPartShape!$A:$A,MATCH(AD33,ShipPartShape!$B:$B,0)),"-")</f>
        <v>-</v>
      </c>
      <c r="AF33" s="4"/>
      <c r="AG33" s="11" t="str">
        <f>IFERROR(INDEX(ShipPartShape!$A:$A,MATCH(AF33,ShipPartShape!$B:$B,0)),"-")</f>
        <v>-</v>
      </c>
      <c r="AH33" s="4"/>
      <c r="AI33" s="11" t="str">
        <f>IFERROR(INDEX(ShipPartShape!$A:$A,MATCH(AH33,ShipPartShape!$B:$B,0)),"-")</f>
        <v>-</v>
      </c>
      <c r="AJ33" s="11" t="s">
        <v>518</v>
      </c>
      <c r="AK33" s="11" t="s">
        <v>518</v>
      </c>
      <c r="AL33" s="11" t="s">
        <v>518</v>
      </c>
      <c r="AM33" s="11" t="s">
        <v>0</v>
      </c>
      <c r="AN33" s="11" t="s">
        <v>0</v>
      </c>
      <c r="AO33" s="11" t="s">
        <v>0</v>
      </c>
      <c r="AP33" s="11" t="s">
        <v>0</v>
      </c>
      <c r="AQ33" s="11" t="s">
        <v>0</v>
      </c>
      <c r="AR33" s="11" t="s">
        <v>0</v>
      </c>
      <c r="AS33" s="11" t="s">
        <v>0</v>
      </c>
      <c r="AT33" s="11" t="s">
        <v>0</v>
      </c>
      <c r="AU33" s="11">
        <v>47600014</v>
      </c>
      <c r="AV33" s="11" t="s">
        <v>0</v>
      </c>
      <c r="AW33" s="11" t="s">
        <v>0</v>
      </c>
      <c r="AX33" s="11" t="s">
        <v>0</v>
      </c>
    </row>
    <row r="34" spans="1:50" ht="15">
      <c r="A34" s="10">
        <f t="shared" si="0"/>
        <v>45000024</v>
      </c>
      <c r="B34" s="4" t="s">
        <v>132</v>
      </c>
      <c r="C34" s="11" t="s">
        <v>196</v>
      </c>
      <c r="D34" s="4" t="s">
        <v>116</v>
      </c>
      <c r="E34" s="11">
        <v>600</v>
      </c>
      <c r="F34" s="11">
        <v>100</v>
      </c>
      <c r="G34" s="11" t="s">
        <v>0</v>
      </c>
      <c r="H34" s="11" t="s">
        <v>545</v>
      </c>
      <c r="I34" s="11">
        <f>IFERROR(INDEX(ShipPartShape!$A:$A,MATCH(D34,ShipPartShape!$B:$B,0)),"-")</f>
        <v>46000025</v>
      </c>
      <c r="J34" s="4" t="s">
        <v>96</v>
      </c>
      <c r="K34" s="11">
        <f>IFERROR(INDEX(ShipPartShape!$A:$A,MATCH(J34,ShipPartShape!$B:$B,0)),"-")</f>
        <v>46200001</v>
      </c>
      <c r="L34" s="4" t="s">
        <v>69</v>
      </c>
      <c r="M34" s="11">
        <f>IFERROR(INDEX(ShipPartShape!$A:$A,MATCH(L34,ShipPartShape!$B:$B,0)),"-")</f>
        <v>46300001</v>
      </c>
      <c r="N34" s="4" t="s">
        <v>70</v>
      </c>
      <c r="O34" s="11">
        <f>IFERROR(INDEX(ShipPartShape!$A:$A,MATCH(N34,ShipPartShape!$B:$B,0)),"-")</f>
        <v>46700001</v>
      </c>
      <c r="P34" s="4"/>
      <c r="Q34" s="11" t="str">
        <f>IFERROR(INDEX(ShipPartShape!$A:$A,MATCH(P34,ShipPartShape!$B:$B,0)),"-")</f>
        <v>-</v>
      </c>
      <c r="R34" s="4"/>
      <c r="S34" s="11" t="str">
        <f>IFERROR(INDEX(ShipPartShape!$A:$A,MATCH(R34,ShipPartShape!$B:$B,0)),"-")</f>
        <v>-</v>
      </c>
      <c r="T34" s="4"/>
      <c r="U34" s="11" t="str">
        <f>IFERROR(INDEX(ShipPartShape!$A:$A,MATCH(T34,ShipPartShape!$B:$B,0)),"-")</f>
        <v>-</v>
      </c>
      <c r="V34" s="4"/>
      <c r="W34" s="11" t="str">
        <f>IFERROR(INDEX(ShipPartShape!$A:$A,MATCH(V34,ShipPartShape!$B:$B,0)),"-")</f>
        <v>-</v>
      </c>
      <c r="X34" s="4"/>
      <c r="Y34" s="11" t="str">
        <f>IFERROR(INDEX(ShipPartShape!$A:$A,MATCH(X34,ShipPartShape!$B:$B,0)),"-")</f>
        <v>-</v>
      </c>
      <c r="Z34" s="4"/>
      <c r="AA34" s="11" t="str">
        <f>IFERROR(INDEX(ShipPartShape!$A:$A,MATCH(Z34,ShipPartShape!$B:$B,0)),"-")</f>
        <v>-</v>
      </c>
      <c r="AB34" s="4"/>
      <c r="AC34" s="11" t="str">
        <f>IFERROR(INDEX(ShipPartShape!$A:$A,MATCH(AB34,ShipPartShape!$B:$B,0)),"-")</f>
        <v>-</v>
      </c>
      <c r="AD34" s="4"/>
      <c r="AE34" s="11" t="str">
        <f>IFERROR(INDEX(ShipPartShape!$A:$A,MATCH(AD34,ShipPartShape!$B:$B,0)),"-")</f>
        <v>-</v>
      </c>
      <c r="AF34" s="4"/>
      <c r="AG34" s="11" t="str">
        <f>IFERROR(INDEX(ShipPartShape!$A:$A,MATCH(AF34,ShipPartShape!$B:$B,0)),"-")</f>
        <v>-</v>
      </c>
      <c r="AH34" s="4"/>
      <c r="AI34" s="11" t="str">
        <f>IFERROR(INDEX(ShipPartShape!$A:$A,MATCH(AH34,ShipPartShape!$B:$B,0)),"-")</f>
        <v>-</v>
      </c>
      <c r="AJ34" s="11" t="s">
        <v>518</v>
      </c>
      <c r="AK34" s="11" t="s">
        <v>518</v>
      </c>
      <c r="AL34" s="11" t="s">
        <v>518</v>
      </c>
      <c r="AM34" s="11" t="s">
        <v>0</v>
      </c>
      <c r="AN34" s="11" t="s">
        <v>0</v>
      </c>
      <c r="AO34" s="11" t="s">
        <v>0</v>
      </c>
      <c r="AP34" s="11" t="s">
        <v>0</v>
      </c>
      <c r="AQ34" s="11" t="s">
        <v>0</v>
      </c>
      <c r="AR34" s="11" t="s">
        <v>0</v>
      </c>
      <c r="AS34" s="11" t="s">
        <v>0</v>
      </c>
      <c r="AT34" s="11" t="s">
        <v>0</v>
      </c>
      <c r="AU34" s="11">
        <v>47600014</v>
      </c>
      <c r="AV34" s="11" t="s">
        <v>0</v>
      </c>
      <c r="AW34" s="11" t="s">
        <v>0</v>
      </c>
      <c r="AX34" s="11" t="s">
        <v>0</v>
      </c>
    </row>
    <row r="35" spans="1:50" ht="15">
      <c r="A35" s="10">
        <f t="shared" si="0"/>
        <v>45000025</v>
      </c>
      <c r="B35" s="22" t="s">
        <v>135</v>
      </c>
      <c r="C35" s="11" t="s">
        <v>197</v>
      </c>
      <c r="D35" s="4" t="s">
        <v>118</v>
      </c>
      <c r="E35" s="11">
        <v>600</v>
      </c>
      <c r="F35" s="11">
        <v>100</v>
      </c>
      <c r="G35" s="11">
        <v>10</v>
      </c>
      <c r="H35" s="11">
        <v>-30</v>
      </c>
      <c r="I35" s="11">
        <f>IFERROR(INDEX(ShipPartShape!$A:$A,MATCH(D35,ShipPartShape!$B:$B,0)),"-")</f>
        <v>46000026</v>
      </c>
      <c r="J35" s="4" t="s">
        <v>70</v>
      </c>
      <c r="K35" s="11">
        <f>IFERROR(INDEX(ShipPartShape!$A:$A,MATCH(J35,ShipPartShape!$B:$B,0)),"-")</f>
        <v>46700001</v>
      </c>
      <c r="L35" s="4" t="s">
        <v>69</v>
      </c>
      <c r="M35" s="11">
        <f>IFERROR(INDEX(ShipPartShape!$A:$A,MATCH(L35,ShipPartShape!$B:$B,0)),"-")</f>
        <v>46300001</v>
      </c>
      <c r="N35" s="4"/>
      <c r="O35" s="11" t="str">
        <f>IFERROR(INDEX(ShipPartShape!$A:$A,MATCH(N35,ShipPartShape!$B:$B,0)),"-")</f>
        <v>-</v>
      </c>
      <c r="P35" s="4"/>
      <c r="Q35" s="11" t="str">
        <f>IFERROR(INDEX(ShipPartShape!$A:$A,MATCH(P35,ShipPartShape!$B:$B,0)),"-")</f>
        <v>-</v>
      </c>
      <c r="R35" s="4"/>
      <c r="S35" s="11" t="str">
        <f>IFERROR(INDEX(ShipPartShape!$A:$A,MATCH(R35,ShipPartShape!$B:$B,0)),"-")</f>
        <v>-</v>
      </c>
      <c r="T35" s="4" t="s">
        <v>602</v>
      </c>
      <c r="U35" s="11">
        <f>IFERROR(INDEX(ShipPartShape!$A:$A,MATCH(T35,ShipPartShape!$B:$B,0)),"-")</f>
        <v>46600002</v>
      </c>
      <c r="V35" s="4" t="s">
        <v>608</v>
      </c>
      <c r="W35" s="11">
        <f>IFERROR(INDEX(ShipPartShape!$A:$A,MATCH(V35,ShipPartShape!$B:$B,0)),"-")</f>
        <v>46600004</v>
      </c>
      <c r="X35" s="4" t="s">
        <v>605</v>
      </c>
      <c r="Y35" s="11">
        <f>IFERROR(INDEX(ShipPartShape!$A:$A,MATCH(X35,ShipPartShape!$B:$B,0)),"-")</f>
        <v>46600009</v>
      </c>
      <c r="Z35" s="4" t="s">
        <v>603</v>
      </c>
      <c r="AA35" s="11">
        <f>IFERROR(INDEX(ShipPartShape!$A:$A,MATCH(Z35,ShipPartShape!$B:$B,0)),"-")</f>
        <v>46600007</v>
      </c>
      <c r="AB35" s="4"/>
      <c r="AC35" s="11" t="str">
        <f>IFERROR(INDEX(ShipPartShape!$A:$A,MATCH(AB35,ShipPartShape!$B:$B,0)),"-")</f>
        <v>-</v>
      </c>
      <c r="AD35" s="4"/>
      <c r="AE35" s="11" t="str">
        <f>IFERROR(INDEX(ShipPartShape!$A:$A,MATCH(AD35,ShipPartShape!$B:$B,0)),"-")</f>
        <v>-</v>
      </c>
      <c r="AF35" s="4"/>
      <c r="AG35" s="11" t="str">
        <f>IFERROR(INDEX(ShipPartShape!$A:$A,MATCH(AF35,ShipPartShape!$B:$B,0)),"-")</f>
        <v>-</v>
      </c>
      <c r="AH35" s="4"/>
      <c r="AI35" s="11" t="str">
        <f>IFERROR(INDEX(ShipPartShape!$A:$A,MATCH(AH35,ShipPartShape!$B:$B,0)),"-")</f>
        <v>-</v>
      </c>
      <c r="AJ35" s="11" t="s">
        <v>518</v>
      </c>
      <c r="AK35" s="11" t="s">
        <v>518</v>
      </c>
      <c r="AL35" s="11" t="s">
        <v>518</v>
      </c>
      <c r="AM35" s="11" t="s">
        <v>95</v>
      </c>
      <c r="AN35" s="11" t="s">
        <v>0</v>
      </c>
      <c r="AO35" s="11" t="s">
        <v>0</v>
      </c>
      <c r="AP35" s="11" t="s">
        <v>0</v>
      </c>
      <c r="AQ35" s="11" t="s">
        <v>0</v>
      </c>
      <c r="AR35" s="11" t="s">
        <v>0</v>
      </c>
      <c r="AS35" s="11" t="s">
        <v>0</v>
      </c>
      <c r="AT35" s="11" t="s">
        <v>0</v>
      </c>
      <c r="AU35" s="11">
        <v>47600015</v>
      </c>
      <c r="AV35" s="11" t="s">
        <v>0</v>
      </c>
      <c r="AW35" s="11" t="s">
        <v>0</v>
      </c>
      <c r="AX35" s="11" t="s">
        <v>0</v>
      </c>
    </row>
    <row r="36" spans="1:50" ht="15">
      <c r="A36" s="10">
        <f t="shared" si="0"/>
        <v>45000026</v>
      </c>
      <c r="B36" s="4" t="s">
        <v>143</v>
      </c>
      <c r="C36" s="11" t="s">
        <v>197</v>
      </c>
      <c r="D36" s="4" t="s">
        <v>119</v>
      </c>
      <c r="E36" s="11">
        <v>600</v>
      </c>
      <c r="F36" s="11">
        <v>100</v>
      </c>
      <c r="G36" s="11" t="s">
        <v>0</v>
      </c>
      <c r="H36" s="11" t="s">
        <v>545</v>
      </c>
      <c r="I36" s="11">
        <f>IFERROR(INDEX(ShipPartShape!$A:$A,MATCH(D36,ShipPartShape!$B:$B,0)),"-")</f>
        <v>46000027</v>
      </c>
      <c r="J36" s="4" t="s">
        <v>69</v>
      </c>
      <c r="K36" s="11">
        <f>IFERROR(INDEX(ShipPartShape!$A:$A,MATCH(J36,ShipPartShape!$B:$B,0)),"-")</f>
        <v>46300001</v>
      </c>
      <c r="L36" s="4" t="s">
        <v>70</v>
      </c>
      <c r="M36" s="11">
        <f>IFERROR(INDEX(ShipPartShape!$A:$A,MATCH(L36,ShipPartShape!$B:$B,0)),"-")</f>
        <v>46700001</v>
      </c>
      <c r="N36" s="4"/>
      <c r="O36" s="11" t="str">
        <f>IFERROR(INDEX(ShipPartShape!$A:$A,MATCH(N36,ShipPartShape!$B:$B,0)),"-")</f>
        <v>-</v>
      </c>
      <c r="P36" s="4"/>
      <c r="Q36" s="11" t="str">
        <f>IFERROR(INDEX(ShipPartShape!$A:$A,MATCH(P36,ShipPartShape!$B:$B,0)),"-")</f>
        <v>-</v>
      </c>
      <c r="R36" s="4"/>
      <c r="S36" s="11" t="str">
        <f>IFERROR(INDEX(ShipPartShape!$A:$A,MATCH(R36,ShipPartShape!$B:$B,0)),"-")</f>
        <v>-</v>
      </c>
      <c r="T36" s="4"/>
      <c r="U36" s="11" t="str">
        <f>IFERROR(INDEX(ShipPartShape!$A:$A,MATCH(T36,ShipPartShape!$B:$B,0)),"-")</f>
        <v>-</v>
      </c>
      <c r="V36" s="4"/>
      <c r="W36" s="11" t="str">
        <f>IFERROR(INDEX(ShipPartShape!$A:$A,MATCH(V36,ShipPartShape!$B:$B,0)),"-")</f>
        <v>-</v>
      </c>
      <c r="X36" s="4"/>
      <c r="Y36" s="11" t="str">
        <f>IFERROR(INDEX(ShipPartShape!$A:$A,MATCH(X36,ShipPartShape!$B:$B,0)),"-")</f>
        <v>-</v>
      </c>
      <c r="Z36" s="4"/>
      <c r="AA36" s="11" t="str">
        <f>IFERROR(INDEX(ShipPartShape!$A:$A,MATCH(Z36,ShipPartShape!$B:$B,0)),"-")</f>
        <v>-</v>
      </c>
      <c r="AB36" s="4"/>
      <c r="AC36" s="11" t="str">
        <f>IFERROR(INDEX(ShipPartShape!$A:$A,MATCH(AB36,ShipPartShape!$B:$B,0)),"-")</f>
        <v>-</v>
      </c>
      <c r="AD36" s="4"/>
      <c r="AE36" s="11" t="str">
        <f>IFERROR(INDEX(ShipPartShape!$A:$A,MATCH(AD36,ShipPartShape!$B:$B,0)),"-")</f>
        <v>-</v>
      </c>
      <c r="AF36" s="4"/>
      <c r="AG36" s="11" t="str">
        <f>IFERROR(INDEX(ShipPartShape!$A:$A,MATCH(AF36,ShipPartShape!$B:$B,0)),"-")</f>
        <v>-</v>
      </c>
      <c r="AH36" s="4"/>
      <c r="AI36" s="11" t="str">
        <f>IFERROR(INDEX(ShipPartShape!$A:$A,MATCH(AH36,ShipPartShape!$B:$B,0)),"-")</f>
        <v>-</v>
      </c>
      <c r="AJ36" s="11" t="s">
        <v>518</v>
      </c>
      <c r="AK36" s="11" t="s">
        <v>518</v>
      </c>
      <c r="AL36" s="11" t="s">
        <v>518</v>
      </c>
      <c r="AM36" s="11" t="s">
        <v>0</v>
      </c>
      <c r="AN36" s="11" t="s">
        <v>0</v>
      </c>
      <c r="AO36" s="11" t="s">
        <v>0</v>
      </c>
      <c r="AP36" s="11" t="s">
        <v>0</v>
      </c>
      <c r="AQ36" s="11" t="s">
        <v>0</v>
      </c>
      <c r="AR36" s="11" t="s">
        <v>0</v>
      </c>
      <c r="AS36" s="11" t="s">
        <v>0</v>
      </c>
      <c r="AT36" s="11" t="s">
        <v>0</v>
      </c>
      <c r="AU36" s="11">
        <v>47600015</v>
      </c>
      <c r="AV36" s="11" t="s">
        <v>0</v>
      </c>
      <c r="AW36" s="11" t="s">
        <v>0</v>
      </c>
      <c r="AX36" s="11" t="s">
        <v>0</v>
      </c>
    </row>
    <row r="37" spans="1:50" ht="15">
      <c r="A37" s="10">
        <f t="shared" si="0"/>
        <v>45000027</v>
      </c>
      <c r="B37" s="4" t="s">
        <v>144</v>
      </c>
      <c r="C37" s="11" t="s">
        <v>197</v>
      </c>
      <c r="D37" s="4" t="s">
        <v>120</v>
      </c>
      <c r="E37" s="11">
        <v>600</v>
      </c>
      <c r="F37" s="11">
        <v>100</v>
      </c>
      <c r="G37" s="11" t="s">
        <v>0</v>
      </c>
      <c r="H37" s="11" t="s">
        <v>545</v>
      </c>
      <c r="I37" s="11">
        <f>IFERROR(INDEX(ShipPartShape!$A:$A,MATCH(D37,ShipPartShape!$B:$B,0)),"-")</f>
        <v>46000028</v>
      </c>
      <c r="J37" s="4" t="s">
        <v>783</v>
      </c>
      <c r="K37" s="11">
        <f>IFERROR(INDEX(ShipPartShape!$A:$A,MATCH(J37,ShipPartShape!$B:$B,0)),"-")</f>
        <v>46100002</v>
      </c>
      <c r="L37" s="4" t="s">
        <v>96</v>
      </c>
      <c r="M37" s="11">
        <f>IFERROR(INDEX(ShipPartShape!$A:$A,MATCH(L37,ShipPartShape!$B:$B,0)),"-")</f>
        <v>46200001</v>
      </c>
      <c r="N37" s="4" t="s">
        <v>69</v>
      </c>
      <c r="O37" s="11">
        <f>IFERROR(INDEX(ShipPartShape!$A:$A,MATCH(N37,ShipPartShape!$B:$B,0)),"-")</f>
        <v>46300001</v>
      </c>
      <c r="P37" s="4"/>
      <c r="Q37" s="11" t="str">
        <f>IFERROR(INDEX(ShipPartShape!$A:$A,MATCH(P37,ShipPartShape!$B:$B,0)),"-")</f>
        <v>-</v>
      </c>
      <c r="R37" s="4"/>
      <c r="S37" s="11" t="str">
        <f>IFERROR(INDEX(ShipPartShape!$A:$A,MATCH(R37,ShipPartShape!$B:$B,0)),"-")</f>
        <v>-</v>
      </c>
      <c r="T37" s="4"/>
      <c r="U37" s="11" t="str">
        <f>IFERROR(INDEX(ShipPartShape!$A:$A,MATCH(T37,ShipPartShape!$B:$B,0)),"-")</f>
        <v>-</v>
      </c>
      <c r="V37" s="4"/>
      <c r="W37" s="11" t="str">
        <f>IFERROR(INDEX(ShipPartShape!$A:$A,MATCH(V37,ShipPartShape!$B:$B,0)),"-")</f>
        <v>-</v>
      </c>
      <c r="X37" s="4"/>
      <c r="Y37" s="11" t="str">
        <f>IFERROR(INDEX(ShipPartShape!$A:$A,MATCH(X37,ShipPartShape!$B:$B,0)),"-")</f>
        <v>-</v>
      </c>
      <c r="Z37" s="4"/>
      <c r="AA37" s="11" t="str">
        <f>IFERROR(INDEX(ShipPartShape!$A:$A,MATCH(Z37,ShipPartShape!$B:$B,0)),"-")</f>
        <v>-</v>
      </c>
      <c r="AB37" s="4"/>
      <c r="AC37" s="11" t="str">
        <f>IFERROR(INDEX(ShipPartShape!$A:$A,MATCH(AB37,ShipPartShape!$B:$B,0)),"-")</f>
        <v>-</v>
      </c>
      <c r="AD37" s="4"/>
      <c r="AE37" s="11" t="str">
        <f>IFERROR(INDEX(ShipPartShape!$A:$A,MATCH(AD37,ShipPartShape!$B:$B,0)),"-")</f>
        <v>-</v>
      </c>
      <c r="AF37" s="4"/>
      <c r="AG37" s="11" t="str">
        <f>IFERROR(INDEX(ShipPartShape!$A:$A,MATCH(AF37,ShipPartShape!$B:$B,0)),"-")</f>
        <v>-</v>
      </c>
      <c r="AH37" s="4"/>
      <c r="AI37" s="11" t="str">
        <f>IFERROR(INDEX(ShipPartShape!$A:$A,MATCH(AH37,ShipPartShape!$B:$B,0)),"-")</f>
        <v>-</v>
      </c>
      <c r="AJ37" s="11" t="s">
        <v>518</v>
      </c>
      <c r="AK37" s="11" t="s">
        <v>518</v>
      </c>
      <c r="AL37" s="11" t="s">
        <v>518</v>
      </c>
      <c r="AM37" s="11" t="s">
        <v>0</v>
      </c>
      <c r="AN37" s="11" t="s">
        <v>0</v>
      </c>
      <c r="AO37" s="11" t="s">
        <v>0</v>
      </c>
      <c r="AP37" s="11" t="s">
        <v>0</v>
      </c>
      <c r="AQ37" s="11" t="s">
        <v>0</v>
      </c>
      <c r="AR37" s="11" t="s">
        <v>0</v>
      </c>
      <c r="AS37" s="11" t="s">
        <v>0</v>
      </c>
      <c r="AT37" s="11" t="s">
        <v>0</v>
      </c>
      <c r="AU37" s="11">
        <v>47600015</v>
      </c>
      <c r="AV37" s="11" t="s">
        <v>0</v>
      </c>
      <c r="AW37" s="11" t="s">
        <v>0</v>
      </c>
      <c r="AX37" s="11" t="s">
        <v>0</v>
      </c>
    </row>
    <row r="38" spans="1:50" ht="15">
      <c r="A38" s="10">
        <f t="shared" si="0"/>
        <v>45000028</v>
      </c>
      <c r="B38" s="4" t="s">
        <v>136</v>
      </c>
      <c r="C38" s="11" t="s">
        <v>197</v>
      </c>
      <c r="D38" s="4" t="s">
        <v>121</v>
      </c>
      <c r="E38" s="11">
        <v>600</v>
      </c>
      <c r="F38" s="11">
        <v>100</v>
      </c>
      <c r="G38" s="11" t="s">
        <v>0</v>
      </c>
      <c r="H38" s="11" t="s">
        <v>545</v>
      </c>
      <c r="I38" s="11">
        <f>IFERROR(INDEX(ShipPartShape!$A:$A,MATCH(D38,ShipPartShape!$B:$B,0)),"-")</f>
        <v>46000029</v>
      </c>
      <c r="J38" s="4" t="s">
        <v>96</v>
      </c>
      <c r="K38" s="11">
        <f>IFERROR(INDEX(ShipPartShape!$A:$A,MATCH(J38,ShipPartShape!$B:$B,0)),"-")</f>
        <v>46200001</v>
      </c>
      <c r="L38" s="4" t="s">
        <v>69</v>
      </c>
      <c r="M38" s="11">
        <f>IFERROR(INDEX(ShipPartShape!$A:$A,MATCH(L38,ShipPartShape!$B:$B,0)),"-")</f>
        <v>46300001</v>
      </c>
      <c r="N38" s="4" t="s">
        <v>70</v>
      </c>
      <c r="O38" s="11">
        <f>IFERROR(INDEX(ShipPartShape!$A:$A,MATCH(N38,ShipPartShape!$B:$B,0)),"-")</f>
        <v>46700001</v>
      </c>
      <c r="P38" s="4"/>
      <c r="Q38" s="11" t="str">
        <f>IFERROR(INDEX(ShipPartShape!$A:$A,MATCH(P38,ShipPartShape!$B:$B,0)),"-")</f>
        <v>-</v>
      </c>
      <c r="R38" s="4"/>
      <c r="S38" s="11" t="str">
        <f>IFERROR(INDEX(ShipPartShape!$A:$A,MATCH(R38,ShipPartShape!$B:$B,0)),"-")</f>
        <v>-</v>
      </c>
      <c r="T38" s="4"/>
      <c r="U38" s="11" t="str">
        <f>IFERROR(INDEX(ShipPartShape!$A:$A,MATCH(T38,ShipPartShape!$B:$B,0)),"-")</f>
        <v>-</v>
      </c>
      <c r="V38" s="4"/>
      <c r="W38" s="11" t="str">
        <f>IFERROR(INDEX(ShipPartShape!$A:$A,MATCH(V38,ShipPartShape!$B:$B,0)),"-")</f>
        <v>-</v>
      </c>
      <c r="X38" s="4"/>
      <c r="Y38" s="11" t="str">
        <f>IFERROR(INDEX(ShipPartShape!$A:$A,MATCH(X38,ShipPartShape!$B:$B,0)),"-")</f>
        <v>-</v>
      </c>
      <c r="Z38" s="4"/>
      <c r="AA38" s="11" t="str">
        <f>IFERROR(INDEX(ShipPartShape!$A:$A,MATCH(Z38,ShipPartShape!$B:$B,0)),"-")</f>
        <v>-</v>
      </c>
      <c r="AB38" s="4"/>
      <c r="AC38" s="11" t="str">
        <f>IFERROR(INDEX(ShipPartShape!$A:$A,MATCH(AB38,ShipPartShape!$B:$B,0)),"-")</f>
        <v>-</v>
      </c>
      <c r="AD38" s="4"/>
      <c r="AE38" s="11" t="str">
        <f>IFERROR(INDEX(ShipPartShape!$A:$A,MATCH(AD38,ShipPartShape!$B:$B,0)),"-")</f>
        <v>-</v>
      </c>
      <c r="AF38" s="4"/>
      <c r="AG38" s="11" t="str">
        <f>IFERROR(INDEX(ShipPartShape!$A:$A,MATCH(AF38,ShipPartShape!$B:$B,0)),"-")</f>
        <v>-</v>
      </c>
      <c r="AH38" s="4"/>
      <c r="AI38" s="11" t="str">
        <f>IFERROR(INDEX(ShipPartShape!$A:$A,MATCH(AH38,ShipPartShape!$B:$B,0)),"-")</f>
        <v>-</v>
      </c>
      <c r="AJ38" s="11" t="s">
        <v>518</v>
      </c>
      <c r="AK38" s="11" t="s">
        <v>518</v>
      </c>
      <c r="AL38" s="11" t="s">
        <v>518</v>
      </c>
      <c r="AM38" s="11" t="s">
        <v>0</v>
      </c>
      <c r="AN38" s="11" t="s">
        <v>0</v>
      </c>
      <c r="AO38" s="11" t="s">
        <v>0</v>
      </c>
      <c r="AP38" s="11" t="s">
        <v>0</v>
      </c>
      <c r="AQ38" s="11" t="s">
        <v>0</v>
      </c>
      <c r="AR38" s="11" t="s">
        <v>0</v>
      </c>
      <c r="AS38" s="11" t="s">
        <v>0</v>
      </c>
      <c r="AT38" s="11" t="s">
        <v>0</v>
      </c>
      <c r="AU38" s="11">
        <v>47600015</v>
      </c>
      <c r="AV38" s="11" t="s">
        <v>0</v>
      </c>
      <c r="AW38" s="11" t="s">
        <v>0</v>
      </c>
      <c r="AX38" s="11" t="s">
        <v>0</v>
      </c>
    </row>
    <row r="39" spans="1:50" ht="15">
      <c r="A39" s="10">
        <f t="shared" si="0"/>
        <v>45000029</v>
      </c>
      <c r="B39" s="4" t="s">
        <v>137</v>
      </c>
      <c r="C39" s="11" t="s">
        <v>197</v>
      </c>
      <c r="D39" s="4" t="s">
        <v>122</v>
      </c>
      <c r="E39" s="11">
        <v>600</v>
      </c>
      <c r="F39" s="11">
        <v>100</v>
      </c>
      <c r="G39" s="11" t="s">
        <v>0</v>
      </c>
      <c r="H39" s="11" t="s">
        <v>545</v>
      </c>
      <c r="I39" s="11">
        <f>IFERROR(INDEX(ShipPartShape!$A:$A,MATCH(D39,ShipPartShape!$B:$B,0)),"-")</f>
        <v>46000030</v>
      </c>
      <c r="J39" s="4" t="s">
        <v>96</v>
      </c>
      <c r="K39" s="11">
        <f>IFERROR(INDEX(ShipPartShape!$A:$A,MATCH(J39,ShipPartShape!$B:$B,0)),"-")</f>
        <v>46200001</v>
      </c>
      <c r="L39" s="4" t="s">
        <v>69</v>
      </c>
      <c r="M39" s="11">
        <f>IFERROR(INDEX(ShipPartShape!$A:$A,MATCH(L39,ShipPartShape!$B:$B,0)),"-")</f>
        <v>46300001</v>
      </c>
      <c r="N39" s="4" t="s">
        <v>70</v>
      </c>
      <c r="O39" s="11">
        <f>IFERROR(INDEX(ShipPartShape!$A:$A,MATCH(N39,ShipPartShape!$B:$B,0)),"-")</f>
        <v>46700001</v>
      </c>
      <c r="P39" s="4"/>
      <c r="Q39" s="11" t="str">
        <f>IFERROR(INDEX(ShipPartShape!$A:$A,MATCH(P39,ShipPartShape!$B:$B,0)),"-")</f>
        <v>-</v>
      </c>
      <c r="R39" s="4"/>
      <c r="S39" s="11" t="str">
        <f>IFERROR(INDEX(ShipPartShape!$A:$A,MATCH(R39,ShipPartShape!$B:$B,0)),"-")</f>
        <v>-</v>
      </c>
      <c r="T39" s="4"/>
      <c r="U39" s="11" t="str">
        <f>IFERROR(INDEX(ShipPartShape!$A:$A,MATCH(T39,ShipPartShape!$B:$B,0)),"-")</f>
        <v>-</v>
      </c>
      <c r="V39" s="4"/>
      <c r="W39" s="11" t="str">
        <f>IFERROR(INDEX(ShipPartShape!$A:$A,MATCH(V39,ShipPartShape!$B:$B,0)),"-")</f>
        <v>-</v>
      </c>
      <c r="X39" s="4"/>
      <c r="Y39" s="11" t="str">
        <f>IFERROR(INDEX(ShipPartShape!$A:$A,MATCH(X39,ShipPartShape!$B:$B,0)),"-")</f>
        <v>-</v>
      </c>
      <c r="Z39" s="4"/>
      <c r="AA39" s="11" t="str">
        <f>IFERROR(INDEX(ShipPartShape!$A:$A,MATCH(Z39,ShipPartShape!$B:$B,0)),"-")</f>
        <v>-</v>
      </c>
      <c r="AB39" s="4"/>
      <c r="AC39" s="11" t="str">
        <f>IFERROR(INDEX(ShipPartShape!$A:$A,MATCH(AB39,ShipPartShape!$B:$B,0)),"-")</f>
        <v>-</v>
      </c>
      <c r="AD39" s="4"/>
      <c r="AE39" s="11" t="str">
        <f>IFERROR(INDEX(ShipPartShape!$A:$A,MATCH(AD39,ShipPartShape!$B:$B,0)),"-")</f>
        <v>-</v>
      </c>
      <c r="AF39" s="4"/>
      <c r="AG39" s="11" t="str">
        <f>IFERROR(INDEX(ShipPartShape!$A:$A,MATCH(AF39,ShipPartShape!$B:$B,0)),"-")</f>
        <v>-</v>
      </c>
      <c r="AH39" s="4"/>
      <c r="AI39" s="11" t="str">
        <f>IFERROR(INDEX(ShipPartShape!$A:$A,MATCH(AH39,ShipPartShape!$B:$B,0)),"-")</f>
        <v>-</v>
      </c>
      <c r="AJ39" s="11" t="s">
        <v>518</v>
      </c>
      <c r="AK39" s="11" t="s">
        <v>518</v>
      </c>
      <c r="AL39" s="11" t="s">
        <v>518</v>
      </c>
      <c r="AM39" s="11" t="s">
        <v>0</v>
      </c>
      <c r="AN39" s="11" t="s">
        <v>0</v>
      </c>
      <c r="AO39" s="11" t="s">
        <v>0</v>
      </c>
      <c r="AP39" s="11" t="s">
        <v>0</v>
      </c>
      <c r="AQ39" s="11" t="s">
        <v>0</v>
      </c>
      <c r="AR39" s="11" t="s">
        <v>0</v>
      </c>
      <c r="AS39" s="11" t="s">
        <v>0</v>
      </c>
      <c r="AT39" s="11" t="s">
        <v>0</v>
      </c>
      <c r="AU39" s="11">
        <v>47600015</v>
      </c>
      <c r="AV39" s="11" t="s">
        <v>0</v>
      </c>
      <c r="AW39" s="11" t="s">
        <v>0</v>
      </c>
      <c r="AX39" s="11" t="s">
        <v>0</v>
      </c>
    </row>
    <row r="40" spans="1:50" ht="15">
      <c r="A40" s="10">
        <f t="shared" si="0"/>
        <v>45000030</v>
      </c>
      <c r="B40" s="46" t="s">
        <v>145</v>
      </c>
      <c r="C40" s="11" t="s">
        <v>197</v>
      </c>
      <c r="D40" s="4" t="s">
        <v>123</v>
      </c>
      <c r="E40" s="11">
        <v>600</v>
      </c>
      <c r="F40" s="11">
        <v>100</v>
      </c>
      <c r="G40" s="11" t="s">
        <v>0</v>
      </c>
      <c r="H40" s="11" t="s">
        <v>545</v>
      </c>
      <c r="I40" s="11">
        <f>IFERROR(INDEX(ShipPartShape!$A:$A,MATCH(D40,ShipPartShape!$B:$B,0)),"-")</f>
        <v>46000031</v>
      </c>
      <c r="J40" s="4" t="s">
        <v>96</v>
      </c>
      <c r="K40" s="11">
        <f>IFERROR(INDEX(ShipPartShape!$A:$A,MATCH(J40,ShipPartShape!$B:$B,0)),"-")</f>
        <v>46200001</v>
      </c>
      <c r="L40" s="4" t="s">
        <v>69</v>
      </c>
      <c r="M40" s="11">
        <f>IFERROR(INDEX(ShipPartShape!$A:$A,MATCH(L40,ShipPartShape!$B:$B,0)),"-")</f>
        <v>46300001</v>
      </c>
      <c r="N40" s="4" t="s">
        <v>70</v>
      </c>
      <c r="O40" s="11">
        <f>IFERROR(INDEX(ShipPartShape!$A:$A,MATCH(N40,ShipPartShape!$B:$B,0)),"-")</f>
        <v>46700001</v>
      </c>
      <c r="P40" s="4"/>
      <c r="Q40" s="11" t="str">
        <f>IFERROR(INDEX(ShipPartShape!$A:$A,MATCH(P40,ShipPartShape!$B:$B,0)),"-")</f>
        <v>-</v>
      </c>
      <c r="R40" s="4"/>
      <c r="S40" s="11" t="str">
        <f>IFERROR(INDEX(ShipPartShape!$A:$A,MATCH(R40,ShipPartShape!$B:$B,0)),"-")</f>
        <v>-</v>
      </c>
      <c r="T40" s="4"/>
      <c r="U40" s="11" t="str">
        <f>IFERROR(INDEX(ShipPartShape!$A:$A,MATCH(T40,ShipPartShape!$B:$B,0)),"-")</f>
        <v>-</v>
      </c>
      <c r="V40" s="4"/>
      <c r="W40" s="11" t="str">
        <f>IFERROR(INDEX(ShipPartShape!$A:$A,MATCH(V40,ShipPartShape!$B:$B,0)),"-")</f>
        <v>-</v>
      </c>
      <c r="X40" s="4"/>
      <c r="Y40" s="11" t="str">
        <f>IFERROR(INDEX(ShipPartShape!$A:$A,MATCH(X40,ShipPartShape!$B:$B,0)),"-")</f>
        <v>-</v>
      </c>
      <c r="Z40" s="4"/>
      <c r="AA40" s="11" t="str">
        <f>IFERROR(INDEX(ShipPartShape!$A:$A,MATCH(Z40,ShipPartShape!$B:$B,0)),"-")</f>
        <v>-</v>
      </c>
      <c r="AB40" s="4"/>
      <c r="AC40" s="11" t="str">
        <f>IFERROR(INDEX(ShipPartShape!$A:$A,MATCH(AB40,ShipPartShape!$B:$B,0)),"-")</f>
        <v>-</v>
      </c>
      <c r="AD40" s="4"/>
      <c r="AE40" s="11" t="str">
        <f>IFERROR(INDEX(ShipPartShape!$A:$A,MATCH(AD40,ShipPartShape!$B:$B,0)),"-")</f>
        <v>-</v>
      </c>
      <c r="AF40" s="4"/>
      <c r="AG40" s="11" t="str">
        <f>IFERROR(INDEX(ShipPartShape!$A:$A,MATCH(AF40,ShipPartShape!$B:$B,0)),"-")</f>
        <v>-</v>
      </c>
      <c r="AH40" s="4"/>
      <c r="AI40" s="11" t="str">
        <f>IFERROR(INDEX(ShipPartShape!$A:$A,MATCH(AH40,ShipPartShape!$B:$B,0)),"-")</f>
        <v>-</v>
      </c>
      <c r="AJ40" s="11" t="s">
        <v>518</v>
      </c>
      <c r="AK40" s="11" t="s">
        <v>518</v>
      </c>
      <c r="AL40" s="11" t="s">
        <v>518</v>
      </c>
      <c r="AM40" s="11" t="s">
        <v>0</v>
      </c>
      <c r="AN40" s="11" t="s">
        <v>0</v>
      </c>
      <c r="AO40" s="11" t="s">
        <v>0</v>
      </c>
      <c r="AP40" s="11" t="s">
        <v>0</v>
      </c>
      <c r="AQ40" s="11" t="s">
        <v>0</v>
      </c>
      <c r="AR40" s="11" t="s">
        <v>0</v>
      </c>
      <c r="AS40" s="11" t="s">
        <v>0</v>
      </c>
      <c r="AT40" s="11" t="s">
        <v>0</v>
      </c>
      <c r="AU40" s="11">
        <v>47600015</v>
      </c>
      <c r="AV40" s="11" t="s">
        <v>0</v>
      </c>
      <c r="AW40" s="11" t="s">
        <v>0</v>
      </c>
      <c r="AX40" s="11" t="s">
        <v>0</v>
      </c>
    </row>
    <row r="41" spans="1:50" ht="15">
      <c r="A41" s="10">
        <f t="shared" si="0"/>
        <v>45000031</v>
      </c>
      <c r="B41" s="22" t="s">
        <v>146</v>
      </c>
      <c r="C41" s="11" t="s">
        <v>197</v>
      </c>
      <c r="D41" s="4" t="s">
        <v>125</v>
      </c>
      <c r="E41" s="11">
        <v>600</v>
      </c>
      <c r="F41" s="11">
        <v>100</v>
      </c>
      <c r="G41" s="11">
        <v>10</v>
      </c>
      <c r="H41" s="11">
        <v>-30</v>
      </c>
      <c r="I41" s="11">
        <f>IFERROR(INDEX(ShipPartShape!$A:$A,MATCH(D41,ShipPartShape!$B:$B,0)),"-")</f>
        <v>46000032</v>
      </c>
      <c r="J41" s="4" t="s">
        <v>1216</v>
      </c>
      <c r="K41" s="11">
        <f>IFERROR(INDEX(ShipPartShape!$A:$A,MATCH(J41,ShipPartShape!$B:$B,0)),"-")</f>
        <v>46700014</v>
      </c>
      <c r="L41" s="4" t="s">
        <v>69</v>
      </c>
      <c r="M41" s="11">
        <f>IFERROR(INDEX(ShipPartShape!$A:$A,MATCH(L41,ShipPartShape!$B:$B,0)),"-")</f>
        <v>46300001</v>
      </c>
      <c r="N41" s="4"/>
      <c r="O41" s="11" t="str">
        <f>IFERROR(INDEX(ShipPartShape!$A:$A,MATCH(N41,ShipPartShape!$B:$B,0)),"-")</f>
        <v>-</v>
      </c>
      <c r="P41" s="4"/>
      <c r="Q41" s="11" t="str">
        <f>IFERROR(INDEX(ShipPartShape!$A:$A,MATCH(P41,ShipPartShape!$B:$B,0)),"-")</f>
        <v>-</v>
      </c>
      <c r="R41" s="4"/>
      <c r="S41" s="11" t="str">
        <f>IFERROR(INDEX(ShipPartShape!$A:$A,MATCH(R41,ShipPartShape!$B:$B,0)),"-")</f>
        <v>-</v>
      </c>
      <c r="T41" s="4" t="s">
        <v>602</v>
      </c>
      <c r="U41" s="11">
        <f>IFERROR(INDEX(ShipPartShape!$A:$A,MATCH(T41,ShipPartShape!$B:$B,0)),"-")</f>
        <v>46600002</v>
      </c>
      <c r="V41" s="4" t="s">
        <v>608</v>
      </c>
      <c r="W41" s="11">
        <f>IFERROR(INDEX(ShipPartShape!$A:$A,MATCH(V41,ShipPartShape!$B:$B,0)),"-")</f>
        <v>46600004</v>
      </c>
      <c r="X41" s="4" t="s">
        <v>605</v>
      </c>
      <c r="Y41" s="11">
        <f>IFERROR(INDEX(ShipPartShape!$A:$A,MATCH(X41,ShipPartShape!$B:$B,0)),"-")</f>
        <v>46600009</v>
      </c>
      <c r="Z41" s="4" t="s">
        <v>603</v>
      </c>
      <c r="AA41" s="11">
        <f>IFERROR(INDEX(ShipPartShape!$A:$A,MATCH(Z41,ShipPartShape!$B:$B,0)),"-")</f>
        <v>46600007</v>
      </c>
      <c r="AB41" s="4"/>
      <c r="AC41" s="11" t="str">
        <f>IFERROR(INDEX(ShipPartShape!$A:$A,MATCH(AB41,ShipPartShape!$B:$B,0)),"-")</f>
        <v>-</v>
      </c>
      <c r="AD41" s="4"/>
      <c r="AE41" s="11" t="str">
        <f>IFERROR(INDEX(ShipPartShape!$A:$A,MATCH(AD41,ShipPartShape!$B:$B,0)),"-")</f>
        <v>-</v>
      </c>
      <c r="AF41" s="4"/>
      <c r="AG41" s="11" t="str">
        <f>IFERROR(INDEX(ShipPartShape!$A:$A,MATCH(AF41,ShipPartShape!$B:$B,0)),"-")</f>
        <v>-</v>
      </c>
      <c r="AH41" s="4"/>
      <c r="AI41" s="11" t="str">
        <f>IFERROR(INDEX(ShipPartShape!$A:$A,MATCH(AH41,ShipPartShape!$B:$B,0)),"-")</f>
        <v>-</v>
      </c>
      <c r="AJ41" s="11" t="s">
        <v>518</v>
      </c>
      <c r="AK41" s="11" t="s">
        <v>518</v>
      </c>
      <c r="AL41" s="11" t="s">
        <v>518</v>
      </c>
      <c r="AM41" s="11" t="s">
        <v>95</v>
      </c>
      <c r="AN41" s="11" t="s">
        <v>0</v>
      </c>
      <c r="AO41" s="11" t="s">
        <v>0</v>
      </c>
      <c r="AP41" s="11" t="s">
        <v>0</v>
      </c>
      <c r="AQ41" s="11" t="s">
        <v>0</v>
      </c>
      <c r="AR41" s="11" t="s">
        <v>0</v>
      </c>
      <c r="AS41" s="11" t="s">
        <v>0</v>
      </c>
      <c r="AT41" s="11" t="s">
        <v>0</v>
      </c>
      <c r="AU41" s="11">
        <v>47600015</v>
      </c>
      <c r="AV41" s="11" t="s">
        <v>0</v>
      </c>
      <c r="AW41" s="11" t="s">
        <v>0</v>
      </c>
      <c r="AX41" s="11" t="s">
        <v>0</v>
      </c>
    </row>
    <row r="42" spans="1:50" ht="15">
      <c r="A42" s="10">
        <f t="shared" si="0"/>
        <v>45000032</v>
      </c>
      <c r="B42" s="4" t="s">
        <v>153</v>
      </c>
      <c r="C42" s="11" t="s">
        <v>197</v>
      </c>
      <c r="D42" s="4" t="s">
        <v>126</v>
      </c>
      <c r="E42" s="11">
        <v>600</v>
      </c>
      <c r="F42" s="11">
        <v>100</v>
      </c>
      <c r="G42" s="11" t="s">
        <v>0</v>
      </c>
      <c r="H42" s="11" t="s">
        <v>545</v>
      </c>
      <c r="I42" s="11">
        <f>IFERROR(INDEX(ShipPartShape!$A:$A,MATCH(D42,ShipPartShape!$B:$B,0)),"-")</f>
        <v>46000033</v>
      </c>
      <c r="J42" s="4" t="s">
        <v>69</v>
      </c>
      <c r="K42" s="11">
        <f>IFERROR(INDEX(ShipPartShape!$A:$A,MATCH(J42,ShipPartShape!$B:$B,0)),"-")</f>
        <v>46300001</v>
      </c>
      <c r="L42" s="4" t="s">
        <v>70</v>
      </c>
      <c r="M42" s="11">
        <f>IFERROR(INDEX(ShipPartShape!$A:$A,MATCH(L42,ShipPartShape!$B:$B,0)),"-")</f>
        <v>46700001</v>
      </c>
      <c r="N42" s="4"/>
      <c r="O42" s="11" t="str">
        <f>IFERROR(INDEX(ShipPartShape!$A:$A,MATCH(N42,ShipPartShape!$B:$B,0)),"-")</f>
        <v>-</v>
      </c>
      <c r="P42" s="4"/>
      <c r="Q42" s="11" t="str">
        <f>IFERROR(INDEX(ShipPartShape!$A:$A,MATCH(P42,ShipPartShape!$B:$B,0)),"-")</f>
        <v>-</v>
      </c>
      <c r="R42" s="4"/>
      <c r="S42" s="11" t="str">
        <f>IFERROR(INDEX(ShipPartShape!$A:$A,MATCH(R42,ShipPartShape!$B:$B,0)),"-")</f>
        <v>-</v>
      </c>
      <c r="T42" s="4"/>
      <c r="U42" s="11" t="str">
        <f>IFERROR(INDEX(ShipPartShape!$A:$A,MATCH(T42,ShipPartShape!$B:$B,0)),"-")</f>
        <v>-</v>
      </c>
      <c r="V42" s="4"/>
      <c r="W42" s="11" t="str">
        <f>IFERROR(INDEX(ShipPartShape!$A:$A,MATCH(V42,ShipPartShape!$B:$B,0)),"-")</f>
        <v>-</v>
      </c>
      <c r="X42" s="4"/>
      <c r="Y42" s="11" t="str">
        <f>IFERROR(INDEX(ShipPartShape!$A:$A,MATCH(X42,ShipPartShape!$B:$B,0)),"-")</f>
        <v>-</v>
      </c>
      <c r="Z42" s="4"/>
      <c r="AA42" s="11" t="str">
        <f>IFERROR(INDEX(ShipPartShape!$A:$A,MATCH(Z42,ShipPartShape!$B:$B,0)),"-")</f>
        <v>-</v>
      </c>
      <c r="AB42" s="4"/>
      <c r="AC42" s="11" t="str">
        <f>IFERROR(INDEX(ShipPartShape!$A:$A,MATCH(AB42,ShipPartShape!$B:$B,0)),"-")</f>
        <v>-</v>
      </c>
      <c r="AD42" s="4"/>
      <c r="AE42" s="11" t="str">
        <f>IFERROR(INDEX(ShipPartShape!$A:$A,MATCH(AD42,ShipPartShape!$B:$B,0)),"-")</f>
        <v>-</v>
      </c>
      <c r="AF42" s="4"/>
      <c r="AG42" s="11" t="str">
        <f>IFERROR(INDEX(ShipPartShape!$A:$A,MATCH(AF42,ShipPartShape!$B:$B,0)),"-")</f>
        <v>-</v>
      </c>
      <c r="AH42" s="4"/>
      <c r="AI42" s="11" t="str">
        <f>IFERROR(INDEX(ShipPartShape!$A:$A,MATCH(AH42,ShipPartShape!$B:$B,0)),"-")</f>
        <v>-</v>
      </c>
      <c r="AJ42" s="11" t="s">
        <v>518</v>
      </c>
      <c r="AK42" s="11" t="s">
        <v>518</v>
      </c>
      <c r="AL42" s="11" t="s">
        <v>518</v>
      </c>
      <c r="AM42" s="11" t="s">
        <v>0</v>
      </c>
      <c r="AN42" s="11" t="s">
        <v>0</v>
      </c>
      <c r="AO42" s="11" t="s">
        <v>0</v>
      </c>
      <c r="AP42" s="11" t="s">
        <v>0</v>
      </c>
      <c r="AQ42" s="11" t="s">
        <v>0</v>
      </c>
      <c r="AR42" s="11" t="s">
        <v>0</v>
      </c>
      <c r="AS42" s="11" t="s">
        <v>0</v>
      </c>
      <c r="AT42" s="11" t="s">
        <v>0</v>
      </c>
      <c r="AU42" s="11">
        <v>47600015</v>
      </c>
      <c r="AV42" s="11" t="s">
        <v>0</v>
      </c>
      <c r="AW42" s="11" t="s">
        <v>0</v>
      </c>
      <c r="AX42" s="11" t="s">
        <v>0</v>
      </c>
    </row>
    <row r="43" spans="1:50" ht="15">
      <c r="A43" s="10">
        <f t="shared" si="0"/>
        <v>45000033</v>
      </c>
      <c r="B43" s="4" t="s">
        <v>154</v>
      </c>
      <c r="C43" s="11" t="s">
        <v>197</v>
      </c>
      <c r="D43" s="4" t="s">
        <v>127</v>
      </c>
      <c r="E43" s="11">
        <v>600</v>
      </c>
      <c r="F43" s="11">
        <v>100</v>
      </c>
      <c r="G43" s="11" t="s">
        <v>0</v>
      </c>
      <c r="H43" s="11" t="s">
        <v>545</v>
      </c>
      <c r="I43" s="11">
        <f>IFERROR(INDEX(ShipPartShape!$A:$A,MATCH(D43,ShipPartShape!$B:$B,0)),"-")</f>
        <v>46000034</v>
      </c>
      <c r="J43" s="4" t="s">
        <v>783</v>
      </c>
      <c r="K43" s="11">
        <f>IFERROR(INDEX(ShipPartShape!$A:$A,MATCH(J43,ShipPartShape!$B:$B,0)),"-")</f>
        <v>46100002</v>
      </c>
      <c r="L43" s="4" t="s">
        <v>96</v>
      </c>
      <c r="M43" s="11">
        <f>IFERROR(INDEX(ShipPartShape!$A:$A,MATCH(L43,ShipPartShape!$B:$B,0)),"-")</f>
        <v>46200001</v>
      </c>
      <c r="N43" s="4" t="s">
        <v>69</v>
      </c>
      <c r="O43" s="11">
        <f>IFERROR(INDEX(ShipPartShape!$A:$A,MATCH(N43,ShipPartShape!$B:$B,0)),"-")</f>
        <v>46300001</v>
      </c>
      <c r="P43" s="4"/>
      <c r="Q43" s="11" t="str">
        <f>IFERROR(INDEX(ShipPartShape!$A:$A,MATCH(P43,ShipPartShape!$B:$B,0)),"-")</f>
        <v>-</v>
      </c>
      <c r="R43" s="4"/>
      <c r="S43" s="11" t="str">
        <f>IFERROR(INDEX(ShipPartShape!$A:$A,MATCH(R43,ShipPartShape!$B:$B,0)),"-")</f>
        <v>-</v>
      </c>
      <c r="T43" s="4"/>
      <c r="U43" s="11" t="str">
        <f>IFERROR(INDEX(ShipPartShape!$A:$A,MATCH(T43,ShipPartShape!$B:$B,0)),"-")</f>
        <v>-</v>
      </c>
      <c r="V43" s="4"/>
      <c r="W43" s="11" t="str">
        <f>IFERROR(INDEX(ShipPartShape!$A:$A,MATCH(V43,ShipPartShape!$B:$B,0)),"-")</f>
        <v>-</v>
      </c>
      <c r="X43" s="4"/>
      <c r="Y43" s="11" t="str">
        <f>IFERROR(INDEX(ShipPartShape!$A:$A,MATCH(X43,ShipPartShape!$B:$B,0)),"-")</f>
        <v>-</v>
      </c>
      <c r="Z43" s="4"/>
      <c r="AA43" s="11" t="str">
        <f>IFERROR(INDEX(ShipPartShape!$A:$A,MATCH(Z43,ShipPartShape!$B:$B,0)),"-")</f>
        <v>-</v>
      </c>
      <c r="AB43" s="4"/>
      <c r="AC43" s="11" t="str">
        <f>IFERROR(INDEX(ShipPartShape!$A:$A,MATCH(AB43,ShipPartShape!$B:$B,0)),"-")</f>
        <v>-</v>
      </c>
      <c r="AD43" s="4"/>
      <c r="AE43" s="11" t="str">
        <f>IFERROR(INDEX(ShipPartShape!$A:$A,MATCH(AD43,ShipPartShape!$B:$B,0)),"-")</f>
        <v>-</v>
      </c>
      <c r="AF43" s="4"/>
      <c r="AG43" s="11" t="str">
        <f>IFERROR(INDEX(ShipPartShape!$A:$A,MATCH(AF43,ShipPartShape!$B:$B,0)),"-")</f>
        <v>-</v>
      </c>
      <c r="AH43" s="4"/>
      <c r="AI43" s="11" t="str">
        <f>IFERROR(INDEX(ShipPartShape!$A:$A,MATCH(AH43,ShipPartShape!$B:$B,0)),"-")</f>
        <v>-</v>
      </c>
      <c r="AJ43" s="11" t="s">
        <v>518</v>
      </c>
      <c r="AK43" s="11" t="s">
        <v>518</v>
      </c>
      <c r="AL43" s="11" t="s">
        <v>518</v>
      </c>
      <c r="AM43" s="11" t="s">
        <v>0</v>
      </c>
      <c r="AN43" s="11" t="s">
        <v>0</v>
      </c>
      <c r="AO43" s="11" t="s">
        <v>0</v>
      </c>
      <c r="AP43" s="11" t="s">
        <v>0</v>
      </c>
      <c r="AQ43" s="11" t="s">
        <v>0</v>
      </c>
      <c r="AR43" s="11" t="s">
        <v>0</v>
      </c>
      <c r="AS43" s="11" t="s">
        <v>0</v>
      </c>
      <c r="AT43" s="11" t="s">
        <v>0</v>
      </c>
      <c r="AU43" s="11">
        <v>47600015</v>
      </c>
      <c r="AV43" s="11" t="s">
        <v>0</v>
      </c>
      <c r="AW43" s="11" t="s">
        <v>0</v>
      </c>
      <c r="AX43" s="11" t="s">
        <v>0</v>
      </c>
    </row>
    <row r="44" spans="1:50" ht="15">
      <c r="A44" s="10">
        <f t="shared" si="0"/>
        <v>45000034</v>
      </c>
      <c r="B44" s="4" t="s">
        <v>155</v>
      </c>
      <c r="C44" s="11" t="s">
        <v>197</v>
      </c>
      <c r="D44" s="4" t="s">
        <v>128</v>
      </c>
      <c r="E44" s="11">
        <v>600</v>
      </c>
      <c r="F44" s="11">
        <v>100</v>
      </c>
      <c r="G44" s="11" t="s">
        <v>0</v>
      </c>
      <c r="H44" s="11" t="s">
        <v>545</v>
      </c>
      <c r="I44" s="11">
        <f>IFERROR(INDEX(ShipPartShape!$A:$A,MATCH(D44,ShipPartShape!$B:$B,0)),"-")</f>
        <v>46000035</v>
      </c>
      <c r="J44" s="4" t="s">
        <v>96</v>
      </c>
      <c r="K44" s="11">
        <f>IFERROR(INDEX(ShipPartShape!$A:$A,MATCH(J44,ShipPartShape!$B:$B,0)),"-")</f>
        <v>46200001</v>
      </c>
      <c r="L44" s="4" t="s">
        <v>69</v>
      </c>
      <c r="M44" s="11">
        <f>IFERROR(INDEX(ShipPartShape!$A:$A,MATCH(L44,ShipPartShape!$B:$B,0)),"-")</f>
        <v>46300001</v>
      </c>
      <c r="N44" s="4" t="s">
        <v>70</v>
      </c>
      <c r="O44" s="11">
        <f>IFERROR(INDEX(ShipPartShape!$A:$A,MATCH(N44,ShipPartShape!$B:$B,0)),"-")</f>
        <v>46700001</v>
      </c>
      <c r="P44" s="4"/>
      <c r="Q44" s="11" t="str">
        <f>IFERROR(INDEX(ShipPartShape!$A:$A,MATCH(P44,ShipPartShape!$B:$B,0)),"-")</f>
        <v>-</v>
      </c>
      <c r="R44" s="4"/>
      <c r="S44" s="11" t="str">
        <f>IFERROR(INDEX(ShipPartShape!$A:$A,MATCH(R44,ShipPartShape!$B:$B,0)),"-")</f>
        <v>-</v>
      </c>
      <c r="T44" s="4"/>
      <c r="U44" s="11" t="str">
        <f>IFERROR(INDEX(ShipPartShape!$A:$A,MATCH(T44,ShipPartShape!$B:$B,0)),"-")</f>
        <v>-</v>
      </c>
      <c r="V44" s="4"/>
      <c r="W44" s="11" t="str">
        <f>IFERROR(INDEX(ShipPartShape!$A:$A,MATCH(V44,ShipPartShape!$B:$B,0)),"-")</f>
        <v>-</v>
      </c>
      <c r="X44" s="4"/>
      <c r="Y44" s="11" t="str">
        <f>IFERROR(INDEX(ShipPartShape!$A:$A,MATCH(X44,ShipPartShape!$B:$B,0)),"-")</f>
        <v>-</v>
      </c>
      <c r="Z44" s="4"/>
      <c r="AA44" s="11" t="str">
        <f>IFERROR(INDEX(ShipPartShape!$A:$A,MATCH(Z44,ShipPartShape!$B:$B,0)),"-")</f>
        <v>-</v>
      </c>
      <c r="AB44" s="4"/>
      <c r="AC44" s="11" t="str">
        <f>IFERROR(INDEX(ShipPartShape!$A:$A,MATCH(AB44,ShipPartShape!$B:$B,0)),"-")</f>
        <v>-</v>
      </c>
      <c r="AD44" s="4"/>
      <c r="AE44" s="11" t="str">
        <f>IFERROR(INDEX(ShipPartShape!$A:$A,MATCH(AD44,ShipPartShape!$B:$B,0)),"-")</f>
        <v>-</v>
      </c>
      <c r="AF44" s="4"/>
      <c r="AG44" s="11" t="str">
        <f>IFERROR(INDEX(ShipPartShape!$A:$A,MATCH(AF44,ShipPartShape!$B:$B,0)),"-")</f>
        <v>-</v>
      </c>
      <c r="AH44" s="4"/>
      <c r="AI44" s="11" t="str">
        <f>IFERROR(INDEX(ShipPartShape!$A:$A,MATCH(AH44,ShipPartShape!$B:$B,0)),"-")</f>
        <v>-</v>
      </c>
      <c r="AJ44" s="11" t="s">
        <v>518</v>
      </c>
      <c r="AK44" s="11" t="s">
        <v>518</v>
      </c>
      <c r="AL44" s="11" t="s">
        <v>518</v>
      </c>
      <c r="AM44" s="11" t="s">
        <v>0</v>
      </c>
      <c r="AN44" s="11" t="s">
        <v>0</v>
      </c>
      <c r="AO44" s="11" t="s">
        <v>0</v>
      </c>
      <c r="AP44" s="11" t="s">
        <v>0</v>
      </c>
      <c r="AQ44" s="11" t="s">
        <v>0</v>
      </c>
      <c r="AR44" s="11" t="s">
        <v>0</v>
      </c>
      <c r="AS44" s="11" t="s">
        <v>0</v>
      </c>
      <c r="AT44" s="11" t="s">
        <v>0</v>
      </c>
      <c r="AU44" s="11">
        <v>47600015</v>
      </c>
      <c r="AV44" s="11" t="s">
        <v>0</v>
      </c>
      <c r="AW44" s="11" t="s">
        <v>0</v>
      </c>
      <c r="AX44" s="11" t="s">
        <v>0</v>
      </c>
    </row>
    <row r="45" spans="1:50" ht="15">
      <c r="A45" s="10">
        <f t="shared" si="0"/>
        <v>45000035</v>
      </c>
      <c r="B45" s="4" t="s">
        <v>156</v>
      </c>
      <c r="C45" s="11" t="s">
        <v>197</v>
      </c>
      <c r="D45" s="4" t="s">
        <v>129</v>
      </c>
      <c r="E45" s="11">
        <v>600</v>
      </c>
      <c r="F45" s="11">
        <v>100</v>
      </c>
      <c r="G45" s="11" t="s">
        <v>0</v>
      </c>
      <c r="H45" s="11" t="s">
        <v>545</v>
      </c>
      <c r="I45" s="11">
        <f>IFERROR(INDEX(ShipPartShape!$A:$A,MATCH(D45,ShipPartShape!$B:$B,0)),"-")</f>
        <v>46000036</v>
      </c>
      <c r="J45" s="4" t="s">
        <v>96</v>
      </c>
      <c r="K45" s="11">
        <f>IFERROR(INDEX(ShipPartShape!$A:$A,MATCH(J45,ShipPartShape!$B:$B,0)),"-")</f>
        <v>46200001</v>
      </c>
      <c r="L45" s="4" t="s">
        <v>69</v>
      </c>
      <c r="M45" s="11">
        <f>IFERROR(INDEX(ShipPartShape!$A:$A,MATCH(L45,ShipPartShape!$B:$B,0)),"-")</f>
        <v>46300001</v>
      </c>
      <c r="N45" s="4" t="s">
        <v>70</v>
      </c>
      <c r="O45" s="11">
        <f>IFERROR(INDEX(ShipPartShape!$A:$A,MATCH(N45,ShipPartShape!$B:$B,0)),"-")</f>
        <v>46700001</v>
      </c>
      <c r="P45" s="4"/>
      <c r="Q45" s="11" t="str">
        <f>IFERROR(INDEX(ShipPartShape!$A:$A,MATCH(P45,ShipPartShape!$B:$B,0)),"-")</f>
        <v>-</v>
      </c>
      <c r="R45" s="4"/>
      <c r="S45" s="11" t="str">
        <f>IFERROR(INDEX(ShipPartShape!$A:$A,MATCH(R45,ShipPartShape!$B:$B,0)),"-")</f>
        <v>-</v>
      </c>
      <c r="T45" s="4"/>
      <c r="U45" s="11" t="str">
        <f>IFERROR(INDEX(ShipPartShape!$A:$A,MATCH(T45,ShipPartShape!$B:$B,0)),"-")</f>
        <v>-</v>
      </c>
      <c r="V45" s="4"/>
      <c r="W45" s="11" t="str">
        <f>IFERROR(INDEX(ShipPartShape!$A:$A,MATCH(V45,ShipPartShape!$B:$B,0)),"-")</f>
        <v>-</v>
      </c>
      <c r="X45" s="4"/>
      <c r="Y45" s="11" t="str">
        <f>IFERROR(INDEX(ShipPartShape!$A:$A,MATCH(X45,ShipPartShape!$B:$B,0)),"-")</f>
        <v>-</v>
      </c>
      <c r="Z45" s="4"/>
      <c r="AA45" s="11" t="str">
        <f>IFERROR(INDEX(ShipPartShape!$A:$A,MATCH(Z45,ShipPartShape!$B:$B,0)),"-")</f>
        <v>-</v>
      </c>
      <c r="AB45" s="4"/>
      <c r="AC45" s="11" t="str">
        <f>IFERROR(INDEX(ShipPartShape!$A:$A,MATCH(AB45,ShipPartShape!$B:$B,0)),"-")</f>
        <v>-</v>
      </c>
      <c r="AD45" s="4"/>
      <c r="AE45" s="11" t="str">
        <f>IFERROR(INDEX(ShipPartShape!$A:$A,MATCH(AD45,ShipPartShape!$B:$B,0)),"-")</f>
        <v>-</v>
      </c>
      <c r="AF45" s="4"/>
      <c r="AG45" s="11" t="str">
        <f>IFERROR(INDEX(ShipPartShape!$A:$A,MATCH(AF45,ShipPartShape!$B:$B,0)),"-")</f>
        <v>-</v>
      </c>
      <c r="AH45" s="4"/>
      <c r="AI45" s="11" t="str">
        <f>IFERROR(INDEX(ShipPartShape!$A:$A,MATCH(AH45,ShipPartShape!$B:$B,0)),"-")</f>
        <v>-</v>
      </c>
      <c r="AJ45" s="11" t="s">
        <v>518</v>
      </c>
      <c r="AK45" s="11" t="s">
        <v>518</v>
      </c>
      <c r="AL45" s="11" t="s">
        <v>518</v>
      </c>
      <c r="AM45" s="11" t="s">
        <v>0</v>
      </c>
      <c r="AN45" s="11" t="s">
        <v>0</v>
      </c>
      <c r="AO45" s="11" t="s">
        <v>0</v>
      </c>
      <c r="AP45" s="11" t="s">
        <v>0</v>
      </c>
      <c r="AQ45" s="11" t="s">
        <v>0</v>
      </c>
      <c r="AR45" s="11" t="s">
        <v>0</v>
      </c>
      <c r="AS45" s="11" t="s">
        <v>0</v>
      </c>
      <c r="AT45" s="11" t="s">
        <v>0</v>
      </c>
      <c r="AU45" s="11">
        <v>47600015</v>
      </c>
      <c r="AV45" s="11" t="s">
        <v>0</v>
      </c>
      <c r="AW45" s="11" t="s">
        <v>0</v>
      </c>
      <c r="AX45" s="11" t="s">
        <v>0</v>
      </c>
    </row>
    <row r="46" spans="1:50" ht="15">
      <c r="A46" s="10">
        <f t="shared" si="0"/>
        <v>45000036</v>
      </c>
      <c r="B46" s="4" t="s">
        <v>147</v>
      </c>
      <c r="C46" s="11" t="s">
        <v>197</v>
      </c>
      <c r="D46" s="4" t="s">
        <v>130</v>
      </c>
      <c r="E46" s="11">
        <v>600</v>
      </c>
      <c r="F46" s="11">
        <v>100</v>
      </c>
      <c r="G46" s="11" t="s">
        <v>0</v>
      </c>
      <c r="H46" s="11" t="s">
        <v>545</v>
      </c>
      <c r="I46" s="11">
        <f>IFERROR(INDEX(ShipPartShape!$A:$A,MATCH(D46,ShipPartShape!$B:$B,0)),"-")</f>
        <v>46000037</v>
      </c>
      <c r="J46" s="4" t="s">
        <v>96</v>
      </c>
      <c r="K46" s="11">
        <f>IFERROR(INDEX(ShipPartShape!$A:$A,MATCH(J46,ShipPartShape!$B:$B,0)),"-")</f>
        <v>46200001</v>
      </c>
      <c r="L46" s="4" t="s">
        <v>69</v>
      </c>
      <c r="M46" s="11">
        <f>IFERROR(INDEX(ShipPartShape!$A:$A,MATCH(L46,ShipPartShape!$B:$B,0)),"-")</f>
        <v>46300001</v>
      </c>
      <c r="N46" s="4" t="s">
        <v>70</v>
      </c>
      <c r="O46" s="11">
        <f>IFERROR(INDEX(ShipPartShape!$A:$A,MATCH(N46,ShipPartShape!$B:$B,0)),"-")</f>
        <v>46700001</v>
      </c>
      <c r="P46" s="4"/>
      <c r="Q46" s="11" t="str">
        <f>IFERROR(INDEX(ShipPartShape!$A:$A,MATCH(P46,ShipPartShape!$B:$B,0)),"-")</f>
        <v>-</v>
      </c>
      <c r="R46" s="4"/>
      <c r="S46" s="11" t="str">
        <f>IFERROR(INDEX(ShipPartShape!$A:$A,MATCH(R46,ShipPartShape!$B:$B,0)),"-")</f>
        <v>-</v>
      </c>
      <c r="T46" s="4"/>
      <c r="U46" s="11" t="str">
        <f>IFERROR(INDEX(ShipPartShape!$A:$A,MATCH(T46,ShipPartShape!$B:$B,0)),"-")</f>
        <v>-</v>
      </c>
      <c r="V46" s="4"/>
      <c r="W46" s="11" t="str">
        <f>IFERROR(INDEX(ShipPartShape!$A:$A,MATCH(V46,ShipPartShape!$B:$B,0)),"-")</f>
        <v>-</v>
      </c>
      <c r="X46" s="4"/>
      <c r="Y46" s="11" t="str">
        <f>IFERROR(INDEX(ShipPartShape!$A:$A,MATCH(X46,ShipPartShape!$B:$B,0)),"-")</f>
        <v>-</v>
      </c>
      <c r="Z46" s="4"/>
      <c r="AA46" s="11" t="str">
        <f>IFERROR(INDEX(ShipPartShape!$A:$A,MATCH(Z46,ShipPartShape!$B:$B,0)),"-")</f>
        <v>-</v>
      </c>
      <c r="AB46" s="4"/>
      <c r="AC46" s="11" t="str">
        <f>IFERROR(INDEX(ShipPartShape!$A:$A,MATCH(AB46,ShipPartShape!$B:$B,0)),"-")</f>
        <v>-</v>
      </c>
      <c r="AD46" s="4"/>
      <c r="AE46" s="11" t="str">
        <f>IFERROR(INDEX(ShipPartShape!$A:$A,MATCH(AD46,ShipPartShape!$B:$B,0)),"-")</f>
        <v>-</v>
      </c>
      <c r="AF46" s="4"/>
      <c r="AG46" s="11" t="str">
        <f>IFERROR(INDEX(ShipPartShape!$A:$A,MATCH(AF46,ShipPartShape!$B:$B,0)),"-")</f>
        <v>-</v>
      </c>
      <c r="AH46" s="4"/>
      <c r="AI46" s="11" t="str">
        <f>IFERROR(INDEX(ShipPartShape!$A:$A,MATCH(AH46,ShipPartShape!$B:$B,0)),"-")</f>
        <v>-</v>
      </c>
      <c r="AJ46" s="11" t="s">
        <v>518</v>
      </c>
      <c r="AK46" s="11" t="s">
        <v>518</v>
      </c>
      <c r="AL46" s="11" t="s">
        <v>518</v>
      </c>
      <c r="AM46" s="11" t="s">
        <v>0</v>
      </c>
      <c r="AN46" s="11" t="s">
        <v>0</v>
      </c>
      <c r="AO46" s="11" t="s">
        <v>0</v>
      </c>
      <c r="AP46" s="11" t="s">
        <v>0</v>
      </c>
      <c r="AQ46" s="11" t="s">
        <v>0</v>
      </c>
      <c r="AR46" s="11" t="s">
        <v>0</v>
      </c>
      <c r="AS46" s="11" t="s">
        <v>0</v>
      </c>
      <c r="AT46" s="11" t="s">
        <v>0</v>
      </c>
      <c r="AU46" s="11">
        <v>47600015</v>
      </c>
      <c r="AV46" s="11" t="s">
        <v>0</v>
      </c>
      <c r="AW46" s="11" t="s">
        <v>0</v>
      </c>
      <c r="AX46" s="11" t="s">
        <v>0</v>
      </c>
    </row>
    <row r="47" spans="1:50" ht="15">
      <c r="A47" s="10">
        <f t="shared" si="0"/>
        <v>45000037</v>
      </c>
      <c r="B47" s="4" t="s">
        <v>194</v>
      </c>
      <c r="C47" s="11" t="s">
        <v>198</v>
      </c>
      <c r="D47" s="4" t="s">
        <v>157</v>
      </c>
      <c r="E47" s="11">
        <v>500</v>
      </c>
      <c r="F47" s="11">
        <v>200</v>
      </c>
      <c r="G47" s="11">
        <v>20</v>
      </c>
      <c r="H47" s="11">
        <v>-40</v>
      </c>
      <c r="I47" s="11">
        <f>IFERROR(INDEX(ShipPartShape!$A:$A,MATCH(D47,ShipPartShape!$B:$B,0)),"-")</f>
        <v>46000038</v>
      </c>
      <c r="J47" s="4" t="s">
        <v>165</v>
      </c>
      <c r="K47" s="11">
        <f>IFERROR(INDEX(ShipPartShape!$A:$A,MATCH(J47,ShipPartShape!$B:$B,0)),"-")</f>
        <v>46700002</v>
      </c>
      <c r="L47" s="4" t="s">
        <v>158</v>
      </c>
      <c r="M47" s="11">
        <f>IFERROR(INDEX(ShipPartShape!$A:$A,MATCH(L47,ShipPartShape!$B:$B,0)),"-")</f>
        <v>46550001</v>
      </c>
      <c r="N47" s="4" t="s">
        <v>69</v>
      </c>
      <c r="O47" s="11">
        <f>IFERROR(INDEX(ShipPartShape!$A:$A,MATCH(N47,ShipPartShape!$B:$B,0)),"-")</f>
        <v>46300001</v>
      </c>
      <c r="P47" s="4"/>
      <c r="Q47" s="11" t="str">
        <f>IFERROR(INDEX(ShipPartShape!$A:$A,MATCH(P47,ShipPartShape!$B:$B,0)),"-")</f>
        <v>-</v>
      </c>
      <c r="R47" s="4"/>
      <c r="S47" s="11" t="str">
        <f>IFERROR(INDEX(ShipPartShape!$A:$A,MATCH(R47,ShipPartShape!$B:$B,0)),"-")</f>
        <v>-</v>
      </c>
      <c r="T47" s="4"/>
      <c r="U47" s="11" t="str">
        <f>IFERROR(INDEX(ShipPartShape!$A:$A,MATCH(T47,ShipPartShape!$B:$B,0)),"-")</f>
        <v>-</v>
      </c>
      <c r="V47" s="4"/>
      <c r="W47" s="11" t="str">
        <f>IFERROR(INDEX(ShipPartShape!$A:$A,MATCH(V47,ShipPartShape!$B:$B,0)),"-")</f>
        <v>-</v>
      </c>
      <c r="X47" s="4"/>
      <c r="Y47" s="11" t="str">
        <f>IFERROR(INDEX(ShipPartShape!$A:$A,MATCH(X47,ShipPartShape!$B:$B,0)),"-")</f>
        <v>-</v>
      </c>
      <c r="Z47" s="4"/>
      <c r="AA47" s="11" t="str">
        <f>IFERROR(INDEX(ShipPartShape!$A:$A,MATCH(Z47,ShipPartShape!$B:$B,0)),"-")</f>
        <v>-</v>
      </c>
      <c r="AB47" s="4"/>
      <c r="AC47" s="11" t="str">
        <f>IFERROR(INDEX(ShipPartShape!$A:$A,MATCH(AB47,ShipPartShape!$B:$B,0)),"-")</f>
        <v>-</v>
      </c>
      <c r="AD47" s="4"/>
      <c r="AE47" s="11" t="str">
        <f>IFERROR(INDEX(ShipPartShape!$A:$A,MATCH(AD47,ShipPartShape!$B:$B,0)),"-")</f>
        <v>-</v>
      </c>
      <c r="AF47" s="4"/>
      <c r="AG47" s="11" t="str">
        <f>IFERROR(INDEX(ShipPartShape!$A:$A,MATCH(AF47,ShipPartShape!$B:$B,0)),"-")</f>
        <v>-</v>
      </c>
      <c r="AH47" s="4"/>
      <c r="AI47" s="11" t="str">
        <f>IFERROR(INDEX(ShipPartShape!$A:$A,MATCH(AH47,ShipPartShape!$B:$B,0)),"-")</f>
        <v>-</v>
      </c>
      <c r="AJ47" s="11" t="s">
        <v>518</v>
      </c>
      <c r="AK47" s="11" t="s">
        <v>518</v>
      </c>
      <c r="AL47" s="11" t="s">
        <v>518</v>
      </c>
      <c r="AM47" s="11" t="s">
        <v>95</v>
      </c>
      <c r="AN47" s="11" t="s">
        <v>0</v>
      </c>
      <c r="AO47" s="11" t="s">
        <v>0</v>
      </c>
      <c r="AP47" s="11" t="s">
        <v>0</v>
      </c>
      <c r="AQ47" s="11" t="s">
        <v>0</v>
      </c>
      <c r="AR47" s="11" t="s">
        <v>0</v>
      </c>
      <c r="AS47" s="11" t="s">
        <v>0</v>
      </c>
      <c r="AT47" s="11" t="s">
        <v>0</v>
      </c>
      <c r="AU47" s="11">
        <v>47600017</v>
      </c>
      <c r="AV47" s="11" t="s">
        <v>0</v>
      </c>
      <c r="AW47" s="11" t="s">
        <v>0</v>
      </c>
      <c r="AX47" s="11" t="s">
        <v>0</v>
      </c>
    </row>
    <row r="48" spans="1:50" ht="15">
      <c r="A48" s="10">
        <f t="shared" si="0"/>
        <v>45000038</v>
      </c>
      <c r="B48" s="22" t="s">
        <v>166</v>
      </c>
      <c r="C48" s="11" t="s">
        <v>240</v>
      </c>
      <c r="D48" s="4" t="s">
        <v>157</v>
      </c>
      <c r="E48" s="11">
        <v>500</v>
      </c>
      <c r="F48" s="11">
        <v>200</v>
      </c>
      <c r="G48" s="11">
        <v>20</v>
      </c>
      <c r="H48" s="11">
        <v>-40</v>
      </c>
      <c r="I48" s="11">
        <f>IFERROR(INDEX(ShipPartShape!$A:$A,MATCH(D48,ShipPartShape!$B:$B,0)),"-")</f>
        <v>46000038</v>
      </c>
      <c r="J48" s="4" t="s">
        <v>165</v>
      </c>
      <c r="K48" s="11">
        <f>IFERROR(INDEX(ShipPartShape!$A:$A,MATCH(J48,ShipPartShape!$B:$B,0)),"-")</f>
        <v>46700002</v>
      </c>
      <c r="L48" s="4" t="s">
        <v>158</v>
      </c>
      <c r="M48" s="11">
        <f>IFERROR(INDEX(ShipPartShape!$A:$A,MATCH(L48,ShipPartShape!$B:$B,0)),"-")</f>
        <v>46550001</v>
      </c>
      <c r="N48" s="4" t="s">
        <v>69</v>
      </c>
      <c r="O48" s="11">
        <f>IFERROR(INDEX(ShipPartShape!$A:$A,MATCH(N48,ShipPartShape!$B:$B,0)),"-")</f>
        <v>46300001</v>
      </c>
      <c r="P48" s="4"/>
      <c r="Q48" s="11" t="str">
        <f>IFERROR(INDEX(ShipPartShape!$A:$A,MATCH(P48,ShipPartShape!$B:$B,0)),"-")</f>
        <v>-</v>
      </c>
      <c r="R48" s="4"/>
      <c r="S48" s="11" t="str">
        <f>IFERROR(INDEX(ShipPartShape!$A:$A,MATCH(R48,ShipPartShape!$B:$B,0)),"-")</f>
        <v>-</v>
      </c>
      <c r="T48" s="4"/>
      <c r="U48" s="11" t="str">
        <f>IFERROR(INDEX(ShipPartShape!$A:$A,MATCH(T48,ShipPartShape!$B:$B,0)),"-")</f>
        <v>-</v>
      </c>
      <c r="V48" s="4"/>
      <c r="W48" s="11" t="str">
        <f>IFERROR(INDEX(ShipPartShape!$A:$A,MATCH(V48,ShipPartShape!$B:$B,0)),"-")</f>
        <v>-</v>
      </c>
      <c r="X48" s="4"/>
      <c r="Y48" s="11" t="str">
        <f>IFERROR(INDEX(ShipPartShape!$A:$A,MATCH(X48,ShipPartShape!$B:$B,0)),"-")</f>
        <v>-</v>
      </c>
      <c r="Z48" s="4"/>
      <c r="AA48" s="11" t="str">
        <f>IFERROR(INDEX(ShipPartShape!$A:$A,MATCH(Z48,ShipPartShape!$B:$B,0)),"-")</f>
        <v>-</v>
      </c>
      <c r="AB48" s="4"/>
      <c r="AC48" s="11" t="str">
        <f>IFERROR(INDEX(ShipPartShape!$A:$A,MATCH(AB48,ShipPartShape!$B:$B,0)),"-")</f>
        <v>-</v>
      </c>
      <c r="AD48" s="4"/>
      <c r="AE48" s="11" t="str">
        <f>IFERROR(INDEX(ShipPartShape!$A:$A,MATCH(AD48,ShipPartShape!$B:$B,0)),"-")</f>
        <v>-</v>
      </c>
      <c r="AF48" s="4"/>
      <c r="AG48" s="11" t="str">
        <f>IFERROR(INDEX(ShipPartShape!$A:$A,MATCH(AF48,ShipPartShape!$B:$B,0)),"-")</f>
        <v>-</v>
      </c>
      <c r="AH48" s="4"/>
      <c r="AI48" s="11" t="str">
        <f>IFERROR(INDEX(ShipPartShape!$A:$A,MATCH(AH48,ShipPartShape!$B:$B,0)),"-")</f>
        <v>-</v>
      </c>
      <c r="AJ48" s="11" t="s">
        <v>518</v>
      </c>
      <c r="AK48" s="11" t="s">
        <v>518</v>
      </c>
      <c r="AL48" s="11" t="s">
        <v>518</v>
      </c>
      <c r="AM48" s="11" t="s">
        <v>13</v>
      </c>
      <c r="AN48" s="11" t="s">
        <v>0</v>
      </c>
      <c r="AO48" s="11" t="s">
        <v>0</v>
      </c>
      <c r="AP48" s="11" t="s">
        <v>0</v>
      </c>
      <c r="AQ48" s="11" t="s">
        <v>0</v>
      </c>
      <c r="AR48" s="11" t="s">
        <v>0</v>
      </c>
      <c r="AS48" s="11" t="s">
        <v>0</v>
      </c>
      <c r="AT48" s="11" t="s">
        <v>0</v>
      </c>
      <c r="AU48" s="11">
        <v>47600017</v>
      </c>
      <c r="AV48" s="11" t="s">
        <v>0</v>
      </c>
      <c r="AW48" s="11" t="s">
        <v>0</v>
      </c>
      <c r="AX48" s="11" t="s">
        <v>0</v>
      </c>
    </row>
    <row r="49" spans="1:50" ht="15">
      <c r="A49" s="10">
        <f t="shared" si="0"/>
        <v>45000039</v>
      </c>
      <c r="B49" s="22" t="s">
        <v>193</v>
      </c>
      <c r="C49" s="11" t="s">
        <v>199</v>
      </c>
      <c r="D49" s="4" t="s">
        <v>168</v>
      </c>
      <c r="E49" s="11">
        <v>600</v>
      </c>
      <c r="F49" s="11">
        <v>100</v>
      </c>
      <c r="G49" s="11">
        <v>10</v>
      </c>
      <c r="H49" s="11">
        <v>-10</v>
      </c>
      <c r="I49" s="11">
        <f>IFERROR(INDEX(ShipPartShape!$A:$A,MATCH(D49,ShipPartShape!$B:$B,0)),"-")</f>
        <v>46000008</v>
      </c>
      <c r="J49" s="4" t="s">
        <v>70</v>
      </c>
      <c r="K49" s="11">
        <f>IFERROR(INDEX(ShipPartShape!$A:$A,MATCH(J49,ShipPartShape!$B:$B,0)),"-")</f>
        <v>46700001</v>
      </c>
      <c r="L49" s="4" t="s">
        <v>69</v>
      </c>
      <c r="M49" s="11">
        <f>IFERROR(INDEX(ShipPartShape!$A:$A,MATCH(L49,ShipPartShape!$B:$B,0)),"-")</f>
        <v>46300001</v>
      </c>
      <c r="N49" s="4"/>
      <c r="O49" s="11" t="str">
        <f>IFERROR(INDEX(ShipPartShape!$A:$A,MATCH(N49,ShipPartShape!$B:$B,0)),"-")</f>
        <v>-</v>
      </c>
      <c r="P49" s="4"/>
      <c r="Q49" s="11" t="str">
        <f>IFERROR(INDEX(ShipPartShape!$A:$A,MATCH(P49,ShipPartShape!$B:$B,0)),"-")</f>
        <v>-</v>
      </c>
      <c r="R49" s="4"/>
      <c r="S49" s="11" t="str">
        <f>IFERROR(INDEX(ShipPartShape!$A:$A,MATCH(R49,ShipPartShape!$B:$B,0)),"-")</f>
        <v>-</v>
      </c>
      <c r="T49" s="4" t="s">
        <v>602</v>
      </c>
      <c r="U49" s="11">
        <f>IFERROR(INDEX(ShipPartShape!$A:$A,MATCH(T49,ShipPartShape!$B:$B,0)),"-")</f>
        <v>46600002</v>
      </c>
      <c r="V49" s="4" t="s">
        <v>605</v>
      </c>
      <c r="W49" s="11">
        <f>IFERROR(INDEX(ShipPartShape!$A:$A,MATCH(V49,ShipPartShape!$B:$B,0)),"-")</f>
        <v>46600009</v>
      </c>
      <c r="X49" s="4" t="s">
        <v>606</v>
      </c>
      <c r="Y49" s="11">
        <f>IFERROR(INDEX(ShipPartShape!$A:$A,MATCH(X49,ShipPartShape!$B:$B,0)),"-")</f>
        <v>46600003</v>
      </c>
      <c r="Z49" s="4" t="s">
        <v>603</v>
      </c>
      <c r="AA49" s="11">
        <f>IFERROR(INDEX(ShipPartShape!$A:$A,MATCH(Z49,ShipPartShape!$B:$B,0)),"-")</f>
        <v>46600007</v>
      </c>
      <c r="AB49" s="4"/>
      <c r="AC49" s="11" t="str">
        <f>IFERROR(INDEX(ShipPartShape!$A:$A,MATCH(AB49,ShipPartShape!$B:$B,0)),"-")</f>
        <v>-</v>
      </c>
      <c r="AD49" s="4"/>
      <c r="AE49" s="11" t="str">
        <f>IFERROR(INDEX(ShipPartShape!$A:$A,MATCH(AD49,ShipPartShape!$B:$B,0)),"-")</f>
        <v>-</v>
      </c>
      <c r="AF49" s="4"/>
      <c r="AG49" s="11" t="str">
        <f>IFERROR(INDEX(ShipPartShape!$A:$A,MATCH(AF49,ShipPartShape!$B:$B,0)),"-")</f>
        <v>-</v>
      </c>
      <c r="AH49" s="4"/>
      <c r="AI49" s="11" t="str">
        <f>IFERROR(INDEX(ShipPartShape!$A:$A,MATCH(AH49,ShipPartShape!$B:$B,0)),"-")</f>
        <v>-</v>
      </c>
      <c r="AJ49" s="11" t="s">
        <v>518</v>
      </c>
      <c r="AK49" s="11" t="s">
        <v>518</v>
      </c>
      <c r="AL49" s="11" t="s">
        <v>518</v>
      </c>
      <c r="AM49" s="11" t="s">
        <v>85</v>
      </c>
      <c r="AN49" s="11" t="s">
        <v>0</v>
      </c>
      <c r="AO49" s="11" t="s">
        <v>0</v>
      </c>
      <c r="AP49" s="11" t="s">
        <v>0</v>
      </c>
      <c r="AQ49" s="11" t="s">
        <v>0</v>
      </c>
      <c r="AR49" s="11" t="s">
        <v>0</v>
      </c>
      <c r="AS49" s="11" t="s">
        <v>0</v>
      </c>
      <c r="AT49" s="11" t="s">
        <v>0</v>
      </c>
      <c r="AU49" s="11">
        <v>47600014</v>
      </c>
      <c r="AV49" s="11" t="s">
        <v>0</v>
      </c>
      <c r="AW49" s="11" t="s">
        <v>0</v>
      </c>
      <c r="AX49" s="11" t="s">
        <v>0</v>
      </c>
    </row>
    <row r="50" spans="1:50" ht="15">
      <c r="A50" s="10">
        <f t="shared" si="0"/>
        <v>45000040</v>
      </c>
      <c r="B50" s="4" t="s">
        <v>191</v>
      </c>
      <c r="C50" s="11" t="s">
        <v>199</v>
      </c>
      <c r="D50" s="4" t="s">
        <v>168</v>
      </c>
      <c r="E50" s="11">
        <v>600</v>
      </c>
      <c r="F50" s="11">
        <v>100</v>
      </c>
      <c r="G50" s="11" t="s">
        <v>0</v>
      </c>
      <c r="H50" s="11" t="s">
        <v>545</v>
      </c>
      <c r="I50" s="11">
        <f>IFERROR(INDEX(ShipPartShape!$A:$A,MATCH(D50,ShipPartShape!$B:$B,0)),"-")</f>
        <v>46000008</v>
      </c>
      <c r="J50" s="4" t="s">
        <v>70</v>
      </c>
      <c r="K50" s="11">
        <f>IFERROR(INDEX(ShipPartShape!$A:$A,MATCH(J50,ShipPartShape!$B:$B,0)),"-")</f>
        <v>46700001</v>
      </c>
      <c r="L50" s="4" t="s">
        <v>69</v>
      </c>
      <c r="M50" s="11">
        <f>IFERROR(INDEX(ShipPartShape!$A:$A,MATCH(L50,ShipPartShape!$B:$B,0)),"-")</f>
        <v>46300001</v>
      </c>
      <c r="N50" s="4"/>
      <c r="O50" s="11" t="str">
        <f>IFERROR(INDEX(ShipPartShape!$A:$A,MATCH(N50,ShipPartShape!$B:$B,0)),"-")</f>
        <v>-</v>
      </c>
      <c r="P50" s="4"/>
      <c r="Q50" s="11" t="str">
        <f>IFERROR(INDEX(ShipPartShape!$A:$A,MATCH(P50,ShipPartShape!$B:$B,0)),"-")</f>
        <v>-</v>
      </c>
      <c r="R50" s="4"/>
      <c r="S50" s="11" t="str">
        <f>IFERROR(INDEX(ShipPartShape!$A:$A,MATCH(R50,ShipPartShape!$B:$B,0)),"-")</f>
        <v>-</v>
      </c>
      <c r="T50" s="4"/>
      <c r="U50" s="11" t="str">
        <f>IFERROR(INDEX(ShipPartShape!$A:$A,MATCH(T50,ShipPartShape!$B:$B,0)),"-")</f>
        <v>-</v>
      </c>
      <c r="V50" s="4"/>
      <c r="W50" s="11" t="str">
        <f>IFERROR(INDEX(ShipPartShape!$A:$A,MATCH(V50,ShipPartShape!$B:$B,0)),"-")</f>
        <v>-</v>
      </c>
      <c r="X50" s="4"/>
      <c r="Y50" s="11" t="str">
        <f>IFERROR(INDEX(ShipPartShape!$A:$A,MATCH(X50,ShipPartShape!$B:$B,0)),"-")</f>
        <v>-</v>
      </c>
      <c r="Z50" s="4"/>
      <c r="AA50" s="11" t="str">
        <f>IFERROR(INDEX(ShipPartShape!$A:$A,MATCH(Z50,ShipPartShape!$B:$B,0)),"-")</f>
        <v>-</v>
      </c>
      <c r="AB50" s="4"/>
      <c r="AC50" s="11" t="str">
        <f>IFERROR(INDEX(ShipPartShape!$A:$A,MATCH(AB50,ShipPartShape!$B:$B,0)),"-")</f>
        <v>-</v>
      </c>
      <c r="AD50" s="4"/>
      <c r="AE50" s="11" t="str">
        <f>IFERROR(INDEX(ShipPartShape!$A:$A,MATCH(AD50,ShipPartShape!$B:$B,0)),"-")</f>
        <v>-</v>
      </c>
      <c r="AF50" s="4"/>
      <c r="AG50" s="11" t="str">
        <f>IFERROR(INDEX(ShipPartShape!$A:$A,MATCH(AF50,ShipPartShape!$B:$B,0)),"-")</f>
        <v>-</v>
      </c>
      <c r="AH50" s="4"/>
      <c r="AI50" s="11" t="str">
        <f>IFERROR(INDEX(ShipPartShape!$A:$A,MATCH(AH50,ShipPartShape!$B:$B,0)),"-")</f>
        <v>-</v>
      </c>
      <c r="AJ50" s="11" t="s">
        <v>518</v>
      </c>
      <c r="AK50" s="11" t="s">
        <v>518</v>
      </c>
      <c r="AL50" s="11" t="s">
        <v>518</v>
      </c>
      <c r="AM50" s="11" t="s">
        <v>0</v>
      </c>
      <c r="AN50" s="11" t="s">
        <v>0</v>
      </c>
      <c r="AO50" s="11" t="s">
        <v>0</v>
      </c>
      <c r="AP50" s="11" t="s">
        <v>0</v>
      </c>
      <c r="AQ50" s="11" t="s">
        <v>0</v>
      </c>
      <c r="AR50" s="11" t="s">
        <v>0</v>
      </c>
      <c r="AS50" s="11" t="s">
        <v>0</v>
      </c>
      <c r="AT50" s="11" t="s">
        <v>0</v>
      </c>
      <c r="AU50" s="11">
        <v>47600014</v>
      </c>
      <c r="AV50" s="11" t="s">
        <v>0</v>
      </c>
      <c r="AW50" s="11" t="s">
        <v>0</v>
      </c>
      <c r="AX50" s="11" t="s">
        <v>0</v>
      </c>
    </row>
    <row r="51" spans="1:50" ht="15">
      <c r="A51" s="10">
        <f t="shared" si="0"/>
        <v>45000041</v>
      </c>
      <c r="B51" s="4" t="s">
        <v>192</v>
      </c>
      <c r="C51" s="11" t="s">
        <v>199</v>
      </c>
      <c r="D51" s="4" t="s">
        <v>180</v>
      </c>
      <c r="E51" s="11">
        <v>600</v>
      </c>
      <c r="F51" s="11">
        <v>100</v>
      </c>
      <c r="G51" s="11" t="s">
        <v>0</v>
      </c>
      <c r="H51" s="11" t="s">
        <v>545</v>
      </c>
      <c r="I51" s="11">
        <f>IFERROR(INDEX(ShipPartShape!$A:$A,MATCH(D51,ShipPartShape!$B:$B,0)),"-")</f>
        <v>46000014</v>
      </c>
      <c r="J51" s="4" t="s">
        <v>70</v>
      </c>
      <c r="K51" s="11">
        <f>IFERROR(INDEX(ShipPartShape!$A:$A,MATCH(J51,ShipPartShape!$B:$B,0)),"-")</f>
        <v>46700001</v>
      </c>
      <c r="L51" s="4" t="s">
        <v>69</v>
      </c>
      <c r="M51" s="11">
        <f>IFERROR(INDEX(ShipPartShape!$A:$A,MATCH(L51,ShipPartShape!$B:$B,0)),"-")</f>
        <v>46300001</v>
      </c>
      <c r="N51" s="4"/>
      <c r="O51" s="11" t="str">
        <f>IFERROR(INDEX(ShipPartShape!$A:$A,MATCH(N51,ShipPartShape!$B:$B,0)),"-")</f>
        <v>-</v>
      </c>
      <c r="P51" s="4"/>
      <c r="Q51" s="11" t="str">
        <f>IFERROR(INDEX(ShipPartShape!$A:$A,MATCH(P51,ShipPartShape!$B:$B,0)),"-")</f>
        <v>-</v>
      </c>
      <c r="R51" s="4"/>
      <c r="S51" s="11" t="str">
        <f>IFERROR(INDEX(ShipPartShape!$A:$A,MATCH(R51,ShipPartShape!$B:$B,0)),"-")</f>
        <v>-</v>
      </c>
      <c r="T51" s="4"/>
      <c r="U51" s="11" t="str">
        <f>IFERROR(INDEX(ShipPartShape!$A:$A,MATCH(T51,ShipPartShape!$B:$B,0)),"-")</f>
        <v>-</v>
      </c>
      <c r="V51" s="4"/>
      <c r="W51" s="11" t="str">
        <f>IFERROR(INDEX(ShipPartShape!$A:$A,MATCH(V51,ShipPartShape!$B:$B,0)),"-")</f>
        <v>-</v>
      </c>
      <c r="X51" s="4"/>
      <c r="Y51" s="11" t="str">
        <f>IFERROR(INDEX(ShipPartShape!$A:$A,MATCH(X51,ShipPartShape!$B:$B,0)),"-")</f>
        <v>-</v>
      </c>
      <c r="Z51" s="4"/>
      <c r="AA51" s="11" t="str">
        <f>IFERROR(INDEX(ShipPartShape!$A:$A,MATCH(Z51,ShipPartShape!$B:$B,0)),"-")</f>
        <v>-</v>
      </c>
      <c r="AB51" s="4"/>
      <c r="AC51" s="11" t="str">
        <f>IFERROR(INDEX(ShipPartShape!$A:$A,MATCH(AB51,ShipPartShape!$B:$B,0)),"-")</f>
        <v>-</v>
      </c>
      <c r="AD51" s="4"/>
      <c r="AE51" s="11" t="str">
        <f>IFERROR(INDEX(ShipPartShape!$A:$A,MATCH(AD51,ShipPartShape!$B:$B,0)),"-")</f>
        <v>-</v>
      </c>
      <c r="AF51" s="4"/>
      <c r="AG51" s="11" t="str">
        <f>IFERROR(INDEX(ShipPartShape!$A:$A,MATCH(AF51,ShipPartShape!$B:$B,0)),"-")</f>
        <v>-</v>
      </c>
      <c r="AH51" s="4"/>
      <c r="AI51" s="11" t="str">
        <f>IFERROR(INDEX(ShipPartShape!$A:$A,MATCH(AH51,ShipPartShape!$B:$B,0)),"-")</f>
        <v>-</v>
      </c>
      <c r="AJ51" s="11" t="s">
        <v>518</v>
      </c>
      <c r="AK51" s="11" t="s">
        <v>518</v>
      </c>
      <c r="AL51" s="11" t="s">
        <v>518</v>
      </c>
      <c r="AM51" s="11" t="s">
        <v>85</v>
      </c>
      <c r="AN51" s="11" t="s">
        <v>0</v>
      </c>
      <c r="AO51" s="11" t="s">
        <v>0</v>
      </c>
      <c r="AP51" s="11" t="s">
        <v>0</v>
      </c>
      <c r="AQ51" s="11" t="s">
        <v>0</v>
      </c>
      <c r="AR51" s="11" t="s">
        <v>0</v>
      </c>
      <c r="AS51" s="11" t="s">
        <v>0</v>
      </c>
      <c r="AT51" s="11" t="s">
        <v>0</v>
      </c>
      <c r="AU51" s="11">
        <v>47600014</v>
      </c>
      <c r="AV51" s="11" t="s">
        <v>0</v>
      </c>
      <c r="AW51" s="11" t="s">
        <v>0</v>
      </c>
      <c r="AX51" s="11" t="s">
        <v>0</v>
      </c>
    </row>
    <row r="52" spans="1:50" ht="15">
      <c r="A52" s="10">
        <f t="shared" si="0"/>
        <v>45000042</v>
      </c>
      <c r="B52" s="22" t="s">
        <v>222</v>
      </c>
      <c r="C52" s="11" t="s">
        <v>216</v>
      </c>
      <c r="D52" s="4" t="s">
        <v>217</v>
      </c>
      <c r="E52" s="11">
        <v>700</v>
      </c>
      <c r="F52" s="11">
        <v>100</v>
      </c>
      <c r="G52" s="11">
        <v>10</v>
      </c>
      <c r="H52" s="11">
        <v>-30</v>
      </c>
      <c r="I52" s="11">
        <f>IFERROR(INDEX(ShipPartShape!$A:$A,MATCH(D52,ShipPartShape!$B:$B,0)),"-")</f>
        <v>46000039</v>
      </c>
      <c r="J52" s="4" t="s">
        <v>70</v>
      </c>
      <c r="K52" s="11">
        <f>IFERROR(INDEX(ShipPartShape!$A:$A,MATCH(J52,ShipPartShape!$B:$B,0)),"-")</f>
        <v>46700001</v>
      </c>
      <c r="L52" s="4" t="s">
        <v>69</v>
      </c>
      <c r="M52" s="11">
        <f>IFERROR(INDEX(ShipPartShape!$A:$A,MATCH(L52,ShipPartShape!$B:$B,0)),"-")</f>
        <v>46300001</v>
      </c>
      <c r="N52" s="4"/>
      <c r="O52" s="11" t="str">
        <f>IFERROR(INDEX(ShipPartShape!$A:$A,MATCH(N52,ShipPartShape!$B:$B,0)),"-")</f>
        <v>-</v>
      </c>
      <c r="P52" s="4"/>
      <c r="Q52" s="11" t="str">
        <f>IFERROR(INDEX(ShipPartShape!$A:$A,MATCH(P52,ShipPartShape!$B:$B,0)),"-")</f>
        <v>-</v>
      </c>
      <c r="R52" s="4"/>
      <c r="S52" s="11" t="str">
        <f>IFERROR(INDEX(ShipPartShape!$A:$A,MATCH(R52,ShipPartShape!$B:$B,0)),"-")</f>
        <v>-</v>
      </c>
      <c r="T52" s="4" t="s">
        <v>602</v>
      </c>
      <c r="U52" s="11">
        <f>IFERROR(INDEX(ShipPartShape!$A:$A,MATCH(T52,ShipPartShape!$B:$B,0)),"-")</f>
        <v>46600002</v>
      </c>
      <c r="V52" s="4" t="s">
        <v>606</v>
      </c>
      <c r="W52" s="11">
        <f>IFERROR(INDEX(ShipPartShape!$A:$A,MATCH(V52,ShipPartShape!$B:$B,0)),"-")</f>
        <v>46600003</v>
      </c>
      <c r="X52" s="4" t="s">
        <v>604</v>
      </c>
      <c r="Y52" s="11">
        <f>IFERROR(INDEX(ShipPartShape!$A:$A,MATCH(X52,ShipPartShape!$B:$B,0)),"-")</f>
        <v>46600005</v>
      </c>
      <c r="Z52" s="4" t="s">
        <v>609</v>
      </c>
      <c r="AA52" s="11">
        <f>IFERROR(INDEX(ShipPartShape!$A:$A,MATCH(Z52,ShipPartShape!$B:$B,0)),"-")</f>
        <v>46600011</v>
      </c>
      <c r="AB52" s="4"/>
      <c r="AC52" s="11" t="str">
        <f>IFERROR(INDEX(ShipPartShape!$A:$A,MATCH(AB52,ShipPartShape!$B:$B,0)),"-")</f>
        <v>-</v>
      </c>
      <c r="AD52" s="4"/>
      <c r="AE52" s="11" t="str">
        <f>IFERROR(INDEX(ShipPartShape!$A:$A,MATCH(AD52,ShipPartShape!$B:$B,0)),"-")</f>
        <v>-</v>
      </c>
      <c r="AF52" s="4"/>
      <c r="AG52" s="11" t="str">
        <f>IFERROR(INDEX(ShipPartShape!$A:$A,MATCH(AF52,ShipPartShape!$B:$B,0)),"-")</f>
        <v>-</v>
      </c>
      <c r="AH52" s="4"/>
      <c r="AI52" s="11" t="str">
        <f>IFERROR(INDEX(ShipPartShape!$A:$A,MATCH(AH52,ShipPartShape!$B:$B,0)),"-")</f>
        <v>-</v>
      </c>
      <c r="AJ52" s="11" t="s">
        <v>518</v>
      </c>
      <c r="AK52" s="11" t="s">
        <v>518</v>
      </c>
      <c r="AL52" s="11" t="s">
        <v>518</v>
      </c>
      <c r="AM52" s="11" t="s">
        <v>85</v>
      </c>
      <c r="AN52" s="11" t="s">
        <v>0</v>
      </c>
      <c r="AO52" s="11" t="s">
        <v>0</v>
      </c>
      <c r="AP52" s="11" t="s">
        <v>0</v>
      </c>
      <c r="AQ52" s="11" t="s">
        <v>0</v>
      </c>
      <c r="AR52" s="11" t="s">
        <v>0</v>
      </c>
      <c r="AS52" s="11" t="s">
        <v>0</v>
      </c>
      <c r="AT52" s="11" t="s">
        <v>0</v>
      </c>
      <c r="AU52" s="11">
        <v>47600015</v>
      </c>
      <c r="AV52" s="11" t="s">
        <v>0</v>
      </c>
      <c r="AW52" s="11" t="s">
        <v>0</v>
      </c>
      <c r="AX52" s="11" t="s">
        <v>0</v>
      </c>
    </row>
    <row r="53" spans="1:50" ht="15">
      <c r="A53" s="10">
        <f t="shared" si="0"/>
        <v>45000043</v>
      </c>
      <c r="B53" s="22" t="s">
        <v>223</v>
      </c>
      <c r="C53" s="11" t="s">
        <v>216</v>
      </c>
      <c r="D53" s="4" t="s">
        <v>218</v>
      </c>
      <c r="E53" s="11">
        <v>700</v>
      </c>
      <c r="F53" s="11">
        <v>100</v>
      </c>
      <c r="G53" s="11">
        <v>10</v>
      </c>
      <c r="H53" s="11">
        <v>-30</v>
      </c>
      <c r="I53" s="11">
        <f>IFERROR(INDEX(ShipPartShape!$A:$A,MATCH(D53,ShipPartShape!$B:$B,0)),"-")</f>
        <v>46000040</v>
      </c>
      <c r="J53" s="4" t="s">
        <v>1216</v>
      </c>
      <c r="K53" s="11">
        <f>IFERROR(INDEX(ShipPartShape!$A:$A,MATCH(J53,ShipPartShape!$B:$B,0)),"-")</f>
        <v>46700014</v>
      </c>
      <c r="L53" s="4" t="s">
        <v>69</v>
      </c>
      <c r="M53" s="11">
        <f>IFERROR(INDEX(ShipPartShape!$A:$A,MATCH(L53,ShipPartShape!$B:$B,0)),"-")</f>
        <v>46300001</v>
      </c>
      <c r="N53" s="4"/>
      <c r="O53" s="11" t="str">
        <f>IFERROR(INDEX(ShipPartShape!$A:$A,MATCH(N53,ShipPartShape!$B:$B,0)),"-")</f>
        <v>-</v>
      </c>
      <c r="P53" s="4"/>
      <c r="Q53" s="11" t="str">
        <f>IFERROR(INDEX(ShipPartShape!$A:$A,MATCH(P53,ShipPartShape!$B:$B,0)),"-")</f>
        <v>-</v>
      </c>
      <c r="R53" s="4"/>
      <c r="S53" s="11" t="str">
        <f>IFERROR(INDEX(ShipPartShape!$A:$A,MATCH(R53,ShipPartShape!$B:$B,0)),"-")</f>
        <v>-</v>
      </c>
      <c r="T53" s="4" t="s">
        <v>602</v>
      </c>
      <c r="U53" s="11">
        <f>IFERROR(INDEX(ShipPartShape!$A:$A,MATCH(T53,ShipPartShape!$B:$B,0)),"-")</f>
        <v>46600002</v>
      </c>
      <c r="V53" s="4" t="s">
        <v>606</v>
      </c>
      <c r="W53" s="11">
        <f>IFERROR(INDEX(ShipPartShape!$A:$A,MATCH(V53,ShipPartShape!$B:$B,0)),"-")</f>
        <v>46600003</v>
      </c>
      <c r="X53" s="4" t="s">
        <v>604</v>
      </c>
      <c r="Y53" s="11">
        <f>IFERROR(INDEX(ShipPartShape!$A:$A,MATCH(X53,ShipPartShape!$B:$B,0)),"-")</f>
        <v>46600005</v>
      </c>
      <c r="Z53" s="4" t="s">
        <v>609</v>
      </c>
      <c r="AA53" s="11">
        <f>IFERROR(INDEX(ShipPartShape!$A:$A,MATCH(Z53,ShipPartShape!$B:$B,0)),"-")</f>
        <v>46600011</v>
      </c>
      <c r="AB53" s="4"/>
      <c r="AC53" s="11" t="str">
        <f>IFERROR(INDEX(ShipPartShape!$A:$A,MATCH(AB53,ShipPartShape!$B:$B,0)),"-")</f>
        <v>-</v>
      </c>
      <c r="AD53" s="4"/>
      <c r="AE53" s="11" t="str">
        <f>IFERROR(INDEX(ShipPartShape!$A:$A,MATCH(AD53,ShipPartShape!$B:$B,0)),"-")</f>
        <v>-</v>
      </c>
      <c r="AF53" s="4"/>
      <c r="AG53" s="11" t="str">
        <f>IFERROR(INDEX(ShipPartShape!$A:$A,MATCH(AF53,ShipPartShape!$B:$B,0)),"-")</f>
        <v>-</v>
      </c>
      <c r="AH53" s="4"/>
      <c r="AI53" s="11" t="str">
        <f>IFERROR(INDEX(ShipPartShape!$A:$A,MATCH(AH53,ShipPartShape!$B:$B,0)),"-")</f>
        <v>-</v>
      </c>
      <c r="AJ53" s="11" t="s">
        <v>518</v>
      </c>
      <c r="AK53" s="11" t="s">
        <v>518</v>
      </c>
      <c r="AL53" s="11" t="s">
        <v>518</v>
      </c>
      <c r="AM53" s="11" t="s">
        <v>85</v>
      </c>
      <c r="AN53" s="11" t="s">
        <v>0</v>
      </c>
      <c r="AO53" s="11" t="s">
        <v>0</v>
      </c>
      <c r="AP53" s="11" t="s">
        <v>0</v>
      </c>
      <c r="AQ53" s="11" t="s">
        <v>0</v>
      </c>
      <c r="AR53" s="11" t="s">
        <v>0</v>
      </c>
      <c r="AS53" s="11" t="s">
        <v>0</v>
      </c>
      <c r="AT53" s="11" t="s">
        <v>0</v>
      </c>
      <c r="AU53" s="11">
        <v>47600015</v>
      </c>
      <c r="AV53" s="11" t="s">
        <v>0</v>
      </c>
      <c r="AW53" s="11" t="s">
        <v>0</v>
      </c>
      <c r="AX53" s="11" t="s">
        <v>0</v>
      </c>
    </row>
    <row r="54" spans="1:50" ht="15">
      <c r="A54" s="10">
        <f t="shared" si="0"/>
        <v>45000044</v>
      </c>
      <c r="B54" s="22" t="s">
        <v>227</v>
      </c>
      <c r="C54" s="11" t="s">
        <v>224</v>
      </c>
      <c r="D54" s="4" t="s">
        <v>225</v>
      </c>
      <c r="E54" s="11">
        <v>600</v>
      </c>
      <c r="F54" s="11">
        <v>100</v>
      </c>
      <c r="G54" s="11">
        <v>20</v>
      </c>
      <c r="H54" s="11">
        <v>-40</v>
      </c>
      <c r="I54" s="11">
        <f>IFERROR(INDEX(ShipPartShape!$A:$A,MATCH(D54,ShipPartShape!$B:$B,0)),"-")</f>
        <v>46000041</v>
      </c>
      <c r="J54" s="4" t="s">
        <v>70</v>
      </c>
      <c r="K54" s="11">
        <f>IFERROR(INDEX(ShipPartShape!$A:$A,MATCH(J54,ShipPartShape!$B:$B,0)),"-")</f>
        <v>46700001</v>
      </c>
      <c r="L54" s="4" t="s">
        <v>69</v>
      </c>
      <c r="M54" s="11">
        <f>IFERROR(INDEX(ShipPartShape!$A:$A,MATCH(L54,ShipPartShape!$B:$B,0)),"-")</f>
        <v>46300001</v>
      </c>
      <c r="N54" s="4"/>
      <c r="O54" s="11" t="str">
        <f>IFERROR(INDEX(ShipPartShape!$A:$A,MATCH(N54,ShipPartShape!$B:$B,0)),"-")</f>
        <v>-</v>
      </c>
      <c r="P54" s="4"/>
      <c r="Q54" s="11" t="str">
        <f>IFERROR(INDEX(ShipPartShape!$A:$A,MATCH(P54,ShipPartShape!$B:$B,0)),"-")</f>
        <v>-</v>
      </c>
      <c r="R54" s="4"/>
      <c r="S54" s="11" t="str">
        <f>IFERROR(INDEX(ShipPartShape!$A:$A,MATCH(R54,ShipPartShape!$B:$B,0)),"-")</f>
        <v>-</v>
      </c>
      <c r="T54" s="4" t="s">
        <v>608</v>
      </c>
      <c r="U54" s="11">
        <f>IFERROR(INDEX(ShipPartShape!$A:$A,MATCH(T54,ShipPartShape!$B:$B,0)),"-")</f>
        <v>46600004</v>
      </c>
      <c r="V54" s="4" t="s">
        <v>603</v>
      </c>
      <c r="W54" s="11">
        <f>IFERROR(INDEX(ShipPartShape!$A:$A,MATCH(V54,ShipPartShape!$B:$B,0)),"-")</f>
        <v>46600007</v>
      </c>
      <c r="X54" s="4" t="s">
        <v>611</v>
      </c>
      <c r="Y54" s="11">
        <f>IFERROR(INDEX(ShipPartShape!$A:$A,MATCH(X54,ShipPartShape!$B:$B,0)),"-")</f>
        <v>46600010</v>
      </c>
      <c r="Z54" s="4"/>
      <c r="AA54" s="11" t="str">
        <f>IFERROR(INDEX(ShipPartShape!$A:$A,MATCH(Z54,ShipPartShape!$B:$B,0)),"-")</f>
        <v>-</v>
      </c>
      <c r="AB54" s="4"/>
      <c r="AC54" s="11" t="str">
        <f>IFERROR(INDEX(ShipPartShape!$A:$A,MATCH(AB54,ShipPartShape!$B:$B,0)),"-")</f>
        <v>-</v>
      </c>
      <c r="AD54" s="4"/>
      <c r="AE54" s="11" t="str">
        <f>IFERROR(INDEX(ShipPartShape!$A:$A,MATCH(AD54,ShipPartShape!$B:$B,0)),"-")</f>
        <v>-</v>
      </c>
      <c r="AF54" s="4"/>
      <c r="AG54" s="11" t="str">
        <f>IFERROR(INDEX(ShipPartShape!$A:$A,MATCH(AF54,ShipPartShape!$B:$B,0)),"-")</f>
        <v>-</v>
      </c>
      <c r="AH54" s="4"/>
      <c r="AI54" s="11" t="str">
        <f>IFERROR(INDEX(ShipPartShape!$A:$A,MATCH(AH54,ShipPartShape!$B:$B,0)),"-")</f>
        <v>-</v>
      </c>
      <c r="AJ54" s="11" t="s">
        <v>518</v>
      </c>
      <c r="AK54" s="11" t="s">
        <v>518</v>
      </c>
      <c r="AL54" s="11" t="s">
        <v>518</v>
      </c>
      <c r="AM54" s="11" t="s">
        <v>24</v>
      </c>
      <c r="AN54" s="11" t="s">
        <v>0</v>
      </c>
      <c r="AO54" s="11" t="s">
        <v>0</v>
      </c>
      <c r="AP54" s="11" t="s">
        <v>0</v>
      </c>
      <c r="AQ54" s="11" t="s">
        <v>0</v>
      </c>
      <c r="AR54" s="11" t="s">
        <v>0</v>
      </c>
      <c r="AS54" s="11" t="s">
        <v>0</v>
      </c>
      <c r="AT54" s="11" t="s">
        <v>0</v>
      </c>
      <c r="AU54" s="11">
        <v>47600015</v>
      </c>
      <c r="AV54" s="11" t="s">
        <v>0</v>
      </c>
      <c r="AW54" s="11" t="s">
        <v>0</v>
      </c>
      <c r="AX54" s="11" t="s">
        <v>0</v>
      </c>
    </row>
    <row r="55" spans="1:50" ht="15">
      <c r="A55" s="10">
        <f t="shared" si="0"/>
        <v>45000045</v>
      </c>
      <c r="B55" s="22" t="s">
        <v>231</v>
      </c>
      <c r="C55" s="11" t="s">
        <v>232</v>
      </c>
      <c r="D55" s="4" t="s">
        <v>228</v>
      </c>
      <c r="E55" s="11">
        <v>600</v>
      </c>
      <c r="F55" s="11">
        <v>100</v>
      </c>
      <c r="G55" s="11">
        <v>20</v>
      </c>
      <c r="H55" s="11">
        <v>-40</v>
      </c>
      <c r="I55" s="11">
        <f>IFERROR(INDEX(ShipPartShape!$A:$A,MATCH(D55,ShipPartShape!$B:$B,0)),"-")</f>
        <v>46000042</v>
      </c>
      <c r="J55" s="4" t="s">
        <v>70</v>
      </c>
      <c r="K55" s="11">
        <f>IFERROR(INDEX(ShipPartShape!$A:$A,MATCH(J55,ShipPartShape!$B:$B,0)),"-")</f>
        <v>46700001</v>
      </c>
      <c r="L55" s="4" t="s">
        <v>69</v>
      </c>
      <c r="M55" s="11">
        <f>IFERROR(INDEX(ShipPartShape!$A:$A,MATCH(L55,ShipPartShape!$B:$B,0)),"-")</f>
        <v>46300001</v>
      </c>
      <c r="N55" s="4"/>
      <c r="O55" s="11" t="str">
        <f>IFERROR(INDEX(ShipPartShape!$A:$A,MATCH(N55,ShipPartShape!$B:$B,0)),"-")</f>
        <v>-</v>
      </c>
      <c r="P55" s="4"/>
      <c r="Q55" s="11" t="str">
        <f>IFERROR(INDEX(ShipPartShape!$A:$A,MATCH(P55,ShipPartShape!$B:$B,0)),"-")</f>
        <v>-</v>
      </c>
      <c r="R55" s="4"/>
      <c r="S55" s="11" t="str">
        <f>IFERROR(INDEX(ShipPartShape!$A:$A,MATCH(R55,ShipPartShape!$B:$B,0)),"-")</f>
        <v>-</v>
      </c>
      <c r="T55" s="4" t="s">
        <v>601</v>
      </c>
      <c r="U55" s="11">
        <f>IFERROR(INDEX(ShipPartShape!$A:$A,MATCH(T55,ShipPartShape!$B:$B,0)),"-")</f>
        <v>46600001</v>
      </c>
      <c r="V55" s="4" t="s">
        <v>602</v>
      </c>
      <c r="W55" s="11">
        <f>IFERROR(INDEX(ShipPartShape!$A:$A,MATCH(V55,ShipPartShape!$B:$B,0)),"-")</f>
        <v>46600002</v>
      </c>
      <c r="X55" s="4" t="s">
        <v>604</v>
      </c>
      <c r="Y55" s="11">
        <f>IFERROR(INDEX(ShipPartShape!$A:$A,MATCH(X55,ShipPartShape!$B:$B,0)),"-")</f>
        <v>46600005</v>
      </c>
      <c r="Z55" s="4" t="s">
        <v>609</v>
      </c>
      <c r="AA55" s="11">
        <f>IFERROR(INDEX(ShipPartShape!$A:$A,MATCH(Z55,ShipPartShape!$B:$B,0)),"-")</f>
        <v>46600011</v>
      </c>
      <c r="AB55" s="4"/>
      <c r="AC55" s="11" t="str">
        <f>IFERROR(INDEX(ShipPartShape!$A:$A,MATCH(AB55,ShipPartShape!$B:$B,0)),"-")</f>
        <v>-</v>
      </c>
      <c r="AD55" s="4"/>
      <c r="AE55" s="11" t="str">
        <f>IFERROR(INDEX(ShipPartShape!$A:$A,MATCH(AD55,ShipPartShape!$B:$B,0)),"-")</f>
        <v>-</v>
      </c>
      <c r="AF55" s="4"/>
      <c r="AG55" s="11" t="str">
        <f>IFERROR(INDEX(ShipPartShape!$A:$A,MATCH(AF55,ShipPartShape!$B:$B,0)),"-")</f>
        <v>-</v>
      </c>
      <c r="AH55" s="4"/>
      <c r="AI55" s="11" t="str">
        <f>IFERROR(INDEX(ShipPartShape!$A:$A,MATCH(AH55,ShipPartShape!$B:$B,0)),"-")</f>
        <v>-</v>
      </c>
      <c r="AJ55" s="11" t="s">
        <v>518</v>
      </c>
      <c r="AK55" s="11" t="s">
        <v>518</v>
      </c>
      <c r="AL55" s="11" t="s">
        <v>518</v>
      </c>
      <c r="AM55" s="11" t="s">
        <v>24</v>
      </c>
      <c r="AN55" s="11" t="s">
        <v>0</v>
      </c>
      <c r="AO55" s="11" t="s">
        <v>0</v>
      </c>
      <c r="AP55" s="11" t="s">
        <v>0</v>
      </c>
      <c r="AQ55" s="11" t="s">
        <v>0</v>
      </c>
      <c r="AR55" s="11" t="s">
        <v>0</v>
      </c>
      <c r="AS55" s="11" t="s">
        <v>0</v>
      </c>
      <c r="AT55" s="11" t="s">
        <v>0</v>
      </c>
      <c r="AU55" s="11">
        <v>47600015</v>
      </c>
      <c r="AV55" s="11" t="s">
        <v>0</v>
      </c>
      <c r="AW55" s="11" t="s">
        <v>0</v>
      </c>
      <c r="AX55" s="11" t="s">
        <v>0</v>
      </c>
    </row>
    <row r="56" spans="1:50" ht="15">
      <c r="A56" s="10">
        <f t="shared" si="0"/>
        <v>45000046</v>
      </c>
      <c r="B56" s="22" t="s">
        <v>237</v>
      </c>
      <c r="C56" s="11" t="s">
        <v>236</v>
      </c>
      <c r="D56" s="4" t="s">
        <v>238</v>
      </c>
      <c r="E56" s="11">
        <v>600</v>
      </c>
      <c r="F56" s="11">
        <v>100</v>
      </c>
      <c r="G56" s="11">
        <v>20</v>
      </c>
      <c r="H56" s="11">
        <v>-40</v>
      </c>
      <c r="I56" s="11">
        <f>IFERROR(INDEX(ShipPartShape!$A:$A,MATCH(D56,ShipPartShape!$B:$B,0)),"-")</f>
        <v>46000043</v>
      </c>
      <c r="J56" s="4" t="s">
        <v>70</v>
      </c>
      <c r="K56" s="11">
        <f>IFERROR(INDEX(ShipPartShape!$A:$A,MATCH(J56,ShipPartShape!$B:$B,0)),"-")</f>
        <v>46700001</v>
      </c>
      <c r="L56" s="4" t="s">
        <v>69</v>
      </c>
      <c r="M56" s="11">
        <f>IFERROR(INDEX(ShipPartShape!$A:$A,MATCH(L56,ShipPartShape!$B:$B,0)),"-")</f>
        <v>46300001</v>
      </c>
      <c r="N56" s="4"/>
      <c r="O56" s="11" t="str">
        <f>IFERROR(INDEX(ShipPartShape!$A:$A,MATCH(N56,ShipPartShape!$B:$B,0)),"-")</f>
        <v>-</v>
      </c>
      <c r="P56" s="4"/>
      <c r="Q56" s="11" t="str">
        <f>IFERROR(INDEX(ShipPartShape!$A:$A,MATCH(P56,ShipPartShape!$B:$B,0)),"-")</f>
        <v>-</v>
      </c>
      <c r="R56" s="4"/>
      <c r="S56" s="11" t="str">
        <f>IFERROR(INDEX(ShipPartShape!$A:$A,MATCH(R56,ShipPartShape!$B:$B,0)),"-")</f>
        <v>-</v>
      </c>
      <c r="T56" s="4" t="s">
        <v>602</v>
      </c>
      <c r="U56" s="11">
        <f>IFERROR(INDEX(ShipPartShape!$A:$A,MATCH(T56,ShipPartShape!$B:$B,0)),"-")</f>
        <v>46600002</v>
      </c>
      <c r="V56" s="4" t="s">
        <v>606</v>
      </c>
      <c r="W56" s="11">
        <f>IFERROR(INDEX(ShipPartShape!$A:$A,MATCH(V56,ShipPartShape!$B:$B,0)),"-")</f>
        <v>46600003</v>
      </c>
      <c r="X56" s="4" t="s">
        <v>610</v>
      </c>
      <c r="Y56" s="11">
        <f>IFERROR(INDEX(ShipPartShape!$A:$A,MATCH(X56,ShipPartShape!$B:$B,0)),"-")</f>
        <v>46600006</v>
      </c>
      <c r="Z56" s="4" t="s">
        <v>603</v>
      </c>
      <c r="AA56" s="11">
        <f>IFERROR(INDEX(ShipPartShape!$A:$A,MATCH(Z56,ShipPartShape!$B:$B,0)),"-")</f>
        <v>46600007</v>
      </c>
      <c r="AB56" s="4"/>
      <c r="AC56" s="11" t="str">
        <f>IFERROR(INDEX(ShipPartShape!$A:$A,MATCH(AB56,ShipPartShape!$B:$B,0)),"-")</f>
        <v>-</v>
      </c>
      <c r="AD56" s="4"/>
      <c r="AE56" s="11" t="str">
        <f>IFERROR(INDEX(ShipPartShape!$A:$A,MATCH(AD56,ShipPartShape!$B:$B,0)),"-")</f>
        <v>-</v>
      </c>
      <c r="AF56" s="4"/>
      <c r="AG56" s="11" t="str">
        <f>IFERROR(INDEX(ShipPartShape!$A:$A,MATCH(AF56,ShipPartShape!$B:$B,0)),"-")</f>
        <v>-</v>
      </c>
      <c r="AH56" s="4"/>
      <c r="AI56" s="11" t="str">
        <f>IFERROR(INDEX(ShipPartShape!$A:$A,MATCH(AH56,ShipPartShape!$B:$B,0)),"-")</f>
        <v>-</v>
      </c>
      <c r="AJ56" s="11" t="s">
        <v>518</v>
      </c>
      <c r="AK56" s="11" t="s">
        <v>518</v>
      </c>
      <c r="AL56" s="11" t="s">
        <v>518</v>
      </c>
      <c r="AM56" s="11" t="s">
        <v>24</v>
      </c>
      <c r="AN56" s="11" t="s">
        <v>0</v>
      </c>
      <c r="AO56" s="11" t="s">
        <v>0</v>
      </c>
      <c r="AP56" s="11" t="s">
        <v>0</v>
      </c>
      <c r="AQ56" s="11" t="s">
        <v>0</v>
      </c>
      <c r="AR56" s="11" t="s">
        <v>0</v>
      </c>
      <c r="AS56" s="11" t="s">
        <v>0</v>
      </c>
      <c r="AT56" s="11" t="s">
        <v>0</v>
      </c>
      <c r="AU56" s="11">
        <v>47600015</v>
      </c>
      <c r="AV56" s="11" t="s">
        <v>0</v>
      </c>
      <c r="AW56" s="11" t="s">
        <v>0</v>
      </c>
      <c r="AX56" s="11" t="s">
        <v>0</v>
      </c>
    </row>
    <row r="57" spans="1:50" ht="15">
      <c r="A57" s="10">
        <f t="shared" si="0"/>
        <v>45000047</v>
      </c>
      <c r="B57" s="22" t="s">
        <v>241</v>
      </c>
      <c r="C57" s="11" t="s">
        <v>242</v>
      </c>
      <c r="D57" s="4" t="s">
        <v>243</v>
      </c>
      <c r="E57" s="11">
        <v>600</v>
      </c>
      <c r="F57" s="11">
        <v>100</v>
      </c>
      <c r="G57" s="11">
        <v>20</v>
      </c>
      <c r="H57" s="11">
        <v>-40</v>
      </c>
      <c r="I57" s="11">
        <f>IFERROR(INDEX(ShipPartShape!$A:$A,MATCH(D57,ShipPartShape!$B:$B,0)),"-")</f>
        <v>46000044</v>
      </c>
      <c r="J57" s="4" t="s">
        <v>1216</v>
      </c>
      <c r="K57" s="11">
        <f>IFERROR(INDEX(ShipPartShape!$A:$A,MATCH(J57,ShipPartShape!$B:$B,0)),"-")</f>
        <v>46700014</v>
      </c>
      <c r="L57" s="4" t="s">
        <v>69</v>
      </c>
      <c r="M57" s="11">
        <f>IFERROR(INDEX(ShipPartShape!$A:$A,MATCH(L57,ShipPartShape!$B:$B,0)),"-")</f>
        <v>46300001</v>
      </c>
      <c r="N57" s="4"/>
      <c r="O57" s="11" t="str">
        <f>IFERROR(INDEX(ShipPartShape!$A:$A,MATCH(N57,ShipPartShape!$B:$B,0)),"-")</f>
        <v>-</v>
      </c>
      <c r="P57" s="4"/>
      <c r="Q57" s="11" t="str">
        <f>IFERROR(INDEX(ShipPartShape!$A:$A,MATCH(P57,ShipPartShape!$B:$B,0)),"-")</f>
        <v>-</v>
      </c>
      <c r="R57" s="4"/>
      <c r="S57" s="11" t="str">
        <f>IFERROR(INDEX(ShipPartShape!$A:$A,MATCH(R57,ShipPartShape!$B:$B,0)),"-")</f>
        <v>-</v>
      </c>
      <c r="T57" s="4" t="s">
        <v>602</v>
      </c>
      <c r="U57" s="11">
        <f>IFERROR(INDEX(ShipPartShape!$A:$A,MATCH(T57,ShipPartShape!$B:$B,0)),"-")</f>
        <v>46600002</v>
      </c>
      <c r="V57" s="4" t="s">
        <v>604</v>
      </c>
      <c r="W57" s="11">
        <f>IFERROR(INDEX(ShipPartShape!$A:$A,MATCH(V57,ShipPartShape!$B:$B,0)),"-")</f>
        <v>46600005</v>
      </c>
      <c r="X57" s="4" t="s">
        <v>608</v>
      </c>
      <c r="Y57" s="11">
        <f>IFERROR(INDEX(ShipPartShape!$A:$A,MATCH(X57,ShipPartShape!$B:$B,0)),"-")</f>
        <v>46600004</v>
      </c>
      <c r="Z57" s="4" t="s">
        <v>605</v>
      </c>
      <c r="AA57" s="11">
        <f>IFERROR(INDEX(ShipPartShape!$A:$A,MATCH(Z57,ShipPartShape!$B:$B,0)),"-")</f>
        <v>46600009</v>
      </c>
      <c r="AB57" s="4" t="s">
        <v>610</v>
      </c>
      <c r="AC57" s="11">
        <f>IFERROR(INDEX(ShipPartShape!$A:$A,MATCH(AB57,ShipPartShape!$B:$B,0)),"-")</f>
        <v>46600006</v>
      </c>
      <c r="AD57" s="4"/>
      <c r="AE57" s="11" t="str">
        <f>IFERROR(INDEX(ShipPartShape!$A:$A,MATCH(AD57,ShipPartShape!$B:$B,0)),"-")</f>
        <v>-</v>
      </c>
      <c r="AF57" s="4"/>
      <c r="AG57" s="11" t="str">
        <f>IFERROR(INDEX(ShipPartShape!$A:$A,MATCH(AF57,ShipPartShape!$B:$B,0)),"-")</f>
        <v>-</v>
      </c>
      <c r="AH57" s="4"/>
      <c r="AI57" s="11" t="str">
        <f>IFERROR(INDEX(ShipPartShape!$A:$A,MATCH(AH57,ShipPartShape!$B:$B,0)),"-")</f>
        <v>-</v>
      </c>
      <c r="AJ57" s="11" t="s">
        <v>518</v>
      </c>
      <c r="AK57" s="11" t="s">
        <v>518</v>
      </c>
      <c r="AL57" s="11" t="s">
        <v>518</v>
      </c>
      <c r="AM57" s="11" t="s">
        <v>0</v>
      </c>
      <c r="AN57" s="11" t="s">
        <v>0</v>
      </c>
      <c r="AO57" s="11" t="s">
        <v>0</v>
      </c>
      <c r="AP57" s="11" t="s">
        <v>0</v>
      </c>
      <c r="AQ57" s="11" t="s">
        <v>0</v>
      </c>
      <c r="AR57" s="11" t="s">
        <v>0</v>
      </c>
      <c r="AS57" s="11" t="s">
        <v>0</v>
      </c>
      <c r="AT57" s="11" t="s">
        <v>0</v>
      </c>
      <c r="AU57" s="11">
        <v>47600016</v>
      </c>
      <c r="AV57" s="11" t="s">
        <v>0</v>
      </c>
      <c r="AW57" s="11" t="s">
        <v>0</v>
      </c>
      <c r="AX57" s="11" t="s">
        <v>0</v>
      </c>
    </row>
    <row r="58" spans="1:50" ht="15">
      <c r="A58" s="10">
        <f t="shared" si="0"/>
        <v>45000048</v>
      </c>
      <c r="B58" s="22" t="s">
        <v>245</v>
      </c>
      <c r="C58" s="11" t="s">
        <v>246</v>
      </c>
      <c r="D58" s="4" t="s">
        <v>248</v>
      </c>
      <c r="E58" s="11">
        <v>600</v>
      </c>
      <c r="F58" s="11">
        <v>100</v>
      </c>
      <c r="G58" s="11">
        <v>20</v>
      </c>
      <c r="H58" s="11">
        <v>-40</v>
      </c>
      <c r="I58" s="11">
        <f>IFERROR(INDEX(ShipPartShape!$A:$A,MATCH(D58,ShipPartShape!$B:$B,0)),"-")</f>
        <v>46000045</v>
      </c>
      <c r="J58" s="4" t="s">
        <v>70</v>
      </c>
      <c r="K58" s="11">
        <f>IFERROR(INDEX(ShipPartShape!$A:$A,MATCH(J58,ShipPartShape!$B:$B,0)),"-")</f>
        <v>46700001</v>
      </c>
      <c r="L58" s="4" t="s">
        <v>69</v>
      </c>
      <c r="M58" s="11">
        <f>IFERROR(INDEX(ShipPartShape!$A:$A,MATCH(L58,ShipPartShape!$B:$B,0)),"-")</f>
        <v>46300001</v>
      </c>
      <c r="N58" s="4"/>
      <c r="O58" s="11" t="str">
        <f>IFERROR(INDEX(ShipPartShape!$A:$A,MATCH(N58,ShipPartShape!$B:$B,0)),"-")</f>
        <v>-</v>
      </c>
      <c r="P58" s="4"/>
      <c r="Q58" s="11" t="str">
        <f>IFERROR(INDEX(ShipPartShape!$A:$A,MATCH(P58,ShipPartShape!$B:$B,0)),"-")</f>
        <v>-</v>
      </c>
      <c r="R58" s="4"/>
      <c r="S58" s="11" t="str">
        <f>IFERROR(INDEX(ShipPartShape!$A:$A,MATCH(R58,ShipPartShape!$B:$B,0)),"-")</f>
        <v>-</v>
      </c>
      <c r="T58" s="4" t="s">
        <v>602</v>
      </c>
      <c r="U58" s="11">
        <f>IFERROR(INDEX(ShipPartShape!$A:$A,MATCH(T58,ShipPartShape!$B:$B,0)),"-")</f>
        <v>46600002</v>
      </c>
      <c r="V58" s="4" t="s">
        <v>608</v>
      </c>
      <c r="W58" s="11">
        <f>IFERROR(INDEX(ShipPartShape!$A:$A,MATCH(V58,ShipPartShape!$B:$B,0)),"-")</f>
        <v>46600004</v>
      </c>
      <c r="X58" s="4" t="s">
        <v>611</v>
      </c>
      <c r="Y58" s="11">
        <f>IFERROR(INDEX(ShipPartShape!$A:$A,MATCH(X58,ShipPartShape!$B:$B,0)),"-")</f>
        <v>46600010</v>
      </c>
      <c r="Z58" s="4" t="s">
        <v>605</v>
      </c>
      <c r="AA58" s="11">
        <f>IFERROR(INDEX(ShipPartShape!$A:$A,MATCH(Z58,ShipPartShape!$B:$B,0)),"-")</f>
        <v>46600009</v>
      </c>
      <c r="AB58" s="4"/>
      <c r="AC58" s="11" t="str">
        <f>IFERROR(INDEX(ShipPartShape!$A:$A,MATCH(AB58,ShipPartShape!$B:$B,0)),"-")</f>
        <v>-</v>
      </c>
      <c r="AD58" s="4"/>
      <c r="AE58" s="11" t="str">
        <f>IFERROR(INDEX(ShipPartShape!$A:$A,MATCH(AD58,ShipPartShape!$B:$B,0)),"-")</f>
        <v>-</v>
      </c>
      <c r="AF58" s="4"/>
      <c r="AG58" s="11" t="str">
        <f>IFERROR(INDEX(ShipPartShape!$A:$A,MATCH(AF58,ShipPartShape!$B:$B,0)),"-")</f>
        <v>-</v>
      </c>
      <c r="AH58" s="4"/>
      <c r="AI58" s="11" t="str">
        <f>IFERROR(INDEX(ShipPartShape!$A:$A,MATCH(AH58,ShipPartShape!$B:$B,0)),"-")</f>
        <v>-</v>
      </c>
      <c r="AJ58" s="11" t="s">
        <v>518</v>
      </c>
      <c r="AK58" s="11" t="s">
        <v>518</v>
      </c>
      <c r="AL58" s="11" t="s">
        <v>518</v>
      </c>
      <c r="AM58" s="11" t="s">
        <v>0</v>
      </c>
      <c r="AN58" s="11" t="s">
        <v>0</v>
      </c>
      <c r="AO58" s="11" t="s">
        <v>0</v>
      </c>
      <c r="AP58" s="11" t="s">
        <v>0</v>
      </c>
      <c r="AQ58" s="11" t="s">
        <v>0</v>
      </c>
      <c r="AR58" s="11" t="s">
        <v>0</v>
      </c>
      <c r="AS58" s="11" t="s">
        <v>0</v>
      </c>
      <c r="AT58" s="11" t="s">
        <v>0</v>
      </c>
      <c r="AU58" s="11">
        <v>47600016</v>
      </c>
      <c r="AV58" s="11" t="s">
        <v>0</v>
      </c>
      <c r="AW58" s="11" t="s">
        <v>0</v>
      </c>
      <c r="AX58" s="11" t="s">
        <v>0</v>
      </c>
    </row>
    <row r="59" spans="1:50" ht="15">
      <c r="A59" s="10">
        <f t="shared" si="0"/>
        <v>45000049</v>
      </c>
      <c r="B59" s="22" t="s">
        <v>315</v>
      </c>
      <c r="C59" s="11" t="s">
        <v>266</v>
      </c>
      <c r="D59" s="4" t="s">
        <v>267</v>
      </c>
      <c r="E59" s="11">
        <v>600</v>
      </c>
      <c r="F59" s="11">
        <v>100</v>
      </c>
      <c r="G59" s="11">
        <v>20</v>
      </c>
      <c r="H59" s="11">
        <v>-20</v>
      </c>
      <c r="I59" s="11">
        <f>IFERROR(INDEX(ShipPartShape!$A:$A,MATCH(D59,ShipPartShape!$B:$B,0)),"-")</f>
        <v>46000046</v>
      </c>
      <c r="J59" s="4" t="s">
        <v>1218</v>
      </c>
      <c r="K59" s="11">
        <f>IFERROR(INDEX(ShipPartShape!$A:$A,MATCH(J59,ShipPartShape!$B:$B,0)),"-")</f>
        <v>46700017</v>
      </c>
      <c r="L59" s="4" t="s">
        <v>269</v>
      </c>
      <c r="M59" s="11">
        <f>IFERROR(INDEX(ShipPartShape!$A:$A,MATCH(L59,ShipPartShape!$B:$B,0)),"-")</f>
        <v>46500001</v>
      </c>
      <c r="N59" s="4"/>
      <c r="O59" s="11" t="str">
        <f>IFERROR(INDEX(ShipPartShape!$A:$A,MATCH(N59,ShipPartShape!$B:$B,0)),"-")</f>
        <v>-</v>
      </c>
      <c r="P59" s="4"/>
      <c r="Q59" s="11" t="str">
        <f>IFERROR(INDEX(ShipPartShape!$A:$A,MATCH(P59,ShipPartShape!$B:$B,0)),"-")</f>
        <v>-</v>
      </c>
      <c r="R59" s="4"/>
      <c r="S59" s="11" t="str">
        <f>IFERROR(INDEX(ShipPartShape!$A:$A,MATCH(R59,ShipPartShape!$B:$B,0)),"-")</f>
        <v>-</v>
      </c>
      <c r="T59" s="4" t="s">
        <v>601</v>
      </c>
      <c r="U59" s="11">
        <f>IFERROR(INDEX(ShipPartShape!$A:$A,MATCH(T59,ShipPartShape!$B:$B,0)),"-")</f>
        <v>46600001</v>
      </c>
      <c r="V59" s="4" t="s">
        <v>608</v>
      </c>
      <c r="W59" s="11">
        <f>IFERROR(INDEX(ShipPartShape!$A:$A,MATCH(V59,ShipPartShape!$B:$B,0)),"-")</f>
        <v>46600004</v>
      </c>
      <c r="X59" s="4" t="s">
        <v>609</v>
      </c>
      <c r="Y59" s="11">
        <f>IFERROR(INDEX(ShipPartShape!$A:$A,MATCH(X59,ShipPartShape!$B:$B,0)),"-")</f>
        <v>46600011</v>
      </c>
      <c r="Z59" s="4"/>
      <c r="AA59" s="11" t="str">
        <f>IFERROR(INDEX(ShipPartShape!$A:$A,MATCH(Z59,ShipPartShape!$B:$B,0)),"-")</f>
        <v>-</v>
      </c>
      <c r="AB59" s="4"/>
      <c r="AC59" s="11" t="str">
        <f>IFERROR(INDEX(ShipPartShape!$A:$A,MATCH(AB59,ShipPartShape!$B:$B,0)),"-")</f>
        <v>-</v>
      </c>
      <c r="AD59" s="4"/>
      <c r="AE59" s="11" t="str">
        <f>IFERROR(INDEX(ShipPartShape!$A:$A,MATCH(AD59,ShipPartShape!$B:$B,0)),"-")</f>
        <v>-</v>
      </c>
      <c r="AF59" s="4"/>
      <c r="AG59" s="11" t="str">
        <f>IFERROR(INDEX(ShipPartShape!$A:$A,MATCH(AF59,ShipPartShape!$B:$B,0)),"-")</f>
        <v>-</v>
      </c>
      <c r="AH59" s="4"/>
      <c r="AI59" s="11" t="str">
        <f>IFERROR(INDEX(ShipPartShape!$A:$A,MATCH(AH59,ShipPartShape!$B:$B,0)),"-")</f>
        <v>-</v>
      </c>
      <c r="AJ59" s="11" t="s">
        <v>518</v>
      </c>
      <c r="AK59" s="11" t="s">
        <v>518</v>
      </c>
      <c r="AL59" s="11" t="s">
        <v>518</v>
      </c>
      <c r="AM59" s="11" t="s">
        <v>0</v>
      </c>
      <c r="AN59" s="11" t="s">
        <v>0</v>
      </c>
      <c r="AO59" s="11" t="s">
        <v>0</v>
      </c>
      <c r="AP59" s="11" t="s">
        <v>0</v>
      </c>
      <c r="AQ59" s="11" t="s">
        <v>0</v>
      </c>
      <c r="AR59" s="11" t="s">
        <v>0</v>
      </c>
      <c r="AS59" s="11" t="s">
        <v>0</v>
      </c>
      <c r="AT59" s="11" t="s">
        <v>0</v>
      </c>
      <c r="AU59" s="11">
        <v>47600016</v>
      </c>
      <c r="AV59" s="11" t="s">
        <v>0</v>
      </c>
      <c r="AW59" s="11" t="s">
        <v>0</v>
      </c>
      <c r="AX59" s="11" t="s">
        <v>0</v>
      </c>
    </row>
    <row r="60" spans="1:50" ht="15">
      <c r="A60" s="10">
        <f t="shared" si="0"/>
        <v>45000050</v>
      </c>
      <c r="B60" s="22" t="s">
        <v>274</v>
      </c>
      <c r="C60" s="11" t="s">
        <v>275</v>
      </c>
      <c r="D60" s="4" t="s">
        <v>276</v>
      </c>
      <c r="E60" s="11">
        <v>700</v>
      </c>
      <c r="F60" s="11">
        <v>150</v>
      </c>
      <c r="G60" s="11">
        <v>20</v>
      </c>
      <c r="H60" s="11">
        <v>-40</v>
      </c>
      <c r="I60" s="11">
        <f>IFERROR(INDEX(ShipPartShape!$A:$A,MATCH(D60,ShipPartShape!$B:$B,0)),"-")</f>
        <v>46000047</v>
      </c>
      <c r="J60" s="4" t="s">
        <v>1258</v>
      </c>
      <c r="K60" s="11">
        <f>IFERROR(INDEX(ShipPartShape!$A:$A,MATCH(J60,ShipPartShape!$B:$B,0)),"-")</f>
        <v>46700004</v>
      </c>
      <c r="L60" s="4" t="s">
        <v>279</v>
      </c>
      <c r="M60" s="11">
        <f>IFERROR(INDEX(ShipPartShape!$A:$A,MATCH(L60,ShipPartShape!$B:$B,0)),"-")</f>
        <v>46500002</v>
      </c>
      <c r="N60" s="4" t="s">
        <v>69</v>
      </c>
      <c r="O60" s="11">
        <f>IFERROR(INDEX(ShipPartShape!$A:$A,MATCH(N60,ShipPartShape!$B:$B,0)),"-")</f>
        <v>46300001</v>
      </c>
      <c r="P60" s="4"/>
      <c r="Q60" s="11" t="str">
        <f>IFERROR(INDEX(ShipPartShape!$A:$A,MATCH(P60,ShipPartShape!$B:$B,0)),"-")</f>
        <v>-</v>
      </c>
      <c r="R60" s="4"/>
      <c r="S60" s="11" t="str">
        <f>IFERROR(INDEX(ShipPartShape!$A:$A,MATCH(R60,ShipPartShape!$B:$B,0)),"-")</f>
        <v>-</v>
      </c>
      <c r="T60" s="4"/>
      <c r="U60" s="11" t="str">
        <f>IFERROR(INDEX(ShipPartShape!$A:$A,MATCH(T60,ShipPartShape!$B:$B,0)),"-")</f>
        <v>-</v>
      </c>
      <c r="V60" s="4"/>
      <c r="W60" s="11" t="str">
        <f>IFERROR(INDEX(ShipPartShape!$A:$A,MATCH(V60,ShipPartShape!$B:$B,0)),"-")</f>
        <v>-</v>
      </c>
      <c r="X60" s="4"/>
      <c r="Y60" s="11" t="str">
        <f>IFERROR(INDEX(ShipPartShape!$A:$A,MATCH(X60,ShipPartShape!$B:$B,0)),"-")</f>
        <v>-</v>
      </c>
      <c r="Z60" s="4"/>
      <c r="AA60" s="11" t="str">
        <f>IFERROR(INDEX(ShipPartShape!$A:$A,MATCH(Z60,ShipPartShape!$B:$B,0)),"-")</f>
        <v>-</v>
      </c>
      <c r="AB60" s="4"/>
      <c r="AC60" s="11" t="str">
        <f>IFERROR(INDEX(ShipPartShape!$A:$A,MATCH(AB60,ShipPartShape!$B:$B,0)),"-")</f>
        <v>-</v>
      </c>
      <c r="AD60" s="4"/>
      <c r="AE60" s="11" t="str">
        <f>IFERROR(INDEX(ShipPartShape!$A:$A,MATCH(AD60,ShipPartShape!$B:$B,0)),"-")</f>
        <v>-</v>
      </c>
      <c r="AF60" s="4"/>
      <c r="AG60" s="11" t="str">
        <f>IFERROR(INDEX(ShipPartShape!$A:$A,MATCH(AF60,ShipPartShape!$B:$B,0)),"-")</f>
        <v>-</v>
      </c>
      <c r="AH60" s="4"/>
      <c r="AI60" s="11" t="str">
        <f>IFERROR(INDEX(ShipPartShape!$A:$A,MATCH(AH60,ShipPartShape!$B:$B,0)),"-")</f>
        <v>-</v>
      </c>
      <c r="AJ60" s="11" t="s">
        <v>518</v>
      </c>
      <c r="AK60" s="11" t="s">
        <v>518</v>
      </c>
      <c r="AL60" s="11" t="s">
        <v>518</v>
      </c>
      <c r="AM60" s="11" t="s">
        <v>0</v>
      </c>
      <c r="AN60" s="11" t="s">
        <v>0</v>
      </c>
      <c r="AO60" s="11" t="s">
        <v>0</v>
      </c>
      <c r="AP60" s="11" t="s">
        <v>0</v>
      </c>
      <c r="AQ60" s="11" t="s">
        <v>0</v>
      </c>
      <c r="AR60" s="11" t="s">
        <v>0</v>
      </c>
      <c r="AS60" s="11" t="s">
        <v>0</v>
      </c>
      <c r="AT60" s="11" t="s">
        <v>0</v>
      </c>
      <c r="AU60" s="11">
        <v>47600018</v>
      </c>
      <c r="AV60" s="11" t="s">
        <v>0</v>
      </c>
      <c r="AW60" s="11" t="s">
        <v>0</v>
      </c>
      <c r="AX60" s="11" t="s">
        <v>0</v>
      </c>
    </row>
    <row r="61" spans="1:50" ht="15">
      <c r="A61" s="10">
        <f t="shared" si="0"/>
        <v>45000051</v>
      </c>
      <c r="B61" s="22" t="s">
        <v>281</v>
      </c>
      <c r="C61" s="11" t="s">
        <v>282</v>
      </c>
      <c r="D61" s="4" t="s">
        <v>323</v>
      </c>
      <c r="E61" s="11">
        <v>700</v>
      </c>
      <c r="F61" s="11">
        <v>150</v>
      </c>
      <c r="G61" s="11">
        <v>20</v>
      </c>
      <c r="H61" s="11">
        <v>-40</v>
      </c>
      <c r="I61" s="11">
        <f>IFERROR(INDEX(ShipPartShape!$A:$A,MATCH(D61,ShipPartShape!$B:$B,0)),"-")</f>
        <v>46000048</v>
      </c>
      <c r="J61" s="4" t="s">
        <v>1212</v>
      </c>
      <c r="K61" s="11">
        <f>IFERROR(INDEX(ShipPartShape!$A:$A,MATCH(J61,ShipPartShape!$B:$B,0)),"-")</f>
        <v>46700005</v>
      </c>
      <c r="L61" s="4" t="s">
        <v>283</v>
      </c>
      <c r="M61" s="11">
        <f>IFERROR(INDEX(ShipPartShape!$A:$A,MATCH(L61,ShipPartShape!$B:$B,0)),"-")</f>
        <v>46500003</v>
      </c>
      <c r="N61" s="4"/>
      <c r="O61" s="11" t="str">
        <f>IFERROR(INDEX(ShipPartShape!$A:$A,MATCH(N61,ShipPartShape!$B:$B,0)),"-")</f>
        <v>-</v>
      </c>
      <c r="P61" s="4"/>
      <c r="Q61" s="11" t="str">
        <f>IFERROR(INDEX(ShipPartShape!$A:$A,MATCH(P61,ShipPartShape!$B:$B,0)),"-")</f>
        <v>-</v>
      </c>
      <c r="R61" s="4"/>
      <c r="S61" s="11" t="str">
        <f>IFERROR(INDEX(ShipPartShape!$A:$A,MATCH(R61,ShipPartShape!$B:$B,0)),"-")</f>
        <v>-</v>
      </c>
      <c r="T61" s="4"/>
      <c r="U61" s="11" t="str">
        <f>IFERROR(INDEX(ShipPartShape!$A:$A,MATCH(T61,ShipPartShape!$B:$B,0)),"-")</f>
        <v>-</v>
      </c>
      <c r="V61" s="4"/>
      <c r="W61" s="11" t="str">
        <f>IFERROR(INDEX(ShipPartShape!$A:$A,MATCH(V61,ShipPartShape!$B:$B,0)),"-")</f>
        <v>-</v>
      </c>
      <c r="X61" s="4"/>
      <c r="Y61" s="11" t="str">
        <f>IFERROR(INDEX(ShipPartShape!$A:$A,MATCH(X61,ShipPartShape!$B:$B,0)),"-")</f>
        <v>-</v>
      </c>
      <c r="Z61" s="4"/>
      <c r="AA61" s="11" t="str">
        <f>IFERROR(INDEX(ShipPartShape!$A:$A,MATCH(Z61,ShipPartShape!$B:$B,0)),"-")</f>
        <v>-</v>
      </c>
      <c r="AB61" s="4"/>
      <c r="AC61" s="11" t="str">
        <f>IFERROR(INDEX(ShipPartShape!$A:$A,MATCH(AB61,ShipPartShape!$B:$B,0)),"-")</f>
        <v>-</v>
      </c>
      <c r="AD61" s="4"/>
      <c r="AE61" s="11" t="str">
        <f>IFERROR(INDEX(ShipPartShape!$A:$A,MATCH(AD61,ShipPartShape!$B:$B,0)),"-")</f>
        <v>-</v>
      </c>
      <c r="AF61" s="4"/>
      <c r="AG61" s="11" t="str">
        <f>IFERROR(INDEX(ShipPartShape!$A:$A,MATCH(AF61,ShipPartShape!$B:$B,0)),"-")</f>
        <v>-</v>
      </c>
      <c r="AH61" s="4"/>
      <c r="AI61" s="11" t="str">
        <f>IFERROR(INDEX(ShipPartShape!$A:$A,MATCH(AH61,ShipPartShape!$B:$B,0)),"-")</f>
        <v>-</v>
      </c>
      <c r="AJ61" s="11" t="s">
        <v>518</v>
      </c>
      <c r="AK61" s="11" t="s">
        <v>518</v>
      </c>
      <c r="AL61" s="11" t="s">
        <v>518</v>
      </c>
      <c r="AM61" s="11" t="s">
        <v>0</v>
      </c>
      <c r="AN61" s="11" t="s">
        <v>0</v>
      </c>
      <c r="AO61" s="11" t="s">
        <v>0</v>
      </c>
      <c r="AP61" s="11" t="s">
        <v>0</v>
      </c>
      <c r="AQ61" s="11" t="s">
        <v>0</v>
      </c>
      <c r="AR61" s="11" t="s">
        <v>0</v>
      </c>
      <c r="AS61" s="11" t="s">
        <v>0</v>
      </c>
      <c r="AT61" s="11" t="s">
        <v>0</v>
      </c>
      <c r="AU61" s="11">
        <v>47600017</v>
      </c>
      <c r="AV61" s="11" t="s">
        <v>0</v>
      </c>
      <c r="AW61" s="11" t="s">
        <v>0</v>
      </c>
      <c r="AX61" s="11" t="s">
        <v>0</v>
      </c>
    </row>
    <row r="62" spans="1:50" ht="15">
      <c r="A62" s="10">
        <f t="shared" si="0"/>
        <v>45000052</v>
      </c>
      <c r="B62" s="22" t="s">
        <v>288</v>
      </c>
      <c r="C62" s="11" t="s">
        <v>289</v>
      </c>
      <c r="D62" s="4" t="s">
        <v>286</v>
      </c>
      <c r="E62" s="11">
        <v>700</v>
      </c>
      <c r="F62" s="11">
        <v>150</v>
      </c>
      <c r="G62" s="11">
        <v>20</v>
      </c>
      <c r="H62" s="11">
        <v>-40</v>
      </c>
      <c r="I62" s="11">
        <f>IFERROR(INDEX(ShipPartShape!$A:$A,MATCH(D62,ShipPartShape!$B:$B,0)),"-")</f>
        <v>46000049</v>
      </c>
      <c r="J62" s="4" t="s">
        <v>1257</v>
      </c>
      <c r="K62" s="11">
        <f>IFERROR(INDEX(ShipPartShape!$A:$A,MATCH(J62,ShipPartShape!$B:$B,0)),"-")</f>
        <v>46700012</v>
      </c>
      <c r="L62" s="4"/>
      <c r="M62" s="11" t="str">
        <f>IFERROR(INDEX(ShipPartShape!$A:$A,MATCH(L62,ShipPartShape!$B:$B,0)),"-")</f>
        <v>-</v>
      </c>
      <c r="N62" s="4"/>
      <c r="O62" s="11" t="str">
        <f>IFERROR(INDEX(ShipPartShape!$A:$A,MATCH(N62,ShipPartShape!$B:$B,0)),"-")</f>
        <v>-</v>
      </c>
      <c r="P62" s="4"/>
      <c r="Q62" s="11" t="str">
        <f>IFERROR(INDEX(ShipPartShape!$A:$A,MATCH(P62,ShipPartShape!$B:$B,0)),"-")</f>
        <v>-</v>
      </c>
      <c r="R62" s="4"/>
      <c r="S62" s="11" t="str">
        <f>IFERROR(INDEX(ShipPartShape!$A:$A,MATCH(R62,ShipPartShape!$B:$B,0)),"-")</f>
        <v>-</v>
      </c>
      <c r="T62" s="4" t="s">
        <v>604</v>
      </c>
      <c r="U62" s="11">
        <f>IFERROR(INDEX(ShipPartShape!$A:$A,MATCH(T62,ShipPartShape!$B:$B,0)),"-")</f>
        <v>46600005</v>
      </c>
      <c r="V62" s="4" t="s">
        <v>611</v>
      </c>
      <c r="W62" s="11">
        <f>IFERROR(INDEX(ShipPartShape!$A:$A,MATCH(V62,ShipPartShape!$B:$B,0)),"-")</f>
        <v>46600010</v>
      </c>
      <c r="X62" s="4"/>
      <c r="Y62" s="11" t="str">
        <f>IFERROR(INDEX(ShipPartShape!$A:$A,MATCH(X62,ShipPartShape!$B:$B,0)),"-")</f>
        <v>-</v>
      </c>
      <c r="Z62" s="4"/>
      <c r="AA62" s="11" t="str">
        <f>IFERROR(INDEX(ShipPartShape!$A:$A,MATCH(Z62,ShipPartShape!$B:$B,0)),"-")</f>
        <v>-</v>
      </c>
      <c r="AB62" s="4"/>
      <c r="AC62" s="11" t="str">
        <f>IFERROR(INDEX(ShipPartShape!$A:$A,MATCH(AB62,ShipPartShape!$B:$B,0)),"-")</f>
        <v>-</v>
      </c>
      <c r="AD62" s="4"/>
      <c r="AE62" s="11" t="str">
        <f>IFERROR(INDEX(ShipPartShape!$A:$A,MATCH(AD62,ShipPartShape!$B:$B,0)),"-")</f>
        <v>-</v>
      </c>
      <c r="AF62" s="4"/>
      <c r="AG62" s="11" t="str">
        <f>IFERROR(INDEX(ShipPartShape!$A:$A,MATCH(AF62,ShipPartShape!$B:$B,0)),"-")</f>
        <v>-</v>
      </c>
      <c r="AH62" s="4"/>
      <c r="AI62" s="11" t="str">
        <f>IFERROR(INDEX(ShipPartShape!$A:$A,MATCH(AH62,ShipPartShape!$B:$B,0)),"-")</f>
        <v>-</v>
      </c>
      <c r="AJ62" s="11" t="s">
        <v>518</v>
      </c>
      <c r="AK62" s="11" t="s">
        <v>518</v>
      </c>
      <c r="AL62" s="11" t="s">
        <v>518</v>
      </c>
      <c r="AM62" s="11" t="s">
        <v>0</v>
      </c>
      <c r="AN62" s="11" t="s">
        <v>0</v>
      </c>
      <c r="AO62" s="11" t="s">
        <v>0</v>
      </c>
      <c r="AP62" s="11" t="s">
        <v>0</v>
      </c>
      <c r="AQ62" s="11" t="s">
        <v>0</v>
      </c>
      <c r="AR62" s="11" t="s">
        <v>0</v>
      </c>
      <c r="AS62" s="11" t="s">
        <v>0</v>
      </c>
      <c r="AT62" s="11" t="s">
        <v>0</v>
      </c>
      <c r="AU62" s="11">
        <v>47600018</v>
      </c>
      <c r="AV62" s="11" t="s">
        <v>0</v>
      </c>
      <c r="AW62" s="11" t="s">
        <v>0</v>
      </c>
      <c r="AX62" s="11" t="s">
        <v>0</v>
      </c>
    </row>
    <row r="63" spans="1:50" ht="15">
      <c r="A63" s="10">
        <f t="shared" si="0"/>
        <v>45000053</v>
      </c>
      <c r="B63" s="22" t="s">
        <v>316</v>
      </c>
      <c r="C63" s="11" t="s">
        <v>292</v>
      </c>
      <c r="D63" s="4" t="s">
        <v>290</v>
      </c>
      <c r="E63" s="11">
        <v>700</v>
      </c>
      <c r="F63" s="11">
        <v>100</v>
      </c>
      <c r="G63" s="11">
        <v>20</v>
      </c>
      <c r="H63" s="11">
        <v>-40</v>
      </c>
      <c r="I63" s="11">
        <f>IFERROR(INDEX(ShipPartShape!$A:$A,MATCH(D63,ShipPartShape!$B:$B,0)),"-")</f>
        <v>46000050</v>
      </c>
      <c r="J63" s="4" t="s">
        <v>1215</v>
      </c>
      <c r="K63" s="11">
        <f>IFERROR(INDEX(ShipPartShape!$A:$A,MATCH(J63,ShipPartShape!$B:$B,0)),"-")</f>
        <v>46700013</v>
      </c>
      <c r="L63" s="4"/>
      <c r="M63" s="11" t="str">
        <f>IFERROR(INDEX(ShipPartShape!$A:$A,MATCH(L63,ShipPartShape!$B:$B,0)),"-")</f>
        <v>-</v>
      </c>
      <c r="N63" s="4"/>
      <c r="O63" s="11" t="str">
        <f>IFERROR(INDEX(ShipPartShape!$A:$A,MATCH(N63,ShipPartShape!$B:$B,0)),"-")</f>
        <v>-</v>
      </c>
      <c r="P63" s="4"/>
      <c r="Q63" s="11" t="str">
        <f>IFERROR(INDEX(ShipPartShape!$A:$A,MATCH(P63,ShipPartShape!$B:$B,0)),"-")</f>
        <v>-</v>
      </c>
      <c r="R63" s="4"/>
      <c r="S63" s="11" t="str">
        <f>IFERROR(INDEX(ShipPartShape!$A:$A,MATCH(R63,ShipPartShape!$B:$B,0)),"-")</f>
        <v>-</v>
      </c>
      <c r="T63" s="4" t="s">
        <v>604</v>
      </c>
      <c r="U63" s="11">
        <f>IFERROR(INDEX(ShipPartShape!$A:$A,MATCH(T63,ShipPartShape!$B:$B,0)),"-")</f>
        <v>46600005</v>
      </c>
      <c r="V63" s="4" t="s">
        <v>603</v>
      </c>
      <c r="W63" s="11">
        <f>IFERROR(INDEX(ShipPartShape!$A:$A,MATCH(V63,ShipPartShape!$B:$B,0)),"-")</f>
        <v>46600007</v>
      </c>
      <c r="X63" s="4" t="s">
        <v>609</v>
      </c>
      <c r="Y63" s="11">
        <f>IFERROR(INDEX(ShipPartShape!$A:$A,MATCH(X63,ShipPartShape!$B:$B,0)),"-")</f>
        <v>46600011</v>
      </c>
      <c r="Z63" s="4" t="s">
        <v>605</v>
      </c>
      <c r="AA63" s="11">
        <f>IFERROR(INDEX(ShipPartShape!$A:$A,MATCH(Z63,ShipPartShape!$B:$B,0)),"-")</f>
        <v>46600009</v>
      </c>
      <c r="AB63" s="4"/>
      <c r="AC63" s="11" t="str">
        <f>IFERROR(INDEX(ShipPartShape!$A:$A,MATCH(AB63,ShipPartShape!$B:$B,0)),"-")</f>
        <v>-</v>
      </c>
      <c r="AD63" s="4"/>
      <c r="AE63" s="11" t="str">
        <f>IFERROR(INDEX(ShipPartShape!$A:$A,MATCH(AD63,ShipPartShape!$B:$B,0)),"-")</f>
        <v>-</v>
      </c>
      <c r="AF63" s="4"/>
      <c r="AG63" s="11" t="str">
        <f>IFERROR(INDEX(ShipPartShape!$A:$A,MATCH(AF63,ShipPartShape!$B:$B,0)),"-")</f>
        <v>-</v>
      </c>
      <c r="AH63" s="4"/>
      <c r="AI63" s="11" t="str">
        <f>IFERROR(INDEX(ShipPartShape!$A:$A,MATCH(AH63,ShipPartShape!$B:$B,0)),"-")</f>
        <v>-</v>
      </c>
      <c r="AJ63" s="11" t="s">
        <v>518</v>
      </c>
      <c r="AK63" s="11" t="s">
        <v>518</v>
      </c>
      <c r="AL63" s="11" t="s">
        <v>518</v>
      </c>
      <c r="AM63" s="11" t="s">
        <v>0</v>
      </c>
      <c r="AN63" s="11" t="s">
        <v>0</v>
      </c>
      <c r="AO63" s="11" t="s">
        <v>0</v>
      </c>
      <c r="AP63" s="11" t="s">
        <v>0</v>
      </c>
      <c r="AQ63" s="11" t="s">
        <v>0</v>
      </c>
      <c r="AR63" s="11" t="s">
        <v>0</v>
      </c>
      <c r="AS63" s="11" t="s">
        <v>0</v>
      </c>
      <c r="AT63" s="11" t="s">
        <v>0</v>
      </c>
      <c r="AU63" s="11">
        <v>47600016</v>
      </c>
      <c r="AV63" s="11" t="s">
        <v>0</v>
      </c>
      <c r="AW63" s="11" t="s">
        <v>0</v>
      </c>
      <c r="AX63" s="11" t="s">
        <v>0</v>
      </c>
    </row>
    <row r="64" spans="1:50" ht="15">
      <c r="A64" s="10">
        <f t="shared" si="0"/>
        <v>45000054</v>
      </c>
      <c r="B64" s="22" t="s">
        <v>317</v>
      </c>
      <c r="C64" s="11" t="s">
        <v>295</v>
      </c>
      <c r="D64" s="4" t="s">
        <v>293</v>
      </c>
      <c r="E64" s="11">
        <v>700</v>
      </c>
      <c r="F64" s="11">
        <v>100</v>
      </c>
      <c r="G64" s="11">
        <v>20</v>
      </c>
      <c r="H64" s="11">
        <v>-40</v>
      </c>
      <c r="I64" s="11">
        <f>IFERROR(INDEX(ShipPartShape!$A:$A,MATCH(D64,ShipPartShape!$B:$B,0)),"-")</f>
        <v>46000051</v>
      </c>
      <c r="J64" s="4" t="s">
        <v>1215</v>
      </c>
      <c r="K64" s="11">
        <f>IFERROR(INDEX(ShipPartShape!$A:$A,MATCH(J64,ShipPartShape!$B:$B,0)),"-")</f>
        <v>46700013</v>
      </c>
      <c r="L64" s="4"/>
      <c r="M64" s="11" t="str">
        <f>IFERROR(INDEX(ShipPartShape!$A:$A,MATCH(L64,ShipPartShape!$B:$B,0)),"-")</f>
        <v>-</v>
      </c>
      <c r="N64" s="4"/>
      <c r="O64" s="11" t="str">
        <f>IFERROR(INDEX(ShipPartShape!$A:$A,MATCH(N64,ShipPartShape!$B:$B,0)),"-")</f>
        <v>-</v>
      </c>
      <c r="P64" s="4"/>
      <c r="Q64" s="11" t="str">
        <f>IFERROR(INDEX(ShipPartShape!$A:$A,MATCH(P64,ShipPartShape!$B:$B,0)),"-")</f>
        <v>-</v>
      </c>
      <c r="R64" s="4"/>
      <c r="S64" s="11" t="str">
        <f>IFERROR(INDEX(ShipPartShape!$A:$A,MATCH(R64,ShipPartShape!$B:$B,0)),"-")</f>
        <v>-</v>
      </c>
      <c r="T64" s="4" t="s">
        <v>601</v>
      </c>
      <c r="U64" s="11">
        <f>IFERROR(INDEX(ShipPartShape!$A:$A,MATCH(T64,ShipPartShape!$B:$B,0)),"-")</f>
        <v>46600001</v>
      </c>
      <c r="V64" s="4" t="s">
        <v>603</v>
      </c>
      <c r="W64" s="11">
        <f>IFERROR(INDEX(ShipPartShape!$A:$A,MATCH(V64,ShipPartShape!$B:$B,0)),"-")</f>
        <v>46600007</v>
      </c>
      <c r="X64" s="4" t="s">
        <v>609</v>
      </c>
      <c r="Y64" s="11">
        <f>IFERROR(INDEX(ShipPartShape!$A:$A,MATCH(X64,ShipPartShape!$B:$B,0)),"-")</f>
        <v>46600011</v>
      </c>
      <c r="Z64" s="4" t="s">
        <v>611</v>
      </c>
      <c r="AA64" s="11">
        <f>IFERROR(INDEX(ShipPartShape!$A:$A,MATCH(Z64,ShipPartShape!$B:$B,0)),"-")</f>
        <v>46600010</v>
      </c>
      <c r="AB64" s="4" t="s">
        <v>605</v>
      </c>
      <c r="AC64" s="11">
        <f>IFERROR(INDEX(ShipPartShape!$A:$A,MATCH(AB64,ShipPartShape!$B:$B,0)),"-")</f>
        <v>46600009</v>
      </c>
      <c r="AD64" s="4"/>
      <c r="AE64" s="11" t="str">
        <f>IFERROR(INDEX(ShipPartShape!$A:$A,MATCH(AD64,ShipPartShape!$B:$B,0)),"-")</f>
        <v>-</v>
      </c>
      <c r="AF64" s="4"/>
      <c r="AG64" s="11" t="str">
        <f>IFERROR(INDEX(ShipPartShape!$A:$A,MATCH(AF64,ShipPartShape!$B:$B,0)),"-")</f>
        <v>-</v>
      </c>
      <c r="AH64" s="4"/>
      <c r="AI64" s="11" t="str">
        <f>IFERROR(INDEX(ShipPartShape!$A:$A,MATCH(AH64,ShipPartShape!$B:$B,0)),"-")</f>
        <v>-</v>
      </c>
      <c r="AJ64" s="11" t="s">
        <v>518</v>
      </c>
      <c r="AK64" s="11" t="s">
        <v>518</v>
      </c>
      <c r="AL64" s="11" t="s">
        <v>518</v>
      </c>
      <c r="AM64" s="11" t="s">
        <v>0</v>
      </c>
      <c r="AN64" s="11" t="s">
        <v>0</v>
      </c>
      <c r="AO64" s="11" t="s">
        <v>0</v>
      </c>
      <c r="AP64" s="11" t="s">
        <v>0</v>
      </c>
      <c r="AQ64" s="11" t="s">
        <v>0</v>
      </c>
      <c r="AR64" s="11" t="s">
        <v>0</v>
      </c>
      <c r="AS64" s="11" t="s">
        <v>0</v>
      </c>
      <c r="AT64" s="11" t="s">
        <v>0</v>
      </c>
      <c r="AU64" s="11">
        <v>47600016</v>
      </c>
      <c r="AV64" s="11" t="s">
        <v>0</v>
      </c>
      <c r="AW64" s="11" t="s">
        <v>0</v>
      </c>
      <c r="AX64" s="11" t="s">
        <v>0</v>
      </c>
    </row>
    <row r="65" spans="1:50" ht="15">
      <c r="A65" s="10">
        <f t="shared" si="0"/>
        <v>45000055</v>
      </c>
      <c r="B65" s="22" t="s">
        <v>318</v>
      </c>
      <c r="C65" s="11" t="s">
        <v>298</v>
      </c>
      <c r="D65" s="4" t="s">
        <v>297</v>
      </c>
      <c r="E65" s="11">
        <v>700</v>
      </c>
      <c r="F65" s="11">
        <v>150</v>
      </c>
      <c r="G65" s="11">
        <v>20</v>
      </c>
      <c r="H65" s="11">
        <v>-40</v>
      </c>
      <c r="I65" s="11">
        <f>IFERROR(INDEX(ShipPartShape!$A:$A,MATCH(D65,ShipPartShape!$B:$B,0)),"-")</f>
        <v>46000052</v>
      </c>
      <c r="J65" s="4" t="s">
        <v>1257</v>
      </c>
      <c r="K65" s="11">
        <f>IFERROR(INDEX(ShipPartShape!$A:$A,MATCH(J65,ShipPartShape!$B:$B,0)),"-")</f>
        <v>46700012</v>
      </c>
      <c r="L65" s="4"/>
      <c r="M65" s="11" t="str">
        <f>IFERROR(INDEX(ShipPartShape!$A:$A,MATCH(L65,ShipPartShape!$B:$B,0)),"-")</f>
        <v>-</v>
      </c>
      <c r="N65" s="4"/>
      <c r="O65" s="11" t="str">
        <f>IFERROR(INDEX(ShipPartShape!$A:$A,MATCH(N65,ShipPartShape!$B:$B,0)),"-")</f>
        <v>-</v>
      </c>
      <c r="P65" s="4"/>
      <c r="Q65" s="11" t="str">
        <f>IFERROR(INDEX(ShipPartShape!$A:$A,MATCH(P65,ShipPartShape!$B:$B,0)),"-")</f>
        <v>-</v>
      </c>
      <c r="R65" s="4"/>
      <c r="S65" s="11" t="str">
        <f>IFERROR(INDEX(ShipPartShape!$A:$A,MATCH(R65,ShipPartShape!$B:$B,0)),"-")</f>
        <v>-</v>
      </c>
      <c r="T65" s="4" t="s">
        <v>601</v>
      </c>
      <c r="U65" s="11">
        <f>IFERROR(INDEX(ShipPartShape!$A:$A,MATCH(T65,ShipPartShape!$B:$B,0)),"-")</f>
        <v>46600001</v>
      </c>
      <c r="V65" s="4"/>
      <c r="W65" s="11" t="str">
        <f>IFERROR(INDEX(ShipPartShape!$A:$A,MATCH(V65,ShipPartShape!$B:$B,0)),"-")</f>
        <v>-</v>
      </c>
      <c r="X65" s="4"/>
      <c r="Y65" s="11" t="str">
        <f>IFERROR(INDEX(ShipPartShape!$A:$A,MATCH(X65,ShipPartShape!$B:$B,0)),"-")</f>
        <v>-</v>
      </c>
      <c r="Z65" s="4"/>
      <c r="AA65" s="11" t="str">
        <f>IFERROR(INDEX(ShipPartShape!$A:$A,MATCH(Z65,ShipPartShape!$B:$B,0)),"-")</f>
        <v>-</v>
      </c>
      <c r="AB65" s="4"/>
      <c r="AC65" s="11" t="str">
        <f>IFERROR(INDEX(ShipPartShape!$A:$A,MATCH(AB65,ShipPartShape!$B:$B,0)),"-")</f>
        <v>-</v>
      </c>
      <c r="AD65" s="4"/>
      <c r="AE65" s="11" t="str">
        <f>IFERROR(INDEX(ShipPartShape!$A:$A,MATCH(AD65,ShipPartShape!$B:$B,0)),"-")</f>
        <v>-</v>
      </c>
      <c r="AF65" s="4"/>
      <c r="AG65" s="11" t="str">
        <f>IFERROR(INDEX(ShipPartShape!$A:$A,MATCH(AF65,ShipPartShape!$B:$B,0)),"-")</f>
        <v>-</v>
      </c>
      <c r="AH65" s="4"/>
      <c r="AI65" s="11" t="str">
        <f>IFERROR(INDEX(ShipPartShape!$A:$A,MATCH(AH65,ShipPartShape!$B:$B,0)),"-")</f>
        <v>-</v>
      </c>
      <c r="AJ65" s="11" t="s">
        <v>518</v>
      </c>
      <c r="AK65" s="11" t="s">
        <v>518</v>
      </c>
      <c r="AL65" s="11" t="s">
        <v>518</v>
      </c>
      <c r="AM65" s="11" t="s">
        <v>0</v>
      </c>
      <c r="AN65" s="11" t="s">
        <v>0</v>
      </c>
      <c r="AO65" s="11" t="s">
        <v>0</v>
      </c>
      <c r="AP65" s="11" t="s">
        <v>0</v>
      </c>
      <c r="AQ65" s="11" t="s">
        <v>0</v>
      </c>
      <c r="AR65" s="11" t="s">
        <v>0</v>
      </c>
      <c r="AS65" s="11" t="s">
        <v>0</v>
      </c>
      <c r="AT65" s="11" t="s">
        <v>0</v>
      </c>
      <c r="AU65" s="11">
        <v>47600017</v>
      </c>
      <c r="AV65" s="11" t="s">
        <v>0</v>
      </c>
      <c r="AW65" s="11" t="s">
        <v>0</v>
      </c>
      <c r="AX65" s="11" t="s">
        <v>0</v>
      </c>
    </row>
    <row r="66" spans="1:50" ht="15">
      <c r="A66" s="10">
        <f t="shared" si="0"/>
        <v>45000056</v>
      </c>
      <c r="B66" s="22" t="s">
        <v>301</v>
      </c>
      <c r="C66" s="11" t="s">
        <v>302</v>
      </c>
      <c r="D66" s="4" t="s">
        <v>299</v>
      </c>
      <c r="E66" s="11">
        <v>700</v>
      </c>
      <c r="F66" s="11">
        <v>100</v>
      </c>
      <c r="G66" s="11">
        <v>20</v>
      </c>
      <c r="H66" s="11">
        <v>-40</v>
      </c>
      <c r="I66" s="11">
        <f>IFERROR(INDEX(ShipPartShape!$A:$A,MATCH(D66,ShipPartShape!$B:$B,0)),"-")</f>
        <v>46000053</v>
      </c>
      <c r="J66" s="4" t="s">
        <v>1217</v>
      </c>
      <c r="K66" s="11">
        <f>IFERROR(INDEX(ShipPartShape!$A:$A,MATCH(J66,ShipPartShape!$B:$B,0)),"-")</f>
        <v>46700016</v>
      </c>
      <c r="L66" s="4" t="s">
        <v>303</v>
      </c>
      <c r="M66" s="11">
        <f>IFERROR(INDEX(ShipPartShape!$A:$A,MATCH(L66,ShipPartShape!$B:$B,0)),"-")</f>
        <v>46500004</v>
      </c>
      <c r="N66" s="4"/>
      <c r="O66" s="11" t="str">
        <f>IFERROR(INDEX(ShipPartShape!$A:$A,MATCH(N66,ShipPartShape!$B:$B,0)),"-")</f>
        <v>-</v>
      </c>
      <c r="P66" s="4"/>
      <c r="Q66" s="11" t="str">
        <f>IFERROR(INDEX(ShipPartShape!$A:$A,MATCH(P66,ShipPartShape!$B:$B,0)),"-")</f>
        <v>-</v>
      </c>
      <c r="R66" s="4"/>
      <c r="S66" s="11" t="str">
        <f>IFERROR(INDEX(ShipPartShape!$A:$A,MATCH(R66,ShipPartShape!$B:$B,0)),"-")</f>
        <v>-</v>
      </c>
      <c r="T66" s="4" t="s">
        <v>602</v>
      </c>
      <c r="U66" s="11">
        <f>IFERROR(INDEX(ShipPartShape!$A:$A,MATCH(T66,ShipPartShape!$B:$B,0)),"-")</f>
        <v>46600002</v>
      </c>
      <c r="V66" s="4" t="s">
        <v>606</v>
      </c>
      <c r="W66" s="11">
        <f>IFERROR(INDEX(ShipPartShape!$A:$A,MATCH(V66,ShipPartShape!$B:$B,0)),"-")</f>
        <v>46600003</v>
      </c>
      <c r="X66" s="4" t="s">
        <v>605</v>
      </c>
      <c r="Y66" s="11">
        <f>IFERROR(INDEX(ShipPartShape!$A:$A,MATCH(X66,ShipPartShape!$B:$B,0)),"-")</f>
        <v>46600009</v>
      </c>
      <c r="Z66" s="4" t="s">
        <v>611</v>
      </c>
      <c r="AA66" s="11">
        <f>IFERROR(INDEX(ShipPartShape!$A:$A,MATCH(Z66,ShipPartShape!$B:$B,0)),"-")</f>
        <v>46600010</v>
      </c>
      <c r="AB66" s="4"/>
      <c r="AC66" s="11" t="str">
        <f>IFERROR(INDEX(ShipPartShape!$A:$A,MATCH(AB66,ShipPartShape!$B:$B,0)),"-")</f>
        <v>-</v>
      </c>
      <c r="AD66" s="4"/>
      <c r="AE66" s="11" t="str">
        <f>IFERROR(INDEX(ShipPartShape!$A:$A,MATCH(AD66,ShipPartShape!$B:$B,0)),"-")</f>
        <v>-</v>
      </c>
      <c r="AF66" s="4"/>
      <c r="AG66" s="11" t="str">
        <f>IFERROR(INDEX(ShipPartShape!$A:$A,MATCH(AF66,ShipPartShape!$B:$B,0)),"-")</f>
        <v>-</v>
      </c>
      <c r="AH66" s="4"/>
      <c r="AI66" s="11" t="str">
        <f>IFERROR(INDEX(ShipPartShape!$A:$A,MATCH(AH66,ShipPartShape!$B:$B,0)),"-")</f>
        <v>-</v>
      </c>
      <c r="AJ66" s="11" t="s">
        <v>518</v>
      </c>
      <c r="AK66" s="11" t="s">
        <v>518</v>
      </c>
      <c r="AL66" s="11" t="s">
        <v>518</v>
      </c>
      <c r="AM66" s="11" t="s">
        <v>0</v>
      </c>
      <c r="AN66" s="11" t="s">
        <v>0</v>
      </c>
      <c r="AO66" s="11" t="s">
        <v>0</v>
      </c>
      <c r="AP66" s="11" t="s">
        <v>0</v>
      </c>
      <c r="AQ66" s="11" t="s">
        <v>0</v>
      </c>
      <c r="AR66" s="11" t="s">
        <v>0</v>
      </c>
      <c r="AS66" s="11" t="s">
        <v>0</v>
      </c>
      <c r="AT66" s="11" t="s">
        <v>0</v>
      </c>
      <c r="AU66" s="11">
        <v>47600016</v>
      </c>
      <c r="AV66" s="11" t="s">
        <v>0</v>
      </c>
      <c r="AW66" s="11" t="s">
        <v>0</v>
      </c>
      <c r="AX66" s="11" t="s">
        <v>0</v>
      </c>
    </row>
    <row r="67" spans="1:50" ht="15">
      <c r="A67" s="10">
        <f t="shared" si="0"/>
        <v>45000057</v>
      </c>
      <c r="B67" s="23" t="s">
        <v>319</v>
      </c>
      <c r="C67" s="11" t="s">
        <v>309</v>
      </c>
      <c r="D67" s="4" t="s">
        <v>305</v>
      </c>
      <c r="E67" s="11">
        <v>700</v>
      </c>
      <c r="F67" s="11">
        <v>100</v>
      </c>
      <c r="G67" s="11">
        <v>20</v>
      </c>
      <c r="H67" s="11">
        <v>-40</v>
      </c>
      <c r="I67" s="11">
        <f>IFERROR(INDEX(ShipPartShape!$A:$A,MATCH(D67,ShipPartShape!$B:$B,0)),"-")</f>
        <v>46000054</v>
      </c>
      <c r="J67" s="4" t="s">
        <v>1217</v>
      </c>
      <c r="K67" s="11">
        <f>IFERROR(INDEX(ShipPartShape!$A:$A,MATCH(J67,ShipPartShape!$B:$B,0)),"-")</f>
        <v>46700016</v>
      </c>
      <c r="L67" s="4" t="s">
        <v>307</v>
      </c>
      <c r="M67" s="11">
        <f>IFERROR(INDEX(ShipPartShape!$A:$A,MATCH(L67,ShipPartShape!$B:$B,0)),"-")</f>
        <v>46500005</v>
      </c>
      <c r="N67" s="4"/>
      <c r="O67" s="11" t="str">
        <f>IFERROR(INDEX(ShipPartShape!$A:$A,MATCH(N67,ShipPartShape!$B:$B,0)),"-")</f>
        <v>-</v>
      </c>
      <c r="P67" s="4"/>
      <c r="Q67" s="11" t="str">
        <f>IFERROR(INDEX(ShipPartShape!$A:$A,MATCH(P67,ShipPartShape!$B:$B,0)),"-")</f>
        <v>-</v>
      </c>
      <c r="R67" s="4"/>
      <c r="S67" s="11" t="str">
        <f>IFERROR(INDEX(ShipPartShape!$A:$A,MATCH(R67,ShipPartShape!$B:$B,0)),"-")</f>
        <v>-</v>
      </c>
      <c r="T67" s="4" t="s">
        <v>608</v>
      </c>
      <c r="U67" s="11">
        <f>IFERROR(INDEX(ShipPartShape!$A:$A,MATCH(T67,ShipPartShape!$B:$B,0)),"-")</f>
        <v>46600004</v>
      </c>
      <c r="V67" s="4" t="s">
        <v>610</v>
      </c>
      <c r="W67" s="11">
        <f>IFERROR(INDEX(ShipPartShape!$A:$A,MATCH(V67,ShipPartShape!$B:$B,0)),"-")</f>
        <v>46600006</v>
      </c>
      <c r="X67" s="4" t="s">
        <v>605</v>
      </c>
      <c r="Y67" s="11">
        <f>IFERROR(INDEX(ShipPartShape!$A:$A,MATCH(X67,ShipPartShape!$B:$B,0)),"-")</f>
        <v>46600009</v>
      </c>
      <c r="Z67" s="4" t="s">
        <v>611</v>
      </c>
      <c r="AA67" s="11">
        <f>IFERROR(INDEX(ShipPartShape!$A:$A,MATCH(Z67,ShipPartShape!$B:$B,0)),"-")</f>
        <v>46600010</v>
      </c>
      <c r="AB67" s="4"/>
      <c r="AC67" s="11" t="str">
        <f>IFERROR(INDEX(ShipPartShape!$A:$A,MATCH(AB67,ShipPartShape!$B:$B,0)),"-")</f>
        <v>-</v>
      </c>
      <c r="AD67" s="4"/>
      <c r="AE67" s="11" t="str">
        <f>IFERROR(INDEX(ShipPartShape!$A:$A,MATCH(AD67,ShipPartShape!$B:$B,0)),"-")</f>
        <v>-</v>
      </c>
      <c r="AF67" s="4"/>
      <c r="AG67" s="11" t="str">
        <f>IFERROR(INDEX(ShipPartShape!$A:$A,MATCH(AF67,ShipPartShape!$B:$B,0)),"-")</f>
        <v>-</v>
      </c>
      <c r="AH67" s="4"/>
      <c r="AI67" s="11" t="str">
        <f>IFERROR(INDEX(ShipPartShape!$A:$A,MATCH(AH67,ShipPartShape!$B:$B,0)),"-")</f>
        <v>-</v>
      </c>
      <c r="AJ67" s="11" t="s">
        <v>518</v>
      </c>
      <c r="AK67" s="11" t="s">
        <v>518</v>
      </c>
      <c r="AL67" s="11" t="s">
        <v>518</v>
      </c>
      <c r="AM67" s="11" t="s">
        <v>0</v>
      </c>
      <c r="AN67" s="11" t="s">
        <v>0</v>
      </c>
      <c r="AO67" s="11" t="s">
        <v>0</v>
      </c>
      <c r="AP67" s="11" t="s">
        <v>0</v>
      </c>
      <c r="AQ67" s="11" t="s">
        <v>0</v>
      </c>
      <c r="AR67" s="11" t="s">
        <v>0</v>
      </c>
      <c r="AS67" s="11" t="s">
        <v>0</v>
      </c>
      <c r="AT67" s="11" t="s">
        <v>0</v>
      </c>
      <c r="AU67" s="11">
        <v>47600015</v>
      </c>
      <c r="AV67" s="11" t="s">
        <v>0</v>
      </c>
      <c r="AW67" s="11" t="s">
        <v>0</v>
      </c>
      <c r="AX67" s="11" t="s">
        <v>0</v>
      </c>
    </row>
    <row r="68" spans="1:50" ht="15">
      <c r="A68" s="10">
        <f t="shared" si="0"/>
        <v>45000058</v>
      </c>
      <c r="B68" s="23" t="s">
        <v>320</v>
      </c>
      <c r="C68" s="11" t="s">
        <v>314</v>
      </c>
      <c r="D68" s="4" t="s">
        <v>310</v>
      </c>
      <c r="E68" s="11">
        <v>700</v>
      </c>
      <c r="F68" s="11">
        <v>100</v>
      </c>
      <c r="G68" s="11">
        <v>20</v>
      </c>
      <c r="H68" s="11">
        <v>-40</v>
      </c>
      <c r="I68" s="11">
        <f>IFERROR(INDEX(ShipPartShape!$A:$A,MATCH(D68,ShipPartShape!$B:$B,0)),"-")</f>
        <v>46000055</v>
      </c>
      <c r="J68" s="4" t="s">
        <v>1217</v>
      </c>
      <c r="K68" s="11">
        <f>IFERROR(INDEX(ShipPartShape!$A:$A,MATCH(J68,ShipPartShape!$B:$B,0)),"-")</f>
        <v>46700016</v>
      </c>
      <c r="L68" s="4" t="s">
        <v>311</v>
      </c>
      <c r="M68" s="11">
        <f>IFERROR(INDEX(ShipPartShape!$A:$A,MATCH(L68,ShipPartShape!$B:$B,0)),"-")</f>
        <v>46500006</v>
      </c>
      <c r="N68" s="4"/>
      <c r="O68" s="11" t="str">
        <f>IFERROR(INDEX(ShipPartShape!$A:$A,MATCH(N68,ShipPartShape!$B:$B,0)),"-")</f>
        <v>-</v>
      </c>
      <c r="P68" s="4"/>
      <c r="Q68" s="11" t="str">
        <f>IFERROR(INDEX(ShipPartShape!$A:$A,MATCH(P68,ShipPartShape!$B:$B,0)),"-")</f>
        <v>-</v>
      </c>
      <c r="R68" s="4"/>
      <c r="S68" s="11" t="str">
        <f>IFERROR(INDEX(ShipPartShape!$A:$A,MATCH(R68,ShipPartShape!$B:$B,0)),"-")</f>
        <v>-</v>
      </c>
      <c r="T68" s="4" t="s">
        <v>602</v>
      </c>
      <c r="U68" s="11">
        <f>IFERROR(INDEX(ShipPartShape!$A:$A,MATCH(T68,ShipPartShape!$B:$B,0)),"-")</f>
        <v>46600002</v>
      </c>
      <c r="V68" s="4" t="s">
        <v>608</v>
      </c>
      <c r="W68" s="11">
        <f>IFERROR(INDEX(ShipPartShape!$A:$A,MATCH(V68,ShipPartShape!$B:$B,0)),"-")</f>
        <v>46600004</v>
      </c>
      <c r="X68" s="4" t="s">
        <v>604</v>
      </c>
      <c r="Y68" s="11">
        <f>IFERROR(INDEX(ShipPartShape!$A:$A,MATCH(X68,ShipPartShape!$B:$B,0)),"-")</f>
        <v>46600005</v>
      </c>
      <c r="Z68" s="4" t="s">
        <v>603</v>
      </c>
      <c r="AA68" s="11">
        <f>IFERROR(INDEX(ShipPartShape!$A:$A,MATCH(Z68,ShipPartShape!$B:$B,0)),"-")</f>
        <v>46600007</v>
      </c>
      <c r="AB68" s="4"/>
      <c r="AC68" s="11" t="str">
        <f>IFERROR(INDEX(ShipPartShape!$A:$A,MATCH(AB68,ShipPartShape!$B:$B,0)),"-")</f>
        <v>-</v>
      </c>
      <c r="AD68" s="4"/>
      <c r="AE68" s="11" t="str">
        <f>IFERROR(INDEX(ShipPartShape!$A:$A,MATCH(AD68,ShipPartShape!$B:$B,0)),"-")</f>
        <v>-</v>
      </c>
      <c r="AF68" s="4"/>
      <c r="AG68" s="11" t="str">
        <f>IFERROR(INDEX(ShipPartShape!$A:$A,MATCH(AF68,ShipPartShape!$B:$B,0)),"-")</f>
        <v>-</v>
      </c>
      <c r="AH68" s="4"/>
      <c r="AI68" s="11" t="str">
        <f>IFERROR(INDEX(ShipPartShape!$A:$A,MATCH(AH68,ShipPartShape!$B:$B,0)),"-")</f>
        <v>-</v>
      </c>
      <c r="AJ68" s="11" t="s">
        <v>518</v>
      </c>
      <c r="AK68" s="11" t="s">
        <v>518</v>
      </c>
      <c r="AL68" s="11" t="s">
        <v>518</v>
      </c>
      <c r="AM68" s="11" t="s">
        <v>0</v>
      </c>
      <c r="AN68" s="11" t="s">
        <v>0</v>
      </c>
      <c r="AO68" s="11" t="s">
        <v>0</v>
      </c>
      <c r="AP68" s="11" t="s">
        <v>0</v>
      </c>
      <c r="AQ68" s="11" t="s">
        <v>0</v>
      </c>
      <c r="AR68" s="11" t="s">
        <v>0</v>
      </c>
      <c r="AS68" s="11" t="s">
        <v>0</v>
      </c>
      <c r="AT68" s="11" t="s">
        <v>0</v>
      </c>
      <c r="AU68" s="11">
        <v>47600016</v>
      </c>
      <c r="AV68" s="11" t="s">
        <v>0</v>
      </c>
      <c r="AW68" s="11" t="s">
        <v>0</v>
      </c>
      <c r="AX68" s="11" t="s">
        <v>0</v>
      </c>
    </row>
    <row r="69" spans="1:50" ht="15">
      <c r="A69" s="10">
        <f t="shared" si="0"/>
        <v>45000059</v>
      </c>
      <c r="B69" s="23" t="s">
        <v>549</v>
      </c>
      <c r="C69" s="11" t="s">
        <v>354</v>
      </c>
      <c r="D69" s="4" t="s">
        <v>352</v>
      </c>
      <c r="E69" s="11">
        <v>700</v>
      </c>
      <c r="F69" s="11">
        <v>150</v>
      </c>
      <c r="G69" s="11">
        <v>20</v>
      </c>
      <c r="H69" s="11">
        <v>-40</v>
      </c>
      <c r="I69" s="11">
        <f>IFERROR(INDEX(ShipPartShape!$A:$A,MATCH(D69,ShipPartShape!$B:$B,0)),"-")</f>
        <v>46000056</v>
      </c>
      <c r="J69" s="4" t="s">
        <v>1258</v>
      </c>
      <c r="K69" s="11">
        <f>IFERROR(INDEX(ShipPartShape!$A:$A,MATCH(J69,ShipPartShape!$B:$B,0)),"-")</f>
        <v>46700004</v>
      </c>
      <c r="L69" s="4" t="s">
        <v>69</v>
      </c>
      <c r="M69" s="11">
        <f>IFERROR(INDEX(ShipPartShape!$A:$A,MATCH(L69,ShipPartShape!$B:$B,0)),"-")</f>
        <v>46300001</v>
      </c>
      <c r="N69" s="4"/>
      <c r="O69" s="11" t="str">
        <f>IFERROR(INDEX(ShipPartShape!$A:$A,MATCH(N69,ShipPartShape!$B:$B,0)),"-")</f>
        <v>-</v>
      </c>
      <c r="P69" s="4"/>
      <c r="Q69" s="11" t="str">
        <f>IFERROR(INDEX(ShipPartShape!$A:$A,MATCH(P69,ShipPartShape!$B:$B,0)),"-")</f>
        <v>-</v>
      </c>
      <c r="R69" s="4"/>
      <c r="S69" s="11" t="str">
        <f>IFERROR(INDEX(ShipPartShape!$A:$A,MATCH(R69,ShipPartShape!$B:$B,0)),"-")</f>
        <v>-</v>
      </c>
      <c r="T69" s="4"/>
      <c r="U69" s="11" t="str">
        <f>IFERROR(INDEX(ShipPartShape!$A:$A,MATCH(T69,ShipPartShape!$B:$B,0)),"-")</f>
        <v>-</v>
      </c>
      <c r="V69" s="4"/>
      <c r="W69" s="11" t="str">
        <f>IFERROR(INDEX(ShipPartShape!$A:$A,MATCH(V69,ShipPartShape!$B:$B,0)),"-")</f>
        <v>-</v>
      </c>
      <c r="X69" s="4"/>
      <c r="Y69" s="11" t="str">
        <f>IFERROR(INDEX(ShipPartShape!$A:$A,MATCH(X69,ShipPartShape!$B:$B,0)),"-")</f>
        <v>-</v>
      </c>
      <c r="Z69" s="4"/>
      <c r="AA69" s="11" t="str">
        <f>IFERROR(INDEX(ShipPartShape!$A:$A,MATCH(Z69,ShipPartShape!$B:$B,0)),"-")</f>
        <v>-</v>
      </c>
      <c r="AB69" s="4"/>
      <c r="AC69" s="11" t="str">
        <f>IFERROR(INDEX(ShipPartShape!$A:$A,MATCH(AB69,ShipPartShape!$B:$B,0)),"-")</f>
        <v>-</v>
      </c>
      <c r="AD69" s="4"/>
      <c r="AE69" s="11" t="str">
        <f>IFERROR(INDEX(ShipPartShape!$A:$A,MATCH(AD69,ShipPartShape!$B:$B,0)),"-")</f>
        <v>-</v>
      </c>
      <c r="AF69" s="4"/>
      <c r="AG69" s="11" t="str">
        <f>IFERROR(INDEX(ShipPartShape!$A:$A,MATCH(AF69,ShipPartShape!$B:$B,0)),"-")</f>
        <v>-</v>
      </c>
      <c r="AH69" s="4"/>
      <c r="AI69" s="11" t="str">
        <f>IFERROR(INDEX(ShipPartShape!$A:$A,MATCH(AH69,ShipPartShape!$B:$B,0)),"-")</f>
        <v>-</v>
      </c>
      <c r="AJ69" s="11" t="s">
        <v>518</v>
      </c>
      <c r="AK69" s="11" t="s">
        <v>518</v>
      </c>
      <c r="AL69" s="11" t="s">
        <v>518</v>
      </c>
      <c r="AM69" s="11" t="s">
        <v>0</v>
      </c>
      <c r="AN69" s="11" t="s">
        <v>0</v>
      </c>
      <c r="AO69" s="11" t="s">
        <v>0</v>
      </c>
      <c r="AP69" s="11" t="s">
        <v>0</v>
      </c>
      <c r="AQ69" s="11" t="s">
        <v>0</v>
      </c>
      <c r="AR69" s="11" t="s">
        <v>0</v>
      </c>
      <c r="AS69" s="11" t="s">
        <v>0</v>
      </c>
      <c r="AT69" s="11" t="s">
        <v>0</v>
      </c>
      <c r="AU69" s="11">
        <v>47600018</v>
      </c>
      <c r="AV69" s="11" t="s">
        <v>0</v>
      </c>
      <c r="AW69" s="11" t="s">
        <v>0</v>
      </c>
      <c r="AX69" s="11" t="s">
        <v>0</v>
      </c>
    </row>
    <row r="70" spans="1:50" ht="15">
      <c r="A70" s="10">
        <f t="shared" si="0"/>
        <v>45000060</v>
      </c>
      <c r="B70" s="24" t="s">
        <v>355</v>
      </c>
      <c r="C70" s="11" t="s">
        <v>198</v>
      </c>
      <c r="D70" s="4" t="s">
        <v>157</v>
      </c>
      <c r="E70" s="11">
        <v>700</v>
      </c>
      <c r="F70" s="11">
        <v>100</v>
      </c>
      <c r="G70" s="11" t="s">
        <v>0</v>
      </c>
      <c r="H70" s="11" t="s">
        <v>545</v>
      </c>
      <c r="I70" s="11">
        <f>IFERROR(INDEX(ShipPartShape!$A:$A,MATCH(D70,ShipPartShape!$B:$B,0)),"-")</f>
        <v>46000038</v>
      </c>
      <c r="J70" s="4" t="s">
        <v>165</v>
      </c>
      <c r="K70" s="11">
        <f>IFERROR(INDEX(ShipPartShape!$A:$A,MATCH(J70,ShipPartShape!$B:$B,0)),"-")</f>
        <v>46700002</v>
      </c>
      <c r="L70" s="4" t="s">
        <v>158</v>
      </c>
      <c r="M70" s="11">
        <f>IFERROR(INDEX(ShipPartShape!$A:$A,MATCH(L70,ShipPartShape!$B:$B,0)),"-")</f>
        <v>46550001</v>
      </c>
      <c r="N70" s="4" t="s">
        <v>69</v>
      </c>
      <c r="O70" s="11">
        <f>IFERROR(INDEX(ShipPartShape!$A:$A,MATCH(N70,ShipPartShape!$B:$B,0)),"-")</f>
        <v>46300001</v>
      </c>
      <c r="P70" s="4"/>
      <c r="Q70" s="11" t="str">
        <f>IFERROR(INDEX(ShipPartShape!$A:$A,MATCH(P70,ShipPartShape!$B:$B,0)),"-")</f>
        <v>-</v>
      </c>
      <c r="R70" s="4"/>
      <c r="S70" s="11" t="str">
        <f>IFERROR(INDEX(ShipPartShape!$A:$A,MATCH(R70,ShipPartShape!$B:$B,0)),"-")</f>
        <v>-</v>
      </c>
      <c r="T70" s="4"/>
      <c r="U70" s="11" t="str">
        <f>IFERROR(INDEX(ShipPartShape!$A:$A,MATCH(T70,ShipPartShape!$B:$B,0)),"-")</f>
        <v>-</v>
      </c>
      <c r="V70" s="4"/>
      <c r="W70" s="11" t="str">
        <f>IFERROR(INDEX(ShipPartShape!$A:$A,MATCH(V70,ShipPartShape!$B:$B,0)),"-")</f>
        <v>-</v>
      </c>
      <c r="X70" s="4"/>
      <c r="Y70" s="11" t="str">
        <f>IFERROR(INDEX(ShipPartShape!$A:$A,MATCH(X70,ShipPartShape!$B:$B,0)),"-")</f>
        <v>-</v>
      </c>
      <c r="Z70" s="4"/>
      <c r="AA70" s="11" t="str">
        <f>IFERROR(INDEX(ShipPartShape!$A:$A,MATCH(Z70,ShipPartShape!$B:$B,0)),"-")</f>
        <v>-</v>
      </c>
      <c r="AB70" s="4"/>
      <c r="AC70" s="11" t="str">
        <f>IFERROR(INDEX(ShipPartShape!$A:$A,MATCH(AB70,ShipPartShape!$B:$B,0)),"-")</f>
        <v>-</v>
      </c>
      <c r="AD70" s="4"/>
      <c r="AE70" s="11" t="str">
        <f>IFERROR(INDEX(ShipPartShape!$A:$A,MATCH(AD70,ShipPartShape!$B:$B,0)),"-")</f>
        <v>-</v>
      </c>
      <c r="AF70" s="4"/>
      <c r="AG70" s="11" t="str">
        <f>IFERROR(INDEX(ShipPartShape!$A:$A,MATCH(AF70,ShipPartShape!$B:$B,0)),"-")</f>
        <v>-</v>
      </c>
      <c r="AH70" s="4"/>
      <c r="AI70" s="11" t="str">
        <f>IFERROR(INDEX(ShipPartShape!$A:$A,MATCH(AH70,ShipPartShape!$B:$B,0)),"-")</f>
        <v>-</v>
      </c>
      <c r="AJ70" s="11" t="s">
        <v>518</v>
      </c>
      <c r="AK70" s="11" t="s">
        <v>518</v>
      </c>
      <c r="AL70" s="11" t="s">
        <v>518</v>
      </c>
      <c r="AM70" s="11" t="s">
        <v>0</v>
      </c>
      <c r="AN70" s="11" t="s">
        <v>0</v>
      </c>
      <c r="AO70" s="11" t="s">
        <v>0</v>
      </c>
      <c r="AP70" s="11" t="s">
        <v>0</v>
      </c>
      <c r="AQ70" s="11" t="s">
        <v>0</v>
      </c>
      <c r="AR70" s="11" t="s">
        <v>0</v>
      </c>
      <c r="AS70" s="11" t="s">
        <v>0</v>
      </c>
      <c r="AT70" s="11" t="s">
        <v>0</v>
      </c>
      <c r="AU70" s="11" t="s">
        <v>545</v>
      </c>
      <c r="AV70" s="11" t="s">
        <v>0</v>
      </c>
      <c r="AW70" s="11">
        <v>47600005</v>
      </c>
      <c r="AX70" s="11" t="s">
        <v>0</v>
      </c>
    </row>
    <row r="71" spans="1:50" ht="15">
      <c r="A71" s="10">
        <f t="shared" si="0"/>
        <v>45000061</v>
      </c>
      <c r="B71" s="24" t="s">
        <v>356</v>
      </c>
      <c r="C71" s="11" t="s">
        <v>240</v>
      </c>
      <c r="D71" s="4" t="s">
        <v>361</v>
      </c>
      <c r="E71" s="11">
        <v>700</v>
      </c>
      <c r="F71" s="11">
        <v>100</v>
      </c>
      <c r="G71" s="11" t="s">
        <v>0</v>
      </c>
      <c r="H71" s="11" t="s">
        <v>545</v>
      </c>
      <c r="I71" s="11">
        <f>IFERROR(INDEX(ShipPartShape!$A:$A,MATCH(D71,ShipPartShape!$B:$B,0)),"-")</f>
        <v>46000057</v>
      </c>
      <c r="J71" s="4" t="s">
        <v>162</v>
      </c>
      <c r="K71" s="11">
        <f>IFERROR(INDEX(ShipPartShape!$A:$A,MATCH(J71,ShipPartShape!$B:$B,0)),"-")</f>
        <v>46700003</v>
      </c>
      <c r="L71" s="4" t="s">
        <v>158</v>
      </c>
      <c r="M71" s="11">
        <f>IFERROR(INDEX(ShipPartShape!$A:$A,MATCH(L71,ShipPartShape!$B:$B,0)),"-")</f>
        <v>46550001</v>
      </c>
      <c r="N71" s="4" t="s">
        <v>69</v>
      </c>
      <c r="O71" s="11">
        <f>IFERROR(INDEX(ShipPartShape!$A:$A,MATCH(N71,ShipPartShape!$B:$B,0)),"-")</f>
        <v>46300001</v>
      </c>
      <c r="P71" s="4"/>
      <c r="Q71" s="11" t="str">
        <f>IFERROR(INDEX(ShipPartShape!$A:$A,MATCH(P71,ShipPartShape!$B:$B,0)),"-")</f>
        <v>-</v>
      </c>
      <c r="R71" s="4" t="s">
        <v>841</v>
      </c>
      <c r="S71" s="11">
        <f>IFERROR(INDEX(ShipPartShape!$A:$A,MATCH(R71,ShipPartShape!$B:$B,0)),"-")</f>
        <v>46100003</v>
      </c>
      <c r="T71" s="4"/>
      <c r="U71" s="11" t="str">
        <f>IFERROR(INDEX(ShipPartShape!$A:$A,MATCH(T71,ShipPartShape!$B:$B,0)),"-")</f>
        <v>-</v>
      </c>
      <c r="V71" s="4"/>
      <c r="W71" s="11" t="str">
        <f>IFERROR(INDEX(ShipPartShape!$A:$A,MATCH(V71,ShipPartShape!$B:$B,0)),"-")</f>
        <v>-</v>
      </c>
      <c r="X71" s="4"/>
      <c r="Y71" s="11" t="str">
        <f>IFERROR(INDEX(ShipPartShape!$A:$A,MATCH(X71,ShipPartShape!$B:$B,0)),"-")</f>
        <v>-</v>
      </c>
      <c r="Z71" s="4"/>
      <c r="AA71" s="11" t="str">
        <f>IFERROR(INDEX(ShipPartShape!$A:$A,MATCH(Z71,ShipPartShape!$B:$B,0)),"-")</f>
        <v>-</v>
      </c>
      <c r="AB71" s="4"/>
      <c r="AC71" s="11" t="str">
        <f>IFERROR(INDEX(ShipPartShape!$A:$A,MATCH(AB71,ShipPartShape!$B:$B,0)),"-")</f>
        <v>-</v>
      </c>
      <c r="AD71" s="4"/>
      <c r="AE71" s="11" t="str">
        <f>IFERROR(INDEX(ShipPartShape!$A:$A,MATCH(AD71,ShipPartShape!$B:$B,0)),"-")</f>
        <v>-</v>
      </c>
      <c r="AF71" s="4"/>
      <c r="AG71" s="11" t="str">
        <f>IFERROR(INDEX(ShipPartShape!$A:$A,MATCH(AF71,ShipPartShape!$B:$B,0)),"-")</f>
        <v>-</v>
      </c>
      <c r="AH71" s="4"/>
      <c r="AI71" s="11" t="str">
        <f>IFERROR(INDEX(ShipPartShape!$A:$A,MATCH(AH71,ShipPartShape!$B:$B,0)),"-")</f>
        <v>-</v>
      </c>
      <c r="AJ71" s="11" t="s">
        <v>518</v>
      </c>
      <c r="AK71" s="11" t="s">
        <v>518</v>
      </c>
      <c r="AL71" s="11" t="s">
        <v>518</v>
      </c>
      <c r="AM71" s="11" t="s">
        <v>0</v>
      </c>
      <c r="AN71" s="11" t="s">
        <v>0</v>
      </c>
      <c r="AO71" s="11" t="s">
        <v>0</v>
      </c>
      <c r="AP71" s="11" t="s">
        <v>0</v>
      </c>
      <c r="AQ71" s="11" t="s">
        <v>0</v>
      </c>
      <c r="AR71" s="11" t="s">
        <v>0</v>
      </c>
      <c r="AS71" s="11" t="s">
        <v>0</v>
      </c>
      <c r="AT71" s="11" t="s">
        <v>0</v>
      </c>
      <c r="AU71" s="11" t="s">
        <v>545</v>
      </c>
      <c r="AV71" s="11" t="s">
        <v>0</v>
      </c>
      <c r="AW71" s="11">
        <v>47600005</v>
      </c>
      <c r="AX71" s="11" t="s">
        <v>0</v>
      </c>
    </row>
    <row r="72" spans="1:50" ht="15">
      <c r="A72" s="10">
        <f t="shared" si="0"/>
        <v>45000062</v>
      </c>
      <c r="B72" s="24" t="s">
        <v>461</v>
      </c>
      <c r="C72" s="11" t="s">
        <v>224</v>
      </c>
      <c r="D72" s="4" t="s">
        <v>462</v>
      </c>
      <c r="E72" s="11">
        <v>700</v>
      </c>
      <c r="F72" s="11">
        <v>100</v>
      </c>
      <c r="G72" s="11" t="s">
        <v>0</v>
      </c>
      <c r="H72" s="11" t="s">
        <v>545</v>
      </c>
      <c r="I72" s="11">
        <f>IFERROR(INDEX(ShipPartShape!$A:$A,MATCH(D72,ShipPartShape!$B:$B,0)),"-")</f>
        <v>46000058</v>
      </c>
      <c r="J72" s="4" t="s">
        <v>70</v>
      </c>
      <c r="K72" s="11">
        <f>IFERROR(INDEX(ShipPartShape!$A:$A,MATCH(J72,ShipPartShape!$B:$B,0)),"-")</f>
        <v>46700001</v>
      </c>
      <c r="L72" s="4" t="s">
        <v>369</v>
      </c>
      <c r="M72" s="11">
        <f>IFERROR(INDEX(ShipPartShape!$A:$A,MATCH(L72,ShipPartShape!$B:$B,0)),"-")</f>
        <v>46200005</v>
      </c>
      <c r="N72" s="4" t="s">
        <v>2121</v>
      </c>
      <c r="O72" s="11">
        <f>IFERROR(INDEX(ShipPartShape!$A:$A,MATCH(N72,ShipPartShape!$B:$B,0)),"-")</f>
        <v>46100005</v>
      </c>
      <c r="P72" s="4"/>
      <c r="Q72" s="11" t="str">
        <f>IFERROR(INDEX(ShipPartShape!$A:$A,MATCH(P72,ShipPartShape!$B:$B,0)),"-")</f>
        <v>-</v>
      </c>
      <c r="R72" s="4"/>
      <c r="S72" s="11" t="str">
        <f>IFERROR(INDEX(ShipPartShape!$A:$A,MATCH(R72,ShipPartShape!$B:$B,0)),"-")</f>
        <v>-</v>
      </c>
      <c r="T72" s="4"/>
      <c r="U72" s="11" t="str">
        <f>IFERROR(INDEX(ShipPartShape!$A:$A,MATCH(T72,ShipPartShape!$B:$B,0)),"-")</f>
        <v>-</v>
      </c>
      <c r="V72" s="4"/>
      <c r="W72" s="11" t="str">
        <f>IFERROR(INDEX(ShipPartShape!$A:$A,MATCH(V72,ShipPartShape!$B:$B,0)),"-")</f>
        <v>-</v>
      </c>
      <c r="X72" s="4"/>
      <c r="Y72" s="11" t="str">
        <f>IFERROR(INDEX(ShipPartShape!$A:$A,MATCH(X72,ShipPartShape!$B:$B,0)),"-")</f>
        <v>-</v>
      </c>
      <c r="Z72" s="4"/>
      <c r="AA72" s="11" t="str">
        <f>IFERROR(INDEX(ShipPartShape!$A:$A,MATCH(Z72,ShipPartShape!$B:$B,0)),"-")</f>
        <v>-</v>
      </c>
      <c r="AB72" s="4"/>
      <c r="AC72" s="11" t="str">
        <f>IFERROR(INDEX(ShipPartShape!$A:$A,MATCH(AB72,ShipPartShape!$B:$B,0)),"-")</f>
        <v>-</v>
      </c>
      <c r="AD72" s="4"/>
      <c r="AE72" s="11" t="str">
        <f>IFERROR(INDEX(ShipPartShape!$A:$A,MATCH(AD72,ShipPartShape!$B:$B,0)),"-")</f>
        <v>-</v>
      </c>
      <c r="AF72" s="4"/>
      <c r="AG72" s="11" t="str">
        <f>IFERROR(INDEX(ShipPartShape!$A:$A,MATCH(AF72,ShipPartShape!$B:$B,0)),"-")</f>
        <v>-</v>
      </c>
      <c r="AH72" s="4"/>
      <c r="AI72" s="11" t="str">
        <f>IFERROR(INDEX(ShipPartShape!$A:$A,MATCH(AH72,ShipPartShape!$B:$B,0)),"-")</f>
        <v>-</v>
      </c>
      <c r="AJ72" s="11" t="s">
        <v>518</v>
      </c>
      <c r="AK72" s="11" t="s">
        <v>518</v>
      </c>
      <c r="AL72" s="11" t="s">
        <v>518</v>
      </c>
      <c r="AM72" s="11" t="s">
        <v>0</v>
      </c>
      <c r="AN72" s="11" t="s">
        <v>0</v>
      </c>
      <c r="AO72" s="11" t="s">
        <v>0</v>
      </c>
      <c r="AP72" s="11" t="s">
        <v>0</v>
      </c>
      <c r="AQ72" s="11" t="s">
        <v>0</v>
      </c>
      <c r="AR72" s="11" t="s">
        <v>0</v>
      </c>
      <c r="AS72" s="11" t="s">
        <v>0</v>
      </c>
      <c r="AT72" s="11" t="s">
        <v>0</v>
      </c>
      <c r="AU72" s="11" t="s">
        <v>545</v>
      </c>
      <c r="AV72" s="11" t="s">
        <v>0</v>
      </c>
      <c r="AW72" s="11">
        <v>47600005</v>
      </c>
      <c r="AX72" s="11" t="s">
        <v>0</v>
      </c>
    </row>
    <row r="73" spans="1:50" ht="15">
      <c r="A73" s="10">
        <f t="shared" si="0"/>
        <v>45000063</v>
      </c>
      <c r="B73" s="24" t="s">
        <v>357</v>
      </c>
      <c r="C73" s="11" t="s">
        <v>236</v>
      </c>
      <c r="D73" s="4" t="s">
        <v>362</v>
      </c>
      <c r="E73" s="11">
        <v>700</v>
      </c>
      <c r="F73" s="11">
        <v>100</v>
      </c>
      <c r="G73" s="11" t="s">
        <v>0</v>
      </c>
      <c r="H73" s="11" t="s">
        <v>545</v>
      </c>
      <c r="I73" s="11">
        <f>IFERROR(INDEX(ShipPartShape!$A:$A,MATCH(D73,ShipPartShape!$B:$B,0)),"-")</f>
        <v>46000059</v>
      </c>
      <c r="J73" s="4" t="s">
        <v>70</v>
      </c>
      <c r="K73" s="11">
        <f>IFERROR(INDEX(ShipPartShape!$A:$A,MATCH(J73,ShipPartShape!$B:$B,0)),"-")</f>
        <v>46700001</v>
      </c>
      <c r="L73" s="4" t="s">
        <v>69</v>
      </c>
      <c r="M73" s="11">
        <f>IFERROR(INDEX(ShipPartShape!$A:$A,MATCH(L73,ShipPartShape!$B:$B,0)),"-")</f>
        <v>46300001</v>
      </c>
      <c r="N73" s="4" t="s">
        <v>370</v>
      </c>
      <c r="O73" s="11">
        <f>IFERROR(INDEX(ShipPartShape!$A:$A,MATCH(N73,ShipPartShape!$B:$B,0)),"-")</f>
        <v>46200003</v>
      </c>
      <c r="P73" s="4" t="s">
        <v>782</v>
      </c>
      <c r="Q73" s="11" t="str">
        <f>IFERROR(INDEX(ShipPartShape!$A:$A,MATCH(P73,ShipPartShape!$B:$B,0)),"-")</f>
        <v>-</v>
      </c>
      <c r="R73" s="4"/>
      <c r="S73" s="11" t="str">
        <f>IFERROR(INDEX(ShipPartShape!$A:$A,MATCH(R73,ShipPartShape!$B:$B,0)),"-")</f>
        <v>-</v>
      </c>
      <c r="T73" s="4"/>
      <c r="U73" s="11" t="str">
        <f>IFERROR(INDEX(ShipPartShape!$A:$A,MATCH(T73,ShipPartShape!$B:$B,0)),"-")</f>
        <v>-</v>
      </c>
      <c r="V73" s="4"/>
      <c r="W73" s="11" t="str">
        <f>IFERROR(INDEX(ShipPartShape!$A:$A,MATCH(V73,ShipPartShape!$B:$B,0)),"-")</f>
        <v>-</v>
      </c>
      <c r="X73" s="4"/>
      <c r="Y73" s="11" t="str">
        <f>IFERROR(INDEX(ShipPartShape!$A:$A,MATCH(X73,ShipPartShape!$B:$B,0)),"-")</f>
        <v>-</v>
      </c>
      <c r="Z73" s="4"/>
      <c r="AA73" s="11" t="str">
        <f>IFERROR(INDEX(ShipPartShape!$A:$A,MATCH(Z73,ShipPartShape!$B:$B,0)),"-")</f>
        <v>-</v>
      </c>
      <c r="AB73" s="4"/>
      <c r="AC73" s="11" t="str">
        <f>IFERROR(INDEX(ShipPartShape!$A:$A,MATCH(AB73,ShipPartShape!$B:$B,0)),"-")</f>
        <v>-</v>
      </c>
      <c r="AD73" s="4"/>
      <c r="AE73" s="11" t="str">
        <f>IFERROR(INDEX(ShipPartShape!$A:$A,MATCH(AD73,ShipPartShape!$B:$B,0)),"-")</f>
        <v>-</v>
      </c>
      <c r="AF73" s="4"/>
      <c r="AG73" s="11" t="str">
        <f>IFERROR(INDEX(ShipPartShape!$A:$A,MATCH(AF73,ShipPartShape!$B:$B,0)),"-")</f>
        <v>-</v>
      </c>
      <c r="AH73" s="4"/>
      <c r="AI73" s="11" t="str">
        <f>IFERROR(INDEX(ShipPartShape!$A:$A,MATCH(AH73,ShipPartShape!$B:$B,0)),"-")</f>
        <v>-</v>
      </c>
      <c r="AJ73" s="11" t="s">
        <v>518</v>
      </c>
      <c r="AK73" s="11" t="s">
        <v>518</v>
      </c>
      <c r="AL73" s="11" t="s">
        <v>518</v>
      </c>
      <c r="AM73" s="11" t="s">
        <v>0</v>
      </c>
      <c r="AN73" s="11" t="s">
        <v>0</v>
      </c>
      <c r="AO73" s="11" t="s">
        <v>0</v>
      </c>
      <c r="AP73" s="11" t="s">
        <v>0</v>
      </c>
      <c r="AQ73" s="11" t="s">
        <v>0</v>
      </c>
      <c r="AR73" s="11" t="s">
        <v>0</v>
      </c>
      <c r="AS73" s="11" t="s">
        <v>0</v>
      </c>
      <c r="AT73" s="11" t="s">
        <v>0</v>
      </c>
      <c r="AU73" s="11" t="s">
        <v>545</v>
      </c>
      <c r="AV73" s="11" t="s">
        <v>0</v>
      </c>
      <c r="AW73" s="11">
        <v>47600005</v>
      </c>
      <c r="AX73" s="11" t="s">
        <v>0</v>
      </c>
    </row>
    <row r="74" spans="1:50" ht="15">
      <c r="A74" s="10">
        <f t="shared" si="0"/>
        <v>45000064</v>
      </c>
      <c r="B74" s="24" t="s">
        <v>359</v>
      </c>
      <c r="C74" s="11" t="s">
        <v>266</v>
      </c>
      <c r="D74" s="4" t="s">
        <v>363</v>
      </c>
      <c r="E74" s="11">
        <v>700</v>
      </c>
      <c r="F74" s="11">
        <v>100</v>
      </c>
      <c r="G74" s="11" t="s">
        <v>0</v>
      </c>
      <c r="H74" s="11" t="s">
        <v>545</v>
      </c>
      <c r="I74" s="11">
        <f>IFERROR(INDEX(ShipPartShape!$A:$A,MATCH(D74,ShipPartShape!$B:$B,0)),"-")</f>
        <v>46000060</v>
      </c>
      <c r="J74" s="4" t="s">
        <v>70</v>
      </c>
      <c r="K74" s="11">
        <f>IFERROR(INDEX(ShipPartShape!$A:$A,MATCH(J74,ShipPartShape!$B:$B,0)),"-")</f>
        <v>46700001</v>
      </c>
      <c r="L74" s="4" t="s">
        <v>269</v>
      </c>
      <c r="M74" s="11">
        <f>IFERROR(INDEX(ShipPartShape!$A:$A,MATCH(L74,ShipPartShape!$B:$B,0)),"-")</f>
        <v>46500001</v>
      </c>
      <c r="N74" s="4" t="s">
        <v>368</v>
      </c>
      <c r="O74" s="11">
        <f>IFERROR(INDEX(ShipPartShape!$A:$A,MATCH(N74,ShipPartShape!$B:$B,0)),"-")</f>
        <v>46200007</v>
      </c>
      <c r="P74" s="4" t="s">
        <v>782</v>
      </c>
      <c r="Q74" s="11" t="str">
        <f>IFERROR(INDEX(ShipPartShape!$A:$A,MATCH(P74,ShipPartShape!$B:$B,0)),"-")</f>
        <v>-</v>
      </c>
      <c r="R74" s="4"/>
      <c r="S74" s="11" t="str">
        <f>IFERROR(INDEX(ShipPartShape!$A:$A,MATCH(R74,ShipPartShape!$B:$B,0)),"-")</f>
        <v>-</v>
      </c>
      <c r="T74" s="4"/>
      <c r="U74" s="11" t="str">
        <f>IFERROR(INDEX(ShipPartShape!$A:$A,MATCH(T74,ShipPartShape!$B:$B,0)),"-")</f>
        <v>-</v>
      </c>
      <c r="V74" s="4"/>
      <c r="W74" s="11" t="str">
        <f>IFERROR(INDEX(ShipPartShape!$A:$A,MATCH(V74,ShipPartShape!$B:$B,0)),"-")</f>
        <v>-</v>
      </c>
      <c r="X74" s="4"/>
      <c r="Y74" s="11" t="str">
        <f>IFERROR(INDEX(ShipPartShape!$A:$A,MATCH(X74,ShipPartShape!$B:$B,0)),"-")</f>
        <v>-</v>
      </c>
      <c r="Z74" s="4"/>
      <c r="AA74" s="11" t="str">
        <f>IFERROR(INDEX(ShipPartShape!$A:$A,MATCH(Z74,ShipPartShape!$B:$B,0)),"-")</f>
        <v>-</v>
      </c>
      <c r="AB74" s="4"/>
      <c r="AC74" s="11" t="str">
        <f>IFERROR(INDEX(ShipPartShape!$A:$A,MATCH(AB74,ShipPartShape!$B:$B,0)),"-")</f>
        <v>-</v>
      </c>
      <c r="AD74" s="4"/>
      <c r="AE74" s="11" t="str">
        <f>IFERROR(INDEX(ShipPartShape!$A:$A,MATCH(AD74,ShipPartShape!$B:$B,0)),"-")</f>
        <v>-</v>
      </c>
      <c r="AF74" s="4"/>
      <c r="AG74" s="11" t="str">
        <f>IFERROR(INDEX(ShipPartShape!$A:$A,MATCH(AF74,ShipPartShape!$B:$B,0)),"-")</f>
        <v>-</v>
      </c>
      <c r="AH74" s="4"/>
      <c r="AI74" s="11" t="str">
        <f>IFERROR(INDEX(ShipPartShape!$A:$A,MATCH(AH74,ShipPartShape!$B:$B,0)),"-")</f>
        <v>-</v>
      </c>
      <c r="AJ74" s="11" t="s">
        <v>518</v>
      </c>
      <c r="AK74" s="11" t="s">
        <v>518</v>
      </c>
      <c r="AL74" s="11" t="s">
        <v>518</v>
      </c>
      <c r="AM74" s="11" t="s">
        <v>0</v>
      </c>
      <c r="AN74" s="11" t="s">
        <v>0</v>
      </c>
      <c r="AO74" s="11" t="s">
        <v>0</v>
      </c>
      <c r="AP74" s="11" t="s">
        <v>0</v>
      </c>
      <c r="AQ74" s="11" t="s">
        <v>0</v>
      </c>
      <c r="AR74" s="11" t="s">
        <v>0</v>
      </c>
      <c r="AS74" s="11" t="s">
        <v>0</v>
      </c>
      <c r="AT74" s="11" t="s">
        <v>0</v>
      </c>
      <c r="AU74" s="11" t="s">
        <v>545</v>
      </c>
      <c r="AV74" s="11" t="s">
        <v>0</v>
      </c>
      <c r="AW74" s="11">
        <v>47600005</v>
      </c>
      <c r="AX74" s="11" t="s">
        <v>0</v>
      </c>
    </row>
    <row r="75" spans="1:50" ht="15">
      <c r="A75" s="10">
        <f t="shared" si="0"/>
        <v>45000065</v>
      </c>
      <c r="B75" s="24" t="s">
        <v>358</v>
      </c>
      <c r="C75" s="11" t="s">
        <v>266</v>
      </c>
      <c r="D75" s="4" t="s">
        <v>364</v>
      </c>
      <c r="E75" s="11">
        <v>700</v>
      </c>
      <c r="F75" s="11">
        <v>100</v>
      </c>
      <c r="G75" s="11" t="s">
        <v>0</v>
      </c>
      <c r="H75" s="11" t="s">
        <v>545</v>
      </c>
      <c r="I75" s="11">
        <f>IFERROR(INDEX(ShipPartShape!$A:$A,MATCH(D75,ShipPartShape!$B:$B,0)),"-")</f>
        <v>46000061</v>
      </c>
      <c r="J75" s="4" t="s">
        <v>70</v>
      </c>
      <c r="K75" s="11">
        <f>IFERROR(INDEX(ShipPartShape!$A:$A,MATCH(J75,ShipPartShape!$B:$B,0)),"-")</f>
        <v>46700001</v>
      </c>
      <c r="L75" s="4" t="s">
        <v>269</v>
      </c>
      <c r="M75" s="11">
        <f>IFERROR(INDEX(ShipPartShape!$A:$A,MATCH(L75,ShipPartShape!$B:$B,0)),"-")</f>
        <v>46500001</v>
      </c>
      <c r="N75" s="4" t="s">
        <v>368</v>
      </c>
      <c r="O75" s="11">
        <f>IFERROR(INDEX(ShipPartShape!$A:$A,MATCH(N75,ShipPartShape!$B:$B,0)),"-")</f>
        <v>46200007</v>
      </c>
      <c r="P75" s="4"/>
      <c r="Q75" s="11" t="str">
        <f>IFERROR(INDEX(ShipPartShape!$A:$A,MATCH(P75,ShipPartShape!$B:$B,0)),"-")</f>
        <v>-</v>
      </c>
      <c r="R75" s="4"/>
      <c r="S75" s="11" t="str">
        <f>IFERROR(INDEX(ShipPartShape!$A:$A,MATCH(R75,ShipPartShape!$B:$B,0)),"-")</f>
        <v>-</v>
      </c>
      <c r="T75" s="4"/>
      <c r="U75" s="11" t="str">
        <f>IFERROR(INDEX(ShipPartShape!$A:$A,MATCH(T75,ShipPartShape!$B:$B,0)),"-")</f>
        <v>-</v>
      </c>
      <c r="V75" s="4"/>
      <c r="W75" s="11" t="str">
        <f>IFERROR(INDEX(ShipPartShape!$A:$A,MATCH(V75,ShipPartShape!$B:$B,0)),"-")</f>
        <v>-</v>
      </c>
      <c r="X75" s="4"/>
      <c r="Y75" s="11" t="str">
        <f>IFERROR(INDEX(ShipPartShape!$A:$A,MATCH(X75,ShipPartShape!$B:$B,0)),"-")</f>
        <v>-</v>
      </c>
      <c r="Z75" s="4"/>
      <c r="AA75" s="11" t="str">
        <f>IFERROR(INDEX(ShipPartShape!$A:$A,MATCH(Z75,ShipPartShape!$B:$B,0)),"-")</f>
        <v>-</v>
      </c>
      <c r="AB75" s="4"/>
      <c r="AC75" s="11" t="str">
        <f>IFERROR(INDEX(ShipPartShape!$A:$A,MATCH(AB75,ShipPartShape!$B:$B,0)),"-")</f>
        <v>-</v>
      </c>
      <c r="AD75" s="4"/>
      <c r="AE75" s="11" t="str">
        <f>IFERROR(INDEX(ShipPartShape!$A:$A,MATCH(AD75,ShipPartShape!$B:$B,0)),"-")</f>
        <v>-</v>
      </c>
      <c r="AF75" s="4"/>
      <c r="AG75" s="11" t="str">
        <f>IFERROR(INDEX(ShipPartShape!$A:$A,MATCH(AF75,ShipPartShape!$B:$B,0)),"-")</f>
        <v>-</v>
      </c>
      <c r="AH75" s="4"/>
      <c r="AI75" s="11" t="str">
        <f>IFERROR(INDEX(ShipPartShape!$A:$A,MATCH(AH75,ShipPartShape!$B:$B,0)),"-")</f>
        <v>-</v>
      </c>
      <c r="AJ75" s="11" t="s">
        <v>518</v>
      </c>
      <c r="AK75" s="11" t="s">
        <v>518</v>
      </c>
      <c r="AL75" s="11" t="s">
        <v>518</v>
      </c>
      <c r="AM75" s="11" t="s">
        <v>0</v>
      </c>
      <c r="AN75" s="11" t="s">
        <v>0</v>
      </c>
      <c r="AO75" s="11" t="s">
        <v>0</v>
      </c>
      <c r="AP75" s="11" t="s">
        <v>0</v>
      </c>
      <c r="AQ75" s="11" t="s">
        <v>0</v>
      </c>
      <c r="AR75" s="11" t="s">
        <v>0</v>
      </c>
      <c r="AS75" s="11" t="s">
        <v>0</v>
      </c>
      <c r="AT75" s="11" t="s">
        <v>0</v>
      </c>
      <c r="AU75" s="11" t="s">
        <v>545</v>
      </c>
      <c r="AV75" s="11" t="s">
        <v>0</v>
      </c>
      <c r="AW75" s="11">
        <v>47600005</v>
      </c>
      <c r="AX75" s="11" t="s">
        <v>0</v>
      </c>
    </row>
    <row r="76" spans="1:50" ht="15">
      <c r="A76" s="10">
        <f t="shared" ref="A76:A139" si="1">A75+1</f>
        <v>45000066</v>
      </c>
      <c r="B76" s="24" t="s">
        <v>360</v>
      </c>
      <c r="C76" s="11" t="s">
        <v>562</v>
      </c>
      <c r="D76" s="4" t="s">
        <v>366</v>
      </c>
      <c r="E76" s="11">
        <v>700</v>
      </c>
      <c r="F76" s="11">
        <v>100</v>
      </c>
      <c r="G76" s="11" t="s">
        <v>0</v>
      </c>
      <c r="H76" s="11" t="s">
        <v>545</v>
      </c>
      <c r="I76" s="11">
        <f>IFERROR(INDEX(ShipPartShape!$A:$A,MATCH(D76,ShipPartShape!$B:$B,0)),"-")</f>
        <v>46000062</v>
      </c>
      <c r="J76" s="4" t="s">
        <v>70</v>
      </c>
      <c r="K76" s="11">
        <f>IFERROR(INDEX(ShipPartShape!$A:$A,MATCH(J76,ShipPartShape!$B:$B,0)),"-")</f>
        <v>46700001</v>
      </c>
      <c r="L76" s="4" t="s">
        <v>367</v>
      </c>
      <c r="M76" s="11">
        <f>IFERROR(INDEX(ShipPartShape!$A:$A,MATCH(L76,ShipPartShape!$B:$B,0)),"-")</f>
        <v>46200010</v>
      </c>
      <c r="N76" s="4" t="s">
        <v>780</v>
      </c>
      <c r="O76" s="11">
        <f>IFERROR(INDEX(ShipPartShape!$A:$A,MATCH(N76,ShipPartShape!$B:$B,0)),"-")</f>
        <v>46100004</v>
      </c>
      <c r="P76" s="4" t="s">
        <v>69</v>
      </c>
      <c r="Q76" s="11">
        <f>IFERROR(INDEX(ShipPartShape!$A:$A,MATCH(P76,ShipPartShape!$B:$B,0)),"-")</f>
        <v>46300001</v>
      </c>
      <c r="R76" s="4"/>
      <c r="S76" s="11" t="str">
        <f>IFERROR(INDEX(ShipPartShape!$A:$A,MATCH(R76,ShipPartShape!$B:$B,0)),"-")</f>
        <v>-</v>
      </c>
      <c r="T76" s="4"/>
      <c r="U76" s="11" t="str">
        <f>IFERROR(INDEX(ShipPartShape!$A:$A,MATCH(T76,ShipPartShape!$B:$B,0)),"-")</f>
        <v>-</v>
      </c>
      <c r="V76" s="4"/>
      <c r="W76" s="11" t="str">
        <f>IFERROR(INDEX(ShipPartShape!$A:$A,MATCH(V76,ShipPartShape!$B:$B,0)),"-")</f>
        <v>-</v>
      </c>
      <c r="X76" s="4"/>
      <c r="Y76" s="11" t="str">
        <f>IFERROR(INDEX(ShipPartShape!$A:$A,MATCH(X76,ShipPartShape!$B:$B,0)),"-")</f>
        <v>-</v>
      </c>
      <c r="Z76" s="4"/>
      <c r="AA76" s="11" t="str">
        <f>IFERROR(INDEX(ShipPartShape!$A:$A,MATCH(Z76,ShipPartShape!$B:$B,0)),"-")</f>
        <v>-</v>
      </c>
      <c r="AB76" s="4"/>
      <c r="AC76" s="11" t="str">
        <f>IFERROR(INDEX(ShipPartShape!$A:$A,MATCH(AB76,ShipPartShape!$B:$B,0)),"-")</f>
        <v>-</v>
      </c>
      <c r="AD76" s="4"/>
      <c r="AE76" s="11" t="str">
        <f>IFERROR(INDEX(ShipPartShape!$A:$A,MATCH(AD76,ShipPartShape!$B:$B,0)),"-")</f>
        <v>-</v>
      </c>
      <c r="AF76" s="4"/>
      <c r="AG76" s="11" t="str">
        <f>IFERROR(INDEX(ShipPartShape!$A:$A,MATCH(AF76,ShipPartShape!$B:$B,0)),"-")</f>
        <v>-</v>
      </c>
      <c r="AH76" s="4"/>
      <c r="AI76" s="11" t="str">
        <f>IFERROR(INDEX(ShipPartShape!$A:$A,MATCH(AH76,ShipPartShape!$B:$B,0)),"-")</f>
        <v>-</v>
      </c>
      <c r="AJ76" s="11" t="s">
        <v>518</v>
      </c>
      <c r="AK76" s="11" t="s">
        <v>518</v>
      </c>
      <c r="AL76" s="11" t="s">
        <v>518</v>
      </c>
      <c r="AM76" s="11" t="s">
        <v>0</v>
      </c>
      <c r="AN76" s="11" t="s">
        <v>0</v>
      </c>
      <c r="AO76" s="11" t="s">
        <v>0</v>
      </c>
      <c r="AP76" s="11" t="s">
        <v>0</v>
      </c>
      <c r="AQ76" s="11" t="s">
        <v>0</v>
      </c>
      <c r="AR76" s="11" t="s">
        <v>0</v>
      </c>
      <c r="AS76" s="11" t="s">
        <v>0</v>
      </c>
      <c r="AT76" s="11" t="s">
        <v>0</v>
      </c>
      <c r="AU76" s="11" t="s">
        <v>545</v>
      </c>
      <c r="AV76" s="11" t="s">
        <v>0</v>
      </c>
      <c r="AW76" s="11">
        <v>47600005</v>
      </c>
      <c r="AX76" s="11" t="s">
        <v>0</v>
      </c>
    </row>
    <row r="77" spans="1:50" ht="15">
      <c r="A77" s="10">
        <f t="shared" si="1"/>
        <v>45000067</v>
      </c>
      <c r="B77" s="24" t="s">
        <v>493</v>
      </c>
      <c r="C77" s="11" t="s">
        <v>242</v>
      </c>
      <c r="D77" s="4" t="s">
        <v>243</v>
      </c>
      <c r="E77" s="11">
        <v>700</v>
      </c>
      <c r="F77" s="11">
        <v>100</v>
      </c>
      <c r="G77" s="11" t="s">
        <v>0</v>
      </c>
      <c r="H77" s="11" t="s">
        <v>545</v>
      </c>
      <c r="I77" s="11">
        <f>IFERROR(INDEX(ShipPartShape!$A:$A,MATCH(D77,ShipPartShape!$B:$B,0)),"-")</f>
        <v>46000044</v>
      </c>
      <c r="J77" s="4" t="s">
        <v>70</v>
      </c>
      <c r="K77" s="11">
        <f>IFERROR(INDEX(ShipPartShape!$A:$A,MATCH(J77,ShipPartShape!$B:$B,0)),"-")</f>
        <v>46700001</v>
      </c>
      <c r="L77" s="4" t="s">
        <v>782</v>
      </c>
      <c r="M77" s="11" t="str">
        <f>IFERROR(INDEX(ShipPartShape!$A:$A,MATCH(L77,ShipPartShape!$B:$B,0)),"-")</f>
        <v>-</v>
      </c>
      <c r="N77" s="4" t="s">
        <v>370</v>
      </c>
      <c r="O77" s="11">
        <f>IFERROR(INDEX(ShipPartShape!$A:$A,MATCH(N77,ShipPartShape!$B:$B,0)),"-")</f>
        <v>46200003</v>
      </c>
      <c r="P77" s="4" t="s">
        <v>69</v>
      </c>
      <c r="Q77" s="11">
        <f>IFERROR(INDEX(ShipPartShape!$A:$A,MATCH(P77,ShipPartShape!$B:$B,0)),"-")</f>
        <v>46300001</v>
      </c>
      <c r="R77" s="4" t="s">
        <v>463</v>
      </c>
      <c r="S77" s="11" t="str">
        <f>IFERROR(INDEX(ShipPartShape!$A:$A,MATCH(R77,ShipPartShape!$B:$B,0)),"-")</f>
        <v>-</v>
      </c>
      <c r="T77" s="4"/>
      <c r="U77" s="11" t="str">
        <f>IFERROR(INDEX(ShipPartShape!$A:$A,MATCH(T77,ShipPartShape!$B:$B,0)),"-")</f>
        <v>-</v>
      </c>
      <c r="V77" s="4"/>
      <c r="W77" s="11" t="str">
        <f>IFERROR(INDEX(ShipPartShape!$A:$A,MATCH(V77,ShipPartShape!$B:$B,0)),"-")</f>
        <v>-</v>
      </c>
      <c r="X77" s="4"/>
      <c r="Y77" s="11" t="str">
        <f>IFERROR(INDEX(ShipPartShape!$A:$A,MATCH(X77,ShipPartShape!$B:$B,0)),"-")</f>
        <v>-</v>
      </c>
      <c r="Z77" s="4"/>
      <c r="AA77" s="11" t="str">
        <f>IFERROR(INDEX(ShipPartShape!$A:$A,MATCH(Z77,ShipPartShape!$B:$B,0)),"-")</f>
        <v>-</v>
      </c>
      <c r="AB77" s="4"/>
      <c r="AC77" s="11" t="str">
        <f>IFERROR(INDEX(ShipPartShape!$A:$A,MATCH(AB77,ShipPartShape!$B:$B,0)),"-")</f>
        <v>-</v>
      </c>
      <c r="AD77" s="4"/>
      <c r="AE77" s="11" t="str">
        <f>IFERROR(INDEX(ShipPartShape!$A:$A,MATCH(AD77,ShipPartShape!$B:$B,0)),"-")</f>
        <v>-</v>
      </c>
      <c r="AF77" s="4"/>
      <c r="AG77" s="11" t="str">
        <f>IFERROR(INDEX(ShipPartShape!$A:$A,MATCH(AF77,ShipPartShape!$B:$B,0)),"-")</f>
        <v>-</v>
      </c>
      <c r="AH77" s="4"/>
      <c r="AI77" s="11" t="str">
        <f>IFERROR(INDEX(ShipPartShape!$A:$A,MATCH(AH77,ShipPartShape!$B:$B,0)),"-")</f>
        <v>-</v>
      </c>
      <c r="AJ77" s="11" t="s">
        <v>518</v>
      </c>
      <c r="AK77" s="11" t="s">
        <v>518</v>
      </c>
      <c r="AL77" s="11" t="s">
        <v>518</v>
      </c>
      <c r="AM77" s="11" t="s">
        <v>0</v>
      </c>
      <c r="AN77" s="11" t="s">
        <v>0</v>
      </c>
      <c r="AO77" s="11" t="s">
        <v>0</v>
      </c>
      <c r="AP77" s="11" t="s">
        <v>0</v>
      </c>
      <c r="AQ77" s="11" t="s">
        <v>0</v>
      </c>
      <c r="AR77" s="11" t="s">
        <v>0</v>
      </c>
      <c r="AS77" s="11" t="s">
        <v>0</v>
      </c>
      <c r="AT77" s="11" t="s">
        <v>0</v>
      </c>
      <c r="AU77" s="11" t="s">
        <v>545</v>
      </c>
      <c r="AV77" s="11" t="s">
        <v>0</v>
      </c>
      <c r="AW77" s="11">
        <v>47600005</v>
      </c>
      <c r="AX77" s="11" t="s">
        <v>0</v>
      </c>
    </row>
    <row r="78" spans="1:50" ht="15">
      <c r="A78" s="10">
        <f t="shared" si="1"/>
        <v>45000068</v>
      </c>
      <c r="B78" s="24" t="s">
        <v>494</v>
      </c>
      <c r="C78" s="11" t="s">
        <v>242</v>
      </c>
      <c r="D78" s="4" t="s">
        <v>537</v>
      </c>
      <c r="E78" s="11">
        <v>700</v>
      </c>
      <c r="F78" s="11">
        <v>100</v>
      </c>
      <c r="G78" s="11" t="s">
        <v>0</v>
      </c>
      <c r="H78" s="11" t="s">
        <v>545</v>
      </c>
      <c r="I78" s="11">
        <f>IFERROR(INDEX(ShipPartShape!$A:$A,MATCH(D78,ShipPartShape!$B:$B,0)),"-")</f>
        <v>46000063</v>
      </c>
      <c r="J78" s="4" t="s">
        <v>70</v>
      </c>
      <c r="K78" s="11">
        <f>IFERROR(INDEX(ShipPartShape!$A:$A,MATCH(J78,ShipPartShape!$B:$B,0)),"-")</f>
        <v>46700001</v>
      </c>
      <c r="L78" s="4" t="s">
        <v>781</v>
      </c>
      <c r="M78" s="11" t="str">
        <f>IFERROR(INDEX(ShipPartShape!$A:$A,MATCH(L78,ShipPartShape!$B:$B,0)),"-")</f>
        <v>-</v>
      </c>
      <c r="N78" s="4" t="s">
        <v>509</v>
      </c>
      <c r="O78" s="11">
        <f>IFERROR(INDEX(ShipPartShape!$A:$A,MATCH(N78,ShipPartShape!$B:$B,0)),"-")</f>
        <v>46200004</v>
      </c>
      <c r="P78" s="4" t="s">
        <v>69</v>
      </c>
      <c r="Q78" s="11">
        <f>IFERROR(INDEX(ShipPartShape!$A:$A,MATCH(P78,ShipPartShape!$B:$B,0)),"-")</f>
        <v>46300001</v>
      </c>
      <c r="R78" s="4" t="s">
        <v>464</v>
      </c>
      <c r="S78" s="11" t="str">
        <f>IFERROR(INDEX(ShipPartShape!$A:$A,MATCH(R78,ShipPartShape!$B:$B,0)),"-")</f>
        <v>-</v>
      </c>
      <c r="T78" s="4"/>
      <c r="U78" s="11" t="str">
        <f>IFERROR(INDEX(ShipPartShape!$A:$A,MATCH(T78,ShipPartShape!$B:$B,0)),"-")</f>
        <v>-</v>
      </c>
      <c r="V78" s="4"/>
      <c r="W78" s="11" t="str">
        <f>IFERROR(INDEX(ShipPartShape!$A:$A,MATCH(V78,ShipPartShape!$B:$B,0)),"-")</f>
        <v>-</v>
      </c>
      <c r="X78" s="4"/>
      <c r="Y78" s="11" t="str">
        <f>IFERROR(INDEX(ShipPartShape!$A:$A,MATCH(X78,ShipPartShape!$B:$B,0)),"-")</f>
        <v>-</v>
      </c>
      <c r="Z78" s="4"/>
      <c r="AA78" s="11" t="str">
        <f>IFERROR(INDEX(ShipPartShape!$A:$A,MATCH(Z78,ShipPartShape!$B:$B,0)),"-")</f>
        <v>-</v>
      </c>
      <c r="AB78" s="4"/>
      <c r="AC78" s="11" t="str">
        <f>IFERROR(INDEX(ShipPartShape!$A:$A,MATCH(AB78,ShipPartShape!$B:$B,0)),"-")</f>
        <v>-</v>
      </c>
      <c r="AD78" s="4"/>
      <c r="AE78" s="11" t="str">
        <f>IFERROR(INDEX(ShipPartShape!$A:$A,MATCH(AD78,ShipPartShape!$B:$B,0)),"-")</f>
        <v>-</v>
      </c>
      <c r="AF78" s="4"/>
      <c r="AG78" s="11" t="str">
        <f>IFERROR(INDEX(ShipPartShape!$A:$A,MATCH(AF78,ShipPartShape!$B:$B,0)),"-")</f>
        <v>-</v>
      </c>
      <c r="AH78" s="4"/>
      <c r="AI78" s="11" t="str">
        <f>IFERROR(INDEX(ShipPartShape!$A:$A,MATCH(AH78,ShipPartShape!$B:$B,0)),"-")</f>
        <v>-</v>
      </c>
      <c r="AJ78" s="11" t="s">
        <v>518</v>
      </c>
      <c r="AK78" s="11" t="s">
        <v>518</v>
      </c>
      <c r="AL78" s="11" t="s">
        <v>518</v>
      </c>
      <c r="AM78" s="11" t="s">
        <v>0</v>
      </c>
      <c r="AN78" s="11" t="s">
        <v>0</v>
      </c>
      <c r="AO78" s="11" t="s">
        <v>0</v>
      </c>
      <c r="AP78" s="11" t="s">
        <v>0</v>
      </c>
      <c r="AQ78" s="11" t="s">
        <v>0</v>
      </c>
      <c r="AR78" s="11" t="s">
        <v>0</v>
      </c>
      <c r="AS78" s="11" t="s">
        <v>0</v>
      </c>
      <c r="AT78" s="11" t="s">
        <v>0</v>
      </c>
      <c r="AU78" s="11" t="s">
        <v>545</v>
      </c>
      <c r="AV78" s="11" t="s">
        <v>0</v>
      </c>
      <c r="AW78" s="11">
        <v>47600005</v>
      </c>
      <c r="AX78" s="11" t="s">
        <v>0</v>
      </c>
    </row>
    <row r="79" spans="1:50" ht="15">
      <c r="A79" s="10">
        <f t="shared" si="1"/>
        <v>45000069</v>
      </c>
      <c r="B79" s="24" t="s">
        <v>495</v>
      </c>
      <c r="C79" s="11" t="s">
        <v>246</v>
      </c>
      <c r="D79" s="4" t="s">
        <v>248</v>
      </c>
      <c r="E79" s="11">
        <v>700</v>
      </c>
      <c r="F79" s="11">
        <v>100</v>
      </c>
      <c r="G79" s="11" t="s">
        <v>0</v>
      </c>
      <c r="H79" s="11" t="s">
        <v>545</v>
      </c>
      <c r="I79" s="11">
        <f>IFERROR(INDEX(ShipPartShape!$A:$A,MATCH(D79,ShipPartShape!$B:$B,0)),"-")</f>
        <v>46000045</v>
      </c>
      <c r="J79" s="4" t="s">
        <v>70</v>
      </c>
      <c r="K79" s="11">
        <f>IFERROR(INDEX(ShipPartShape!$A:$A,MATCH(J79,ShipPartShape!$B:$B,0)),"-")</f>
        <v>46700001</v>
      </c>
      <c r="L79" s="4" t="s">
        <v>782</v>
      </c>
      <c r="M79" s="11" t="str">
        <f>IFERROR(INDEX(ShipPartShape!$A:$A,MATCH(L79,ShipPartShape!$B:$B,0)),"-")</f>
        <v>-</v>
      </c>
      <c r="N79" s="4" t="s">
        <v>369</v>
      </c>
      <c r="O79" s="11">
        <f>IFERROR(INDEX(ShipPartShape!$A:$A,MATCH(N79,ShipPartShape!$B:$B,0)),"-")</f>
        <v>46200005</v>
      </c>
      <c r="P79" s="4" t="s">
        <v>69</v>
      </c>
      <c r="Q79" s="11">
        <f>IFERROR(INDEX(ShipPartShape!$A:$A,MATCH(P79,ShipPartShape!$B:$B,0)),"-")</f>
        <v>46300001</v>
      </c>
      <c r="R79" s="4" t="s">
        <v>465</v>
      </c>
      <c r="S79" s="11" t="str">
        <f>IFERROR(INDEX(ShipPartShape!$A:$A,MATCH(R79,ShipPartShape!$B:$B,0)),"-")</f>
        <v>-</v>
      </c>
      <c r="T79" s="4"/>
      <c r="U79" s="11" t="str">
        <f>IFERROR(INDEX(ShipPartShape!$A:$A,MATCH(T79,ShipPartShape!$B:$B,0)),"-")</f>
        <v>-</v>
      </c>
      <c r="V79" s="4"/>
      <c r="W79" s="11" t="str">
        <f>IFERROR(INDEX(ShipPartShape!$A:$A,MATCH(V79,ShipPartShape!$B:$B,0)),"-")</f>
        <v>-</v>
      </c>
      <c r="X79" s="4"/>
      <c r="Y79" s="11" t="str">
        <f>IFERROR(INDEX(ShipPartShape!$A:$A,MATCH(X79,ShipPartShape!$B:$B,0)),"-")</f>
        <v>-</v>
      </c>
      <c r="Z79" s="4"/>
      <c r="AA79" s="11" t="str">
        <f>IFERROR(INDEX(ShipPartShape!$A:$A,MATCH(Z79,ShipPartShape!$B:$B,0)),"-")</f>
        <v>-</v>
      </c>
      <c r="AB79" s="4"/>
      <c r="AC79" s="11" t="str">
        <f>IFERROR(INDEX(ShipPartShape!$A:$A,MATCH(AB79,ShipPartShape!$B:$B,0)),"-")</f>
        <v>-</v>
      </c>
      <c r="AD79" s="4"/>
      <c r="AE79" s="11" t="str">
        <f>IFERROR(INDEX(ShipPartShape!$A:$A,MATCH(AD79,ShipPartShape!$B:$B,0)),"-")</f>
        <v>-</v>
      </c>
      <c r="AF79" s="4"/>
      <c r="AG79" s="11" t="str">
        <f>IFERROR(INDEX(ShipPartShape!$A:$A,MATCH(AF79,ShipPartShape!$B:$B,0)),"-")</f>
        <v>-</v>
      </c>
      <c r="AH79" s="4"/>
      <c r="AI79" s="11" t="str">
        <f>IFERROR(INDEX(ShipPartShape!$A:$A,MATCH(AH79,ShipPartShape!$B:$B,0)),"-")</f>
        <v>-</v>
      </c>
      <c r="AJ79" s="11" t="s">
        <v>518</v>
      </c>
      <c r="AK79" s="11" t="s">
        <v>518</v>
      </c>
      <c r="AL79" s="11" t="s">
        <v>518</v>
      </c>
      <c r="AM79" s="11" t="s">
        <v>0</v>
      </c>
      <c r="AN79" s="11" t="s">
        <v>0</v>
      </c>
      <c r="AO79" s="11" t="s">
        <v>0</v>
      </c>
      <c r="AP79" s="11" t="s">
        <v>0</v>
      </c>
      <c r="AQ79" s="11" t="s">
        <v>0</v>
      </c>
      <c r="AR79" s="11" t="s">
        <v>0</v>
      </c>
      <c r="AS79" s="11" t="s">
        <v>0</v>
      </c>
      <c r="AT79" s="11" t="s">
        <v>0</v>
      </c>
      <c r="AU79" s="11" t="s">
        <v>545</v>
      </c>
      <c r="AV79" s="11" t="s">
        <v>0</v>
      </c>
      <c r="AW79" s="11">
        <v>47600005</v>
      </c>
      <c r="AX79" s="11" t="s">
        <v>0</v>
      </c>
    </row>
    <row r="80" spans="1:50" ht="15">
      <c r="A80" s="10">
        <f t="shared" si="1"/>
        <v>45000070</v>
      </c>
      <c r="B80" s="24" t="s">
        <v>496</v>
      </c>
      <c r="C80" s="11" t="s">
        <v>246</v>
      </c>
      <c r="D80" s="4" t="s">
        <v>538</v>
      </c>
      <c r="E80" s="11">
        <v>700</v>
      </c>
      <c r="F80" s="11">
        <v>100</v>
      </c>
      <c r="G80" s="11" t="s">
        <v>0</v>
      </c>
      <c r="H80" s="11" t="s">
        <v>545</v>
      </c>
      <c r="I80" s="11">
        <f>IFERROR(INDEX(ShipPartShape!$A:$A,MATCH(D80,ShipPartShape!$B:$B,0)),"-")</f>
        <v>46000064</v>
      </c>
      <c r="J80" s="4" t="s">
        <v>70</v>
      </c>
      <c r="K80" s="11">
        <f>IFERROR(INDEX(ShipPartShape!$A:$A,MATCH(J80,ShipPartShape!$B:$B,0)),"-")</f>
        <v>46700001</v>
      </c>
      <c r="L80" s="4" t="s">
        <v>781</v>
      </c>
      <c r="M80" s="11" t="str">
        <f>IFERROR(INDEX(ShipPartShape!$A:$A,MATCH(L80,ShipPartShape!$B:$B,0)),"-")</f>
        <v>-</v>
      </c>
      <c r="N80" s="4" t="s">
        <v>510</v>
      </c>
      <c r="O80" s="11">
        <f>IFERROR(INDEX(ShipPartShape!$A:$A,MATCH(N80,ShipPartShape!$B:$B,0)),"-")</f>
        <v>46200006</v>
      </c>
      <c r="P80" s="4" t="s">
        <v>69</v>
      </c>
      <c r="Q80" s="11">
        <f>IFERROR(INDEX(ShipPartShape!$A:$A,MATCH(P80,ShipPartShape!$B:$B,0)),"-")</f>
        <v>46300001</v>
      </c>
      <c r="R80" s="4" t="s">
        <v>466</v>
      </c>
      <c r="S80" s="11" t="str">
        <f>IFERROR(INDEX(ShipPartShape!$A:$A,MATCH(R80,ShipPartShape!$B:$B,0)),"-")</f>
        <v>-</v>
      </c>
      <c r="T80" s="4"/>
      <c r="U80" s="11" t="str">
        <f>IFERROR(INDEX(ShipPartShape!$A:$A,MATCH(T80,ShipPartShape!$B:$B,0)),"-")</f>
        <v>-</v>
      </c>
      <c r="V80" s="4"/>
      <c r="W80" s="11" t="str">
        <f>IFERROR(INDEX(ShipPartShape!$A:$A,MATCH(V80,ShipPartShape!$B:$B,0)),"-")</f>
        <v>-</v>
      </c>
      <c r="X80" s="4"/>
      <c r="Y80" s="11" t="str">
        <f>IFERROR(INDEX(ShipPartShape!$A:$A,MATCH(X80,ShipPartShape!$B:$B,0)),"-")</f>
        <v>-</v>
      </c>
      <c r="Z80" s="4"/>
      <c r="AA80" s="11" t="str">
        <f>IFERROR(INDEX(ShipPartShape!$A:$A,MATCH(Z80,ShipPartShape!$B:$B,0)),"-")</f>
        <v>-</v>
      </c>
      <c r="AB80" s="4"/>
      <c r="AC80" s="11" t="str">
        <f>IFERROR(INDEX(ShipPartShape!$A:$A,MATCH(AB80,ShipPartShape!$B:$B,0)),"-")</f>
        <v>-</v>
      </c>
      <c r="AD80" s="4"/>
      <c r="AE80" s="11" t="str">
        <f>IFERROR(INDEX(ShipPartShape!$A:$A,MATCH(AD80,ShipPartShape!$B:$B,0)),"-")</f>
        <v>-</v>
      </c>
      <c r="AF80" s="4"/>
      <c r="AG80" s="11" t="str">
        <f>IFERROR(INDEX(ShipPartShape!$A:$A,MATCH(AF80,ShipPartShape!$B:$B,0)),"-")</f>
        <v>-</v>
      </c>
      <c r="AH80" s="4"/>
      <c r="AI80" s="11" t="str">
        <f>IFERROR(INDEX(ShipPartShape!$A:$A,MATCH(AH80,ShipPartShape!$B:$B,0)),"-")</f>
        <v>-</v>
      </c>
      <c r="AJ80" s="11" t="s">
        <v>518</v>
      </c>
      <c r="AK80" s="11" t="s">
        <v>518</v>
      </c>
      <c r="AL80" s="11" t="s">
        <v>518</v>
      </c>
      <c r="AM80" s="11" t="s">
        <v>0</v>
      </c>
      <c r="AN80" s="11" t="s">
        <v>0</v>
      </c>
      <c r="AO80" s="11" t="s">
        <v>0</v>
      </c>
      <c r="AP80" s="11" t="s">
        <v>0</v>
      </c>
      <c r="AQ80" s="11" t="s">
        <v>0</v>
      </c>
      <c r="AR80" s="11" t="s">
        <v>0</v>
      </c>
      <c r="AS80" s="11" t="s">
        <v>0</v>
      </c>
      <c r="AT80" s="11" t="s">
        <v>0</v>
      </c>
      <c r="AU80" s="11" t="s">
        <v>545</v>
      </c>
      <c r="AV80" s="11" t="s">
        <v>0</v>
      </c>
      <c r="AW80" s="11">
        <v>47600005</v>
      </c>
      <c r="AX80" s="11" t="s">
        <v>0</v>
      </c>
    </row>
    <row r="81" spans="1:50" ht="15">
      <c r="A81" s="10">
        <f t="shared" si="1"/>
        <v>45000071</v>
      </c>
      <c r="B81" s="24" t="s">
        <v>497</v>
      </c>
      <c r="C81" s="11" t="s">
        <v>200</v>
      </c>
      <c r="D81" s="4" t="s">
        <v>168</v>
      </c>
      <c r="E81" s="11">
        <v>700</v>
      </c>
      <c r="F81" s="11">
        <v>100</v>
      </c>
      <c r="G81" s="11" t="s">
        <v>0</v>
      </c>
      <c r="H81" s="11" t="s">
        <v>545</v>
      </c>
      <c r="I81" s="11">
        <f>IFERROR(INDEX(ShipPartShape!$A:$A,MATCH(D81,ShipPartShape!$B:$B,0)),"-")</f>
        <v>46000008</v>
      </c>
      <c r="J81" s="4" t="s">
        <v>70</v>
      </c>
      <c r="K81" s="11">
        <f>IFERROR(INDEX(ShipPartShape!$A:$A,MATCH(J81,ShipPartShape!$B:$B,0)),"-")</f>
        <v>46700001</v>
      </c>
      <c r="L81" s="4" t="s">
        <v>782</v>
      </c>
      <c r="M81" s="11" t="str">
        <f>IFERROR(INDEX(ShipPartShape!$A:$A,MATCH(L81,ShipPartShape!$B:$B,0)),"-")</f>
        <v>-</v>
      </c>
      <c r="N81" s="4" t="s">
        <v>368</v>
      </c>
      <c r="O81" s="11">
        <f>IFERROR(INDEX(ShipPartShape!$A:$A,MATCH(N81,ShipPartShape!$B:$B,0)),"-")</f>
        <v>46200007</v>
      </c>
      <c r="P81" s="4" t="s">
        <v>69</v>
      </c>
      <c r="Q81" s="11">
        <f>IFERROR(INDEX(ShipPartShape!$A:$A,MATCH(P81,ShipPartShape!$B:$B,0)),"-")</f>
        <v>46300001</v>
      </c>
      <c r="R81" s="4" t="s">
        <v>463</v>
      </c>
      <c r="S81" s="11" t="str">
        <f>IFERROR(INDEX(ShipPartShape!$A:$A,MATCH(R81,ShipPartShape!$B:$B,0)),"-")</f>
        <v>-</v>
      </c>
      <c r="T81" s="4"/>
      <c r="U81" s="11" t="str">
        <f>IFERROR(INDEX(ShipPartShape!$A:$A,MATCH(T81,ShipPartShape!$B:$B,0)),"-")</f>
        <v>-</v>
      </c>
      <c r="V81" s="4"/>
      <c r="W81" s="11" t="str">
        <f>IFERROR(INDEX(ShipPartShape!$A:$A,MATCH(V81,ShipPartShape!$B:$B,0)),"-")</f>
        <v>-</v>
      </c>
      <c r="X81" s="4"/>
      <c r="Y81" s="11" t="str">
        <f>IFERROR(INDEX(ShipPartShape!$A:$A,MATCH(X81,ShipPartShape!$B:$B,0)),"-")</f>
        <v>-</v>
      </c>
      <c r="Z81" s="4"/>
      <c r="AA81" s="11" t="str">
        <f>IFERROR(INDEX(ShipPartShape!$A:$A,MATCH(Z81,ShipPartShape!$B:$B,0)),"-")</f>
        <v>-</v>
      </c>
      <c r="AB81" s="4"/>
      <c r="AC81" s="11" t="str">
        <f>IFERROR(INDEX(ShipPartShape!$A:$A,MATCH(AB81,ShipPartShape!$B:$B,0)),"-")</f>
        <v>-</v>
      </c>
      <c r="AD81" s="4"/>
      <c r="AE81" s="11" t="str">
        <f>IFERROR(INDEX(ShipPartShape!$A:$A,MATCH(AD81,ShipPartShape!$B:$B,0)),"-")</f>
        <v>-</v>
      </c>
      <c r="AF81" s="4"/>
      <c r="AG81" s="11" t="str">
        <f>IFERROR(INDEX(ShipPartShape!$A:$A,MATCH(AF81,ShipPartShape!$B:$B,0)),"-")</f>
        <v>-</v>
      </c>
      <c r="AH81" s="4"/>
      <c r="AI81" s="11" t="str">
        <f>IFERROR(INDEX(ShipPartShape!$A:$A,MATCH(AH81,ShipPartShape!$B:$B,0)),"-")</f>
        <v>-</v>
      </c>
      <c r="AJ81" s="11" t="s">
        <v>518</v>
      </c>
      <c r="AK81" s="11" t="s">
        <v>518</v>
      </c>
      <c r="AL81" s="11" t="s">
        <v>518</v>
      </c>
      <c r="AM81" s="11" t="s">
        <v>0</v>
      </c>
      <c r="AN81" s="11" t="s">
        <v>0</v>
      </c>
      <c r="AO81" s="11" t="s">
        <v>0</v>
      </c>
      <c r="AP81" s="11" t="s">
        <v>0</v>
      </c>
      <c r="AQ81" s="11" t="s">
        <v>0</v>
      </c>
      <c r="AR81" s="11" t="s">
        <v>0</v>
      </c>
      <c r="AS81" s="11" t="s">
        <v>0</v>
      </c>
      <c r="AT81" s="11" t="s">
        <v>0</v>
      </c>
      <c r="AU81" s="11" t="s">
        <v>545</v>
      </c>
      <c r="AV81" s="11" t="s">
        <v>0</v>
      </c>
      <c r="AW81" s="11">
        <v>47600005</v>
      </c>
      <c r="AX81" s="11" t="s">
        <v>0</v>
      </c>
    </row>
    <row r="82" spans="1:50" ht="15">
      <c r="A82" s="10">
        <f t="shared" si="1"/>
        <v>45000072</v>
      </c>
      <c r="B82" s="24" t="s">
        <v>498</v>
      </c>
      <c r="C82" s="11" t="s">
        <v>200</v>
      </c>
      <c r="D82" s="4" t="s">
        <v>547</v>
      </c>
      <c r="E82" s="11">
        <v>700</v>
      </c>
      <c r="F82" s="11">
        <v>100</v>
      </c>
      <c r="G82" s="11" t="s">
        <v>0</v>
      </c>
      <c r="H82" s="11" t="s">
        <v>545</v>
      </c>
      <c r="I82" s="11">
        <f>IFERROR(INDEX(ShipPartShape!$A:$A,MATCH(D82,ShipPartShape!$B:$B,0)),"-")</f>
        <v>46000065</v>
      </c>
      <c r="J82" s="4" t="s">
        <v>70</v>
      </c>
      <c r="K82" s="11">
        <f>IFERROR(INDEX(ShipPartShape!$A:$A,MATCH(J82,ShipPartShape!$B:$B,0)),"-")</f>
        <v>46700001</v>
      </c>
      <c r="L82" s="4" t="s">
        <v>781</v>
      </c>
      <c r="M82" s="11" t="str">
        <f>IFERROR(INDEX(ShipPartShape!$A:$A,MATCH(L82,ShipPartShape!$B:$B,0)),"-")</f>
        <v>-</v>
      </c>
      <c r="N82" s="4" t="s">
        <v>511</v>
      </c>
      <c r="O82" s="11">
        <f>IFERROR(INDEX(ShipPartShape!$A:$A,MATCH(N82,ShipPartShape!$B:$B,0)),"-")</f>
        <v>46200008</v>
      </c>
      <c r="P82" s="4" t="s">
        <v>69</v>
      </c>
      <c r="Q82" s="11">
        <f>IFERROR(INDEX(ShipPartShape!$A:$A,MATCH(P82,ShipPartShape!$B:$B,0)),"-")</f>
        <v>46300001</v>
      </c>
      <c r="R82" s="4" t="s">
        <v>464</v>
      </c>
      <c r="S82" s="11" t="str">
        <f>IFERROR(INDEX(ShipPartShape!$A:$A,MATCH(R82,ShipPartShape!$B:$B,0)),"-")</f>
        <v>-</v>
      </c>
      <c r="T82" s="4"/>
      <c r="U82" s="11" t="str">
        <f>IFERROR(INDEX(ShipPartShape!$A:$A,MATCH(T82,ShipPartShape!$B:$B,0)),"-")</f>
        <v>-</v>
      </c>
      <c r="V82" s="4"/>
      <c r="W82" s="11" t="str">
        <f>IFERROR(INDEX(ShipPartShape!$A:$A,MATCH(V82,ShipPartShape!$B:$B,0)),"-")</f>
        <v>-</v>
      </c>
      <c r="X82" s="4"/>
      <c r="Y82" s="11" t="str">
        <f>IFERROR(INDEX(ShipPartShape!$A:$A,MATCH(X82,ShipPartShape!$B:$B,0)),"-")</f>
        <v>-</v>
      </c>
      <c r="Z82" s="4"/>
      <c r="AA82" s="11" t="str">
        <f>IFERROR(INDEX(ShipPartShape!$A:$A,MATCH(Z82,ShipPartShape!$B:$B,0)),"-")</f>
        <v>-</v>
      </c>
      <c r="AB82" s="4"/>
      <c r="AC82" s="11" t="str">
        <f>IFERROR(INDEX(ShipPartShape!$A:$A,MATCH(AB82,ShipPartShape!$B:$B,0)),"-")</f>
        <v>-</v>
      </c>
      <c r="AD82" s="4"/>
      <c r="AE82" s="11" t="str">
        <f>IFERROR(INDEX(ShipPartShape!$A:$A,MATCH(AD82,ShipPartShape!$B:$B,0)),"-")</f>
        <v>-</v>
      </c>
      <c r="AF82" s="4"/>
      <c r="AG82" s="11" t="str">
        <f>IFERROR(INDEX(ShipPartShape!$A:$A,MATCH(AF82,ShipPartShape!$B:$B,0)),"-")</f>
        <v>-</v>
      </c>
      <c r="AH82" s="4"/>
      <c r="AI82" s="11" t="str">
        <f>IFERROR(INDEX(ShipPartShape!$A:$A,MATCH(AH82,ShipPartShape!$B:$B,0)),"-")</f>
        <v>-</v>
      </c>
      <c r="AJ82" s="11" t="s">
        <v>518</v>
      </c>
      <c r="AK82" s="11" t="s">
        <v>518</v>
      </c>
      <c r="AL82" s="11" t="s">
        <v>518</v>
      </c>
      <c r="AM82" s="11" t="s">
        <v>0</v>
      </c>
      <c r="AN82" s="11" t="s">
        <v>0</v>
      </c>
      <c r="AO82" s="11" t="s">
        <v>0</v>
      </c>
      <c r="AP82" s="11" t="s">
        <v>0</v>
      </c>
      <c r="AQ82" s="11" t="s">
        <v>0</v>
      </c>
      <c r="AR82" s="11" t="s">
        <v>0</v>
      </c>
      <c r="AS82" s="11" t="s">
        <v>0</v>
      </c>
      <c r="AT82" s="11" t="s">
        <v>0</v>
      </c>
      <c r="AU82" s="11" t="s">
        <v>545</v>
      </c>
      <c r="AV82" s="11" t="s">
        <v>0</v>
      </c>
      <c r="AW82" s="11">
        <v>47600005</v>
      </c>
      <c r="AX82" s="11" t="s">
        <v>0</v>
      </c>
    </row>
    <row r="83" spans="1:50" ht="15">
      <c r="A83" s="10">
        <f t="shared" si="1"/>
        <v>45000073</v>
      </c>
      <c r="B83" s="24" t="s">
        <v>499</v>
      </c>
      <c r="C83" s="11" t="s">
        <v>199</v>
      </c>
      <c r="D83" s="4" t="s">
        <v>180</v>
      </c>
      <c r="E83" s="11">
        <v>700</v>
      </c>
      <c r="F83" s="11">
        <v>100</v>
      </c>
      <c r="G83" s="11" t="s">
        <v>0</v>
      </c>
      <c r="H83" s="11" t="s">
        <v>545</v>
      </c>
      <c r="I83" s="11">
        <f>IFERROR(INDEX(ShipPartShape!$A:$A,MATCH(D83,ShipPartShape!$B:$B,0)),"-")</f>
        <v>46000014</v>
      </c>
      <c r="J83" s="4" t="s">
        <v>70</v>
      </c>
      <c r="K83" s="11">
        <f>IFERROR(INDEX(ShipPartShape!$A:$A,MATCH(J83,ShipPartShape!$B:$B,0)),"-")</f>
        <v>46700001</v>
      </c>
      <c r="L83" s="4" t="s">
        <v>782</v>
      </c>
      <c r="M83" s="11" t="str">
        <f>IFERROR(INDEX(ShipPartShape!$A:$A,MATCH(L83,ShipPartShape!$B:$B,0)),"-")</f>
        <v>-</v>
      </c>
      <c r="N83" s="4" t="s">
        <v>512</v>
      </c>
      <c r="O83" s="11" t="str">
        <f>IFERROR(INDEX(ShipPartShape!$A:$A,MATCH(N83,ShipPartShape!$B:$B,0)),"-")</f>
        <v>-</v>
      </c>
      <c r="P83" s="4" t="s">
        <v>69</v>
      </c>
      <c r="Q83" s="11">
        <f>IFERROR(INDEX(ShipPartShape!$A:$A,MATCH(P83,ShipPartShape!$B:$B,0)),"-")</f>
        <v>46300001</v>
      </c>
      <c r="R83" s="4" t="s">
        <v>465</v>
      </c>
      <c r="S83" s="11" t="str">
        <f>IFERROR(INDEX(ShipPartShape!$A:$A,MATCH(R83,ShipPartShape!$B:$B,0)),"-")</f>
        <v>-</v>
      </c>
      <c r="T83" s="4"/>
      <c r="U83" s="11" t="str">
        <f>IFERROR(INDEX(ShipPartShape!$A:$A,MATCH(T83,ShipPartShape!$B:$B,0)),"-")</f>
        <v>-</v>
      </c>
      <c r="V83" s="4"/>
      <c r="W83" s="11" t="str">
        <f>IFERROR(INDEX(ShipPartShape!$A:$A,MATCH(V83,ShipPartShape!$B:$B,0)),"-")</f>
        <v>-</v>
      </c>
      <c r="X83" s="4"/>
      <c r="Y83" s="11" t="str">
        <f>IFERROR(INDEX(ShipPartShape!$A:$A,MATCH(X83,ShipPartShape!$B:$B,0)),"-")</f>
        <v>-</v>
      </c>
      <c r="Z83" s="4"/>
      <c r="AA83" s="11" t="str">
        <f>IFERROR(INDEX(ShipPartShape!$A:$A,MATCH(Z83,ShipPartShape!$B:$B,0)),"-")</f>
        <v>-</v>
      </c>
      <c r="AB83" s="4"/>
      <c r="AC83" s="11" t="str">
        <f>IFERROR(INDEX(ShipPartShape!$A:$A,MATCH(AB83,ShipPartShape!$B:$B,0)),"-")</f>
        <v>-</v>
      </c>
      <c r="AD83" s="4"/>
      <c r="AE83" s="11" t="str">
        <f>IFERROR(INDEX(ShipPartShape!$A:$A,MATCH(AD83,ShipPartShape!$B:$B,0)),"-")</f>
        <v>-</v>
      </c>
      <c r="AF83" s="4"/>
      <c r="AG83" s="11" t="str">
        <f>IFERROR(INDEX(ShipPartShape!$A:$A,MATCH(AF83,ShipPartShape!$B:$B,0)),"-")</f>
        <v>-</v>
      </c>
      <c r="AH83" s="4"/>
      <c r="AI83" s="11" t="str">
        <f>IFERROR(INDEX(ShipPartShape!$A:$A,MATCH(AH83,ShipPartShape!$B:$B,0)),"-")</f>
        <v>-</v>
      </c>
      <c r="AJ83" s="11" t="s">
        <v>518</v>
      </c>
      <c r="AK83" s="11" t="s">
        <v>518</v>
      </c>
      <c r="AL83" s="11" t="s">
        <v>518</v>
      </c>
      <c r="AM83" s="11" t="s">
        <v>0</v>
      </c>
      <c r="AN83" s="11" t="s">
        <v>0</v>
      </c>
      <c r="AO83" s="11" t="s">
        <v>0</v>
      </c>
      <c r="AP83" s="11" t="s">
        <v>0</v>
      </c>
      <c r="AQ83" s="11" t="s">
        <v>0</v>
      </c>
      <c r="AR83" s="11" t="s">
        <v>0</v>
      </c>
      <c r="AS83" s="11" t="s">
        <v>0</v>
      </c>
      <c r="AT83" s="11" t="s">
        <v>0</v>
      </c>
      <c r="AU83" s="11" t="s">
        <v>545</v>
      </c>
      <c r="AV83" s="11" t="s">
        <v>0</v>
      </c>
      <c r="AW83" s="11">
        <v>47600005</v>
      </c>
      <c r="AX83" s="11" t="s">
        <v>0</v>
      </c>
    </row>
    <row r="84" spans="1:50" ht="15">
      <c r="A84" s="10">
        <f t="shared" si="1"/>
        <v>45000074</v>
      </c>
      <c r="B84" s="24" t="s">
        <v>500</v>
      </c>
      <c r="C84" s="11" t="s">
        <v>199</v>
      </c>
      <c r="D84" s="4" t="s">
        <v>548</v>
      </c>
      <c r="E84" s="11">
        <v>700</v>
      </c>
      <c r="F84" s="11">
        <v>100</v>
      </c>
      <c r="G84" s="11" t="s">
        <v>0</v>
      </c>
      <c r="H84" s="11" t="s">
        <v>545</v>
      </c>
      <c r="I84" s="11">
        <f>IFERROR(INDEX(ShipPartShape!$A:$A,MATCH(D84,ShipPartShape!$B:$B,0)),"-")</f>
        <v>46000066</v>
      </c>
      <c r="J84" s="4" t="s">
        <v>70</v>
      </c>
      <c r="K84" s="11">
        <f>IFERROR(INDEX(ShipPartShape!$A:$A,MATCH(J84,ShipPartShape!$B:$B,0)),"-")</f>
        <v>46700001</v>
      </c>
      <c r="L84" s="4" t="s">
        <v>781</v>
      </c>
      <c r="M84" s="11" t="str">
        <f>IFERROR(INDEX(ShipPartShape!$A:$A,MATCH(L84,ShipPartShape!$B:$B,0)),"-")</f>
        <v>-</v>
      </c>
      <c r="N84" s="4" t="s">
        <v>367</v>
      </c>
      <c r="O84" s="11">
        <f>IFERROR(INDEX(ShipPartShape!$A:$A,MATCH(N84,ShipPartShape!$B:$B,0)),"-")</f>
        <v>46200010</v>
      </c>
      <c r="P84" s="4" t="s">
        <v>69</v>
      </c>
      <c r="Q84" s="11">
        <f>IFERROR(INDEX(ShipPartShape!$A:$A,MATCH(P84,ShipPartShape!$B:$B,0)),"-")</f>
        <v>46300001</v>
      </c>
      <c r="R84" s="4" t="s">
        <v>466</v>
      </c>
      <c r="S84" s="11" t="str">
        <f>IFERROR(INDEX(ShipPartShape!$A:$A,MATCH(R84,ShipPartShape!$B:$B,0)),"-")</f>
        <v>-</v>
      </c>
      <c r="T84" s="4"/>
      <c r="U84" s="11" t="str">
        <f>IFERROR(INDEX(ShipPartShape!$A:$A,MATCH(T84,ShipPartShape!$B:$B,0)),"-")</f>
        <v>-</v>
      </c>
      <c r="V84" s="4"/>
      <c r="W84" s="11" t="str">
        <f>IFERROR(INDEX(ShipPartShape!$A:$A,MATCH(V84,ShipPartShape!$B:$B,0)),"-")</f>
        <v>-</v>
      </c>
      <c r="X84" s="4"/>
      <c r="Y84" s="11" t="str">
        <f>IFERROR(INDEX(ShipPartShape!$A:$A,MATCH(X84,ShipPartShape!$B:$B,0)),"-")</f>
        <v>-</v>
      </c>
      <c r="Z84" s="4"/>
      <c r="AA84" s="11" t="str">
        <f>IFERROR(INDEX(ShipPartShape!$A:$A,MATCH(Z84,ShipPartShape!$B:$B,0)),"-")</f>
        <v>-</v>
      </c>
      <c r="AB84" s="4"/>
      <c r="AC84" s="11" t="str">
        <f>IFERROR(INDEX(ShipPartShape!$A:$A,MATCH(AB84,ShipPartShape!$B:$B,0)),"-")</f>
        <v>-</v>
      </c>
      <c r="AD84" s="4"/>
      <c r="AE84" s="11" t="str">
        <f>IFERROR(INDEX(ShipPartShape!$A:$A,MATCH(AD84,ShipPartShape!$B:$B,0)),"-")</f>
        <v>-</v>
      </c>
      <c r="AF84" s="4"/>
      <c r="AG84" s="11" t="str">
        <f>IFERROR(INDEX(ShipPartShape!$A:$A,MATCH(AF84,ShipPartShape!$B:$B,0)),"-")</f>
        <v>-</v>
      </c>
      <c r="AH84" s="4"/>
      <c r="AI84" s="11" t="str">
        <f>IFERROR(INDEX(ShipPartShape!$A:$A,MATCH(AH84,ShipPartShape!$B:$B,0)),"-")</f>
        <v>-</v>
      </c>
      <c r="AJ84" s="11" t="s">
        <v>518</v>
      </c>
      <c r="AK84" s="11" t="s">
        <v>518</v>
      </c>
      <c r="AL84" s="11" t="s">
        <v>518</v>
      </c>
      <c r="AM84" s="11" t="s">
        <v>0</v>
      </c>
      <c r="AN84" s="11" t="s">
        <v>0</v>
      </c>
      <c r="AO84" s="11" t="s">
        <v>0</v>
      </c>
      <c r="AP84" s="11" t="s">
        <v>0</v>
      </c>
      <c r="AQ84" s="11" t="s">
        <v>0</v>
      </c>
      <c r="AR84" s="11" t="s">
        <v>0</v>
      </c>
      <c r="AS84" s="11" t="s">
        <v>0</v>
      </c>
      <c r="AT84" s="11" t="s">
        <v>0</v>
      </c>
      <c r="AU84" s="11" t="s">
        <v>545</v>
      </c>
      <c r="AV84" s="11" t="s">
        <v>0</v>
      </c>
      <c r="AW84" s="11">
        <v>47600005</v>
      </c>
      <c r="AX84" s="11" t="s">
        <v>0</v>
      </c>
    </row>
    <row r="85" spans="1:50" ht="15">
      <c r="A85" s="10">
        <f t="shared" si="1"/>
        <v>45000075</v>
      </c>
      <c r="B85" s="24" t="s">
        <v>501</v>
      </c>
      <c r="C85" s="11" t="s">
        <v>240</v>
      </c>
      <c r="D85" s="4" t="s">
        <v>157</v>
      </c>
      <c r="E85" s="11">
        <v>700</v>
      </c>
      <c r="F85" s="11">
        <v>100</v>
      </c>
      <c r="G85" s="11" t="s">
        <v>0</v>
      </c>
      <c r="H85" s="11" t="s">
        <v>545</v>
      </c>
      <c r="I85" s="11">
        <f>IFERROR(INDEX(ShipPartShape!$A:$A,MATCH(D85,ShipPartShape!$B:$B,0)),"-")</f>
        <v>46000038</v>
      </c>
      <c r="J85" s="4" t="s">
        <v>70</v>
      </c>
      <c r="K85" s="11">
        <f>IFERROR(INDEX(ShipPartShape!$A:$A,MATCH(J85,ShipPartShape!$B:$B,0)),"-")</f>
        <v>46700001</v>
      </c>
      <c r="L85" s="4" t="s">
        <v>782</v>
      </c>
      <c r="M85" s="11" t="str">
        <f>IFERROR(INDEX(ShipPartShape!$A:$A,MATCH(L85,ShipPartShape!$B:$B,0)),"-")</f>
        <v>-</v>
      </c>
      <c r="N85" s="4" t="s">
        <v>2640</v>
      </c>
      <c r="O85" s="11">
        <f>IFERROR(INDEX(ShipPartShape!$A:$A,MATCH(N85,ShipPartShape!$B:$B,0)),"-")</f>
        <v>46200017</v>
      </c>
      <c r="P85" s="4" t="s">
        <v>69</v>
      </c>
      <c r="Q85" s="11">
        <f>IFERROR(INDEX(ShipPartShape!$A:$A,MATCH(P85,ShipPartShape!$B:$B,0)),"-")</f>
        <v>46300001</v>
      </c>
      <c r="R85" s="4" t="s">
        <v>463</v>
      </c>
      <c r="S85" s="11" t="str">
        <f>IFERROR(INDEX(ShipPartShape!$A:$A,MATCH(R85,ShipPartShape!$B:$B,0)),"-")</f>
        <v>-</v>
      </c>
      <c r="T85" s="4"/>
      <c r="U85" s="11" t="str">
        <f>IFERROR(INDEX(ShipPartShape!$A:$A,MATCH(T85,ShipPartShape!$B:$B,0)),"-")</f>
        <v>-</v>
      </c>
      <c r="V85" s="4"/>
      <c r="W85" s="11" t="str">
        <f>IFERROR(INDEX(ShipPartShape!$A:$A,MATCH(V85,ShipPartShape!$B:$B,0)),"-")</f>
        <v>-</v>
      </c>
      <c r="X85" s="4"/>
      <c r="Y85" s="11" t="str">
        <f>IFERROR(INDEX(ShipPartShape!$A:$A,MATCH(X85,ShipPartShape!$B:$B,0)),"-")</f>
        <v>-</v>
      </c>
      <c r="Z85" s="4"/>
      <c r="AA85" s="11" t="str">
        <f>IFERROR(INDEX(ShipPartShape!$A:$A,MATCH(Z85,ShipPartShape!$B:$B,0)),"-")</f>
        <v>-</v>
      </c>
      <c r="AB85" s="4"/>
      <c r="AC85" s="11" t="str">
        <f>IFERROR(INDEX(ShipPartShape!$A:$A,MATCH(AB85,ShipPartShape!$B:$B,0)),"-")</f>
        <v>-</v>
      </c>
      <c r="AD85" s="4"/>
      <c r="AE85" s="11" t="str">
        <f>IFERROR(INDEX(ShipPartShape!$A:$A,MATCH(AD85,ShipPartShape!$B:$B,0)),"-")</f>
        <v>-</v>
      </c>
      <c r="AF85" s="4"/>
      <c r="AG85" s="11" t="str">
        <f>IFERROR(INDEX(ShipPartShape!$A:$A,MATCH(AF85,ShipPartShape!$B:$B,0)),"-")</f>
        <v>-</v>
      </c>
      <c r="AH85" s="4"/>
      <c r="AI85" s="11" t="str">
        <f>IFERROR(INDEX(ShipPartShape!$A:$A,MATCH(AH85,ShipPartShape!$B:$B,0)),"-")</f>
        <v>-</v>
      </c>
      <c r="AJ85" s="11" t="s">
        <v>518</v>
      </c>
      <c r="AK85" s="11" t="s">
        <v>518</v>
      </c>
      <c r="AL85" s="11" t="s">
        <v>518</v>
      </c>
      <c r="AM85" s="11" t="s">
        <v>0</v>
      </c>
      <c r="AN85" s="11" t="s">
        <v>0</v>
      </c>
      <c r="AO85" s="11" t="s">
        <v>0</v>
      </c>
      <c r="AP85" s="11" t="s">
        <v>0</v>
      </c>
      <c r="AQ85" s="11" t="s">
        <v>0</v>
      </c>
      <c r="AR85" s="11" t="s">
        <v>0</v>
      </c>
      <c r="AS85" s="11" t="s">
        <v>0</v>
      </c>
      <c r="AT85" s="11" t="s">
        <v>0</v>
      </c>
      <c r="AU85" s="11" t="s">
        <v>545</v>
      </c>
      <c r="AV85" s="11" t="s">
        <v>0</v>
      </c>
      <c r="AW85" s="11">
        <v>47600005</v>
      </c>
      <c r="AX85" s="11" t="s">
        <v>0</v>
      </c>
    </row>
    <row r="86" spans="1:50" ht="15">
      <c r="A86" s="10">
        <f t="shared" si="1"/>
        <v>45000076</v>
      </c>
      <c r="B86" s="24" t="s">
        <v>502</v>
      </c>
      <c r="C86" s="11" t="s">
        <v>240</v>
      </c>
      <c r="D86" s="4" t="s">
        <v>539</v>
      </c>
      <c r="E86" s="11">
        <v>700</v>
      </c>
      <c r="F86" s="11">
        <v>100</v>
      </c>
      <c r="G86" s="11" t="s">
        <v>0</v>
      </c>
      <c r="H86" s="11" t="s">
        <v>545</v>
      </c>
      <c r="I86" s="11">
        <f>IFERROR(INDEX(ShipPartShape!$A:$A,MATCH(D86,ShipPartShape!$B:$B,0)),"-")</f>
        <v>46000067</v>
      </c>
      <c r="J86" s="4" t="s">
        <v>70</v>
      </c>
      <c r="K86" s="11">
        <f>IFERROR(INDEX(ShipPartShape!$A:$A,MATCH(J86,ShipPartShape!$B:$B,0)),"-")</f>
        <v>46700001</v>
      </c>
      <c r="L86" s="4" t="s">
        <v>781</v>
      </c>
      <c r="M86" s="11" t="str">
        <f>IFERROR(INDEX(ShipPartShape!$A:$A,MATCH(L86,ShipPartShape!$B:$B,0)),"-")</f>
        <v>-</v>
      </c>
      <c r="N86" s="4" t="s">
        <v>513</v>
      </c>
      <c r="O86" s="11">
        <f>IFERROR(INDEX(ShipPartShape!$A:$A,MATCH(N86,ShipPartShape!$B:$B,0)),"-")</f>
        <v>46200012</v>
      </c>
      <c r="P86" s="4" t="s">
        <v>69</v>
      </c>
      <c r="Q86" s="11">
        <f>IFERROR(INDEX(ShipPartShape!$A:$A,MATCH(P86,ShipPartShape!$B:$B,0)),"-")</f>
        <v>46300001</v>
      </c>
      <c r="R86" s="4" t="s">
        <v>464</v>
      </c>
      <c r="S86" s="11" t="str">
        <f>IFERROR(INDEX(ShipPartShape!$A:$A,MATCH(R86,ShipPartShape!$B:$B,0)),"-")</f>
        <v>-</v>
      </c>
      <c r="T86" s="4"/>
      <c r="U86" s="11" t="str">
        <f>IFERROR(INDEX(ShipPartShape!$A:$A,MATCH(T86,ShipPartShape!$B:$B,0)),"-")</f>
        <v>-</v>
      </c>
      <c r="V86" s="4"/>
      <c r="W86" s="11" t="str">
        <f>IFERROR(INDEX(ShipPartShape!$A:$A,MATCH(V86,ShipPartShape!$B:$B,0)),"-")</f>
        <v>-</v>
      </c>
      <c r="X86" s="4"/>
      <c r="Y86" s="11" t="str">
        <f>IFERROR(INDEX(ShipPartShape!$A:$A,MATCH(X86,ShipPartShape!$B:$B,0)),"-")</f>
        <v>-</v>
      </c>
      <c r="Z86" s="4"/>
      <c r="AA86" s="11" t="str">
        <f>IFERROR(INDEX(ShipPartShape!$A:$A,MATCH(Z86,ShipPartShape!$B:$B,0)),"-")</f>
        <v>-</v>
      </c>
      <c r="AB86" s="4"/>
      <c r="AC86" s="11" t="str">
        <f>IFERROR(INDEX(ShipPartShape!$A:$A,MATCH(AB86,ShipPartShape!$B:$B,0)),"-")</f>
        <v>-</v>
      </c>
      <c r="AD86" s="4"/>
      <c r="AE86" s="11" t="str">
        <f>IFERROR(INDEX(ShipPartShape!$A:$A,MATCH(AD86,ShipPartShape!$B:$B,0)),"-")</f>
        <v>-</v>
      </c>
      <c r="AF86" s="4"/>
      <c r="AG86" s="11" t="str">
        <f>IFERROR(INDEX(ShipPartShape!$A:$A,MATCH(AF86,ShipPartShape!$B:$B,0)),"-")</f>
        <v>-</v>
      </c>
      <c r="AH86" s="4"/>
      <c r="AI86" s="11" t="str">
        <f>IFERROR(INDEX(ShipPartShape!$A:$A,MATCH(AH86,ShipPartShape!$B:$B,0)),"-")</f>
        <v>-</v>
      </c>
      <c r="AJ86" s="11" t="s">
        <v>518</v>
      </c>
      <c r="AK86" s="11" t="s">
        <v>518</v>
      </c>
      <c r="AL86" s="11" t="s">
        <v>518</v>
      </c>
      <c r="AM86" s="11" t="s">
        <v>0</v>
      </c>
      <c r="AN86" s="11" t="s">
        <v>0</v>
      </c>
      <c r="AO86" s="11" t="s">
        <v>0</v>
      </c>
      <c r="AP86" s="11" t="s">
        <v>0</v>
      </c>
      <c r="AQ86" s="11" t="s">
        <v>0</v>
      </c>
      <c r="AR86" s="11" t="s">
        <v>0</v>
      </c>
      <c r="AS86" s="11" t="s">
        <v>0</v>
      </c>
      <c r="AT86" s="11" t="s">
        <v>0</v>
      </c>
      <c r="AU86" s="11" t="s">
        <v>545</v>
      </c>
      <c r="AV86" s="11" t="s">
        <v>0</v>
      </c>
      <c r="AW86" s="11">
        <v>47600005</v>
      </c>
      <c r="AX86" s="11" t="s">
        <v>0</v>
      </c>
    </row>
    <row r="87" spans="1:50" ht="15">
      <c r="A87" s="10">
        <f t="shared" si="1"/>
        <v>45000077</v>
      </c>
      <c r="B87" s="24" t="s">
        <v>503</v>
      </c>
      <c r="C87" s="11" t="s">
        <v>236</v>
      </c>
      <c r="D87" s="4" t="s">
        <v>238</v>
      </c>
      <c r="E87" s="11">
        <v>700</v>
      </c>
      <c r="F87" s="11">
        <v>100</v>
      </c>
      <c r="G87" s="11" t="s">
        <v>0</v>
      </c>
      <c r="H87" s="11" t="s">
        <v>545</v>
      </c>
      <c r="I87" s="11">
        <f>IFERROR(INDEX(ShipPartShape!$A:$A,MATCH(D87,ShipPartShape!$B:$B,0)),"-")</f>
        <v>46000043</v>
      </c>
      <c r="J87" s="4" t="s">
        <v>70</v>
      </c>
      <c r="K87" s="11">
        <f>IFERROR(INDEX(ShipPartShape!$A:$A,MATCH(J87,ShipPartShape!$B:$B,0)),"-")</f>
        <v>46700001</v>
      </c>
      <c r="L87" s="4" t="s">
        <v>782</v>
      </c>
      <c r="M87" s="11" t="str">
        <f>IFERROR(INDEX(ShipPartShape!$A:$A,MATCH(L87,ShipPartShape!$B:$B,0)),"-")</f>
        <v>-</v>
      </c>
      <c r="N87" s="4" t="s">
        <v>514</v>
      </c>
      <c r="O87" s="11">
        <f>IFERROR(INDEX(ShipPartShape!$A:$A,MATCH(N87,ShipPartShape!$B:$B,0)),"-")</f>
        <v>46200013</v>
      </c>
      <c r="P87" s="4" t="s">
        <v>69</v>
      </c>
      <c r="Q87" s="11">
        <f>IFERROR(INDEX(ShipPartShape!$A:$A,MATCH(P87,ShipPartShape!$B:$B,0)),"-")</f>
        <v>46300001</v>
      </c>
      <c r="R87" s="4" t="s">
        <v>465</v>
      </c>
      <c r="S87" s="11" t="str">
        <f>IFERROR(INDEX(ShipPartShape!$A:$A,MATCH(R87,ShipPartShape!$B:$B,0)),"-")</f>
        <v>-</v>
      </c>
      <c r="T87" s="4"/>
      <c r="U87" s="11" t="str">
        <f>IFERROR(INDEX(ShipPartShape!$A:$A,MATCH(T87,ShipPartShape!$B:$B,0)),"-")</f>
        <v>-</v>
      </c>
      <c r="V87" s="4"/>
      <c r="W87" s="11" t="str">
        <f>IFERROR(INDEX(ShipPartShape!$A:$A,MATCH(V87,ShipPartShape!$B:$B,0)),"-")</f>
        <v>-</v>
      </c>
      <c r="X87" s="4"/>
      <c r="Y87" s="11" t="str">
        <f>IFERROR(INDEX(ShipPartShape!$A:$A,MATCH(X87,ShipPartShape!$B:$B,0)),"-")</f>
        <v>-</v>
      </c>
      <c r="Z87" s="4"/>
      <c r="AA87" s="11" t="str">
        <f>IFERROR(INDEX(ShipPartShape!$A:$A,MATCH(Z87,ShipPartShape!$B:$B,0)),"-")</f>
        <v>-</v>
      </c>
      <c r="AB87" s="4"/>
      <c r="AC87" s="11" t="str">
        <f>IFERROR(INDEX(ShipPartShape!$A:$A,MATCH(AB87,ShipPartShape!$B:$B,0)),"-")</f>
        <v>-</v>
      </c>
      <c r="AD87" s="4"/>
      <c r="AE87" s="11" t="str">
        <f>IFERROR(INDEX(ShipPartShape!$A:$A,MATCH(AD87,ShipPartShape!$B:$B,0)),"-")</f>
        <v>-</v>
      </c>
      <c r="AF87" s="4"/>
      <c r="AG87" s="11" t="str">
        <f>IFERROR(INDEX(ShipPartShape!$A:$A,MATCH(AF87,ShipPartShape!$B:$B,0)),"-")</f>
        <v>-</v>
      </c>
      <c r="AH87" s="4"/>
      <c r="AI87" s="11" t="str">
        <f>IFERROR(INDEX(ShipPartShape!$A:$A,MATCH(AH87,ShipPartShape!$B:$B,0)),"-")</f>
        <v>-</v>
      </c>
      <c r="AJ87" s="11" t="s">
        <v>518</v>
      </c>
      <c r="AK87" s="11" t="s">
        <v>518</v>
      </c>
      <c r="AL87" s="11" t="s">
        <v>518</v>
      </c>
      <c r="AM87" s="11" t="s">
        <v>0</v>
      </c>
      <c r="AN87" s="11" t="s">
        <v>0</v>
      </c>
      <c r="AO87" s="11" t="s">
        <v>0</v>
      </c>
      <c r="AP87" s="11" t="s">
        <v>0</v>
      </c>
      <c r="AQ87" s="11" t="s">
        <v>0</v>
      </c>
      <c r="AR87" s="11" t="s">
        <v>0</v>
      </c>
      <c r="AS87" s="11" t="s">
        <v>0</v>
      </c>
      <c r="AT87" s="11" t="s">
        <v>0</v>
      </c>
      <c r="AU87" s="11" t="s">
        <v>545</v>
      </c>
      <c r="AV87" s="11" t="s">
        <v>0</v>
      </c>
      <c r="AW87" s="11">
        <v>47600005</v>
      </c>
      <c r="AX87" s="11" t="s">
        <v>0</v>
      </c>
    </row>
    <row r="88" spans="1:50" ht="15">
      <c r="A88" s="10">
        <f t="shared" si="1"/>
        <v>45000078</v>
      </c>
      <c r="B88" s="24" t="s">
        <v>504</v>
      </c>
      <c r="C88" s="11" t="s">
        <v>236</v>
      </c>
      <c r="D88" s="4" t="s">
        <v>540</v>
      </c>
      <c r="E88" s="11">
        <v>700</v>
      </c>
      <c r="F88" s="11">
        <v>100</v>
      </c>
      <c r="G88" s="11" t="s">
        <v>0</v>
      </c>
      <c r="H88" s="11" t="s">
        <v>545</v>
      </c>
      <c r="I88" s="11">
        <f>IFERROR(INDEX(ShipPartShape!$A:$A,MATCH(D88,ShipPartShape!$B:$B,0)),"-")</f>
        <v>46000068</v>
      </c>
      <c r="J88" s="4" t="s">
        <v>70</v>
      </c>
      <c r="K88" s="11">
        <f>IFERROR(INDEX(ShipPartShape!$A:$A,MATCH(J88,ShipPartShape!$B:$B,0)),"-")</f>
        <v>46700001</v>
      </c>
      <c r="L88" s="4" t="s">
        <v>781</v>
      </c>
      <c r="M88" s="11" t="str">
        <f>IFERROR(INDEX(ShipPartShape!$A:$A,MATCH(L88,ShipPartShape!$B:$B,0)),"-")</f>
        <v>-</v>
      </c>
      <c r="N88" s="4" t="s">
        <v>515</v>
      </c>
      <c r="O88" s="11">
        <f>IFERROR(INDEX(ShipPartShape!$A:$A,MATCH(N88,ShipPartShape!$B:$B,0)),"-")</f>
        <v>46200014</v>
      </c>
      <c r="P88" s="4" t="s">
        <v>69</v>
      </c>
      <c r="Q88" s="11">
        <f>IFERROR(INDEX(ShipPartShape!$A:$A,MATCH(P88,ShipPartShape!$B:$B,0)),"-")</f>
        <v>46300001</v>
      </c>
      <c r="R88" s="4" t="s">
        <v>466</v>
      </c>
      <c r="S88" s="11" t="str">
        <f>IFERROR(INDEX(ShipPartShape!$A:$A,MATCH(R88,ShipPartShape!$B:$B,0)),"-")</f>
        <v>-</v>
      </c>
      <c r="T88" s="4"/>
      <c r="U88" s="11" t="str">
        <f>IFERROR(INDEX(ShipPartShape!$A:$A,MATCH(T88,ShipPartShape!$B:$B,0)),"-")</f>
        <v>-</v>
      </c>
      <c r="V88" s="4"/>
      <c r="W88" s="11" t="str">
        <f>IFERROR(INDEX(ShipPartShape!$A:$A,MATCH(V88,ShipPartShape!$B:$B,0)),"-")</f>
        <v>-</v>
      </c>
      <c r="X88" s="4"/>
      <c r="Y88" s="11" t="str">
        <f>IFERROR(INDEX(ShipPartShape!$A:$A,MATCH(X88,ShipPartShape!$B:$B,0)),"-")</f>
        <v>-</v>
      </c>
      <c r="Z88" s="4"/>
      <c r="AA88" s="11" t="str">
        <f>IFERROR(INDEX(ShipPartShape!$A:$A,MATCH(Z88,ShipPartShape!$B:$B,0)),"-")</f>
        <v>-</v>
      </c>
      <c r="AB88" s="4"/>
      <c r="AC88" s="11" t="str">
        <f>IFERROR(INDEX(ShipPartShape!$A:$A,MATCH(AB88,ShipPartShape!$B:$B,0)),"-")</f>
        <v>-</v>
      </c>
      <c r="AD88" s="4"/>
      <c r="AE88" s="11" t="str">
        <f>IFERROR(INDEX(ShipPartShape!$A:$A,MATCH(AD88,ShipPartShape!$B:$B,0)),"-")</f>
        <v>-</v>
      </c>
      <c r="AF88" s="4"/>
      <c r="AG88" s="11" t="str">
        <f>IFERROR(INDEX(ShipPartShape!$A:$A,MATCH(AF88,ShipPartShape!$B:$B,0)),"-")</f>
        <v>-</v>
      </c>
      <c r="AH88" s="4"/>
      <c r="AI88" s="11" t="str">
        <f>IFERROR(INDEX(ShipPartShape!$A:$A,MATCH(AH88,ShipPartShape!$B:$B,0)),"-")</f>
        <v>-</v>
      </c>
      <c r="AJ88" s="11" t="s">
        <v>518</v>
      </c>
      <c r="AK88" s="11" t="s">
        <v>518</v>
      </c>
      <c r="AL88" s="11" t="s">
        <v>518</v>
      </c>
      <c r="AM88" s="11" t="s">
        <v>0</v>
      </c>
      <c r="AN88" s="11" t="s">
        <v>0</v>
      </c>
      <c r="AO88" s="11" t="s">
        <v>0</v>
      </c>
      <c r="AP88" s="11" t="s">
        <v>0</v>
      </c>
      <c r="AQ88" s="11" t="s">
        <v>0</v>
      </c>
      <c r="AR88" s="11" t="s">
        <v>0</v>
      </c>
      <c r="AS88" s="11" t="s">
        <v>0</v>
      </c>
      <c r="AT88" s="11" t="s">
        <v>0</v>
      </c>
      <c r="AU88" s="11" t="s">
        <v>545</v>
      </c>
      <c r="AV88" s="11" t="s">
        <v>0</v>
      </c>
      <c r="AW88" s="11">
        <v>47600005</v>
      </c>
      <c r="AX88" s="11" t="s">
        <v>0</v>
      </c>
    </row>
    <row r="89" spans="1:50" ht="15">
      <c r="A89" s="10">
        <f t="shared" si="1"/>
        <v>45000079</v>
      </c>
      <c r="B89" s="24" t="s">
        <v>505</v>
      </c>
      <c r="C89" s="11" t="s">
        <v>298</v>
      </c>
      <c r="D89" s="4" t="s">
        <v>297</v>
      </c>
      <c r="E89" s="11">
        <v>700</v>
      </c>
      <c r="F89" s="11">
        <v>100</v>
      </c>
      <c r="G89" s="11" t="s">
        <v>0</v>
      </c>
      <c r="H89" s="11" t="s">
        <v>545</v>
      </c>
      <c r="I89" s="11">
        <f>IFERROR(INDEX(ShipPartShape!$A:$A,MATCH(D89,ShipPartShape!$B:$B,0)),"-")</f>
        <v>46000052</v>
      </c>
      <c r="J89" s="4" t="s">
        <v>70</v>
      </c>
      <c r="K89" s="11">
        <f>IFERROR(INDEX(ShipPartShape!$A:$A,MATCH(J89,ShipPartShape!$B:$B,0)),"-")</f>
        <v>46700001</v>
      </c>
      <c r="L89" s="4" t="s">
        <v>782</v>
      </c>
      <c r="M89" s="11" t="str">
        <f>IFERROR(INDEX(ShipPartShape!$A:$A,MATCH(L89,ShipPartShape!$B:$B,0)),"-")</f>
        <v>-</v>
      </c>
      <c r="N89" s="4" t="s">
        <v>338</v>
      </c>
      <c r="O89" s="11">
        <f>IFERROR(INDEX(ShipPartShape!$A:$A,MATCH(N89,ShipPartShape!$B:$B,0)),"-")</f>
        <v>46200020</v>
      </c>
      <c r="P89" s="4" t="s">
        <v>69</v>
      </c>
      <c r="Q89" s="11">
        <f>IFERROR(INDEX(ShipPartShape!$A:$A,MATCH(P89,ShipPartShape!$B:$B,0)),"-")</f>
        <v>46300001</v>
      </c>
      <c r="R89" s="4" t="s">
        <v>463</v>
      </c>
      <c r="S89" s="11" t="str">
        <f>IFERROR(INDEX(ShipPartShape!$A:$A,MATCH(R89,ShipPartShape!$B:$B,0)),"-")</f>
        <v>-</v>
      </c>
      <c r="T89" s="4"/>
      <c r="U89" s="11" t="str">
        <f>IFERROR(INDEX(ShipPartShape!$A:$A,MATCH(T89,ShipPartShape!$B:$B,0)),"-")</f>
        <v>-</v>
      </c>
      <c r="V89" s="4"/>
      <c r="W89" s="11" t="str">
        <f>IFERROR(INDEX(ShipPartShape!$A:$A,MATCH(V89,ShipPartShape!$B:$B,0)),"-")</f>
        <v>-</v>
      </c>
      <c r="X89" s="4"/>
      <c r="Y89" s="11" t="str">
        <f>IFERROR(INDEX(ShipPartShape!$A:$A,MATCH(X89,ShipPartShape!$B:$B,0)),"-")</f>
        <v>-</v>
      </c>
      <c r="Z89" s="4"/>
      <c r="AA89" s="11" t="str">
        <f>IFERROR(INDEX(ShipPartShape!$A:$A,MATCH(Z89,ShipPartShape!$B:$B,0)),"-")</f>
        <v>-</v>
      </c>
      <c r="AB89" s="4"/>
      <c r="AC89" s="11" t="str">
        <f>IFERROR(INDEX(ShipPartShape!$A:$A,MATCH(AB89,ShipPartShape!$B:$B,0)),"-")</f>
        <v>-</v>
      </c>
      <c r="AD89" s="4"/>
      <c r="AE89" s="11" t="str">
        <f>IFERROR(INDEX(ShipPartShape!$A:$A,MATCH(AD89,ShipPartShape!$B:$B,0)),"-")</f>
        <v>-</v>
      </c>
      <c r="AF89" s="4"/>
      <c r="AG89" s="11" t="str">
        <f>IFERROR(INDEX(ShipPartShape!$A:$A,MATCH(AF89,ShipPartShape!$B:$B,0)),"-")</f>
        <v>-</v>
      </c>
      <c r="AH89" s="4"/>
      <c r="AI89" s="11" t="str">
        <f>IFERROR(INDEX(ShipPartShape!$A:$A,MATCH(AH89,ShipPartShape!$B:$B,0)),"-")</f>
        <v>-</v>
      </c>
      <c r="AJ89" s="11" t="s">
        <v>518</v>
      </c>
      <c r="AK89" s="11" t="s">
        <v>518</v>
      </c>
      <c r="AL89" s="11" t="s">
        <v>518</v>
      </c>
      <c r="AM89" s="11" t="s">
        <v>0</v>
      </c>
      <c r="AN89" s="11" t="s">
        <v>0</v>
      </c>
      <c r="AO89" s="11" t="s">
        <v>0</v>
      </c>
      <c r="AP89" s="11" t="s">
        <v>0</v>
      </c>
      <c r="AQ89" s="11" t="s">
        <v>0</v>
      </c>
      <c r="AR89" s="11" t="s">
        <v>0</v>
      </c>
      <c r="AS89" s="11" t="s">
        <v>0</v>
      </c>
      <c r="AT89" s="11" t="s">
        <v>0</v>
      </c>
      <c r="AU89" s="11" t="s">
        <v>545</v>
      </c>
      <c r="AV89" s="11" t="s">
        <v>0</v>
      </c>
      <c r="AW89" s="11">
        <v>47600005</v>
      </c>
      <c r="AX89" s="11" t="s">
        <v>0</v>
      </c>
    </row>
    <row r="90" spans="1:50" ht="15">
      <c r="A90" s="10">
        <f t="shared" si="1"/>
        <v>45000080</v>
      </c>
      <c r="B90" s="24" t="s">
        <v>506</v>
      </c>
      <c r="C90" s="11" t="s">
        <v>295</v>
      </c>
      <c r="D90" s="4" t="s">
        <v>293</v>
      </c>
      <c r="E90" s="11">
        <v>700</v>
      </c>
      <c r="F90" s="11">
        <v>100</v>
      </c>
      <c r="G90" s="11" t="s">
        <v>0</v>
      </c>
      <c r="H90" s="11" t="s">
        <v>545</v>
      </c>
      <c r="I90" s="11">
        <f>IFERROR(INDEX(ShipPartShape!$A:$A,MATCH(D90,ShipPartShape!$B:$B,0)),"-")</f>
        <v>46000051</v>
      </c>
      <c r="J90" s="4" t="s">
        <v>70</v>
      </c>
      <c r="K90" s="11">
        <f>IFERROR(INDEX(ShipPartShape!$A:$A,MATCH(J90,ShipPartShape!$B:$B,0)),"-")</f>
        <v>46700001</v>
      </c>
      <c r="L90" s="4" t="s">
        <v>781</v>
      </c>
      <c r="M90" s="11" t="str">
        <f>IFERROR(INDEX(ShipPartShape!$A:$A,MATCH(L90,ShipPartShape!$B:$B,0)),"-")</f>
        <v>-</v>
      </c>
      <c r="N90" s="4" t="s">
        <v>340</v>
      </c>
      <c r="O90" s="11">
        <f>IFERROR(INDEX(ShipPartShape!$A:$A,MATCH(N90,ShipPartShape!$B:$B,0)),"-")</f>
        <v>46200021</v>
      </c>
      <c r="P90" s="4" t="s">
        <v>69</v>
      </c>
      <c r="Q90" s="11">
        <f>IFERROR(INDEX(ShipPartShape!$A:$A,MATCH(P90,ShipPartShape!$B:$B,0)),"-")</f>
        <v>46300001</v>
      </c>
      <c r="R90" s="4" t="s">
        <v>464</v>
      </c>
      <c r="S90" s="11" t="str">
        <f>IFERROR(INDEX(ShipPartShape!$A:$A,MATCH(R90,ShipPartShape!$B:$B,0)),"-")</f>
        <v>-</v>
      </c>
      <c r="T90" s="4"/>
      <c r="U90" s="11" t="str">
        <f>IFERROR(INDEX(ShipPartShape!$A:$A,MATCH(T90,ShipPartShape!$B:$B,0)),"-")</f>
        <v>-</v>
      </c>
      <c r="V90" s="4"/>
      <c r="W90" s="11" t="str">
        <f>IFERROR(INDEX(ShipPartShape!$A:$A,MATCH(V90,ShipPartShape!$B:$B,0)),"-")</f>
        <v>-</v>
      </c>
      <c r="X90" s="4"/>
      <c r="Y90" s="11" t="str">
        <f>IFERROR(INDEX(ShipPartShape!$A:$A,MATCH(X90,ShipPartShape!$B:$B,0)),"-")</f>
        <v>-</v>
      </c>
      <c r="Z90" s="4"/>
      <c r="AA90" s="11" t="str">
        <f>IFERROR(INDEX(ShipPartShape!$A:$A,MATCH(Z90,ShipPartShape!$B:$B,0)),"-")</f>
        <v>-</v>
      </c>
      <c r="AB90" s="4"/>
      <c r="AC90" s="11" t="str">
        <f>IFERROR(INDEX(ShipPartShape!$A:$A,MATCH(AB90,ShipPartShape!$B:$B,0)),"-")</f>
        <v>-</v>
      </c>
      <c r="AD90" s="4"/>
      <c r="AE90" s="11" t="str">
        <f>IFERROR(INDEX(ShipPartShape!$A:$A,MATCH(AD90,ShipPartShape!$B:$B,0)),"-")</f>
        <v>-</v>
      </c>
      <c r="AF90" s="4"/>
      <c r="AG90" s="11" t="str">
        <f>IFERROR(INDEX(ShipPartShape!$A:$A,MATCH(AF90,ShipPartShape!$B:$B,0)),"-")</f>
        <v>-</v>
      </c>
      <c r="AH90" s="4"/>
      <c r="AI90" s="11" t="str">
        <f>IFERROR(INDEX(ShipPartShape!$A:$A,MATCH(AH90,ShipPartShape!$B:$B,0)),"-")</f>
        <v>-</v>
      </c>
      <c r="AJ90" s="11" t="s">
        <v>518</v>
      </c>
      <c r="AK90" s="11" t="s">
        <v>518</v>
      </c>
      <c r="AL90" s="11" t="s">
        <v>518</v>
      </c>
      <c r="AM90" s="11" t="s">
        <v>0</v>
      </c>
      <c r="AN90" s="11" t="s">
        <v>0</v>
      </c>
      <c r="AO90" s="11" t="s">
        <v>0</v>
      </c>
      <c r="AP90" s="11" t="s">
        <v>0</v>
      </c>
      <c r="AQ90" s="11" t="s">
        <v>0</v>
      </c>
      <c r="AR90" s="11" t="s">
        <v>0</v>
      </c>
      <c r="AS90" s="11" t="s">
        <v>0</v>
      </c>
      <c r="AT90" s="11" t="s">
        <v>0</v>
      </c>
      <c r="AU90" s="11" t="s">
        <v>545</v>
      </c>
      <c r="AV90" s="11" t="s">
        <v>0</v>
      </c>
      <c r="AW90" s="11">
        <v>47600005</v>
      </c>
      <c r="AX90" s="11" t="s">
        <v>0</v>
      </c>
    </row>
    <row r="91" spans="1:50" ht="15">
      <c r="A91" s="10">
        <f t="shared" si="1"/>
        <v>45000081</v>
      </c>
      <c r="B91" s="24" t="s">
        <v>507</v>
      </c>
      <c r="C91" s="11" t="s">
        <v>295</v>
      </c>
      <c r="D91" s="4" t="s">
        <v>541</v>
      </c>
      <c r="E91" s="11">
        <v>700</v>
      </c>
      <c r="F91" s="11">
        <v>100</v>
      </c>
      <c r="G91" s="11" t="s">
        <v>0</v>
      </c>
      <c r="H91" s="11" t="s">
        <v>545</v>
      </c>
      <c r="I91" s="11">
        <f>IFERROR(INDEX(ShipPartShape!$A:$A,MATCH(D91,ShipPartShape!$B:$B,0)),"-")</f>
        <v>46000069</v>
      </c>
      <c r="J91" s="4" t="s">
        <v>70</v>
      </c>
      <c r="K91" s="11">
        <f>IFERROR(INDEX(ShipPartShape!$A:$A,MATCH(J91,ShipPartShape!$B:$B,0)),"-")</f>
        <v>46700001</v>
      </c>
      <c r="L91" s="4" t="s">
        <v>782</v>
      </c>
      <c r="M91" s="11" t="str">
        <f>IFERROR(INDEX(ShipPartShape!$A:$A,MATCH(L91,ShipPartShape!$B:$B,0)),"-")</f>
        <v>-</v>
      </c>
      <c r="N91" s="4" t="s">
        <v>348</v>
      </c>
      <c r="O91" s="11">
        <f>IFERROR(INDEX(ShipPartShape!$A:$A,MATCH(N91,ShipPartShape!$B:$B,0)),"-")</f>
        <v>46200028</v>
      </c>
      <c r="P91" s="4" t="s">
        <v>69</v>
      </c>
      <c r="Q91" s="11">
        <f>IFERROR(INDEX(ShipPartShape!$A:$A,MATCH(P91,ShipPartShape!$B:$B,0)),"-")</f>
        <v>46300001</v>
      </c>
      <c r="R91" s="4" t="s">
        <v>465</v>
      </c>
      <c r="S91" s="11" t="str">
        <f>IFERROR(INDEX(ShipPartShape!$A:$A,MATCH(R91,ShipPartShape!$B:$B,0)),"-")</f>
        <v>-</v>
      </c>
      <c r="T91" s="4"/>
      <c r="U91" s="11" t="str">
        <f>IFERROR(INDEX(ShipPartShape!$A:$A,MATCH(T91,ShipPartShape!$B:$B,0)),"-")</f>
        <v>-</v>
      </c>
      <c r="V91" s="4"/>
      <c r="W91" s="11" t="str">
        <f>IFERROR(INDEX(ShipPartShape!$A:$A,MATCH(V91,ShipPartShape!$B:$B,0)),"-")</f>
        <v>-</v>
      </c>
      <c r="X91" s="4"/>
      <c r="Y91" s="11" t="str">
        <f>IFERROR(INDEX(ShipPartShape!$A:$A,MATCH(X91,ShipPartShape!$B:$B,0)),"-")</f>
        <v>-</v>
      </c>
      <c r="Z91" s="4"/>
      <c r="AA91" s="11" t="str">
        <f>IFERROR(INDEX(ShipPartShape!$A:$A,MATCH(Z91,ShipPartShape!$B:$B,0)),"-")</f>
        <v>-</v>
      </c>
      <c r="AB91" s="4"/>
      <c r="AC91" s="11" t="str">
        <f>IFERROR(INDEX(ShipPartShape!$A:$A,MATCH(AB91,ShipPartShape!$B:$B,0)),"-")</f>
        <v>-</v>
      </c>
      <c r="AD91" s="4"/>
      <c r="AE91" s="11" t="str">
        <f>IFERROR(INDEX(ShipPartShape!$A:$A,MATCH(AD91,ShipPartShape!$B:$B,0)),"-")</f>
        <v>-</v>
      </c>
      <c r="AF91" s="4"/>
      <c r="AG91" s="11" t="str">
        <f>IFERROR(INDEX(ShipPartShape!$A:$A,MATCH(AF91,ShipPartShape!$B:$B,0)),"-")</f>
        <v>-</v>
      </c>
      <c r="AH91" s="4"/>
      <c r="AI91" s="11" t="str">
        <f>IFERROR(INDEX(ShipPartShape!$A:$A,MATCH(AH91,ShipPartShape!$B:$B,0)),"-")</f>
        <v>-</v>
      </c>
      <c r="AJ91" s="11" t="s">
        <v>518</v>
      </c>
      <c r="AK91" s="11" t="s">
        <v>518</v>
      </c>
      <c r="AL91" s="11" t="s">
        <v>518</v>
      </c>
      <c r="AM91" s="11" t="s">
        <v>0</v>
      </c>
      <c r="AN91" s="11" t="s">
        <v>0</v>
      </c>
      <c r="AO91" s="11" t="s">
        <v>0</v>
      </c>
      <c r="AP91" s="11" t="s">
        <v>0</v>
      </c>
      <c r="AQ91" s="11" t="s">
        <v>0</v>
      </c>
      <c r="AR91" s="11" t="s">
        <v>0</v>
      </c>
      <c r="AS91" s="11" t="s">
        <v>0</v>
      </c>
      <c r="AT91" s="11" t="s">
        <v>0</v>
      </c>
      <c r="AU91" s="11" t="s">
        <v>545</v>
      </c>
      <c r="AV91" s="11" t="s">
        <v>0</v>
      </c>
      <c r="AW91" s="11">
        <v>47600005</v>
      </c>
      <c r="AX91" s="11" t="s">
        <v>0</v>
      </c>
    </row>
    <row r="92" spans="1:50" ht="15">
      <c r="A92" s="10">
        <f t="shared" si="1"/>
        <v>45000082</v>
      </c>
      <c r="B92" s="23" t="s">
        <v>568</v>
      </c>
      <c r="C92" s="11" t="s">
        <v>569</v>
      </c>
      <c r="D92" s="4" t="s">
        <v>564</v>
      </c>
      <c r="E92" s="11">
        <v>700</v>
      </c>
      <c r="F92" s="11">
        <v>100</v>
      </c>
      <c r="G92" s="11">
        <v>10</v>
      </c>
      <c r="H92" s="11">
        <v>-20</v>
      </c>
      <c r="I92" s="11">
        <f>IFERROR(INDEX(ShipPartShape!$A:$A,MATCH(D92,ShipPartShape!$B:$B,0)),"-")</f>
        <v>46000070</v>
      </c>
      <c r="J92" s="4" t="s">
        <v>1255</v>
      </c>
      <c r="K92" s="11">
        <f>IFERROR(INDEX(ShipPartShape!$A:$A,MATCH(J92,ShipPartShape!$B:$B,0)),"-")</f>
        <v>46700009</v>
      </c>
      <c r="L92" s="4" t="s">
        <v>566</v>
      </c>
      <c r="M92" s="11">
        <f>IFERROR(INDEX(ShipPartShape!$A:$A,MATCH(L92,ShipPartShape!$B:$B,0)),"-")</f>
        <v>46500007</v>
      </c>
      <c r="N92" s="4" t="s">
        <v>69</v>
      </c>
      <c r="O92" s="11">
        <f>IFERROR(INDEX(ShipPartShape!$A:$A,MATCH(N92,ShipPartShape!$B:$B,0)),"-")</f>
        <v>46300001</v>
      </c>
      <c r="P92" s="4"/>
      <c r="Q92" s="11" t="str">
        <f>IFERROR(INDEX(ShipPartShape!$A:$A,MATCH(P92,ShipPartShape!$B:$B,0)),"-")</f>
        <v>-</v>
      </c>
      <c r="R92" s="4"/>
      <c r="S92" s="11" t="str">
        <f>IFERROR(INDEX(ShipPartShape!$A:$A,MATCH(R92,ShipPartShape!$B:$B,0)),"-")</f>
        <v>-</v>
      </c>
      <c r="T92" s="4" t="s">
        <v>601</v>
      </c>
      <c r="U92" s="11">
        <f>IFERROR(INDEX(ShipPartShape!$A:$A,MATCH(T92,ShipPartShape!$B:$B,0)),"-")</f>
        <v>46600001</v>
      </c>
      <c r="V92" s="4" t="s">
        <v>610</v>
      </c>
      <c r="W92" s="11">
        <f>IFERROR(INDEX(ShipPartShape!$A:$A,MATCH(V92,ShipPartShape!$B:$B,0)),"-")</f>
        <v>46600006</v>
      </c>
      <c r="X92" s="4"/>
      <c r="Y92" s="11" t="str">
        <f>IFERROR(INDEX(ShipPartShape!$A:$A,MATCH(X92,ShipPartShape!$B:$B,0)),"-")</f>
        <v>-</v>
      </c>
      <c r="Z92" s="4"/>
      <c r="AA92" s="11" t="str">
        <f>IFERROR(INDEX(ShipPartShape!$A:$A,MATCH(Z92,ShipPartShape!$B:$B,0)),"-")</f>
        <v>-</v>
      </c>
      <c r="AB92" s="4"/>
      <c r="AC92" s="11" t="str">
        <f>IFERROR(INDEX(ShipPartShape!$A:$A,MATCH(AB92,ShipPartShape!$B:$B,0)),"-")</f>
        <v>-</v>
      </c>
      <c r="AD92" s="4"/>
      <c r="AE92" s="11" t="str">
        <f>IFERROR(INDEX(ShipPartShape!$A:$A,MATCH(AD92,ShipPartShape!$B:$B,0)),"-")</f>
        <v>-</v>
      </c>
      <c r="AF92" s="4"/>
      <c r="AG92" s="11" t="str">
        <f>IFERROR(INDEX(ShipPartShape!$A:$A,MATCH(AF92,ShipPartShape!$B:$B,0)),"-")</f>
        <v>-</v>
      </c>
      <c r="AH92" s="4"/>
      <c r="AI92" s="11" t="str">
        <f>IFERROR(INDEX(ShipPartShape!$A:$A,MATCH(AH92,ShipPartShape!$B:$B,0)),"-")</f>
        <v>-</v>
      </c>
      <c r="AJ92" s="11" t="s">
        <v>0</v>
      </c>
      <c r="AK92" s="11" t="s">
        <v>0</v>
      </c>
      <c r="AL92" s="11" t="s">
        <v>0</v>
      </c>
      <c r="AM92" s="11" t="s">
        <v>0</v>
      </c>
      <c r="AN92" s="11" t="s">
        <v>0</v>
      </c>
      <c r="AO92" s="11" t="s">
        <v>0</v>
      </c>
      <c r="AP92" s="11" t="s">
        <v>0</v>
      </c>
      <c r="AQ92" s="11" t="s">
        <v>0</v>
      </c>
      <c r="AR92" s="11" t="s">
        <v>0</v>
      </c>
      <c r="AS92" s="11" t="s">
        <v>0</v>
      </c>
      <c r="AT92" s="11" t="s">
        <v>0</v>
      </c>
      <c r="AU92" s="11">
        <v>47600015</v>
      </c>
      <c r="AV92" s="11" t="s">
        <v>0</v>
      </c>
      <c r="AW92" s="11" t="s">
        <v>0</v>
      </c>
      <c r="AX92" s="11" t="s">
        <v>0</v>
      </c>
    </row>
    <row r="93" spans="1:50" ht="15">
      <c r="A93" s="10">
        <f t="shared" si="1"/>
        <v>45000083</v>
      </c>
      <c r="B93" s="23" t="s">
        <v>721</v>
      </c>
      <c r="C93" s="11" t="s">
        <v>724</v>
      </c>
      <c r="D93" s="4" t="s">
        <v>719</v>
      </c>
      <c r="E93" s="11">
        <v>700</v>
      </c>
      <c r="F93" s="11">
        <v>100</v>
      </c>
      <c r="G93" s="11">
        <v>20</v>
      </c>
      <c r="H93" s="11">
        <v>-40</v>
      </c>
      <c r="I93" s="11">
        <f>IFERROR(INDEX(ShipPartShape!$A:$A,MATCH(D93,ShipPartShape!$B:$B,0)),"-")</f>
        <v>46000071</v>
      </c>
      <c r="J93" s="4" t="s">
        <v>1255</v>
      </c>
      <c r="K93" s="11">
        <f>IFERROR(INDEX(ShipPartShape!$A:$A,MATCH(J93,ShipPartShape!$B:$B,0)),"-")</f>
        <v>46700009</v>
      </c>
      <c r="L93" s="4" t="s">
        <v>69</v>
      </c>
      <c r="M93" s="11">
        <f>IFERROR(INDEX(ShipPartShape!$A:$A,MATCH(L93,ShipPartShape!$B:$B,0)),"-")</f>
        <v>46300001</v>
      </c>
      <c r="N93" s="4"/>
      <c r="O93" s="11" t="str">
        <f>IFERROR(INDEX(ShipPartShape!$A:$A,MATCH(N93,ShipPartShape!$B:$B,0)),"-")</f>
        <v>-</v>
      </c>
      <c r="P93" s="4"/>
      <c r="Q93" s="11" t="str">
        <f>IFERROR(INDEX(ShipPartShape!$A:$A,MATCH(P93,ShipPartShape!$B:$B,0)),"-")</f>
        <v>-</v>
      </c>
      <c r="R93" s="4"/>
      <c r="S93" s="11" t="str">
        <f>IFERROR(INDEX(ShipPartShape!$A:$A,MATCH(R93,ShipPartShape!$B:$B,0)),"-")</f>
        <v>-</v>
      </c>
      <c r="T93" s="4" t="s">
        <v>608</v>
      </c>
      <c r="U93" s="11">
        <f>IFERROR(INDEX(ShipPartShape!$A:$A,MATCH(T93,ShipPartShape!$B:$B,0)),"-")</f>
        <v>46600004</v>
      </c>
      <c r="V93" s="4" t="s">
        <v>604</v>
      </c>
      <c r="W93" s="11">
        <f>IFERROR(INDEX(ShipPartShape!$A:$A,MATCH(V93,ShipPartShape!$B:$B,0)),"-")</f>
        <v>46600005</v>
      </c>
      <c r="X93" s="4" t="s">
        <v>603</v>
      </c>
      <c r="Y93" s="11">
        <f>IFERROR(INDEX(ShipPartShape!$A:$A,MATCH(X93,ShipPartShape!$B:$B,0)),"-")</f>
        <v>46600007</v>
      </c>
      <c r="Z93" s="4" t="s">
        <v>605</v>
      </c>
      <c r="AA93" s="11">
        <f>IFERROR(INDEX(ShipPartShape!$A:$A,MATCH(Z93,ShipPartShape!$B:$B,0)),"-")</f>
        <v>46600009</v>
      </c>
      <c r="AB93" s="4" t="s">
        <v>611</v>
      </c>
      <c r="AC93" s="11">
        <f>IFERROR(INDEX(ShipPartShape!$A:$A,MATCH(AB93,ShipPartShape!$B:$B,0)),"-")</f>
        <v>46600010</v>
      </c>
      <c r="AD93" s="4"/>
      <c r="AE93" s="11" t="str">
        <f>IFERROR(INDEX(ShipPartShape!$A:$A,MATCH(AD93,ShipPartShape!$B:$B,0)),"-")</f>
        <v>-</v>
      </c>
      <c r="AF93" s="4"/>
      <c r="AG93" s="11" t="str">
        <f>IFERROR(INDEX(ShipPartShape!$A:$A,MATCH(AF93,ShipPartShape!$B:$B,0)),"-")</f>
        <v>-</v>
      </c>
      <c r="AH93" s="4"/>
      <c r="AI93" s="11" t="str">
        <f>IFERROR(INDEX(ShipPartShape!$A:$A,MATCH(AH93,ShipPartShape!$B:$B,0)),"-")</f>
        <v>-</v>
      </c>
      <c r="AJ93" s="11" t="s">
        <v>0</v>
      </c>
      <c r="AK93" s="11" t="s">
        <v>0</v>
      </c>
      <c r="AL93" s="11" t="s">
        <v>0</v>
      </c>
      <c r="AM93" s="11" t="s">
        <v>0</v>
      </c>
      <c r="AN93" s="11" t="s">
        <v>0</v>
      </c>
      <c r="AO93" s="11" t="s">
        <v>0</v>
      </c>
      <c r="AP93" s="11" t="s">
        <v>0</v>
      </c>
      <c r="AQ93" s="11" t="s">
        <v>0</v>
      </c>
      <c r="AR93" s="11" t="s">
        <v>0</v>
      </c>
      <c r="AS93" s="11" t="s">
        <v>0</v>
      </c>
      <c r="AT93" s="11" t="s">
        <v>0</v>
      </c>
      <c r="AU93" s="11">
        <v>47600015</v>
      </c>
      <c r="AV93" s="11" t="s">
        <v>0</v>
      </c>
      <c r="AW93" s="11" t="s">
        <v>0</v>
      </c>
      <c r="AX93" s="11" t="s">
        <v>0</v>
      </c>
    </row>
    <row r="94" spans="1:50" ht="15">
      <c r="A94" s="10">
        <f t="shared" si="1"/>
        <v>45000084</v>
      </c>
      <c r="B94" s="23" t="s">
        <v>726</v>
      </c>
      <c r="C94" s="11" t="s">
        <v>722</v>
      </c>
      <c r="D94" s="4" t="s">
        <v>725</v>
      </c>
      <c r="E94" s="11">
        <v>700</v>
      </c>
      <c r="F94" s="11">
        <v>150</v>
      </c>
      <c r="G94" s="11">
        <v>20</v>
      </c>
      <c r="H94" s="11">
        <v>-40</v>
      </c>
      <c r="I94" s="11">
        <f>IFERROR(INDEX(ShipPartShape!$A:$A,MATCH(D94,ShipPartShape!$B:$B,0)),"-")</f>
        <v>46000072</v>
      </c>
      <c r="J94" s="4" t="s">
        <v>1213</v>
      </c>
      <c r="K94" s="11">
        <f>IFERROR(INDEX(ShipPartShape!$A:$A,MATCH(J94,ShipPartShape!$B:$B,0)),"-")</f>
        <v>46700010</v>
      </c>
      <c r="L94" s="4" t="s">
        <v>69</v>
      </c>
      <c r="M94" s="11">
        <f>IFERROR(INDEX(ShipPartShape!$A:$A,MATCH(L94,ShipPartShape!$B:$B,0)),"-")</f>
        <v>46300001</v>
      </c>
      <c r="N94" s="4" t="s">
        <v>158</v>
      </c>
      <c r="O94" s="11">
        <f>IFERROR(INDEX(ShipPartShape!$A:$A,MATCH(N94,ShipPartShape!$B:$B,0)),"-")</f>
        <v>46550001</v>
      </c>
      <c r="P94" s="4"/>
      <c r="Q94" s="11" t="str">
        <f>IFERROR(INDEX(ShipPartShape!$A:$A,MATCH(P94,ShipPartShape!$B:$B,0)),"-")</f>
        <v>-</v>
      </c>
      <c r="R94" s="4"/>
      <c r="S94" s="11" t="str">
        <f>IFERROR(INDEX(ShipPartShape!$A:$A,MATCH(R94,ShipPartShape!$B:$B,0)),"-")</f>
        <v>-</v>
      </c>
      <c r="T94" s="4"/>
      <c r="U94" s="11" t="str">
        <f>IFERROR(INDEX(ShipPartShape!$A:$A,MATCH(T94,ShipPartShape!$B:$B,0)),"-")</f>
        <v>-</v>
      </c>
      <c r="V94" s="4"/>
      <c r="W94" s="11" t="str">
        <f>IFERROR(INDEX(ShipPartShape!$A:$A,MATCH(V94,ShipPartShape!$B:$B,0)),"-")</f>
        <v>-</v>
      </c>
      <c r="X94" s="4"/>
      <c r="Y94" s="11" t="str">
        <f>IFERROR(INDEX(ShipPartShape!$A:$A,MATCH(X94,ShipPartShape!$B:$B,0)),"-")</f>
        <v>-</v>
      </c>
      <c r="Z94" s="4"/>
      <c r="AA94" s="11" t="str">
        <f>IFERROR(INDEX(ShipPartShape!$A:$A,MATCH(Z94,ShipPartShape!$B:$B,0)),"-")</f>
        <v>-</v>
      </c>
      <c r="AB94" s="4"/>
      <c r="AC94" s="11" t="str">
        <f>IFERROR(INDEX(ShipPartShape!$A:$A,MATCH(AB94,ShipPartShape!$B:$B,0)),"-")</f>
        <v>-</v>
      </c>
      <c r="AD94" s="4"/>
      <c r="AE94" s="11" t="str">
        <f>IFERROR(INDEX(ShipPartShape!$A:$A,MATCH(AD94,ShipPartShape!$B:$B,0)),"-")</f>
        <v>-</v>
      </c>
      <c r="AF94" s="4"/>
      <c r="AG94" s="11" t="str">
        <f>IFERROR(INDEX(ShipPartShape!$A:$A,MATCH(AF94,ShipPartShape!$B:$B,0)),"-")</f>
        <v>-</v>
      </c>
      <c r="AH94" s="4"/>
      <c r="AI94" s="11" t="str">
        <f>IFERROR(INDEX(ShipPartShape!$A:$A,MATCH(AH94,ShipPartShape!$B:$B,0)),"-")</f>
        <v>-</v>
      </c>
      <c r="AJ94" s="11" t="s">
        <v>0</v>
      </c>
      <c r="AK94" s="11" t="s">
        <v>0</v>
      </c>
      <c r="AL94" s="11" t="s">
        <v>0</v>
      </c>
      <c r="AM94" s="11" t="s">
        <v>0</v>
      </c>
      <c r="AN94" s="11" t="s">
        <v>0</v>
      </c>
      <c r="AO94" s="11" t="s">
        <v>0</v>
      </c>
      <c r="AP94" s="11" t="s">
        <v>0</v>
      </c>
      <c r="AQ94" s="11" t="s">
        <v>0</v>
      </c>
      <c r="AR94" s="11" t="s">
        <v>0</v>
      </c>
      <c r="AS94" s="11" t="s">
        <v>0</v>
      </c>
      <c r="AT94" s="11" t="s">
        <v>0</v>
      </c>
      <c r="AU94" s="11">
        <v>47600018</v>
      </c>
      <c r="AV94" s="11" t="s">
        <v>0</v>
      </c>
      <c r="AW94" s="11" t="s">
        <v>0</v>
      </c>
      <c r="AX94" s="11" t="s">
        <v>0</v>
      </c>
    </row>
    <row r="95" spans="1:50" ht="15">
      <c r="A95" s="10">
        <f t="shared" si="1"/>
        <v>45000085</v>
      </c>
      <c r="B95" s="23" t="s">
        <v>729</v>
      </c>
      <c r="C95" s="11" t="s">
        <v>730</v>
      </c>
      <c r="D95" s="4" t="s">
        <v>727</v>
      </c>
      <c r="E95" s="11">
        <v>700</v>
      </c>
      <c r="F95" s="11">
        <v>100</v>
      </c>
      <c r="G95" s="11">
        <v>20</v>
      </c>
      <c r="H95" s="11">
        <v>-40</v>
      </c>
      <c r="I95" s="11">
        <f>IFERROR(INDEX(ShipPartShape!$A:$A,MATCH(D95,ShipPartShape!$B:$B,0)),"-")</f>
        <v>46000073</v>
      </c>
      <c r="J95" s="4" t="s">
        <v>1216</v>
      </c>
      <c r="K95" s="11">
        <f>IFERROR(INDEX(ShipPartShape!$A:$A,MATCH(J95,ShipPartShape!$B:$B,0)),"-")</f>
        <v>46700014</v>
      </c>
      <c r="L95" s="4" t="s">
        <v>69</v>
      </c>
      <c r="M95" s="11">
        <f>IFERROR(INDEX(ShipPartShape!$A:$A,MATCH(L95,ShipPartShape!$B:$B,0)),"-")</f>
        <v>46300001</v>
      </c>
      <c r="N95" s="4"/>
      <c r="O95" s="11" t="str">
        <f>IFERROR(INDEX(ShipPartShape!$A:$A,MATCH(N95,ShipPartShape!$B:$B,0)),"-")</f>
        <v>-</v>
      </c>
      <c r="P95" s="4"/>
      <c r="Q95" s="11" t="str">
        <f>IFERROR(INDEX(ShipPartShape!$A:$A,MATCH(P95,ShipPartShape!$B:$B,0)),"-")</f>
        <v>-</v>
      </c>
      <c r="R95" s="4"/>
      <c r="S95" s="11" t="str">
        <f>IFERROR(INDEX(ShipPartShape!$A:$A,MATCH(R95,ShipPartShape!$B:$B,0)),"-")</f>
        <v>-</v>
      </c>
      <c r="T95" s="4" t="s">
        <v>601</v>
      </c>
      <c r="U95" s="11">
        <f>IFERROR(INDEX(ShipPartShape!$A:$A,MATCH(T95,ShipPartShape!$B:$B,0)),"-")</f>
        <v>46600001</v>
      </c>
      <c r="V95" s="4" t="s">
        <v>602</v>
      </c>
      <c r="W95" s="11">
        <f>IFERROR(INDEX(ShipPartShape!$A:$A,MATCH(V95,ShipPartShape!$B:$B,0)),"-")</f>
        <v>46600002</v>
      </c>
      <c r="X95" s="4" t="s">
        <v>604</v>
      </c>
      <c r="Y95" s="11">
        <f>IFERROR(INDEX(ShipPartShape!$A:$A,MATCH(X95,ShipPartShape!$B:$B,0)),"-")</f>
        <v>46600005</v>
      </c>
      <c r="Z95" s="4"/>
      <c r="AA95" s="11" t="str">
        <f>IFERROR(INDEX(ShipPartShape!$A:$A,MATCH(Z95,ShipPartShape!$B:$B,0)),"-")</f>
        <v>-</v>
      </c>
      <c r="AB95" s="4"/>
      <c r="AC95" s="11" t="str">
        <f>IFERROR(INDEX(ShipPartShape!$A:$A,MATCH(AB95,ShipPartShape!$B:$B,0)),"-")</f>
        <v>-</v>
      </c>
      <c r="AD95" s="4"/>
      <c r="AE95" s="11" t="str">
        <f>IFERROR(INDEX(ShipPartShape!$A:$A,MATCH(AD95,ShipPartShape!$B:$B,0)),"-")</f>
        <v>-</v>
      </c>
      <c r="AF95" s="4"/>
      <c r="AG95" s="11" t="str">
        <f>IFERROR(INDEX(ShipPartShape!$A:$A,MATCH(AF95,ShipPartShape!$B:$B,0)),"-")</f>
        <v>-</v>
      </c>
      <c r="AH95" s="4"/>
      <c r="AI95" s="11" t="str">
        <f>IFERROR(INDEX(ShipPartShape!$A:$A,MATCH(AH95,ShipPartShape!$B:$B,0)),"-")</f>
        <v>-</v>
      </c>
      <c r="AJ95" s="11" t="s">
        <v>0</v>
      </c>
      <c r="AK95" s="11" t="s">
        <v>0</v>
      </c>
      <c r="AL95" s="11" t="s">
        <v>0</v>
      </c>
      <c r="AM95" s="11" t="s">
        <v>0</v>
      </c>
      <c r="AN95" s="11" t="s">
        <v>0</v>
      </c>
      <c r="AO95" s="11" t="s">
        <v>0</v>
      </c>
      <c r="AP95" s="11" t="s">
        <v>0</v>
      </c>
      <c r="AQ95" s="11" t="s">
        <v>0</v>
      </c>
      <c r="AR95" s="11" t="s">
        <v>0</v>
      </c>
      <c r="AS95" s="11" t="s">
        <v>0</v>
      </c>
      <c r="AT95" s="11" t="s">
        <v>0</v>
      </c>
      <c r="AU95" s="11">
        <v>47600016</v>
      </c>
      <c r="AV95" s="11" t="s">
        <v>0</v>
      </c>
      <c r="AW95" s="11" t="s">
        <v>0</v>
      </c>
      <c r="AX95" s="11" t="s">
        <v>0</v>
      </c>
    </row>
    <row r="96" spans="1:50" ht="15">
      <c r="A96" s="10">
        <f t="shared" si="1"/>
        <v>45000086</v>
      </c>
      <c r="B96" s="23" t="s">
        <v>734</v>
      </c>
      <c r="C96" s="11" t="s">
        <v>733</v>
      </c>
      <c r="D96" s="4" t="s">
        <v>732</v>
      </c>
      <c r="E96" s="11">
        <v>700</v>
      </c>
      <c r="F96" s="11">
        <v>150</v>
      </c>
      <c r="G96" s="11">
        <v>20</v>
      </c>
      <c r="H96" s="11">
        <v>-40</v>
      </c>
      <c r="I96" s="11">
        <f>IFERROR(INDEX(ShipPartShape!$A:$A,MATCH(D96,ShipPartShape!$B:$B,0)),"-")</f>
        <v>46000074</v>
      </c>
      <c r="J96" s="4" t="s">
        <v>1258</v>
      </c>
      <c r="K96" s="11">
        <f>IFERROR(INDEX(ShipPartShape!$A:$A,MATCH(J96,ShipPartShape!$B:$B,0)),"-")</f>
        <v>46700004</v>
      </c>
      <c r="L96" s="4" t="s">
        <v>69</v>
      </c>
      <c r="M96" s="11">
        <f>IFERROR(INDEX(ShipPartShape!$A:$A,MATCH(L96,ShipPartShape!$B:$B,0)),"-")</f>
        <v>46300001</v>
      </c>
      <c r="N96" s="4"/>
      <c r="O96" s="11" t="str">
        <f>IFERROR(INDEX(ShipPartShape!$A:$A,MATCH(N96,ShipPartShape!$B:$B,0)),"-")</f>
        <v>-</v>
      </c>
      <c r="P96" s="4"/>
      <c r="Q96" s="11" t="str">
        <f>IFERROR(INDEX(ShipPartShape!$A:$A,MATCH(P96,ShipPartShape!$B:$B,0)),"-")</f>
        <v>-</v>
      </c>
      <c r="R96" s="4"/>
      <c r="S96" s="11" t="str">
        <f>IFERROR(INDEX(ShipPartShape!$A:$A,MATCH(R96,ShipPartShape!$B:$B,0)),"-")</f>
        <v>-</v>
      </c>
      <c r="T96" s="4" t="s">
        <v>602</v>
      </c>
      <c r="U96" s="11">
        <f>IFERROR(INDEX(ShipPartShape!$A:$A,MATCH(T96,ShipPartShape!$B:$B,0)),"-")</f>
        <v>46600002</v>
      </c>
      <c r="V96" s="4" t="s">
        <v>606</v>
      </c>
      <c r="W96" s="11">
        <f>IFERROR(INDEX(ShipPartShape!$A:$A,MATCH(V96,ShipPartShape!$B:$B,0)),"-")</f>
        <v>46600003</v>
      </c>
      <c r="X96" s="4" t="s">
        <v>608</v>
      </c>
      <c r="Y96" s="11">
        <f>IFERROR(INDEX(ShipPartShape!$A:$A,MATCH(X96,ShipPartShape!$B:$B,0)),"-")</f>
        <v>46600004</v>
      </c>
      <c r="Z96" s="4" t="s">
        <v>603</v>
      </c>
      <c r="AA96" s="11">
        <f>IFERROR(INDEX(ShipPartShape!$A:$A,MATCH(Z96,ShipPartShape!$B:$B,0)),"-")</f>
        <v>46600007</v>
      </c>
      <c r="AB96" s="4"/>
      <c r="AC96" s="11" t="str">
        <f>IFERROR(INDEX(ShipPartShape!$A:$A,MATCH(AB96,ShipPartShape!$B:$B,0)),"-")</f>
        <v>-</v>
      </c>
      <c r="AD96" s="4"/>
      <c r="AE96" s="11" t="str">
        <f>IFERROR(INDEX(ShipPartShape!$A:$A,MATCH(AD96,ShipPartShape!$B:$B,0)),"-")</f>
        <v>-</v>
      </c>
      <c r="AF96" s="4"/>
      <c r="AG96" s="11" t="str">
        <f>IFERROR(INDEX(ShipPartShape!$A:$A,MATCH(AF96,ShipPartShape!$B:$B,0)),"-")</f>
        <v>-</v>
      </c>
      <c r="AH96" s="4"/>
      <c r="AI96" s="11" t="str">
        <f>IFERROR(INDEX(ShipPartShape!$A:$A,MATCH(AH96,ShipPartShape!$B:$B,0)),"-")</f>
        <v>-</v>
      </c>
      <c r="AJ96" s="11" t="s">
        <v>0</v>
      </c>
      <c r="AK96" s="11" t="s">
        <v>0</v>
      </c>
      <c r="AL96" s="11" t="s">
        <v>0</v>
      </c>
      <c r="AM96" s="11" t="s">
        <v>0</v>
      </c>
      <c r="AN96" s="11" t="s">
        <v>0</v>
      </c>
      <c r="AO96" s="11" t="s">
        <v>0</v>
      </c>
      <c r="AP96" s="11" t="s">
        <v>0</v>
      </c>
      <c r="AQ96" s="11" t="s">
        <v>0</v>
      </c>
      <c r="AR96" s="11" t="s">
        <v>0</v>
      </c>
      <c r="AS96" s="11" t="s">
        <v>0</v>
      </c>
      <c r="AT96" s="11" t="s">
        <v>0</v>
      </c>
      <c r="AU96" s="11">
        <v>47600017</v>
      </c>
      <c r="AV96" s="11" t="s">
        <v>0</v>
      </c>
      <c r="AW96" s="11" t="s">
        <v>0</v>
      </c>
      <c r="AX96" s="11" t="s">
        <v>0</v>
      </c>
    </row>
    <row r="97" spans="1:50" ht="15">
      <c r="A97" s="10">
        <f t="shared" si="1"/>
        <v>45000087</v>
      </c>
      <c r="B97" s="23" t="s">
        <v>751</v>
      </c>
      <c r="C97" s="11" t="s">
        <v>753</v>
      </c>
      <c r="D97" s="4" t="s">
        <v>754</v>
      </c>
      <c r="E97" s="11">
        <v>700</v>
      </c>
      <c r="F97" s="11">
        <v>100</v>
      </c>
      <c r="G97" s="11">
        <v>10</v>
      </c>
      <c r="H97" s="11">
        <v>-40</v>
      </c>
      <c r="I97" s="11">
        <f>IFERROR(INDEX(ShipPartShape!$A:$A,MATCH(D97,ShipPartShape!$B:$B,0)),"-")</f>
        <v>46000075</v>
      </c>
      <c r="J97" s="4" t="s">
        <v>70</v>
      </c>
      <c r="K97" s="11">
        <f>IFERROR(INDEX(ShipPartShape!$A:$A,MATCH(J97,ShipPartShape!$B:$B,0)),"-")</f>
        <v>46700001</v>
      </c>
      <c r="L97" s="4" t="s">
        <v>69</v>
      </c>
      <c r="M97" s="11">
        <f>IFERROR(INDEX(ShipPartShape!$A:$A,MATCH(L97,ShipPartShape!$B:$B,0)),"-")</f>
        <v>46300001</v>
      </c>
      <c r="N97" s="4"/>
      <c r="O97" s="11" t="str">
        <f>IFERROR(INDEX(ShipPartShape!$A:$A,MATCH(N97,ShipPartShape!$B:$B,0)),"-")</f>
        <v>-</v>
      </c>
      <c r="P97" s="4"/>
      <c r="Q97" s="11" t="str">
        <f>IFERROR(INDEX(ShipPartShape!$A:$A,MATCH(P97,ShipPartShape!$B:$B,0)),"-")</f>
        <v>-</v>
      </c>
      <c r="R97" s="4"/>
      <c r="S97" s="11" t="str">
        <f>IFERROR(INDEX(ShipPartShape!$A:$A,MATCH(R97,ShipPartShape!$B:$B,0)),"-")</f>
        <v>-</v>
      </c>
      <c r="T97" s="4" t="s">
        <v>608</v>
      </c>
      <c r="U97" s="11">
        <f>IFERROR(INDEX(ShipPartShape!$A:$A,MATCH(T97,ShipPartShape!$B:$B,0)),"-")</f>
        <v>46600004</v>
      </c>
      <c r="V97" s="4" t="s">
        <v>610</v>
      </c>
      <c r="W97" s="11">
        <f>IFERROR(INDEX(ShipPartShape!$A:$A,MATCH(V97,ShipPartShape!$B:$B,0)),"-")</f>
        <v>46600006</v>
      </c>
      <c r="X97" s="4" t="s">
        <v>603</v>
      </c>
      <c r="Y97" s="11">
        <f>IFERROR(INDEX(ShipPartShape!$A:$A,MATCH(X97,ShipPartShape!$B:$B,0)),"-")</f>
        <v>46600007</v>
      </c>
      <c r="Z97" s="4"/>
      <c r="AA97" s="11" t="str">
        <f>IFERROR(INDEX(ShipPartShape!$A:$A,MATCH(Z97,ShipPartShape!$B:$B,0)),"-")</f>
        <v>-</v>
      </c>
      <c r="AB97" s="4"/>
      <c r="AC97" s="11" t="str">
        <f>IFERROR(INDEX(ShipPartShape!$A:$A,MATCH(AB97,ShipPartShape!$B:$B,0)),"-")</f>
        <v>-</v>
      </c>
      <c r="AD97" s="4"/>
      <c r="AE97" s="11" t="str">
        <f>IFERROR(INDEX(ShipPartShape!$A:$A,MATCH(AD97,ShipPartShape!$B:$B,0)),"-")</f>
        <v>-</v>
      </c>
      <c r="AF97" s="4"/>
      <c r="AG97" s="11" t="str">
        <f>IFERROR(INDEX(ShipPartShape!$A:$A,MATCH(AF97,ShipPartShape!$B:$B,0)),"-")</f>
        <v>-</v>
      </c>
      <c r="AH97" s="4"/>
      <c r="AI97" s="11" t="str">
        <f>IFERROR(INDEX(ShipPartShape!$A:$A,MATCH(AH97,ShipPartShape!$B:$B,0)),"-")</f>
        <v>-</v>
      </c>
      <c r="AJ97" s="11" t="s">
        <v>0</v>
      </c>
      <c r="AK97" s="11" t="s">
        <v>0</v>
      </c>
      <c r="AL97" s="11" t="s">
        <v>0</v>
      </c>
      <c r="AM97" s="11" t="s">
        <v>0</v>
      </c>
      <c r="AN97" s="11" t="s">
        <v>0</v>
      </c>
      <c r="AO97" s="11" t="s">
        <v>0</v>
      </c>
      <c r="AP97" s="11" t="s">
        <v>0</v>
      </c>
      <c r="AQ97" s="11" t="s">
        <v>0</v>
      </c>
      <c r="AR97" s="11" t="s">
        <v>0</v>
      </c>
      <c r="AS97" s="11" t="s">
        <v>0</v>
      </c>
      <c r="AT97" s="11" t="s">
        <v>0</v>
      </c>
      <c r="AU97" s="11">
        <v>47600016</v>
      </c>
      <c r="AV97" s="11" t="s">
        <v>0</v>
      </c>
      <c r="AW97" s="11" t="s">
        <v>0</v>
      </c>
      <c r="AX97" s="11" t="s">
        <v>0</v>
      </c>
    </row>
    <row r="98" spans="1:50" ht="15">
      <c r="A98" s="10">
        <f t="shared" si="1"/>
        <v>45000088</v>
      </c>
      <c r="B98" s="23" t="s">
        <v>764</v>
      </c>
      <c r="C98" s="11" t="s">
        <v>765</v>
      </c>
      <c r="D98" s="4" t="s">
        <v>762</v>
      </c>
      <c r="E98" s="11">
        <v>700</v>
      </c>
      <c r="F98" s="11">
        <v>100</v>
      </c>
      <c r="G98" s="11">
        <v>30</v>
      </c>
      <c r="H98" s="11">
        <v>-40</v>
      </c>
      <c r="I98" s="11">
        <f>IFERROR(INDEX(ShipPartShape!$A:$A,MATCH(D98,ShipPartShape!$B:$B,0)),"-")</f>
        <v>46000076</v>
      </c>
      <c r="J98" s="4" t="s">
        <v>1217</v>
      </c>
      <c r="K98" s="11">
        <f>IFERROR(INDEX(ShipPartShape!$A:$A,MATCH(J98,ShipPartShape!$B:$B,0)),"-")</f>
        <v>46700016</v>
      </c>
      <c r="L98" s="4" t="s">
        <v>69</v>
      </c>
      <c r="M98" s="11">
        <f>IFERROR(INDEX(ShipPartShape!$A:$A,MATCH(L98,ShipPartShape!$B:$B,0)),"-")</f>
        <v>46300001</v>
      </c>
      <c r="N98" s="4"/>
      <c r="O98" s="11" t="str">
        <f>IFERROR(INDEX(ShipPartShape!$A:$A,MATCH(N98,ShipPartShape!$B:$B,0)),"-")</f>
        <v>-</v>
      </c>
      <c r="P98" s="4"/>
      <c r="Q98" s="11" t="str">
        <f>IFERROR(INDEX(ShipPartShape!$A:$A,MATCH(P98,ShipPartShape!$B:$B,0)),"-")</f>
        <v>-</v>
      </c>
      <c r="R98" s="4"/>
      <c r="S98" s="11" t="str">
        <f>IFERROR(INDEX(ShipPartShape!$A:$A,MATCH(R98,ShipPartShape!$B:$B,0)),"-")</f>
        <v>-</v>
      </c>
      <c r="T98" s="4" t="s">
        <v>601</v>
      </c>
      <c r="U98" s="11">
        <f>IFERROR(INDEX(ShipPartShape!$A:$A,MATCH(T98,ShipPartShape!$B:$B,0)),"-")</f>
        <v>46600001</v>
      </c>
      <c r="V98" s="4" t="s">
        <v>606</v>
      </c>
      <c r="W98" s="11">
        <f>IFERROR(INDEX(ShipPartShape!$A:$A,MATCH(V98,ShipPartShape!$B:$B,0)),"-")</f>
        <v>46600003</v>
      </c>
      <c r="X98" s="4" t="s">
        <v>604</v>
      </c>
      <c r="Y98" s="11">
        <f>IFERROR(INDEX(ShipPartShape!$A:$A,MATCH(X98,ShipPartShape!$B:$B,0)),"-")</f>
        <v>46600005</v>
      </c>
      <c r="Z98" s="4" t="s">
        <v>610</v>
      </c>
      <c r="AA98" s="11">
        <f>IFERROR(INDEX(ShipPartShape!$A:$A,MATCH(Z98,ShipPartShape!$B:$B,0)),"-")</f>
        <v>46600006</v>
      </c>
      <c r="AB98" s="4" t="s">
        <v>607</v>
      </c>
      <c r="AC98" s="11">
        <f>IFERROR(INDEX(ShipPartShape!$A:$A,MATCH(AB98,ShipPartShape!$B:$B,0)),"-")</f>
        <v>46600008</v>
      </c>
      <c r="AD98" s="4"/>
      <c r="AE98" s="11" t="str">
        <f>IFERROR(INDEX(ShipPartShape!$A:$A,MATCH(AD98,ShipPartShape!$B:$B,0)),"-")</f>
        <v>-</v>
      </c>
      <c r="AF98" s="4"/>
      <c r="AG98" s="11" t="str">
        <f>IFERROR(INDEX(ShipPartShape!$A:$A,MATCH(AF98,ShipPartShape!$B:$B,0)),"-")</f>
        <v>-</v>
      </c>
      <c r="AH98" s="4"/>
      <c r="AI98" s="11" t="str">
        <f>IFERROR(INDEX(ShipPartShape!$A:$A,MATCH(AH98,ShipPartShape!$B:$B,0)),"-")</f>
        <v>-</v>
      </c>
      <c r="AJ98" s="11" t="s">
        <v>0</v>
      </c>
      <c r="AK98" s="11" t="s">
        <v>0</v>
      </c>
      <c r="AL98" s="11" t="s">
        <v>0</v>
      </c>
      <c r="AM98" s="11" t="s">
        <v>0</v>
      </c>
      <c r="AN98" s="11" t="s">
        <v>0</v>
      </c>
      <c r="AO98" s="11" t="s">
        <v>0</v>
      </c>
      <c r="AP98" s="11" t="s">
        <v>0</v>
      </c>
      <c r="AQ98" s="11" t="s">
        <v>0</v>
      </c>
      <c r="AR98" s="11" t="s">
        <v>0</v>
      </c>
      <c r="AS98" s="11" t="s">
        <v>0</v>
      </c>
      <c r="AT98" s="11" t="s">
        <v>0</v>
      </c>
      <c r="AU98" s="11">
        <v>47600016</v>
      </c>
      <c r="AV98" s="11" t="s">
        <v>0</v>
      </c>
      <c r="AW98" s="11" t="s">
        <v>0</v>
      </c>
      <c r="AX98" s="11" t="s">
        <v>0</v>
      </c>
    </row>
    <row r="99" spans="1:50" ht="15">
      <c r="A99" s="10">
        <f t="shared" si="1"/>
        <v>45000089</v>
      </c>
      <c r="B99" s="23" t="s">
        <v>826</v>
      </c>
      <c r="C99" s="11" t="s">
        <v>825</v>
      </c>
      <c r="D99" s="4" t="s">
        <v>823</v>
      </c>
      <c r="E99" s="11">
        <v>700</v>
      </c>
      <c r="F99" s="11">
        <v>100</v>
      </c>
      <c r="G99" s="11">
        <v>10</v>
      </c>
      <c r="H99" s="11">
        <v>-40</v>
      </c>
      <c r="I99" s="11">
        <f>IFERROR(INDEX(ShipPartShape!$A:$A,MATCH(D99,ShipPartShape!$B:$B,0)),"-")</f>
        <v>46000077</v>
      </c>
      <c r="J99" s="4" t="s">
        <v>70</v>
      </c>
      <c r="K99" s="11">
        <f>IFERROR(INDEX(ShipPartShape!$A:$A,MATCH(J99,ShipPartShape!$B:$B,0)),"-")</f>
        <v>46700001</v>
      </c>
      <c r="L99" s="4"/>
      <c r="M99" s="11" t="str">
        <f>IFERROR(INDEX(ShipPartShape!$A:$A,MATCH(L99,ShipPartShape!$B:$B,0)),"-")</f>
        <v>-</v>
      </c>
      <c r="N99" s="4"/>
      <c r="O99" s="11" t="str">
        <f>IFERROR(INDEX(ShipPartShape!$A:$A,MATCH(N99,ShipPartShape!$B:$B,0)),"-")</f>
        <v>-</v>
      </c>
      <c r="P99" s="4"/>
      <c r="Q99" s="11" t="str">
        <f>IFERROR(INDEX(ShipPartShape!$A:$A,MATCH(P99,ShipPartShape!$B:$B,0)),"-")</f>
        <v>-</v>
      </c>
      <c r="R99" s="4"/>
      <c r="S99" s="11" t="str">
        <f>IFERROR(INDEX(ShipPartShape!$A:$A,MATCH(R99,ShipPartShape!$B:$B,0)),"-")</f>
        <v>-</v>
      </c>
      <c r="T99" s="4" t="s">
        <v>606</v>
      </c>
      <c r="U99" s="11">
        <f>IFERROR(INDEX(ShipPartShape!$A:$A,MATCH(T99,ShipPartShape!$B:$B,0)),"-")</f>
        <v>46600003</v>
      </c>
      <c r="V99" s="4" t="s">
        <v>608</v>
      </c>
      <c r="W99" s="11">
        <f>IFERROR(INDEX(ShipPartShape!$A:$A,MATCH(V99,ShipPartShape!$B:$B,0)),"-")</f>
        <v>46600004</v>
      </c>
      <c r="X99" s="4" t="s">
        <v>603</v>
      </c>
      <c r="Y99" s="11">
        <f>IFERROR(INDEX(ShipPartShape!$A:$A,MATCH(X99,ShipPartShape!$B:$B,0)),"-")</f>
        <v>46600007</v>
      </c>
      <c r="Z99" s="4" t="s">
        <v>611</v>
      </c>
      <c r="AA99" s="11">
        <f>IFERROR(INDEX(ShipPartShape!$A:$A,MATCH(Z99,ShipPartShape!$B:$B,0)),"-")</f>
        <v>46600010</v>
      </c>
      <c r="AB99" s="4"/>
      <c r="AC99" s="11" t="str">
        <f>IFERROR(INDEX(ShipPartShape!$A:$A,MATCH(AB99,ShipPartShape!$B:$B,0)),"-")</f>
        <v>-</v>
      </c>
      <c r="AD99" s="4"/>
      <c r="AE99" s="11" t="str">
        <f>IFERROR(INDEX(ShipPartShape!$A:$A,MATCH(AD99,ShipPartShape!$B:$B,0)),"-")</f>
        <v>-</v>
      </c>
      <c r="AF99" s="4"/>
      <c r="AG99" s="11" t="str">
        <f>IFERROR(INDEX(ShipPartShape!$A:$A,MATCH(AF99,ShipPartShape!$B:$B,0)),"-")</f>
        <v>-</v>
      </c>
      <c r="AH99" s="4"/>
      <c r="AI99" s="11" t="str">
        <f>IFERROR(INDEX(ShipPartShape!$A:$A,MATCH(AH99,ShipPartShape!$B:$B,0)),"-")</f>
        <v>-</v>
      </c>
      <c r="AJ99" s="11" t="s">
        <v>0</v>
      </c>
      <c r="AK99" s="11" t="s">
        <v>0</v>
      </c>
      <c r="AL99" s="11" t="s">
        <v>0</v>
      </c>
      <c r="AM99" s="11" t="s">
        <v>0</v>
      </c>
      <c r="AN99" s="11" t="s">
        <v>0</v>
      </c>
      <c r="AO99" s="11" t="s">
        <v>0</v>
      </c>
      <c r="AP99" s="11" t="s">
        <v>0</v>
      </c>
      <c r="AQ99" s="11" t="s">
        <v>0</v>
      </c>
      <c r="AR99" s="11" t="s">
        <v>0</v>
      </c>
      <c r="AS99" s="11" t="s">
        <v>0</v>
      </c>
      <c r="AT99" s="11" t="s">
        <v>0</v>
      </c>
      <c r="AU99" s="11">
        <v>47600015</v>
      </c>
      <c r="AV99" s="11" t="s">
        <v>0</v>
      </c>
      <c r="AW99" s="11" t="s">
        <v>0</v>
      </c>
      <c r="AX99" s="11" t="s">
        <v>0</v>
      </c>
    </row>
    <row r="100" spans="1:50" ht="15">
      <c r="A100" s="10">
        <f t="shared" si="1"/>
        <v>45000090</v>
      </c>
      <c r="B100" s="23" t="s">
        <v>829</v>
      </c>
      <c r="C100" s="11" t="s">
        <v>830</v>
      </c>
      <c r="D100" s="4" t="s">
        <v>827</v>
      </c>
      <c r="E100" s="11">
        <v>700</v>
      </c>
      <c r="F100" s="11">
        <v>100</v>
      </c>
      <c r="G100" s="11">
        <v>20</v>
      </c>
      <c r="H100" s="11">
        <v>-40</v>
      </c>
      <c r="I100" s="11">
        <f>IFERROR(INDEX(ShipPartShape!$A:$A,MATCH(D100,ShipPartShape!$B:$B,0)),"-")</f>
        <v>46000078</v>
      </c>
      <c r="J100" s="4" t="s">
        <v>1215</v>
      </c>
      <c r="K100" s="11">
        <f>IFERROR(INDEX(ShipPartShape!$A:$A,MATCH(J100,ShipPartShape!$B:$B,0)),"-")</f>
        <v>46700013</v>
      </c>
      <c r="L100" s="4" t="s">
        <v>69</v>
      </c>
      <c r="M100" s="11">
        <f>IFERROR(INDEX(ShipPartShape!$A:$A,MATCH(L100,ShipPartShape!$B:$B,0)),"-")</f>
        <v>46300001</v>
      </c>
      <c r="N100" s="4"/>
      <c r="O100" s="11" t="str">
        <f>IFERROR(INDEX(ShipPartShape!$A:$A,MATCH(N100,ShipPartShape!$B:$B,0)),"-")</f>
        <v>-</v>
      </c>
      <c r="P100" s="4"/>
      <c r="Q100" s="11" t="str">
        <f>IFERROR(INDEX(ShipPartShape!$A:$A,MATCH(P100,ShipPartShape!$B:$B,0)),"-")</f>
        <v>-</v>
      </c>
      <c r="R100" s="4"/>
      <c r="S100" s="11" t="str">
        <f>IFERROR(INDEX(ShipPartShape!$A:$A,MATCH(R100,ShipPartShape!$B:$B,0)),"-")</f>
        <v>-</v>
      </c>
      <c r="T100" s="4" t="s">
        <v>601</v>
      </c>
      <c r="U100" s="11">
        <f>IFERROR(INDEX(ShipPartShape!$A:$A,MATCH(T100,ShipPartShape!$B:$B,0)),"-")</f>
        <v>46600001</v>
      </c>
      <c r="V100" s="4" t="s">
        <v>604</v>
      </c>
      <c r="W100" s="11">
        <f>IFERROR(INDEX(ShipPartShape!$A:$A,MATCH(V100,ShipPartShape!$B:$B,0)),"-")</f>
        <v>46600005</v>
      </c>
      <c r="X100" s="4" t="s">
        <v>603</v>
      </c>
      <c r="Y100" s="11">
        <f>IFERROR(INDEX(ShipPartShape!$A:$A,MATCH(X100,ShipPartShape!$B:$B,0)),"-")</f>
        <v>46600007</v>
      </c>
      <c r="Z100" s="4"/>
      <c r="AA100" s="11" t="str">
        <f>IFERROR(INDEX(ShipPartShape!$A:$A,MATCH(Z100,ShipPartShape!$B:$B,0)),"-")</f>
        <v>-</v>
      </c>
      <c r="AB100" s="4"/>
      <c r="AC100" s="11" t="str">
        <f>IFERROR(INDEX(ShipPartShape!$A:$A,MATCH(AB100,ShipPartShape!$B:$B,0)),"-")</f>
        <v>-</v>
      </c>
      <c r="AD100" s="4"/>
      <c r="AE100" s="11" t="str">
        <f>IFERROR(INDEX(ShipPartShape!$A:$A,MATCH(AD100,ShipPartShape!$B:$B,0)),"-")</f>
        <v>-</v>
      </c>
      <c r="AF100" s="4"/>
      <c r="AG100" s="11" t="str">
        <f>IFERROR(INDEX(ShipPartShape!$A:$A,MATCH(AF100,ShipPartShape!$B:$B,0)),"-")</f>
        <v>-</v>
      </c>
      <c r="AH100" s="4"/>
      <c r="AI100" s="11" t="str">
        <f>IFERROR(INDEX(ShipPartShape!$A:$A,MATCH(AH100,ShipPartShape!$B:$B,0)),"-")</f>
        <v>-</v>
      </c>
      <c r="AJ100" s="11" t="s">
        <v>0</v>
      </c>
      <c r="AK100" s="11" t="s">
        <v>0</v>
      </c>
      <c r="AL100" s="11" t="s">
        <v>0</v>
      </c>
      <c r="AM100" s="11" t="s">
        <v>0</v>
      </c>
      <c r="AN100" s="11" t="s">
        <v>0</v>
      </c>
      <c r="AO100" s="11" t="s">
        <v>0</v>
      </c>
      <c r="AP100" s="11" t="s">
        <v>0</v>
      </c>
      <c r="AQ100" s="11" t="s">
        <v>0</v>
      </c>
      <c r="AR100" s="11" t="s">
        <v>0</v>
      </c>
      <c r="AS100" s="11" t="s">
        <v>0</v>
      </c>
      <c r="AT100" s="11" t="s">
        <v>0</v>
      </c>
      <c r="AU100" s="11">
        <v>47600016</v>
      </c>
      <c r="AV100" s="11" t="s">
        <v>0</v>
      </c>
      <c r="AW100" s="11" t="s">
        <v>0</v>
      </c>
      <c r="AX100" s="11" t="s">
        <v>0</v>
      </c>
    </row>
    <row r="101" spans="1:50" ht="15">
      <c r="A101" s="10">
        <f t="shared" si="1"/>
        <v>45000091</v>
      </c>
      <c r="B101" s="23" t="s">
        <v>833</v>
      </c>
      <c r="C101" s="11" t="s">
        <v>834</v>
      </c>
      <c r="D101" s="4" t="s">
        <v>831</v>
      </c>
      <c r="E101" s="11">
        <v>700</v>
      </c>
      <c r="F101" s="11">
        <v>100</v>
      </c>
      <c r="G101" s="11" t="s">
        <v>0</v>
      </c>
      <c r="H101" s="11">
        <v>-40</v>
      </c>
      <c r="I101" s="11">
        <f>IFERROR(INDEX(ShipPartShape!$A:$A,MATCH(D101,ShipPartShape!$B:$B,0)),"-")</f>
        <v>46000079</v>
      </c>
      <c r="J101" s="4" t="s">
        <v>1215</v>
      </c>
      <c r="K101" s="11">
        <f>IFERROR(INDEX(ShipPartShape!$A:$A,MATCH(J101,ShipPartShape!$B:$B,0)),"-")</f>
        <v>46700013</v>
      </c>
      <c r="L101" s="4" t="s">
        <v>69</v>
      </c>
      <c r="M101" s="11">
        <f>IFERROR(INDEX(ShipPartShape!$A:$A,MATCH(L101,ShipPartShape!$B:$B,0)),"-")</f>
        <v>46300001</v>
      </c>
      <c r="N101" s="4"/>
      <c r="O101" s="11" t="str">
        <f>IFERROR(INDEX(ShipPartShape!$A:$A,MATCH(N101,ShipPartShape!$B:$B,0)),"-")</f>
        <v>-</v>
      </c>
      <c r="P101" s="4"/>
      <c r="Q101" s="11" t="str">
        <f>IFERROR(INDEX(ShipPartShape!$A:$A,MATCH(P101,ShipPartShape!$B:$B,0)),"-")</f>
        <v>-</v>
      </c>
      <c r="R101" s="4"/>
      <c r="S101" s="11" t="str">
        <f>IFERROR(INDEX(ShipPartShape!$A:$A,MATCH(R101,ShipPartShape!$B:$B,0)),"-")</f>
        <v>-</v>
      </c>
      <c r="T101" s="4" t="s">
        <v>602</v>
      </c>
      <c r="U101" s="11">
        <f>IFERROR(INDEX(ShipPartShape!$A:$A,MATCH(T101,ShipPartShape!$B:$B,0)),"-")</f>
        <v>46600002</v>
      </c>
      <c r="V101" s="4" t="s">
        <v>604</v>
      </c>
      <c r="W101" s="11">
        <f>IFERROR(INDEX(ShipPartShape!$A:$A,MATCH(V101,ShipPartShape!$B:$B,0)),"-")</f>
        <v>46600005</v>
      </c>
      <c r="X101" s="4" t="s">
        <v>603</v>
      </c>
      <c r="Y101" s="11">
        <f>IFERROR(INDEX(ShipPartShape!$A:$A,MATCH(X101,ShipPartShape!$B:$B,0)),"-")</f>
        <v>46600007</v>
      </c>
      <c r="Z101" s="4"/>
      <c r="AA101" s="11" t="str">
        <f>IFERROR(INDEX(ShipPartShape!$A:$A,MATCH(Z101,ShipPartShape!$B:$B,0)),"-")</f>
        <v>-</v>
      </c>
      <c r="AB101" s="4"/>
      <c r="AC101" s="11" t="str">
        <f>IFERROR(INDEX(ShipPartShape!$A:$A,MATCH(AB101,ShipPartShape!$B:$B,0)),"-")</f>
        <v>-</v>
      </c>
      <c r="AD101" s="4"/>
      <c r="AE101" s="11" t="str">
        <f>IFERROR(INDEX(ShipPartShape!$A:$A,MATCH(AD101,ShipPartShape!$B:$B,0)),"-")</f>
        <v>-</v>
      </c>
      <c r="AF101" s="4"/>
      <c r="AG101" s="11" t="str">
        <f>IFERROR(INDEX(ShipPartShape!$A:$A,MATCH(AF101,ShipPartShape!$B:$B,0)),"-")</f>
        <v>-</v>
      </c>
      <c r="AH101" s="4"/>
      <c r="AI101" s="11" t="str">
        <f>IFERROR(INDEX(ShipPartShape!$A:$A,MATCH(AH101,ShipPartShape!$B:$B,0)),"-")</f>
        <v>-</v>
      </c>
      <c r="AJ101" s="11" t="s">
        <v>0</v>
      </c>
      <c r="AK101" s="11" t="s">
        <v>0</v>
      </c>
      <c r="AL101" s="11" t="s">
        <v>0</v>
      </c>
      <c r="AM101" s="11" t="s">
        <v>0</v>
      </c>
      <c r="AN101" s="11" t="s">
        <v>0</v>
      </c>
      <c r="AO101" s="11" t="s">
        <v>0</v>
      </c>
      <c r="AP101" s="11" t="s">
        <v>0</v>
      </c>
      <c r="AQ101" s="11" t="s">
        <v>0</v>
      </c>
      <c r="AR101" s="11" t="s">
        <v>0</v>
      </c>
      <c r="AS101" s="11" t="s">
        <v>0</v>
      </c>
      <c r="AT101" s="11" t="s">
        <v>0</v>
      </c>
      <c r="AU101" s="11">
        <v>47600016</v>
      </c>
      <c r="AV101" s="11" t="s">
        <v>0</v>
      </c>
      <c r="AW101" s="11" t="s">
        <v>0</v>
      </c>
      <c r="AX101" s="11" t="s">
        <v>0</v>
      </c>
    </row>
    <row r="102" spans="1:50" ht="15">
      <c r="A102" s="10">
        <f t="shared" si="1"/>
        <v>45000092</v>
      </c>
      <c r="B102" s="23" t="s">
        <v>838</v>
      </c>
      <c r="C102" s="11" t="s">
        <v>839</v>
      </c>
      <c r="D102" s="4" t="s">
        <v>835</v>
      </c>
      <c r="E102" s="11">
        <v>700</v>
      </c>
      <c r="F102" s="11">
        <v>100</v>
      </c>
      <c r="G102" s="11">
        <v>-10</v>
      </c>
      <c r="H102" s="11">
        <v>-40</v>
      </c>
      <c r="I102" s="11">
        <f>IFERROR(INDEX(ShipPartShape!$A:$A,MATCH(D102,ShipPartShape!$B:$B,0)),"-")</f>
        <v>46000080</v>
      </c>
      <c r="J102" s="4" t="s">
        <v>1217</v>
      </c>
      <c r="K102" s="11">
        <f>IFERROR(INDEX(ShipPartShape!$A:$A,MATCH(J102,ShipPartShape!$B:$B,0)),"-")</f>
        <v>46700016</v>
      </c>
      <c r="L102" s="4" t="s">
        <v>69</v>
      </c>
      <c r="M102" s="11">
        <f>IFERROR(INDEX(ShipPartShape!$A:$A,MATCH(L102,ShipPartShape!$B:$B,0)),"-")</f>
        <v>46300001</v>
      </c>
      <c r="N102" s="4"/>
      <c r="O102" s="11" t="str">
        <f>IFERROR(INDEX(ShipPartShape!$A:$A,MATCH(N102,ShipPartShape!$B:$B,0)),"-")</f>
        <v>-</v>
      </c>
      <c r="P102" s="4"/>
      <c r="Q102" s="11" t="str">
        <f>IFERROR(INDEX(ShipPartShape!$A:$A,MATCH(P102,ShipPartShape!$B:$B,0)),"-")</f>
        <v>-</v>
      </c>
      <c r="R102" s="4"/>
      <c r="S102" s="11" t="str">
        <f>IFERROR(INDEX(ShipPartShape!$A:$A,MATCH(R102,ShipPartShape!$B:$B,0)),"-")</f>
        <v>-</v>
      </c>
      <c r="T102" s="4" t="s">
        <v>601</v>
      </c>
      <c r="U102" s="11">
        <f>IFERROR(INDEX(ShipPartShape!$A:$A,MATCH(T102,ShipPartShape!$B:$B,0)),"-")</f>
        <v>46600001</v>
      </c>
      <c r="V102" s="4" t="s">
        <v>610</v>
      </c>
      <c r="W102" s="11">
        <f>IFERROR(INDEX(ShipPartShape!$A:$A,MATCH(V102,ShipPartShape!$B:$B,0)),"-")</f>
        <v>46600006</v>
      </c>
      <c r="X102" s="4" t="s">
        <v>611</v>
      </c>
      <c r="Y102" s="11">
        <f>IFERROR(INDEX(ShipPartShape!$A:$A,MATCH(X102,ShipPartShape!$B:$B,0)),"-")</f>
        <v>46600010</v>
      </c>
      <c r="Z102" s="4"/>
      <c r="AA102" s="11" t="str">
        <f>IFERROR(INDEX(ShipPartShape!$A:$A,MATCH(Z102,ShipPartShape!$B:$B,0)),"-")</f>
        <v>-</v>
      </c>
      <c r="AB102" s="4"/>
      <c r="AC102" s="11" t="str">
        <f>IFERROR(INDEX(ShipPartShape!$A:$A,MATCH(AB102,ShipPartShape!$B:$B,0)),"-")</f>
        <v>-</v>
      </c>
      <c r="AD102" s="4"/>
      <c r="AE102" s="11" t="str">
        <f>IFERROR(INDEX(ShipPartShape!$A:$A,MATCH(AD102,ShipPartShape!$B:$B,0)),"-")</f>
        <v>-</v>
      </c>
      <c r="AF102" s="4"/>
      <c r="AG102" s="11" t="str">
        <f>IFERROR(INDEX(ShipPartShape!$A:$A,MATCH(AF102,ShipPartShape!$B:$B,0)),"-")</f>
        <v>-</v>
      </c>
      <c r="AH102" s="4"/>
      <c r="AI102" s="11" t="str">
        <f>IFERROR(INDEX(ShipPartShape!$A:$A,MATCH(AH102,ShipPartShape!$B:$B,0)),"-")</f>
        <v>-</v>
      </c>
      <c r="AJ102" s="11" t="s">
        <v>0</v>
      </c>
      <c r="AK102" s="11" t="s">
        <v>0</v>
      </c>
      <c r="AL102" s="11" t="s">
        <v>0</v>
      </c>
      <c r="AM102" s="11" t="s">
        <v>0</v>
      </c>
      <c r="AN102" s="11" t="s">
        <v>0</v>
      </c>
      <c r="AO102" s="11" t="s">
        <v>0</v>
      </c>
      <c r="AP102" s="11" t="s">
        <v>0</v>
      </c>
      <c r="AQ102" s="11" t="s">
        <v>0</v>
      </c>
      <c r="AR102" s="11" t="s">
        <v>0</v>
      </c>
      <c r="AS102" s="11" t="s">
        <v>0</v>
      </c>
      <c r="AT102" s="11" t="s">
        <v>0</v>
      </c>
      <c r="AU102" s="11">
        <v>47600016</v>
      </c>
      <c r="AV102" s="11" t="s">
        <v>0</v>
      </c>
      <c r="AW102" s="11" t="s">
        <v>0</v>
      </c>
      <c r="AX102" s="11" t="s">
        <v>0</v>
      </c>
    </row>
    <row r="103" spans="1:50" ht="15">
      <c r="A103" s="10">
        <f t="shared" si="1"/>
        <v>45000093</v>
      </c>
      <c r="B103" s="23" t="s">
        <v>842</v>
      </c>
      <c r="C103" s="11" t="s">
        <v>840</v>
      </c>
      <c r="D103" s="4" t="s">
        <v>843</v>
      </c>
      <c r="E103" s="11">
        <v>700</v>
      </c>
      <c r="F103" s="11">
        <v>100</v>
      </c>
      <c r="G103" s="11">
        <v>10</v>
      </c>
      <c r="H103" s="11">
        <v>-40</v>
      </c>
      <c r="I103" s="11">
        <f>IFERROR(INDEX(ShipPartShape!$A:$A,MATCH(D103,ShipPartShape!$B:$B,0)),"-")</f>
        <v>46000081</v>
      </c>
      <c r="J103" s="4" t="s">
        <v>162</v>
      </c>
      <c r="K103" s="11">
        <f>IFERROR(INDEX(ShipPartShape!$A:$A,MATCH(J103,ShipPartShape!$B:$B,0)),"-")</f>
        <v>46700003</v>
      </c>
      <c r="L103" s="4" t="s">
        <v>69</v>
      </c>
      <c r="M103" s="11">
        <f>IFERROR(INDEX(ShipPartShape!$A:$A,MATCH(L103,ShipPartShape!$B:$B,0)),"-")</f>
        <v>46300001</v>
      </c>
      <c r="N103" s="4"/>
      <c r="O103" s="11" t="str">
        <f>IFERROR(INDEX(ShipPartShape!$A:$A,MATCH(N103,ShipPartShape!$B:$B,0)),"-")</f>
        <v>-</v>
      </c>
      <c r="P103" s="4"/>
      <c r="Q103" s="11" t="str">
        <f>IFERROR(INDEX(ShipPartShape!$A:$A,MATCH(P103,ShipPartShape!$B:$B,0)),"-")</f>
        <v>-</v>
      </c>
      <c r="R103" s="4"/>
      <c r="S103" s="11" t="str">
        <f>IFERROR(INDEX(ShipPartShape!$A:$A,MATCH(R103,ShipPartShape!$B:$B,0)),"-")</f>
        <v>-</v>
      </c>
      <c r="T103" s="4" t="s">
        <v>605</v>
      </c>
      <c r="U103" s="11">
        <f>IFERROR(INDEX(ShipPartShape!$A:$A,MATCH(T103,ShipPartShape!$B:$B,0)),"-")</f>
        <v>46600009</v>
      </c>
      <c r="V103" s="4" t="s">
        <v>611</v>
      </c>
      <c r="W103" s="11">
        <f>IFERROR(INDEX(ShipPartShape!$A:$A,MATCH(V103,ShipPartShape!$B:$B,0)),"-")</f>
        <v>46600010</v>
      </c>
      <c r="X103" s="4"/>
      <c r="Y103" s="11" t="str">
        <f>IFERROR(INDEX(ShipPartShape!$A:$A,MATCH(X103,ShipPartShape!$B:$B,0)),"-")</f>
        <v>-</v>
      </c>
      <c r="Z103" s="4"/>
      <c r="AA103" s="11" t="str">
        <f>IFERROR(INDEX(ShipPartShape!$A:$A,MATCH(Z103,ShipPartShape!$B:$B,0)),"-")</f>
        <v>-</v>
      </c>
      <c r="AB103" s="4"/>
      <c r="AC103" s="11" t="str">
        <f>IFERROR(INDEX(ShipPartShape!$A:$A,MATCH(AB103,ShipPartShape!$B:$B,0)),"-")</f>
        <v>-</v>
      </c>
      <c r="AD103" s="4"/>
      <c r="AE103" s="11" t="str">
        <f>IFERROR(INDEX(ShipPartShape!$A:$A,MATCH(AD103,ShipPartShape!$B:$B,0)),"-")</f>
        <v>-</v>
      </c>
      <c r="AF103" s="4"/>
      <c r="AG103" s="11" t="str">
        <f>IFERROR(INDEX(ShipPartShape!$A:$A,MATCH(AF103,ShipPartShape!$B:$B,0)),"-")</f>
        <v>-</v>
      </c>
      <c r="AH103" s="4"/>
      <c r="AI103" s="11" t="str">
        <f>IFERROR(INDEX(ShipPartShape!$A:$A,MATCH(AH103,ShipPartShape!$B:$B,0)),"-")</f>
        <v>-</v>
      </c>
      <c r="AJ103" s="11" t="s">
        <v>0</v>
      </c>
      <c r="AK103" s="11" t="s">
        <v>0</v>
      </c>
      <c r="AL103" s="11" t="s">
        <v>0</v>
      </c>
      <c r="AM103" s="11" t="s">
        <v>0</v>
      </c>
      <c r="AN103" s="11" t="s">
        <v>0</v>
      </c>
      <c r="AO103" s="11" t="s">
        <v>0</v>
      </c>
      <c r="AP103" s="11" t="s">
        <v>0</v>
      </c>
      <c r="AQ103" s="11" t="s">
        <v>0</v>
      </c>
      <c r="AR103" s="11" t="s">
        <v>0</v>
      </c>
      <c r="AS103" s="11" t="s">
        <v>0</v>
      </c>
      <c r="AT103" s="11" t="s">
        <v>0</v>
      </c>
      <c r="AU103" s="11">
        <v>47600016</v>
      </c>
      <c r="AV103" s="11" t="s">
        <v>0</v>
      </c>
      <c r="AW103" s="11" t="s">
        <v>0</v>
      </c>
      <c r="AX103" s="11" t="s">
        <v>0</v>
      </c>
    </row>
    <row r="104" spans="1:50" ht="15">
      <c r="A104" s="10">
        <f t="shared" si="1"/>
        <v>45000094</v>
      </c>
      <c r="B104" s="23" t="s">
        <v>1110</v>
      </c>
      <c r="C104" s="11" t="s">
        <v>1108</v>
      </c>
      <c r="D104" s="4" t="s">
        <v>1100</v>
      </c>
      <c r="E104" s="11">
        <v>700</v>
      </c>
      <c r="F104" s="11">
        <v>150</v>
      </c>
      <c r="G104" s="11">
        <v>20</v>
      </c>
      <c r="H104" s="11">
        <v>-40</v>
      </c>
      <c r="I104" s="11">
        <f>IFERROR(INDEX(ShipPartShape!$A:$A,MATCH(D104,ShipPartShape!$B:$B,0)),"-")</f>
        <v>46000082</v>
      </c>
      <c r="J104" s="4" t="s">
        <v>1215</v>
      </c>
      <c r="K104" s="11">
        <f>IFERROR(INDEX(ShipPartShape!$A:$A,MATCH(J104,ShipPartShape!$B:$B,0)),"-")</f>
        <v>46700013</v>
      </c>
      <c r="L104" s="4"/>
      <c r="M104" s="11" t="str">
        <f>IFERROR(INDEX(ShipPartShape!$A:$A,MATCH(L104,ShipPartShape!$B:$B,0)),"-")</f>
        <v>-</v>
      </c>
      <c r="N104" s="4"/>
      <c r="O104" s="11" t="str">
        <f>IFERROR(INDEX(ShipPartShape!$A:$A,MATCH(N104,ShipPartShape!$B:$B,0)),"-")</f>
        <v>-</v>
      </c>
      <c r="P104" s="4"/>
      <c r="Q104" s="11" t="str">
        <f>IFERROR(INDEX(ShipPartShape!$A:$A,MATCH(P104,ShipPartShape!$B:$B,0)),"-")</f>
        <v>-</v>
      </c>
      <c r="R104" s="4"/>
      <c r="S104" s="11" t="str">
        <f>IFERROR(INDEX(ShipPartShape!$A:$A,MATCH(R104,ShipPartShape!$B:$B,0)),"-")</f>
        <v>-</v>
      </c>
      <c r="T104" s="4" t="s">
        <v>602</v>
      </c>
      <c r="U104" s="11">
        <f>IFERROR(INDEX(ShipPartShape!$A:$A,MATCH(T104,ShipPartShape!$B:$B,0)),"-")</f>
        <v>46600002</v>
      </c>
      <c r="V104" s="4" t="s">
        <v>606</v>
      </c>
      <c r="W104" s="11">
        <f>IFERROR(INDEX(ShipPartShape!$A:$A,MATCH(V104,ShipPartShape!$B:$B,0)),"-")</f>
        <v>46600003</v>
      </c>
      <c r="X104" s="4" t="s">
        <v>608</v>
      </c>
      <c r="Y104" s="11">
        <f>IFERROR(INDEX(ShipPartShape!$A:$A,MATCH(X104,ShipPartShape!$B:$B,0)),"-")</f>
        <v>46600004</v>
      </c>
      <c r="Z104" s="4" t="s">
        <v>609</v>
      </c>
      <c r="AA104" s="11">
        <f>IFERROR(INDEX(ShipPartShape!$A:$A,MATCH(Z104,ShipPartShape!$B:$B,0)),"-")</f>
        <v>46600011</v>
      </c>
      <c r="AB104" s="4"/>
      <c r="AC104" s="11" t="str">
        <f>IFERROR(INDEX(ShipPartShape!$A:$A,MATCH(AB104,ShipPartShape!$B:$B,0)),"-")</f>
        <v>-</v>
      </c>
      <c r="AD104" s="4"/>
      <c r="AE104" s="11" t="str">
        <f>IFERROR(INDEX(ShipPartShape!$A:$A,MATCH(AD104,ShipPartShape!$B:$B,0)),"-")</f>
        <v>-</v>
      </c>
      <c r="AF104" s="4"/>
      <c r="AG104" s="11" t="str">
        <f>IFERROR(INDEX(ShipPartShape!$A:$A,MATCH(AF104,ShipPartShape!$B:$B,0)),"-")</f>
        <v>-</v>
      </c>
      <c r="AH104" s="4"/>
      <c r="AI104" s="11" t="str">
        <f>IFERROR(INDEX(ShipPartShape!$A:$A,MATCH(AH104,ShipPartShape!$B:$B,0)),"-")</f>
        <v>-</v>
      </c>
      <c r="AJ104" s="11" t="s">
        <v>0</v>
      </c>
      <c r="AK104" s="11" t="s">
        <v>0</v>
      </c>
      <c r="AL104" s="11" t="s">
        <v>0</v>
      </c>
      <c r="AM104" s="11" t="s">
        <v>0</v>
      </c>
      <c r="AN104" s="11" t="s">
        <v>0</v>
      </c>
      <c r="AO104" s="11" t="s">
        <v>0</v>
      </c>
      <c r="AP104" s="11" t="s">
        <v>0</v>
      </c>
      <c r="AQ104" s="11" t="s">
        <v>0</v>
      </c>
      <c r="AR104" s="11" t="s">
        <v>0</v>
      </c>
      <c r="AS104" s="11" t="s">
        <v>0</v>
      </c>
      <c r="AT104" s="11" t="s">
        <v>0</v>
      </c>
      <c r="AU104" s="11">
        <v>47600017</v>
      </c>
      <c r="AV104" s="11" t="s">
        <v>0</v>
      </c>
      <c r="AW104" s="11" t="s">
        <v>0</v>
      </c>
      <c r="AX104" s="11" t="s">
        <v>0</v>
      </c>
    </row>
    <row r="105" spans="1:50" ht="15">
      <c r="A105" s="10">
        <f t="shared" si="1"/>
        <v>45000095</v>
      </c>
      <c r="B105" s="23" t="s">
        <v>1106</v>
      </c>
      <c r="C105" s="11" t="s">
        <v>1109</v>
      </c>
      <c r="D105" s="4" t="s">
        <v>1101</v>
      </c>
      <c r="E105" s="11">
        <v>700</v>
      </c>
      <c r="F105" s="11">
        <v>150</v>
      </c>
      <c r="G105" s="11">
        <v>-10</v>
      </c>
      <c r="H105" s="11">
        <v>-40</v>
      </c>
      <c r="I105" s="11">
        <f>IFERROR(INDEX(ShipPartShape!$A:$A,MATCH(D105,ShipPartShape!$B:$B,0)),"-")</f>
        <v>46000083</v>
      </c>
      <c r="J105" s="4" t="s">
        <v>1218</v>
      </c>
      <c r="K105" s="11">
        <f>IFERROR(INDEX(ShipPartShape!$A:$A,MATCH(J105,ShipPartShape!$B:$B,0)),"-")</f>
        <v>46700017</v>
      </c>
      <c r="L105" s="4" t="s">
        <v>69</v>
      </c>
      <c r="M105" s="11">
        <f>IFERROR(INDEX(ShipPartShape!$A:$A,MATCH(L105,ShipPartShape!$B:$B,0)),"-")</f>
        <v>46300001</v>
      </c>
      <c r="N105" s="4"/>
      <c r="O105" s="11" t="str">
        <f>IFERROR(INDEX(ShipPartShape!$A:$A,MATCH(N105,ShipPartShape!$B:$B,0)),"-")</f>
        <v>-</v>
      </c>
      <c r="P105" s="4"/>
      <c r="Q105" s="11" t="str">
        <f>IFERROR(INDEX(ShipPartShape!$A:$A,MATCH(P105,ShipPartShape!$B:$B,0)),"-")</f>
        <v>-</v>
      </c>
      <c r="R105" s="4"/>
      <c r="S105" s="11" t="str">
        <f>IFERROR(INDEX(ShipPartShape!$A:$A,MATCH(R105,ShipPartShape!$B:$B,0)),"-")</f>
        <v>-</v>
      </c>
      <c r="T105" s="4" t="s">
        <v>604</v>
      </c>
      <c r="U105" s="11">
        <f>IFERROR(INDEX(ShipPartShape!$A:$A,MATCH(T105,ShipPartShape!$B:$B,0)),"-")</f>
        <v>46600005</v>
      </c>
      <c r="V105" s="4" t="s">
        <v>603</v>
      </c>
      <c r="W105" s="11">
        <f>IFERROR(INDEX(ShipPartShape!$A:$A,MATCH(V105,ShipPartShape!$B:$B,0)),"-")</f>
        <v>46600007</v>
      </c>
      <c r="X105" s="4"/>
      <c r="Y105" s="11" t="str">
        <f>IFERROR(INDEX(ShipPartShape!$A:$A,MATCH(X105,ShipPartShape!$B:$B,0)),"-")</f>
        <v>-</v>
      </c>
      <c r="Z105" s="4"/>
      <c r="AA105" s="11" t="str">
        <f>IFERROR(INDEX(ShipPartShape!$A:$A,MATCH(Z105,ShipPartShape!$B:$B,0)),"-")</f>
        <v>-</v>
      </c>
      <c r="AB105" s="4"/>
      <c r="AC105" s="11" t="str">
        <f>IFERROR(INDEX(ShipPartShape!$A:$A,MATCH(AB105,ShipPartShape!$B:$B,0)),"-")</f>
        <v>-</v>
      </c>
      <c r="AD105" s="4"/>
      <c r="AE105" s="11" t="str">
        <f>IFERROR(INDEX(ShipPartShape!$A:$A,MATCH(AD105,ShipPartShape!$B:$B,0)),"-")</f>
        <v>-</v>
      </c>
      <c r="AF105" s="4"/>
      <c r="AG105" s="11" t="str">
        <f>IFERROR(INDEX(ShipPartShape!$A:$A,MATCH(AF105,ShipPartShape!$B:$B,0)),"-")</f>
        <v>-</v>
      </c>
      <c r="AH105" s="4"/>
      <c r="AI105" s="11" t="str">
        <f>IFERROR(INDEX(ShipPartShape!$A:$A,MATCH(AH105,ShipPartShape!$B:$B,0)),"-")</f>
        <v>-</v>
      </c>
      <c r="AJ105" s="11" t="s">
        <v>0</v>
      </c>
      <c r="AK105" s="11" t="s">
        <v>0</v>
      </c>
      <c r="AL105" s="11" t="s">
        <v>0</v>
      </c>
      <c r="AM105" s="11" t="s">
        <v>0</v>
      </c>
      <c r="AN105" s="11" t="s">
        <v>0</v>
      </c>
      <c r="AO105" s="11" t="s">
        <v>0</v>
      </c>
      <c r="AP105" s="11" t="s">
        <v>0</v>
      </c>
      <c r="AQ105" s="11" t="s">
        <v>0</v>
      </c>
      <c r="AR105" s="11" t="s">
        <v>0</v>
      </c>
      <c r="AS105" s="11" t="s">
        <v>0</v>
      </c>
      <c r="AT105" s="11" t="s">
        <v>0</v>
      </c>
      <c r="AU105" s="11">
        <v>47600017</v>
      </c>
      <c r="AV105" s="11" t="s">
        <v>0</v>
      </c>
      <c r="AW105" s="11" t="s">
        <v>0</v>
      </c>
      <c r="AX105" s="11" t="s">
        <v>0</v>
      </c>
    </row>
    <row r="106" spans="1:50" ht="15">
      <c r="A106" s="10">
        <f t="shared" si="1"/>
        <v>45000096</v>
      </c>
      <c r="B106" s="23" t="s">
        <v>1107</v>
      </c>
      <c r="C106" s="11" t="s">
        <v>1111</v>
      </c>
      <c r="D106" s="4" t="s">
        <v>1102</v>
      </c>
      <c r="E106" s="11">
        <v>700</v>
      </c>
      <c r="F106" s="11">
        <v>150</v>
      </c>
      <c r="G106" s="11">
        <v>20</v>
      </c>
      <c r="H106" s="11">
        <v>-40</v>
      </c>
      <c r="I106" s="11">
        <f>IFERROR(INDEX(ShipPartShape!$A:$A,MATCH(D106,ShipPartShape!$B:$B,0)),"-")</f>
        <v>46000084</v>
      </c>
      <c r="J106" s="4" t="s">
        <v>1218</v>
      </c>
      <c r="K106" s="11">
        <f>IFERROR(INDEX(ShipPartShape!$A:$A,MATCH(J106,ShipPartShape!$B:$B,0)),"-")</f>
        <v>46700017</v>
      </c>
      <c r="L106" s="4" t="s">
        <v>69</v>
      </c>
      <c r="M106" s="11">
        <f>IFERROR(INDEX(ShipPartShape!$A:$A,MATCH(L106,ShipPartShape!$B:$B,0)),"-")</f>
        <v>46300001</v>
      </c>
      <c r="N106" s="4"/>
      <c r="O106" s="11" t="str">
        <f>IFERROR(INDEX(ShipPartShape!$A:$A,MATCH(N106,ShipPartShape!$B:$B,0)),"-")</f>
        <v>-</v>
      </c>
      <c r="P106" s="4"/>
      <c r="Q106" s="11" t="str">
        <f>IFERROR(INDEX(ShipPartShape!$A:$A,MATCH(P106,ShipPartShape!$B:$B,0)),"-")</f>
        <v>-</v>
      </c>
      <c r="R106" s="4"/>
      <c r="S106" s="11" t="str">
        <f>IFERROR(INDEX(ShipPartShape!$A:$A,MATCH(R106,ShipPartShape!$B:$B,0)),"-")</f>
        <v>-</v>
      </c>
      <c r="T106" s="4" t="s">
        <v>602</v>
      </c>
      <c r="U106" s="11">
        <f>IFERROR(INDEX(ShipPartShape!$A:$A,MATCH(T106,ShipPartShape!$B:$B,0)),"-")</f>
        <v>46600002</v>
      </c>
      <c r="V106" s="4" t="s">
        <v>606</v>
      </c>
      <c r="W106" s="11">
        <f>IFERROR(INDEX(ShipPartShape!$A:$A,MATCH(V106,ShipPartShape!$B:$B,0)),"-")</f>
        <v>46600003</v>
      </c>
      <c r="X106" s="4" t="s">
        <v>611</v>
      </c>
      <c r="Y106" s="11">
        <f>IFERROR(INDEX(ShipPartShape!$A:$A,MATCH(X106,ShipPartShape!$B:$B,0)),"-")</f>
        <v>46600010</v>
      </c>
      <c r="Z106" s="4"/>
      <c r="AA106" s="11" t="str">
        <f>IFERROR(INDEX(ShipPartShape!$A:$A,MATCH(Z106,ShipPartShape!$B:$B,0)),"-")</f>
        <v>-</v>
      </c>
      <c r="AB106" s="4"/>
      <c r="AC106" s="11" t="str">
        <f>IFERROR(INDEX(ShipPartShape!$A:$A,MATCH(AB106,ShipPartShape!$B:$B,0)),"-")</f>
        <v>-</v>
      </c>
      <c r="AD106" s="4"/>
      <c r="AE106" s="11" t="str">
        <f>IFERROR(INDEX(ShipPartShape!$A:$A,MATCH(AD106,ShipPartShape!$B:$B,0)),"-")</f>
        <v>-</v>
      </c>
      <c r="AF106" s="4"/>
      <c r="AG106" s="11" t="str">
        <f>IFERROR(INDEX(ShipPartShape!$A:$A,MATCH(AF106,ShipPartShape!$B:$B,0)),"-")</f>
        <v>-</v>
      </c>
      <c r="AH106" s="4"/>
      <c r="AI106" s="11" t="str">
        <f>IFERROR(INDEX(ShipPartShape!$A:$A,MATCH(AH106,ShipPartShape!$B:$B,0)),"-")</f>
        <v>-</v>
      </c>
      <c r="AJ106" s="11" t="s">
        <v>0</v>
      </c>
      <c r="AK106" s="11" t="s">
        <v>0</v>
      </c>
      <c r="AL106" s="11" t="s">
        <v>0</v>
      </c>
      <c r="AM106" s="11" t="s">
        <v>0</v>
      </c>
      <c r="AN106" s="11" t="s">
        <v>0</v>
      </c>
      <c r="AO106" s="11" t="s">
        <v>0</v>
      </c>
      <c r="AP106" s="11" t="s">
        <v>0</v>
      </c>
      <c r="AQ106" s="11" t="s">
        <v>0</v>
      </c>
      <c r="AR106" s="11" t="s">
        <v>0</v>
      </c>
      <c r="AS106" s="11" t="s">
        <v>0</v>
      </c>
      <c r="AT106" s="11" t="s">
        <v>0</v>
      </c>
      <c r="AU106" s="11">
        <v>47600017</v>
      </c>
      <c r="AV106" s="11" t="s">
        <v>0</v>
      </c>
      <c r="AW106" s="11" t="s">
        <v>0</v>
      </c>
      <c r="AX106" s="11" t="s">
        <v>0</v>
      </c>
    </row>
    <row r="107" spans="1:50" ht="15">
      <c r="A107" s="10">
        <f t="shared" si="1"/>
        <v>45000097</v>
      </c>
      <c r="B107" s="23" t="s">
        <v>1123</v>
      </c>
      <c r="C107" s="11" t="s">
        <v>1118</v>
      </c>
      <c r="D107" s="4" t="s">
        <v>1115</v>
      </c>
      <c r="E107" s="11">
        <v>700</v>
      </c>
      <c r="F107" s="11">
        <v>150</v>
      </c>
      <c r="G107" s="11">
        <v>20</v>
      </c>
      <c r="H107" s="11">
        <v>-40</v>
      </c>
      <c r="I107" s="11">
        <f>IFERROR(INDEX(ShipPartShape!$A:$A,MATCH(D107,ShipPartShape!$B:$B,0)),"-")</f>
        <v>46000085</v>
      </c>
      <c r="J107" s="4" t="s">
        <v>1257</v>
      </c>
      <c r="K107" s="11">
        <f>IFERROR(INDEX(ShipPartShape!$A:$A,MATCH(J107,ShipPartShape!$B:$B,0)),"-")</f>
        <v>46700012</v>
      </c>
      <c r="L107" s="4" t="s">
        <v>69</v>
      </c>
      <c r="M107" s="11">
        <f>IFERROR(INDEX(ShipPartShape!$A:$A,MATCH(L107,ShipPartShape!$B:$B,0)),"-")</f>
        <v>46300001</v>
      </c>
      <c r="N107" s="4" t="s">
        <v>1121</v>
      </c>
      <c r="O107" s="11">
        <f>IFERROR(INDEX(ShipPartShape!$A:$A,MATCH(N107,ShipPartShape!$B:$B,0)),"-")</f>
        <v>46500008</v>
      </c>
      <c r="P107" s="4"/>
      <c r="Q107" s="11" t="str">
        <f>IFERROR(INDEX(ShipPartShape!$A:$A,MATCH(P107,ShipPartShape!$B:$B,0)),"-")</f>
        <v>-</v>
      </c>
      <c r="R107" s="4"/>
      <c r="S107" s="11" t="str">
        <f>IFERROR(INDEX(ShipPartShape!$A:$A,MATCH(R107,ShipPartShape!$B:$B,0)),"-")</f>
        <v>-</v>
      </c>
      <c r="T107" s="4" t="s">
        <v>602</v>
      </c>
      <c r="U107" s="11">
        <f>IFERROR(INDEX(ShipPartShape!$A:$A,MATCH(T107,ShipPartShape!$B:$B,0)),"-")</f>
        <v>46600002</v>
      </c>
      <c r="V107" s="4" t="s">
        <v>604</v>
      </c>
      <c r="W107" s="11">
        <f>IFERROR(INDEX(ShipPartShape!$A:$A,MATCH(V107,ShipPartShape!$B:$B,0)),"-")</f>
        <v>46600005</v>
      </c>
      <c r="X107" s="4" t="s">
        <v>611</v>
      </c>
      <c r="Y107" s="11">
        <f>IFERROR(INDEX(ShipPartShape!$A:$A,MATCH(X107,ShipPartShape!$B:$B,0)),"-")</f>
        <v>46600010</v>
      </c>
      <c r="Z107" s="4" t="s">
        <v>609</v>
      </c>
      <c r="AA107" s="11">
        <f>IFERROR(INDEX(ShipPartShape!$A:$A,MATCH(Z107,ShipPartShape!$B:$B,0)),"-")</f>
        <v>46600011</v>
      </c>
      <c r="AB107" s="4"/>
      <c r="AC107" s="11" t="str">
        <f>IFERROR(INDEX(ShipPartShape!$A:$A,MATCH(AB107,ShipPartShape!$B:$B,0)),"-")</f>
        <v>-</v>
      </c>
      <c r="AD107" s="4"/>
      <c r="AE107" s="11" t="str">
        <f>IFERROR(INDEX(ShipPartShape!$A:$A,MATCH(AD107,ShipPartShape!$B:$B,0)),"-")</f>
        <v>-</v>
      </c>
      <c r="AF107" s="4"/>
      <c r="AG107" s="11" t="str">
        <f>IFERROR(INDEX(ShipPartShape!$A:$A,MATCH(AF107,ShipPartShape!$B:$B,0)),"-")</f>
        <v>-</v>
      </c>
      <c r="AH107" s="4"/>
      <c r="AI107" s="11" t="str">
        <f>IFERROR(INDEX(ShipPartShape!$A:$A,MATCH(AH107,ShipPartShape!$B:$B,0)),"-")</f>
        <v>-</v>
      </c>
      <c r="AJ107" s="11" t="s">
        <v>0</v>
      </c>
      <c r="AK107" s="11" t="s">
        <v>0</v>
      </c>
      <c r="AL107" s="11" t="s">
        <v>0</v>
      </c>
      <c r="AM107" s="11" t="s">
        <v>0</v>
      </c>
      <c r="AN107" s="11" t="s">
        <v>0</v>
      </c>
      <c r="AO107" s="11" t="s">
        <v>0</v>
      </c>
      <c r="AP107" s="11" t="s">
        <v>0</v>
      </c>
      <c r="AQ107" s="11" t="s">
        <v>0</v>
      </c>
      <c r="AR107" s="11" t="s">
        <v>0</v>
      </c>
      <c r="AS107" s="11" t="s">
        <v>0</v>
      </c>
      <c r="AT107" s="11" t="s">
        <v>0</v>
      </c>
      <c r="AU107" s="11">
        <v>47600018</v>
      </c>
      <c r="AV107" s="11" t="s">
        <v>0</v>
      </c>
      <c r="AW107" s="11" t="s">
        <v>0</v>
      </c>
      <c r="AX107" s="11" t="s">
        <v>0</v>
      </c>
    </row>
    <row r="108" spans="1:50" ht="15">
      <c r="A108" s="10">
        <f t="shared" si="1"/>
        <v>45000098</v>
      </c>
      <c r="B108" s="23" t="s">
        <v>1112</v>
      </c>
      <c r="C108" s="11" t="s">
        <v>1119</v>
      </c>
      <c r="D108" s="4" t="s">
        <v>1120</v>
      </c>
      <c r="E108" s="11">
        <v>700</v>
      </c>
      <c r="F108" s="11">
        <v>150</v>
      </c>
      <c r="G108" s="11">
        <v>20</v>
      </c>
      <c r="H108" s="11">
        <v>-40</v>
      </c>
      <c r="I108" s="11">
        <f>IFERROR(INDEX(ShipPartShape!$A:$A,MATCH(D108,ShipPartShape!$B:$B,0)),"-")</f>
        <v>46000086</v>
      </c>
      <c r="J108" s="4" t="s">
        <v>1256</v>
      </c>
      <c r="K108" s="11">
        <f>IFERROR(INDEX(ShipPartShape!$A:$A,MATCH(J108,ShipPartShape!$B:$B,0)),"-")</f>
        <v>46700015</v>
      </c>
      <c r="L108" s="4" t="s">
        <v>69</v>
      </c>
      <c r="M108" s="11">
        <f>IFERROR(INDEX(ShipPartShape!$A:$A,MATCH(L108,ShipPartShape!$B:$B,0)),"-")</f>
        <v>46300001</v>
      </c>
      <c r="N108" s="4" t="s">
        <v>1122</v>
      </c>
      <c r="O108" s="11">
        <f>IFERROR(INDEX(ShipPartShape!$A:$A,MATCH(N108,ShipPartShape!$B:$B,0)),"-")</f>
        <v>46500009</v>
      </c>
      <c r="P108" s="4"/>
      <c r="Q108" s="11" t="str">
        <f>IFERROR(INDEX(ShipPartShape!$A:$A,MATCH(P108,ShipPartShape!$B:$B,0)),"-")</f>
        <v>-</v>
      </c>
      <c r="R108" s="4"/>
      <c r="S108" s="11" t="str">
        <f>IFERROR(INDEX(ShipPartShape!$A:$A,MATCH(R108,ShipPartShape!$B:$B,0)),"-")</f>
        <v>-</v>
      </c>
      <c r="T108" s="4"/>
      <c r="U108" s="11" t="str">
        <f>IFERROR(INDEX(ShipPartShape!$A:$A,MATCH(T108,ShipPartShape!$B:$B,0)),"-")</f>
        <v>-</v>
      </c>
      <c r="V108" s="4" t="s">
        <v>601</v>
      </c>
      <c r="W108" s="11">
        <f>IFERROR(INDEX(ShipPartShape!$A:$A,MATCH(V108,ShipPartShape!$B:$B,0)),"-")</f>
        <v>46600001</v>
      </c>
      <c r="X108" s="4" t="s">
        <v>608</v>
      </c>
      <c r="Y108" s="11">
        <f>IFERROR(INDEX(ShipPartShape!$A:$A,MATCH(X108,ShipPartShape!$B:$B,0)),"-")</f>
        <v>46600004</v>
      </c>
      <c r="Z108" s="4" t="s">
        <v>604</v>
      </c>
      <c r="AA108" s="11">
        <f>IFERROR(INDEX(ShipPartShape!$A:$A,MATCH(Z108,ShipPartShape!$B:$B,0)),"-")</f>
        <v>46600005</v>
      </c>
      <c r="AB108" s="4" t="s">
        <v>610</v>
      </c>
      <c r="AC108" s="11">
        <f>IFERROR(INDEX(ShipPartShape!$A:$A,MATCH(AB108,ShipPartShape!$B:$B,0)),"-")</f>
        <v>46600006</v>
      </c>
      <c r="AD108" s="4" t="s">
        <v>605</v>
      </c>
      <c r="AE108" s="11">
        <f>IFERROR(INDEX(ShipPartShape!$A:$A,MATCH(AD108,ShipPartShape!$B:$B,0)),"-")</f>
        <v>46600009</v>
      </c>
      <c r="AF108" s="4"/>
      <c r="AG108" s="11" t="str">
        <f>IFERROR(INDEX(ShipPartShape!$A:$A,MATCH(AF108,ShipPartShape!$B:$B,0)),"-")</f>
        <v>-</v>
      </c>
      <c r="AH108" s="4"/>
      <c r="AI108" s="11" t="str">
        <f>IFERROR(INDEX(ShipPartShape!$A:$A,MATCH(AH108,ShipPartShape!$B:$B,0)),"-")</f>
        <v>-</v>
      </c>
      <c r="AJ108" s="11" t="s">
        <v>0</v>
      </c>
      <c r="AK108" s="11" t="s">
        <v>0</v>
      </c>
      <c r="AL108" s="11" t="s">
        <v>0</v>
      </c>
      <c r="AM108" s="11" t="s">
        <v>0</v>
      </c>
      <c r="AN108" s="11" t="s">
        <v>0</v>
      </c>
      <c r="AO108" s="11" t="s">
        <v>0</v>
      </c>
      <c r="AP108" s="11" t="s">
        <v>0</v>
      </c>
      <c r="AQ108" s="11" t="s">
        <v>0</v>
      </c>
      <c r="AR108" s="11" t="s">
        <v>0</v>
      </c>
      <c r="AS108" s="11" t="s">
        <v>0</v>
      </c>
      <c r="AT108" s="11" t="s">
        <v>0</v>
      </c>
      <c r="AU108" s="11">
        <v>47600017</v>
      </c>
      <c r="AV108" s="11" t="s">
        <v>0</v>
      </c>
      <c r="AW108" s="11" t="s">
        <v>0</v>
      </c>
      <c r="AX108" s="11" t="s">
        <v>0</v>
      </c>
    </row>
    <row r="109" spans="1:50" ht="15">
      <c r="A109" s="10">
        <f t="shared" si="1"/>
        <v>45000099</v>
      </c>
      <c r="B109" s="23" t="s">
        <v>1130</v>
      </c>
      <c r="C109" s="11" t="s">
        <v>1134</v>
      </c>
      <c r="D109" s="4" t="s">
        <v>1131</v>
      </c>
      <c r="E109" s="11">
        <v>700</v>
      </c>
      <c r="F109" s="11">
        <v>150</v>
      </c>
      <c r="G109" s="11">
        <v>20</v>
      </c>
      <c r="H109" s="11">
        <v>-40</v>
      </c>
      <c r="I109" s="11">
        <f>IFERROR(INDEX(ShipPartShape!$A:$A,MATCH(D109,ShipPartShape!$B:$B,0)),"-")</f>
        <v>46000087</v>
      </c>
      <c r="J109" s="4" t="s">
        <v>1215</v>
      </c>
      <c r="K109" s="11">
        <f>IFERROR(INDEX(ShipPartShape!$A:$A,MATCH(J109,ShipPartShape!$B:$B,0)),"-")</f>
        <v>46700013</v>
      </c>
      <c r="L109" s="4" t="s">
        <v>69</v>
      </c>
      <c r="M109" s="11">
        <f>IFERROR(INDEX(ShipPartShape!$A:$A,MATCH(L109,ShipPartShape!$B:$B,0)),"-")</f>
        <v>46300001</v>
      </c>
      <c r="N109" s="4" t="s">
        <v>1125</v>
      </c>
      <c r="O109" s="11">
        <f>IFERROR(INDEX(ShipPartShape!$A:$A,MATCH(N109,ShipPartShape!$B:$B,0)),"-")</f>
        <v>46500010</v>
      </c>
      <c r="P109" s="4"/>
      <c r="Q109" s="11" t="str">
        <f>IFERROR(INDEX(ShipPartShape!$A:$A,MATCH(P109,ShipPartShape!$B:$B,0)),"-")</f>
        <v>-</v>
      </c>
      <c r="R109" s="4"/>
      <c r="S109" s="11" t="str">
        <f>IFERROR(INDEX(ShipPartShape!$A:$A,MATCH(R109,ShipPartShape!$B:$B,0)),"-")</f>
        <v>-</v>
      </c>
      <c r="T109" s="4"/>
      <c r="U109" s="11" t="str">
        <f>IFERROR(INDEX(ShipPartShape!$A:$A,MATCH(T109,ShipPartShape!$B:$B,0)),"-")</f>
        <v>-</v>
      </c>
      <c r="V109" s="4" t="s">
        <v>601</v>
      </c>
      <c r="W109" s="11">
        <f>IFERROR(INDEX(ShipPartShape!$A:$A,MATCH(V109,ShipPartShape!$B:$B,0)),"-")</f>
        <v>46600001</v>
      </c>
      <c r="X109" s="4" t="s">
        <v>606</v>
      </c>
      <c r="Y109" s="11">
        <f>IFERROR(INDEX(ShipPartShape!$A:$A,MATCH(X109,ShipPartShape!$B:$B,0)),"-")</f>
        <v>46600003</v>
      </c>
      <c r="Z109" s="4" t="s">
        <v>604</v>
      </c>
      <c r="AA109" s="11">
        <f>IFERROR(INDEX(ShipPartShape!$A:$A,MATCH(Z109,ShipPartShape!$B:$B,0)),"-")</f>
        <v>46600005</v>
      </c>
      <c r="AB109" s="4" t="s">
        <v>603</v>
      </c>
      <c r="AC109" s="11">
        <f>IFERROR(INDEX(ShipPartShape!$A:$A,MATCH(AB109,ShipPartShape!$B:$B,0)),"-")</f>
        <v>46600007</v>
      </c>
      <c r="AD109" s="4" t="s">
        <v>607</v>
      </c>
      <c r="AE109" s="11">
        <f>IFERROR(INDEX(ShipPartShape!$A:$A,MATCH(AD109,ShipPartShape!$B:$B,0)),"-")</f>
        <v>46600008</v>
      </c>
      <c r="AF109" s="4" t="s">
        <v>609</v>
      </c>
      <c r="AG109" s="11">
        <f>IFERROR(INDEX(ShipPartShape!$A:$A,MATCH(AF109,ShipPartShape!$B:$B,0)),"-")</f>
        <v>46600011</v>
      </c>
      <c r="AH109" s="4"/>
      <c r="AI109" s="11" t="str">
        <f>IFERROR(INDEX(ShipPartShape!$A:$A,MATCH(AH109,ShipPartShape!$B:$B,0)),"-")</f>
        <v>-</v>
      </c>
      <c r="AJ109" s="11" t="s">
        <v>0</v>
      </c>
      <c r="AK109" s="11" t="s">
        <v>0</v>
      </c>
      <c r="AL109" s="11" t="s">
        <v>0</v>
      </c>
      <c r="AM109" s="11" t="s">
        <v>0</v>
      </c>
      <c r="AN109" s="11" t="s">
        <v>0</v>
      </c>
      <c r="AO109" s="11" t="s">
        <v>0</v>
      </c>
      <c r="AP109" s="11" t="s">
        <v>0</v>
      </c>
      <c r="AQ109" s="11" t="s">
        <v>0</v>
      </c>
      <c r="AR109" s="11" t="s">
        <v>0</v>
      </c>
      <c r="AS109" s="11" t="s">
        <v>0</v>
      </c>
      <c r="AT109" s="11" t="s">
        <v>0</v>
      </c>
      <c r="AU109" s="11">
        <v>47600017</v>
      </c>
      <c r="AV109" s="11" t="s">
        <v>0</v>
      </c>
      <c r="AW109" s="11" t="s">
        <v>0</v>
      </c>
      <c r="AX109" s="11" t="s">
        <v>0</v>
      </c>
    </row>
    <row r="110" spans="1:50" ht="15">
      <c r="A110" s="10">
        <f t="shared" si="1"/>
        <v>45000100</v>
      </c>
      <c r="B110" s="23" t="s">
        <v>1150</v>
      </c>
      <c r="C110" s="11" t="s">
        <v>1133</v>
      </c>
      <c r="D110" s="4" t="s">
        <v>1132</v>
      </c>
      <c r="E110" s="11">
        <v>700</v>
      </c>
      <c r="F110" s="11">
        <v>150</v>
      </c>
      <c r="G110" s="11">
        <v>20</v>
      </c>
      <c r="H110" s="11">
        <v>-40</v>
      </c>
      <c r="I110" s="11">
        <f>IFERROR(INDEX(ShipPartShape!$A:$A,MATCH(D110,ShipPartShape!$B:$B,0)),"-")</f>
        <v>46000088</v>
      </c>
      <c r="J110" s="4" t="s">
        <v>1256</v>
      </c>
      <c r="K110" s="11">
        <f>IFERROR(INDEX(ShipPartShape!$A:$A,MATCH(J110,ShipPartShape!$B:$B,0)),"-")</f>
        <v>46700015</v>
      </c>
      <c r="L110" s="4" t="s">
        <v>1126</v>
      </c>
      <c r="M110" s="11">
        <f>IFERROR(INDEX(ShipPartShape!$A:$A,MATCH(L110,ShipPartShape!$B:$B,0)),"-")</f>
        <v>46500011</v>
      </c>
      <c r="N110" s="4"/>
      <c r="O110" s="11" t="str">
        <f>IFERROR(INDEX(ShipPartShape!$A:$A,MATCH(N110,ShipPartShape!$B:$B,0)),"-")</f>
        <v>-</v>
      </c>
      <c r="P110" s="4"/>
      <c r="Q110" s="11" t="str">
        <f>IFERROR(INDEX(ShipPartShape!$A:$A,MATCH(P110,ShipPartShape!$B:$B,0)),"-")</f>
        <v>-</v>
      </c>
      <c r="R110" s="4"/>
      <c r="S110" s="11" t="str">
        <f>IFERROR(INDEX(ShipPartShape!$A:$A,MATCH(R110,ShipPartShape!$B:$B,0)),"-")</f>
        <v>-</v>
      </c>
      <c r="T110" s="4"/>
      <c r="U110" s="11" t="str">
        <f>IFERROR(INDEX(ShipPartShape!$A:$A,MATCH(T110,ShipPartShape!$B:$B,0)),"-")</f>
        <v>-</v>
      </c>
      <c r="V110" s="4" t="s">
        <v>601</v>
      </c>
      <c r="W110" s="11">
        <f>IFERROR(INDEX(ShipPartShape!$A:$A,MATCH(V110,ShipPartShape!$B:$B,0)),"-")</f>
        <v>46600001</v>
      </c>
      <c r="X110" s="4" t="s">
        <v>604</v>
      </c>
      <c r="Y110" s="11">
        <f>IFERROR(INDEX(ShipPartShape!$A:$A,MATCH(X110,ShipPartShape!$B:$B,0)),"-")</f>
        <v>46600005</v>
      </c>
      <c r="Z110" s="4" t="s">
        <v>610</v>
      </c>
      <c r="AA110" s="11">
        <f>IFERROR(INDEX(ShipPartShape!$A:$A,MATCH(Z110,ShipPartShape!$B:$B,0)),"-")</f>
        <v>46600006</v>
      </c>
      <c r="AB110" s="4"/>
      <c r="AC110" s="11" t="str">
        <f>IFERROR(INDEX(ShipPartShape!$A:$A,MATCH(AB110,ShipPartShape!$B:$B,0)),"-")</f>
        <v>-</v>
      </c>
      <c r="AD110" s="4"/>
      <c r="AE110" s="11" t="str">
        <f>IFERROR(INDEX(ShipPartShape!$A:$A,MATCH(AD110,ShipPartShape!$B:$B,0)),"-")</f>
        <v>-</v>
      </c>
      <c r="AF110" s="4"/>
      <c r="AG110" s="11" t="str">
        <f>IFERROR(INDEX(ShipPartShape!$A:$A,MATCH(AF110,ShipPartShape!$B:$B,0)),"-")</f>
        <v>-</v>
      </c>
      <c r="AH110" s="4"/>
      <c r="AI110" s="11" t="str">
        <f>IFERROR(INDEX(ShipPartShape!$A:$A,MATCH(AH110,ShipPartShape!$B:$B,0)),"-")</f>
        <v>-</v>
      </c>
      <c r="AJ110" s="11" t="s">
        <v>0</v>
      </c>
      <c r="AK110" s="11" t="s">
        <v>0</v>
      </c>
      <c r="AL110" s="11" t="s">
        <v>0</v>
      </c>
      <c r="AM110" s="11" t="s">
        <v>0</v>
      </c>
      <c r="AN110" s="11" t="s">
        <v>0</v>
      </c>
      <c r="AO110" s="11" t="s">
        <v>0</v>
      </c>
      <c r="AP110" s="11" t="s">
        <v>0</v>
      </c>
      <c r="AQ110" s="11" t="s">
        <v>0</v>
      </c>
      <c r="AR110" s="11" t="s">
        <v>0</v>
      </c>
      <c r="AS110" s="11" t="s">
        <v>0</v>
      </c>
      <c r="AT110" s="11" t="s">
        <v>0</v>
      </c>
      <c r="AU110" s="11">
        <v>47600017</v>
      </c>
      <c r="AV110" s="11" t="s">
        <v>0</v>
      </c>
      <c r="AW110" s="11" t="s">
        <v>0</v>
      </c>
      <c r="AX110" s="11" t="s">
        <v>0</v>
      </c>
    </row>
    <row r="111" spans="1:50" ht="15">
      <c r="A111" s="10">
        <f t="shared" si="1"/>
        <v>45000101</v>
      </c>
      <c r="B111" s="23" t="s">
        <v>1141</v>
      </c>
      <c r="C111" s="11" t="s">
        <v>1143</v>
      </c>
      <c r="D111" s="4" t="s">
        <v>1135</v>
      </c>
      <c r="E111" s="11">
        <v>700</v>
      </c>
      <c r="F111" s="11">
        <v>150</v>
      </c>
      <c r="G111" s="11">
        <v>20</v>
      </c>
      <c r="H111" s="11">
        <v>-40</v>
      </c>
      <c r="I111" s="11">
        <f>IFERROR(INDEX(ShipPartShape!$A:$A,MATCH(D111,ShipPartShape!$B:$B,0)),"-")</f>
        <v>46000089</v>
      </c>
      <c r="J111" s="4" t="s">
        <v>1215</v>
      </c>
      <c r="K111" s="11">
        <f>IFERROR(INDEX(ShipPartShape!$A:$A,MATCH(J111,ShipPartShape!$B:$B,0)),"-")</f>
        <v>46700013</v>
      </c>
      <c r="L111" s="4" t="s">
        <v>1139</v>
      </c>
      <c r="M111" s="11">
        <f>IFERROR(INDEX(ShipPartShape!$A:$A,MATCH(L111,ShipPartShape!$B:$B,0)),"-")</f>
        <v>46500012</v>
      </c>
      <c r="N111" s="4" t="s">
        <v>69</v>
      </c>
      <c r="O111" s="11">
        <f>IFERROR(INDEX(ShipPartShape!$A:$A,MATCH(N111,ShipPartShape!$B:$B,0)),"-")</f>
        <v>46300001</v>
      </c>
      <c r="P111" s="4"/>
      <c r="Q111" s="11" t="str">
        <f>IFERROR(INDEX(ShipPartShape!$A:$A,MATCH(P111,ShipPartShape!$B:$B,0)),"-")</f>
        <v>-</v>
      </c>
      <c r="R111" s="4"/>
      <c r="S111" s="11" t="str">
        <f>IFERROR(INDEX(ShipPartShape!$A:$A,MATCH(R111,ShipPartShape!$B:$B,0)),"-")</f>
        <v>-</v>
      </c>
      <c r="T111" s="4"/>
      <c r="U111" s="11" t="str">
        <f>IFERROR(INDEX(ShipPartShape!$A:$A,MATCH(T111,ShipPartShape!$B:$B,0)),"-")</f>
        <v>-</v>
      </c>
      <c r="V111" s="4" t="s">
        <v>602</v>
      </c>
      <c r="W111" s="11">
        <f>IFERROR(INDEX(ShipPartShape!$A:$A,MATCH(V111,ShipPartShape!$B:$B,0)),"-")</f>
        <v>46600002</v>
      </c>
      <c r="X111" s="4" t="s">
        <v>608</v>
      </c>
      <c r="Y111" s="11">
        <f>IFERROR(INDEX(ShipPartShape!$A:$A,MATCH(X111,ShipPartShape!$B:$B,0)),"-")</f>
        <v>46600004</v>
      </c>
      <c r="Z111" s="4" t="s">
        <v>609</v>
      </c>
      <c r="AA111" s="11">
        <f>IFERROR(INDEX(ShipPartShape!$A:$A,MATCH(Z111,ShipPartShape!$B:$B,0)),"-")</f>
        <v>46600011</v>
      </c>
      <c r="AB111" s="4"/>
      <c r="AC111" s="11" t="str">
        <f>IFERROR(INDEX(ShipPartShape!$A:$A,MATCH(AB111,ShipPartShape!$B:$B,0)),"-")</f>
        <v>-</v>
      </c>
      <c r="AD111" s="4"/>
      <c r="AE111" s="11" t="str">
        <f>IFERROR(INDEX(ShipPartShape!$A:$A,MATCH(AD111,ShipPartShape!$B:$B,0)),"-")</f>
        <v>-</v>
      </c>
      <c r="AF111" s="4"/>
      <c r="AG111" s="11" t="str">
        <f>IFERROR(INDEX(ShipPartShape!$A:$A,MATCH(AF111,ShipPartShape!$B:$B,0)),"-")</f>
        <v>-</v>
      </c>
      <c r="AH111" s="4"/>
      <c r="AI111" s="11" t="str">
        <f>IFERROR(INDEX(ShipPartShape!$A:$A,MATCH(AH111,ShipPartShape!$B:$B,0)),"-")</f>
        <v>-</v>
      </c>
      <c r="AJ111" s="11" t="s">
        <v>0</v>
      </c>
      <c r="AK111" s="11" t="s">
        <v>0</v>
      </c>
      <c r="AL111" s="11" t="s">
        <v>0</v>
      </c>
      <c r="AM111" s="11" t="s">
        <v>0</v>
      </c>
      <c r="AN111" s="11" t="s">
        <v>0</v>
      </c>
      <c r="AO111" s="11" t="s">
        <v>0</v>
      </c>
      <c r="AP111" s="11" t="s">
        <v>0</v>
      </c>
      <c r="AQ111" s="11" t="s">
        <v>0</v>
      </c>
      <c r="AR111" s="11" t="s">
        <v>0</v>
      </c>
      <c r="AS111" s="11" t="s">
        <v>0</v>
      </c>
      <c r="AT111" s="11" t="s">
        <v>0</v>
      </c>
      <c r="AU111" s="11">
        <v>47600017</v>
      </c>
      <c r="AV111" s="11" t="s">
        <v>0</v>
      </c>
      <c r="AW111" s="11" t="s">
        <v>0</v>
      </c>
      <c r="AX111" s="11" t="s">
        <v>0</v>
      </c>
    </row>
    <row r="112" spans="1:50" ht="15">
      <c r="A112" s="10">
        <f t="shared" si="1"/>
        <v>45000102</v>
      </c>
      <c r="B112" s="23" t="s">
        <v>1136</v>
      </c>
      <c r="C112" s="11" t="s">
        <v>1144</v>
      </c>
      <c r="D112" s="4" t="s">
        <v>1142</v>
      </c>
      <c r="E112" s="11">
        <v>700</v>
      </c>
      <c r="F112" s="11">
        <v>150</v>
      </c>
      <c r="G112" s="11">
        <v>20</v>
      </c>
      <c r="H112" s="11">
        <v>-40</v>
      </c>
      <c r="I112" s="11">
        <f>IFERROR(INDEX(ShipPartShape!$A:$A,MATCH(D112,ShipPartShape!$B:$B,0)),"-")</f>
        <v>46000090</v>
      </c>
      <c r="J112" s="4" t="s">
        <v>1257</v>
      </c>
      <c r="K112" s="11">
        <f>IFERROR(INDEX(ShipPartShape!$A:$A,MATCH(J112,ShipPartShape!$B:$B,0)),"-")</f>
        <v>46700012</v>
      </c>
      <c r="L112" s="4"/>
      <c r="M112" s="11" t="str">
        <f>IFERROR(INDEX(ShipPartShape!$A:$A,MATCH(L112,ShipPartShape!$B:$B,0)),"-")</f>
        <v>-</v>
      </c>
      <c r="N112" s="4"/>
      <c r="O112" s="11" t="str">
        <f>IFERROR(INDEX(ShipPartShape!$A:$A,MATCH(N112,ShipPartShape!$B:$B,0)),"-")</f>
        <v>-</v>
      </c>
      <c r="P112" s="4"/>
      <c r="Q112" s="11" t="str">
        <f>IFERROR(INDEX(ShipPartShape!$A:$A,MATCH(P112,ShipPartShape!$B:$B,0)),"-")</f>
        <v>-</v>
      </c>
      <c r="R112" s="4"/>
      <c r="S112" s="11" t="str">
        <f>IFERROR(INDEX(ShipPartShape!$A:$A,MATCH(R112,ShipPartShape!$B:$B,0)),"-")</f>
        <v>-</v>
      </c>
      <c r="T112" s="4" t="s">
        <v>608</v>
      </c>
      <c r="U112" s="11">
        <f>IFERROR(INDEX(ShipPartShape!$A:$A,MATCH(T112,ShipPartShape!$B:$B,0)),"-")</f>
        <v>46600004</v>
      </c>
      <c r="V112" s="4" t="s">
        <v>604</v>
      </c>
      <c r="W112" s="11">
        <f>IFERROR(INDEX(ShipPartShape!$A:$A,MATCH(V112,ShipPartShape!$B:$B,0)),"-")</f>
        <v>46600005</v>
      </c>
      <c r="X112" s="4" t="s">
        <v>603</v>
      </c>
      <c r="Y112" s="11">
        <f>IFERROR(INDEX(ShipPartShape!$A:$A,MATCH(X112,ShipPartShape!$B:$B,0)),"-")</f>
        <v>46600007</v>
      </c>
      <c r="Z112" s="4" t="s">
        <v>607</v>
      </c>
      <c r="AA112" s="11">
        <f>IFERROR(INDEX(ShipPartShape!$A:$A,MATCH(Z112,ShipPartShape!$B:$B,0)),"-")</f>
        <v>46600008</v>
      </c>
      <c r="AB112" s="4" t="s">
        <v>602</v>
      </c>
      <c r="AC112" s="11">
        <f>IFERROR(INDEX(ShipPartShape!$A:$A,MATCH(AB112,ShipPartShape!$B:$B,0)),"-")</f>
        <v>46600002</v>
      </c>
      <c r="AD112" s="4"/>
      <c r="AE112" s="11" t="str">
        <f>IFERROR(INDEX(ShipPartShape!$A:$A,MATCH(AD112,ShipPartShape!$B:$B,0)),"-")</f>
        <v>-</v>
      </c>
      <c r="AF112" s="4"/>
      <c r="AG112" s="11" t="str">
        <f>IFERROR(INDEX(ShipPartShape!$A:$A,MATCH(AF112,ShipPartShape!$B:$B,0)),"-")</f>
        <v>-</v>
      </c>
      <c r="AH112" s="4"/>
      <c r="AI112" s="11" t="str">
        <f>IFERROR(INDEX(ShipPartShape!$A:$A,MATCH(AH112,ShipPartShape!$B:$B,0)),"-")</f>
        <v>-</v>
      </c>
      <c r="AJ112" s="11" t="s">
        <v>0</v>
      </c>
      <c r="AK112" s="11" t="s">
        <v>0</v>
      </c>
      <c r="AL112" s="11" t="s">
        <v>0</v>
      </c>
      <c r="AM112" s="11" t="s">
        <v>0</v>
      </c>
      <c r="AN112" s="11" t="s">
        <v>0</v>
      </c>
      <c r="AO112" s="11" t="s">
        <v>0</v>
      </c>
      <c r="AP112" s="11" t="s">
        <v>0</v>
      </c>
      <c r="AQ112" s="11" t="s">
        <v>0</v>
      </c>
      <c r="AR112" s="11" t="s">
        <v>0</v>
      </c>
      <c r="AS112" s="11" t="s">
        <v>0</v>
      </c>
      <c r="AT112" s="11" t="s">
        <v>0</v>
      </c>
      <c r="AU112" s="11">
        <v>47600018</v>
      </c>
      <c r="AV112" s="11" t="s">
        <v>0</v>
      </c>
      <c r="AW112" s="11" t="s">
        <v>0</v>
      </c>
      <c r="AX112" s="11" t="s">
        <v>0</v>
      </c>
    </row>
    <row r="113" spans="1:50" ht="15">
      <c r="A113" s="10">
        <f t="shared" si="1"/>
        <v>45000103</v>
      </c>
      <c r="B113" s="23" t="s">
        <v>1151</v>
      </c>
      <c r="C113" s="11" t="s">
        <v>1149</v>
      </c>
      <c r="D113" s="4" t="s">
        <v>1145</v>
      </c>
      <c r="E113" s="11">
        <v>700</v>
      </c>
      <c r="F113" s="11">
        <v>100</v>
      </c>
      <c r="G113" s="11">
        <v>20</v>
      </c>
      <c r="H113" s="11">
        <v>-40</v>
      </c>
      <c r="I113" s="11">
        <f>IFERROR(INDEX(ShipPartShape!$A:$A,MATCH(D113,ShipPartShape!$B:$B,0)),"-")</f>
        <v>46000091</v>
      </c>
      <c r="J113" s="4" t="s">
        <v>1218</v>
      </c>
      <c r="K113" s="11">
        <f>IFERROR(INDEX(ShipPartShape!$A:$A,MATCH(J113,ShipPartShape!$B:$B,0)),"-")</f>
        <v>46700017</v>
      </c>
      <c r="L113" s="4" t="s">
        <v>1146</v>
      </c>
      <c r="M113" s="11">
        <f>IFERROR(INDEX(ShipPartShape!$A:$A,MATCH(L113,ShipPartShape!$B:$B,0)),"-")</f>
        <v>46500013</v>
      </c>
      <c r="N113" s="4" t="s">
        <v>69</v>
      </c>
      <c r="O113" s="11">
        <f>IFERROR(INDEX(ShipPartShape!$A:$A,MATCH(N113,ShipPartShape!$B:$B,0)),"-")</f>
        <v>46300001</v>
      </c>
      <c r="P113" s="4"/>
      <c r="Q113" s="11" t="str">
        <f>IFERROR(INDEX(ShipPartShape!$A:$A,MATCH(P113,ShipPartShape!$B:$B,0)),"-")</f>
        <v>-</v>
      </c>
      <c r="R113" s="4"/>
      <c r="S113" s="11" t="str">
        <f>IFERROR(INDEX(ShipPartShape!$A:$A,MATCH(R113,ShipPartShape!$B:$B,0)),"-")</f>
        <v>-</v>
      </c>
      <c r="T113" s="4"/>
      <c r="U113" s="11" t="str">
        <f>IFERROR(INDEX(ShipPartShape!$A:$A,MATCH(T113,ShipPartShape!$B:$B,0)),"-")</f>
        <v>-</v>
      </c>
      <c r="V113" s="4" t="s">
        <v>601</v>
      </c>
      <c r="W113" s="11">
        <f>IFERROR(INDEX(ShipPartShape!$A:$A,MATCH(V113,ShipPartShape!$B:$B,0)),"-")</f>
        <v>46600001</v>
      </c>
      <c r="X113" s="4" t="s">
        <v>605</v>
      </c>
      <c r="Y113" s="11">
        <f>IFERROR(INDEX(ShipPartShape!$A:$A,MATCH(X113,ShipPartShape!$B:$B,0)),"-")</f>
        <v>46600009</v>
      </c>
      <c r="Z113" s="4"/>
      <c r="AA113" s="11" t="str">
        <f>IFERROR(INDEX(ShipPartShape!$A:$A,MATCH(Z113,ShipPartShape!$B:$B,0)),"-")</f>
        <v>-</v>
      </c>
      <c r="AB113" s="4"/>
      <c r="AC113" s="11" t="str">
        <f>IFERROR(INDEX(ShipPartShape!$A:$A,MATCH(AB113,ShipPartShape!$B:$B,0)),"-")</f>
        <v>-</v>
      </c>
      <c r="AD113" s="4"/>
      <c r="AE113" s="11" t="str">
        <f>IFERROR(INDEX(ShipPartShape!$A:$A,MATCH(AD113,ShipPartShape!$B:$B,0)),"-")</f>
        <v>-</v>
      </c>
      <c r="AF113" s="4"/>
      <c r="AG113" s="11" t="str">
        <f>IFERROR(INDEX(ShipPartShape!$A:$A,MATCH(AF113,ShipPartShape!$B:$B,0)),"-")</f>
        <v>-</v>
      </c>
      <c r="AH113" s="4"/>
      <c r="AI113" s="11" t="str">
        <f>IFERROR(INDEX(ShipPartShape!$A:$A,MATCH(AH113,ShipPartShape!$B:$B,0)),"-")</f>
        <v>-</v>
      </c>
      <c r="AJ113" s="11" t="s">
        <v>0</v>
      </c>
      <c r="AK113" s="11" t="s">
        <v>0</v>
      </c>
      <c r="AL113" s="11" t="s">
        <v>0</v>
      </c>
      <c r="AM113" s="11" t="s">
        <v>0</v>
      </c>
      <c r="AN113" s="11" t="s">
        <v>0</v>
      </c>
      <c r="AO113" s="11" t="s">
        <v>0</v>
      </c>
      <c r="AP113" s="11" t="s">
        <v>0</v>
      </c>
      <c r="AQ113" s="11" t="s">
        <v>0</v>
      </c>
      <c r="AR113" s="11" t="s">
        <v>0</v>
      </c>
      <c r="AS113" s="11" t="s">
        <v>0</v>
      </c>
      <c r="AT113" s="11" t="s">
        <v>0</v>
      </c>
      <c r="AU113" s="11">
        <v>47600016</v>
      </c>
      <c r="AV113" s="11" t="s">
        <v>0</v>
      </c>
      <c r="AW113" s="11" t="s">
        <v>0</v>
      </c>
      <c r="AX113" s="11" t="s">
        <v>0</v>
      </c>
    </row>
    <row r="114" spans="1:50" ht="15">
      <c r="A114" s="10">
        <f t="shared" si="1"/>
        <v>45000104</v>
      </c>
      <c r="B114" s="23" t="s">
        <v>1157</v>
      </c>
      <c r="C114" s="11" t="s">
        <v>1156</v>
      </c>
      <c r="D114" s="4" t="s">
        <v>1155</v>
      </c>
      <c r="E114" s="11">
        <v>700</v>
      </c>
      <c r="F114" s="11">
        <v>150</v>
      </c>
      <c r="G114" s="11">
        <v>20</v>
      </c>
      <c r="H114" s="11">
        <v>-40</v>
      </c>
      <c r="I114" s="11">
        <f>IFERROR(INDEX(ShipPartShape!$A:$A,MATCH(D114,ShipPartShape!$B:$B,0)),"-")</f>
        <v>46000092</v>
      </c>
      <c r="J114" s="4" t="s">
        <v>1257</v>
      </c>
      <c r="K114" s="11">
        <f>IFERROR(INDEX(ShipPartShape!$A:$A,MATCH(J114,ShipPartShape!$B:$B,0)),"-")</f>
        <v>46700012</v>
      </c>
      <c r="L114" s="4" t="s">
        <v>69</v>
      </c>
      <c r="M114" s="11">
        <f>IFERROR(INDEX(ShipPartShape!$A:$A,MATCH(L114,ShipPartShape!$B:$B,0)),"-")</f>
        <v>46300001</v>
      </c>
      <c r="N114" s="4"/>
      <c r="O114" s="11" t="str">
        <f>IFERROR(INDEX(ShipPartShape!$A:$A,MATCH(N114,ShipPartShape!$B:$B,0)),"-")</f>
        <v>-</v>
      </c>
      <c r="P114" s="4"/>
      <c r="Q114" s="11" t="str">
        <f>IFERROR(INDEX(ShipPartShape!$A:$A,MATCH(P114,ShipPartShape!$B:$B,0)),"-")</f>
        <v>-</v>
      </c>
      <c r="R114" s="4"/>
      <c r="S114" s="11" t="str">
        <f>IFERROR(INDEX(ShipPartShape!$A:$A,MATCH(R114,ShipPartShape!$B:$B,0)),"-")</f>
        <v>-</v>
      </c>
      <c r="T114" s="4"/>
      <c r="U114" s="11" t="str">
        <f>IFERROR(INDEX(ShipPartShape!$A:$A,MATCH(T114,ShipPartShape!$B:$B,0)),"-")</f>
        <v>-</v>
      </c>
      <c r="V114" s="4" t="s">
        <v>606</v>
      </c>
      <c r="W114" s="11">
        <f>IFERROR(INDEX(ShipPartShape!$A:$A,MATCH(V114,ShipPartShape!$B:$B,0)),"-")</f>
        <v>46600003</v>
      </c>
      <c r="X114" s="4" t="s">
        <v>603</v>
      </c>
      <c r="Y114" s="11">
        <f>IFERROR(INDEX(ShipPartShape!$A:$A,MATCH(X114,ShipPartShape!$B:$B,0)),"-")</f>
        <v>46600007</v>
      </c>
      <c r="Z114" s="4" t="s">
        <v>611</v>
      </c>
      <c r="AA114" s="11">
        <f>IFERROR(INDEX(ShipPartShape!$A:$A,MATCH(Z114,ShipPartShape!$B:$B,0)),"-")</f>
        <v>46600010</v>
      </c>
      <c r="AB114" s="4"/>
      <c r="AC114" s="11" t="str">
        <f>IFERROR(INDEX(ShipPartShape!$A:$A,MATCH(AB114,ShipPartShape!$B:$B,0)),"-")</f>
        <v>-</v>
      </c>
      <c r="AD114" s="4"/>
      <c r="AE114" s="11" t="str">
        <f>IFERROR(INDEX(ShipPartShape!$A:$A,MATCH(AD114,ShipPartShape!$B:$B,0)),"-")</f>
        <v>-</v>
      </c>
      <c r="AF114" s="4"/>
      <c r="AG114" s="11" t="str">
        <f>IFERROR(INDEX(ShipPartShape!$A:$A,MATCH(AF114,ShipPartShape!$B:$B,0)),"-")</f>
        <v>-</v>
      </c>
      <c r="AH114" s="4"/>
      <c r="AI114" s="11" t="str">
        <f>IFERROR(INDEX(ShipPartShape!$A:$A,MATCH(AH114,ShipPartShape!$B:$B,0)),"-")</f>
        <v>-</v>
      </c>
      <c r="AJ114" s="11" t="s">
        <v>0</v>
      </c>
      <c r="AK114" s="11" t="s">
        <v>0</v>
      </c>
      <c r="AL114" s="11" t="s">
        <v>0</v>
      </c>
      <c r="AM114" s="11" t="s">
        <v>0</v>
      </c>
      <c r="AN114" s="11" t="s">
        <v>0</v>
      </c>
      <c r="AO114" s="11" t="s">
        <v>0</v>
      </c>
      <c r="AP114" s="11" t="s">
        <v>0</v>
      </c>
      <c r="AQ114" s="11" t="s">
        <v>0</v>
      </c>
      <c r="AR114" s="11" t="s">
        <v>0</v>
      </c>
      <c r="AS114" s="11" t="s">
        <v>0</v>
      </c>
      <c r="AT114" s="11" t="s">
        <v>0</v>
      </c>
      <c r="AU114" s="11">
        <v>47600018</v>
      </c>
      <c r="AV114" s="11" t="s">
        <v>0</v>
      </c>
      <c r="AW114" s="11" t="s">
        <v>0</v>
      </c>
      <c r="AX114" s="11" t="s">
        <v>0</v>
      </c>
    </row>
    <row r="115" spans="1:50" ht="15">
      <c r="A115" s="10">
        <f t="shared" si="1"/>
        <v>45000105</v>
      </c>
      <c r="B115" s="22" t="s">
        <v>1243</v>
      </c>
      <c r="C115" s="11" t="s">
        <v>197</v>
      </c>
      <c r="D115" s="4" t="s">
        <v>1244</v>
      </c>
      <c r="E115" s="11">
        <v>600</v>
      </c>
      <c r="F115" s="11">
        <v>100</v>
      </c>
      <c r="G115" s="11">
        <v>20</v>
      </c>
      <c r="H115" s="11">
        <v>-40</v>
      </c>
      <c r="I115" s="11">
        <f>IFERROR(INDEX(ShipPartShape!$A:$A,MATCH(D115,ShipPartShape!$B:$B,0)),"-")</f>
        <v>46000093</v>
      </c>
      <c r="J115" s="4" t="s">
        <v>70</v>
      </c>
      <c r="K115" s="11">
        <f>IFERROR(INDEX(ShipPartShape!$A:$A,MATCH(J115,ShipPartShape!$B:$B,0)),"-")</f>
        <v>46700001</v>
      </c>
      <c r="L115" s="4" t="s">
        <v>781</v>
      </c>
      <c r="M115" s="11" t="str">
        <f>IFERROR(INDEX(ShipPartShape!$A:$A,MATCH(L115,ShipPartShape!$B:$B,0)),"-")</f>
        <v>-</v>
      </c>
      <c r="N115" s="4"/>
      <c r="O115" s="11" t="str">
        <f>IFERROR(INDEX(ShipPartShape!$A:$A,MATCH(N115,ShipPartShape!$B:$B,0)),"-")</f>
        <v>-</v>
      </c>
      <c r="P115" s="4"/>
      <c r="Q115" s="11" t="str">
        <f>IFERROR(INDEX(ShipPartShape!$A:$A,MATCH(P115,ShipPartShape!$B:$B,0)),"-")</f>
        <v>-</v>
      </c>
      <c r="R115" s="4"/>
      <c r="S115" s="11" t="str">
        <f>IFERROR(INDEX(ShipPartShape!$A:$A,MATCH(R115,ShipPartShape!$B:$B,0)),"-")</f>
        <v>-</v>
      </c>
      <c r="T115" s="4" t="s">
        <v>602</v>
      </c>
      <c r="U115" s="11">
        <f>IFERROR(INDEX(ShipPartShape!$A:$A,MATCH(T115,ShipPartShape!$B:$B,0)),"-")</f>
        <v>46600002</v>
      </c>
      <c r="V115" s="4" t="s">
        <v>608</v>
      </c>
      <c r="W115" s="11">
        <f>IFERROR(INDEX(ShipPartShape!$A:$A,MATCH(V115,ShipPartShape!$B:$B,0)),"-")</f>
        <v>46600004</v>
      </c>
      <c r="X115" s="4" t="s">
        <v>605</v>
      </c>
      <c r="Y115" s="11">
        <f>IFERROR(INDEX(ShipPartShape!$A:$A,MATCH(X115,ShipPartShape!$B:$B,0)),"-")</f>
        <v>46600009</v>
      </c>
      <c r="Z115" s="4" t="s">
        <v>603</v>
      </c>
      <c r="AA115" s="11">
        <f>IFERROR(INDEX(ShipPartShape!$A:$A,MATCH(Z115,ShipPartShape!$B:$B,0)),"-")</f>
        <v>46600007</v>
      </c>
      <c r="AB115" s="4"/>
      <c r="AC115" s="11" t="str">
        <f>IFERROR(INDEX(ShipPartShape!$A:$A,MATCH(AB115,ShipPartShape!$B:$B,0)),"-")</f>
        <v>-</v>
      </c>
      <c r="AD115" s="4"/>
      <c r="AE115" s="11" t="str">
        <f>IFERROR(INDEX(ShipPartShape!$A:$A,MATCH(AD115,ShipPartShape!$B:$B,0)),"-")</f>
        <v>-</v>
      </c>
      <c r="AF115" s="4"/>
      <c r="AG115" s="11" t="str">
        <f>IFERROR(INDEX(ShipPartShape!$A:$A,MATCH(AF115,ShipPartShape!$B:$B,0)),"-")</f>
        <v>-</v>
      </c>
      <c r="AH115" s="4"/>
      <c r="AI115" s="11" t="str">
        <f>IFERROR(INDEX(ShipPartShape!$A:$A,MATCH(AH115,ShipPartShape!$B:$B,0)),"-")</f>
        <v>-</v>
      </c>
      <c r="AJ115" s="11" t="s">
        <v>0</v>
      </c>
      <c r="AK115" s="11" t="s">
        <v>0</v>
      </c>
      <c r="AL115" s="11" t="s">
        <v>0</v>
      </c>
      <c r="AM115" s="11" t="s">
        <v>0</v>
      </c>
      <c r="AN115" s="11" t="s">
        <v>0</v>
      </c>
      <c r="AO115" s="11" t="s">
        <v>0</v>
      </c>
      <c r="AP115" s="11" t="s">
        <v>0</v>
      </c>
      <c r="AQ115" s="11" t="s">
        <v>0</v>
      </c>
      <c r="AR115" s="11" t="s">
        <v>0</v>
      </c>
      <c r="AS115" s="11" t="s">
        <v>0</v>
      </c>
      <c r="AT115" s="11" t="s">
        <v>0</v>
      </c>
      <c r="AU115" s="11">
        <v>47600015</v>
      </c>
      <c r="AV115" s="11" t="s">
        <v>0</v>
      </c>
      <c r="AW115" s="11" t="s">
        <v>0</v>
      </c>
      <c r="AX115" s="11" t="s">
        <v>0</v>
      </c>
    </row>
    <row r="116" spans="1:50" ht="15">
      <c r="A116" s="10">
        <f t="shared" si="1"/>
        <v>45000106</v>
      </c>
      <c r="B116" s="22" t="s">
        <v>1242</v>
      </c>
      <c r="C116" s="11" t="s">
        <v>200</v>
      </c>
      <c r="D116" s="4" t="s">
        <v>1245</v>
      </c>
      <c r="E116" s="11">
        <v>600</v>
      </c>
      <c r="F116" s="11">
        <v>100</v>
      </c>
      <c r="G116" s="11">
        <v>20</v>
      </c>
      <c r="H116" s="11">
        <v>-40</v>
      </c>
      <c r="I116" s="11">
        <f>IFERROR(INDEX(ShipPartShape!$A:$A,MATCH(D116,ShipPartShape!$B:$B,0)),"-")</f>
        <v>46000094</v>
      </c>
      <c r="J116" s="4" t="s">
        <v>70</v>
      </c>
      <c r="K116" s="11">
        <f>IFERROR(INDEX(ShipPartShape!$A:$A,MATCH(J116,ShipPartShape!$B:$B,0)),"-")</f>
        <v>46700001</v>
      </c>
      <c r="L116" s="4"/>
      <c r="M116" s="11" t="str">
        <f>IFERROR(INDEX(ShipPartShape!$A:$A,MATCH(L116,ShipPartShape!$B:$B,0)),"-")</f>
        <v>-</v>
      </c>
      <c r="N116" s="4"/>
      <c r="O116" s="11" t="str">
        <f>IFERROR(INDEX(ShipPartShape!$A:$A,MATCH(N116,ShipPartShape!$B:$B,0)),"-")</f>
        <v>-</v>
      </c>
      <c r="P116" s="4"/>
      <c r="Q116" s="11" t="str">
        <f>IFERROR(INDEX(ShipPartShape!$A:$A,MATCH(P116,ShipPartShape!$B:$B,0)),"-")</f>
        <v>-</v>
      </c>
      <c r="R116" s="4"/>
      <c r="S116" s="11" t="str">
        <f>IFERROR(INDEX(ShipPartShape!$A:$A,MATCH(R116,ShipPartShape!$B:$B,0)),"-")</f>
        <v>-</v>
      </c>
      <c r="T116" s="4" t="s">
        <v>601</v>
      </c>
      <c r="U116" s="11">
        <f>IFERROR(INDEX(ShipPartShape!$A:$A,MATCH(T116,ShipPartShape!$B:$B,0)),"-")</f>
        <v>46600001</v>
      </c>
      <c r="V116" s="4" t="s">
        <v>602</v>
      </c>
      <c r="W116" s="11">
        <f>IFERROR(INDEX(ShipPartShape!$A:$A,MATCH(V116,ShipPartShape!$B:$B,0)),"-")</f>
        <v>46600002</v>
      </c>
      <c r="X116" s="4" t="s">
        <v>603</v>
      </c>
      <c r="Y116" s="11">
        <f>IFERROR(INDEX(ShipPartShape!$A:$A,MATCH(X116,ShipPartShape!$B:$B,0)),"-")</f>
        <v>46600007</v>
      </c>
      <c r="Z116" s="4" t="s">
        <v>604</v>
      </c>
      <c r="AA116" s="11">
        <f>IFERROR(INDEX(ShipPartShape!$A:$A,MATCH(Z116,ShipPartShape!$B:$B,0)),"-")</f>
        <v>46600005</v>
      </c>
      <c r="AB116" s="4"/>
      <c r="AC116" s="11" t="str">
        <f>IFERROR(INDEX(ShipPartShape!$A:$A,MATCH(AB116,ShipPartShape!$B:$B,0)),"-")</f>
        <v>-</v>
      </c>
      <c r="AD116" s="4"/>
      <c r="AE116" s="11" t="str">
        <f>IFERROR(INDEX(ShipPartShape!$A:$A,MATCH(AD116,ShipPartShape!$B:$B,0)),"-")</f>
        <v>-</v>
      </c>
      <c r="AF116" s="4"/>
      <c r="AG116" s="11" t="str">
        <f>IFERROR(INDEX(ShipPartShape!$A:$A,MATCH(AF116,ShipPartShape!$B:$B,0)),"-")</f>
        <v>-</v>
      </c>
      <c r="AH116" s="4"/>
      <c r="AI116" s="11" t="str">
        <f>IFERROR(INDEX(ShipPartShape!$A:$A,MATCH(AH116,ShipPartShape!$B:$B,0)),"-")</f>
        <v>-</v>
      </c>
      <c r="AJ116" s="11" t="s">
        <v>0</v>
      </c>
      <c r="AK116" s="11" t="s">
        <v>0</v>
      </c>
      <c r="AL116" s="11" t="s">
        <v>0</v>
      </c>
      <c r="AM116" s="11" t="s">
        <v>0</v>
      </c>
      <c r="AN116" s="11" t="s">
        <v>0</v>
      </c>
      <c r="AO116" s="11" t="s">
        <v>0</v>
      </c>
      <c r="AP116" s="11" t="s">
        <v>0</v>
      </c>
      <c r="AQ116" s="11" t="s">
        <v>0</v>
      </c>
      <c r="AR116" s="11" t="s">
        <v>0</v>
      </c>
      <c r="AS116" s="11" t="s">
        <v>0</v>
      </c>
      <c r="AT116" s="11" t="s">
        <v>0</v>
      </c>
      <c r="AU116" s="11">
        <v>47600014</v>
      </c>
      <c r="AV116" s="11" t="s">
        <v>0</v>
      </c>
      <c r="AW116" s="11" t="s">
        <v>0</v>
      </c>
      <c r="AX116" s="11" t="s">
        <v>0</v>
      </c>
    </row>
    <row r="117" spans="1:50" ht="15">
      <c r="A117" s="10">
        <f t="shared" si="1"/>
        <v>45000107</v>
      </c>
      <c r="B117" s="22" t="s">
        <v>1443</v>
      </c>
      <c r="C117" s="11" t="s">
        <v>1366</v>
      </c>
      <c r="D117" s="4" t="s">
        <v>1364</v>
      </c>
      <c r="E117" s="11">
        <v>700</v>
      </c>
      <c r="F117" s="11">
        <v>150</v>
      </c>
      <c r="G117" s="11">
        <v>20</v>
      </c>
      <c r="H117" s="11">
        <v>-40</v>
      </c>
      <c r="I117" s="11">
        <f>IFERROR(INDEX(ShipPartShape!$A:$A,MATCH(D117,ShipPartShape!$B:$B,0)),"-")</f>
        <v>46000095</v>
      </c>
      <c r="J117" s="4" t="s">
        <v>1215</v>
      </c>
      <c r="K117" s="11">
        <f>IFERROR(INDEX(ShipPartShape!$A:$A,MATCH(J117,ShipPartShape!$B:$B,0)),"-")</f>
        <v>46700013</v>
      </c>
      <c r="L117" s="4" t="s">
        <v>69</v>
      </c>
      <c r="M117" s="11">
        <f>IFERROR(INDEX(ShipPartShape!$A:$A,MATCH(L117,ShipPartShape!$B:$B,0)),"-")</f>
        <v>46300001</v>
      </c>
      <c r="N117" s="4"/>
      <c r="O117" s="11" t="str">
        <f>IFERROR(INDEX(ShipPartShape!$A:$A,MATCH(N117,ShipPartShape!$B:$B,0)),"-")</f>
        <v>-</v>
      </c>
      <c r="P117" s="4"/>
      <c r="Q117" s="11" t="str">
        <f>IFERROR(INDEX(ShipPartShape!$A:$A,MATCH(P117,ShipPartShape!$B:$B,0)),"-")</f>
        <v>-</v>
      </c>
      <c r="R117" s="4"/>
      <c r="S117" s="11" t="str">
        <f>IFERROR(INDEX(ShipPartShape!$A:$A,MATCH(R117,ShipPartShape!$B:$B,0)),"-")</f>
        <v>-</v>
      </c>
      <c r="T117" s="4"/>
      <c r="U117" s="11" t="str">
        <f>IFERROR(INDEX(ShipPartShape!$A:$A,MATCH(T117,ShipPartShape!$B:$B,0)),"-")</f>
        <v>-</v>
      </c>
      <c r="V117" s="4" t="s">
        <v>602</v>
      </c>
      <c r="W117" s="11">
        <f>IFERROR(INDEX(ShipPartShape!$A:$A,MATCH(V117,ShipPartShape!$B:$B,0)),"-")</f>
        <v>46600002</v>
      </c>
      <c r="X117" s="4" t="s">
        <v>606</v>
      </c>
      <c r="Y117" s="11">
        <f>IFERROR(INDEX(ShipPartShape!$A:$A,MATCH(X117,ShipPartShape!$B:$B,0)),"-")</f>
        <v>46600003</v>
      </c>
      <c r="Z117" s="4" t="s">
        <v>603</v>
      </c>
      <c r="AA117" s="11">
        <f>IFERROR(INDEX(ShipPartShape!$A:$A,MATCH(Z117,ShipPartShape!$B:$B,0)),"-")</f>
        <v>46600007</v>
      </c>
      <c r="AB117" s="4"/>
      <c r="AC117" s="11" t="str">
        <f>IFERROR(INDEX(ShipPartShape!$A:$A,MATCH(AB117,ShipPartShape!$B:$B,0)),"-")</f>
        <v>-</v>
      </c>
      <c r="AD117" s="4"/>
      <c r="AE117" s="11" t="str">
        <f>IFERROR(INDEX(ShipPartShape!$A:$A,MATCH(AD117,ShipPartShape!$B:$B,0)),"-")</f>
        <v>-</v>
      </c>
      <c r="AF117" s="4"/>
      <c r="AG117" s="11" t="str">
        <f>IFERROR(INDEX(ShipPartShape!$A:$A,MATCH(AF117,ShipPartShape!$B:$B,0)),"-")</f>
        <v>-</v>
      </c>
      <c r="AH117" s="4"/>
      <c r="AI117" s="11" t="str">
        <f>IFERROR(INDEX(ShipPartShape!$A:$A,MATCH(AH117,ShipPartShape!$B:$B,0)),"-")</f>
        <v>-</v>
      </c>
      <c r="AJ117" s="11" t="s">
        <v>0</v>
      </c>
      <c r="AK117" s="11" t="s">
        <v>0</v>
      </c>
      <c r="AL117" s="11" t="s">
        <v>0</v>
      </c>
      <c r="AM117" s="11" t="s">
        <v>0</v>
      </c>
      <c r="AN117" s="11" t="s">
        <v>0</v>
      </c>
      <c r="AO117" s="11" t="s">
        <v>0</v>
      </c>
      <c r="AP117" s="11" t="s">
        <v>0</v>
      </c>
      <c r="AQ117" s="11" t="s">
        <v>0</v>
      </c>
      <c r="AR117" s="11" t="s">
        <v>0</v>
      </c>
      <c r="AS117" s="11" t="s">
        <v>0</v>
      </c>
      <c r="AT117" s="11" t="s">
        <v>0</v>
      </c>
      <c r="AU117" s="11">
        <v>47600017</v>
      </c>
      <c r="AV117" s="11" t="s">
        <v>0</v>
      </c>
      <c r="AW117" s="11" t="s">
        <v>0</v>
      </c>
      <c r="AX117" s="11" t="s">
        <v>0</v>
      </c>
    </row>
    <row r="118" spans="1:50" ht="15">
      <c r="A118" s="10">
        <f t="shared" si="1"/>
        <v>45000108</v>
      </c>
      <c r="B118" s="22" t="s">
        <v>1444</v>
      </c>
      <c r="C118" s="11" t="s">
        <v>1371</v>
      </c>
      <c r="D118" s="4" t="s">
        <v>1369</v>
      </c>
      <c r="E118" s="11">
        <v>700</v>
      </c>
      <c r="F118" s="11">
        <v>150</v>
      </c>
      <c r="G118" s="11">
        <v>20</v>
      </c>
      <c r="H118" s="11">
        <v>-40</v>
      </c>
      <c r="I118" s="11">
        <f>IFERROR(INDEX(ShipPartShape!$A:$A,MATCH(D118,ShipPartShape!$B:$B,0)),"-")</f>
        <v>46000096</v>
      </c>
      <c r="J118" s="4" t="s">
        <v>1215</v>
      </c>
      <c r="K118" s="11">
        <f>IFERROR(INDEX(ShipPartShape!$A:$A,MATCH(J118,ShipPartShape!$B:$B,0)),"-")</f>
        <v>46700013</v>
      </c>
      <c r="L118" s="4" t="s">
        <v>69</v>
      </c>
      <c r="M118" s="11">
        <f>IFERROR(INDEX(ShipPartShape!$A:$A,MATCH(L118,ShipPartShape!$B:$B,0)),"-")</f>
        <v>46300001</v>
      </c>
      <c r="N118" s="4"/>
      <c r="O118" s="11" t="str">
        <f>IFERROR(INDEX(ShipPartShape!$A:$A,MATCH(N118,ShipPartShape!$B:$B,0)),"-")</f>
        <v>-</v>
      </c>
      <c r="P118" s="4"/>
      <c r="Q118" s="11" t="str">
        <f>IFERROR(INDEX(ShipPartShape!$A:$A,MATCH(P118,ShipPartShape!$B:$B,0)),"-")</f>
        <v>-</v>
      </c>
      <c r="R118" s="4"/>
      <c r="S118" s="11" t="str">
        <f>IFERROR(INDEX(ShipPartShape!$A:$A,MATCH(R118,ShipPartShape!$B:$B,0)),"-")</f>
        <v>-</v>
      </c>
      <c r="T118" s="4" t="s">
        <v>606</v>
      </c>
      <c r="U118" s="11">
        <f>IFERROR(INDEX(ShipPartShape!$A:$A,MATCH(T118,ShipPartShape!$B:$B,0)),"-")</f>
        <v>46600003</v>
      </c>
      <c r="V118" s="4" t="s">
        <v>609</v>
      </c>
      <c r="W118" s="11">
        <f>IFERROR(INDEX(ShipPartShape!$A:$A,MATCH(V118,ShipPartShape!$B:$B,0)),"-")</f>
        <v>46600011</v>
      </c>
      <c r="X118" s="4" t="s">
        <v>608</v>
      </c>
      <c r="Y118" s="11">
        <f>IFERROR(INDEX(ShipPartShape!$A:$A,MATCH(X118,ShipPartShape!$B:$B,0)),"-")</f>
        <v>46600004</v>
      </c>
      <c r="Z118" s="4" t="s">
        <v>605</v>
      </c>
      <c r="AA118" s="11">
        <f>IFERROR(INDEX(ShipPartShape!$A:$A,MATCH(Z118,ShipPartShape!$B:$B,0)),"-")</f>
        <v>46600009</v>
      </c>
      <c r="AB118" s="4" t="s">
        <v>602</v>
      </c>
      <c r="AC118" s="11">
        <f>IFERROR(INDEX(ShipPartShape!$A:$A,MATCH(AB118,ShipPartShape!$B:$B,0)),"-")</f>
        <v>46600002</v>
      </c>
      <c r="AD118" s="4"/>
      <c r="AE118" s="11" t="str">
        <f>IFERROR(INDEX(ShipPartShape!$A:$A,MATCH(AD118,ShipPartShape!$B:$B,0)),"-")</f>
        <v>-</v>
      </c>
      <c r="AF118" s="4"/>
      <c r="AG118" s="11" t="str">
        <f>IFERROR(INDEX(ShipPartShape!$A:$A,MATCH(AF118,ShipPartShape!$B:$B,0)),"-")</f>
        <v>-</v>
      </c>
      <c r="AH118" s="4"/>
      <c r="AI118" s="11" t="str">
        <f>IFERROR(INDEX(ShipPartShape!$A:$A,MATCH(AH118,ShipPartShape!$B:$B,0)),"-")</f>
        <v>-</v>
      </c>
      <c r="AJ118" s="11" t="s">
        <v>0</v>
      </c>
      <c r="AK118" s="11" t="s">
        <v>0</v>
      </c>
      <c r="AL118" s="11" t="s">
        <v>0</v>
      </c>
      <c r="AM118" s="11" t="s">
        <v>0</v>
      </c>
      <c r="AN118" s="11" t="s">
        <v>0</v>
      </c>
      <c r="AO118" s="11" t="s">
        <v>0</v>
      </c>
      <c r="AP118" s="11" t="s">
        <v>0</v>
      </c>
      <c r="AQ118" s="11" t="s">
        <v>0</v>
      </c>
      <c r="AR118" s="11" t="s">
        <v>0</v>
      </c>
      <c r="AS118" s="11" t="s">
        <v>0</v>
      </c>
      <c r="AT118" s="11" t="s">
        <v>0</v>
      </c>
      <c r="AU118" s="11">
        <v>47600017</v>
      </c>
      <c r="AV118" s="11" t="s">
        <v>0</v>
      </c>
      <c r="AW118" s="11" t="s">
        <v>0</v>
      </c>
      <c r="AX118" s="11" t="s">
        <v>0</v>
      </c>
    </row>
    <row r="119" spans="1:50" ht="15">
      <c r="A119" s="10">
        <f t="shared" si="1"/>
        <v>45000109</v>
      </c>
      <c r="B119" s="22" t="s">
        <v>2413</v>
      </c>
      <c r="C119" s="11" t="s">
        <v>1373</v>
      </c>
      <c r="D119" s="4" t="s">
        <v>2414</v>
      </c>
      <c r="E119" s="11">
        <v>600</v>
      </c>
      <c r="F119" s="11">
        <v>100</v>
      </c>
      <c r="G119" s="11">
        <v>20</v>
      </c>
      <c r="H119" s="11">
        <v>-40</v>
      </c>
      <c r="I119" s="11">
        <f>IFERROR(INDEX(ShipPartShape!$A:$A,MATCH(D119,ShipPartShape!$B:$B,0)),"-")</f>
        <v>46000097</v>
      </c>
      <c r="J119" s="4" t="s">
        <v>1374</v>
      </c>
      <c r="K119" s="11">
        <f>IFERROR(INDEX(ShipPartShape!$A:$A,MATCH(J119,ShipPartShape!$B:$B,0)),"-")</f>
        <v>46700008</v>
      </c>
      <c r="L119" s="4" t="s">
        <v>69</v>
      </c>
      <c r="M119" s="11">
        <f>IFERROR(INDEX(ShipPartShape!$A:$A,MATCH(L119,ShipPartShape!$B:$B,0)),"-")</f>
        <v>46300001</v>
      </c>
      <c r="N119" s="4" t="s">
        <v>2415</v>
      </c>
      <c r="O119" s="11">
        <f>IFERROR(INDEX(ShipPartShape!$A:$A,MATCH(N119,ShipPartShape!$B:$B,0)),"-")</f>
        <v>46500014</v>
      </c>
      <c r="P119" s="4"/>
      <c r="Q119" s="11" t="str">
        <f>IFERROR(INDEX(ShipPartShape!$A:$A,MATCH(P119,ShipPartShape!$B:$B,0)),"-")</f>
        <v>-</v>
      </c>
      <c r="R119" s="4"/>
      <c r="S119" s="11" t="str">
        <f>IFERROR(INDEX(ShipPartShape!$A:$A,MATCH(R119,ShipPartShape!$B:$B,0)),"-")</f>
        <v>-</v>
      </c>
      <c r="T119" s="4"/>
      <c r="U119" s="11" t="str">
        <f>IFERROR(INDEX(ShipPartShape!$A:$A,MATCH(T119,ShipPartShape!$B:$B,0)),"-")</f>
        <v>-</v>
      </c>
      <c r="V119" s="4"/>
      <c r="W119" s="11" t="str">
        <f>IFERROR(INDEX(ShipPartShape!$A:$A,MATCH(V119,ShipPartShape!$B:$B,0)),"-")</f>
        <v>-</v>
      </c>
      <c r="X119" s="4"/>
      <c r="Y119" s="11" t="str">
        <f>IFERROR(INDEX(ShipPartShape!$A:$A,MATCH(X119,ShipPartShape!$B:$B,0)),"-")</f>
        <v>-</v>
      </c>
      <c r="Z119" s="4"/>
      <c r="AA119" s="11" t="str">
        <f>IFERROR(INDEX(ShipPartShape!$A:$A,MATCH(Z119,ShipPartShape!$B:$B,0)),"-")</f>
        <v>-</v>
      </c>
      <c r="AB119" s="4"/>
      <c r="AC119" s="11" t="str">
        <f>IFERROR(INDEX(ShipPartShape!$A:$A,MATCH(AB119,ShipPartShape!$B:$B,0)),"-")</f>
        <v>-</v>
      </c>
      <c r="AD119" s="4"/>
      <c r="AE119" s="11" t="str">
        <f>IFERROR(INDEX(ShipPartShape!$A:$A,MATCH(AD119,ShipPartShape!$B:$B,0)),"-")</f>
        <v>-</v>
      </c>
      <c r="AF119" s="4"/>
      <c r="AG119" s="11" t="str">
        <f>IFERROR(INDEX(ShipPartShape!$A:$A,MATCH(AF119,ShipPartShape!$B:$B,0)),"-")</f>
        <v>-</v>
      </c>
      <c r="AH119" s="4"/>
      <c r="AI119" s="11" t="str">
        <f>IFERROR(INDEX(ShipPartShape!$A:$A,MATCH(AH119,ShipPartShape!$B:$B,0)),"-")</f>
        <v>-</v>
      </c>
      <c r="AJ119" s="11" t="s">
        <v>0</v>
      </c>
      <c r="AK119" s="11" t="s">
        <v>0</v>
      </c>
      <c r="AL119" s="11" t="s">
        <v>0</v>
      </c>
      <c r="AM119" s="11" t="s">
        <v>0</v>
      </c>
      <c r="AN119" s="11" t="s">
        <v>0</v>
      </c>
      <c r="AO119" s="11" t="s">
        <v>0</v>
      </c>
      <c r="AP119" s="11" t="s">
        <v>0</v>
      </c>
      <c r="AQ119" s="11" t="s">
        <v>0</v>
      </c>
      <c r="AR119" s="11" t="s">
        <v>0</v>
      </c>
      <c r="AS119" s="11" t="s">
        <v>0</v>
      </c>
      <c r="AT119" s="11" t="s">
        <v>0</v>
      </c>
      <c r="AU119" s="11">
        <v>47600014</v>
      </c>
      <c r="AV119" s="11" t="s">
        <v>0</v>
      </c>
      <c r="AW119" s="11" t="s">
        <v>0</v>
      </c>
      <c r="AX119" s="11" t="s">
        <v>0</v>
      </c>
    </row>
    <row r="120" spans="1:50" ht="15">
      <c r="A120" s="10">
        <f t="shared" si="1"/>
        <v>45000110</v>
      </c>
      <c r="B120" s="22" t="s">
        <v>1378</v>
      </c>
      <c r="C120" s="11" t="s">
        <v>1379</v>
      </c>
      <c r="D120" s="4" t="s">
        <v>1376</v>
      </c>
      <c r="E120" s="11">
        <v>700</v>
      </c>
      <c r="F120" s="11">
        <v>150</v>
      </c>
      <c r="G120" s="11">
        <v>20</v>
      </c>
      <c r="H120" s="11">
        <v>-40</v>
      </c>
      <c r="I120" s="11">
        <f>IFERROR(INDEX(ShipPartShape!$A:$A,MATCH(D120,ShipPartShape!$B:$B,0)),"-")</f>
        <v>46000098</v>
      </c>
      <c r="J120" s="4" t="s">
        <v>1257</v>
      </c>
      <c r="K120" s="11">
        <f>IFERROR(INDEX(ShipPartShape!$A:$A,MATCH(J120,ShipPartShape!$B:$B,0)),"-")</f>
        <v>46700012</v>
      </c>
      <c r="L120" s="4" t="s">
        <v>69</v>
      </c>
      <c r="M120" s="11">
        <f>IFERROR(INDEX(ShipPartShape!$A:$A,MATCH(L120,ShipPartShape!$B:$B,0)),"-")</f>
        <v>46300001</v>
      </c>
      <c r="N120" s="4"/>
      <c r="O120" s="11" t="str">
        <f>IFERROR(INDEX(ShipPartShape!$A:$A,MATCH(N120,ShipPartShape!$B:$B,0)),"-")</f>
        <v>-</v>
      </c>
      <c r="P120" s="4"/>
      <c r="Q120" s="11" t="str">
        <f>IFERROR(INDEX(ShipPartShape!$A:$A,MATCH(P120,ShipPartShape!$B:$B,0)),"-")</f>
        <v>-</v>
      </c>
      <c r="R120" s="4"/>
      <c r="S120" s="11" t="str">
        <f>IFERROR(INDEX(ShipPartShape!$A:$A,MATCH(R120,ShipPartShape!$B:$B,0)),"-")</f>
        <v>-</v>
      </c>
      <c r="T120" s="4" t="s">
        <v>607</v>
      </c>
      <c r="U120" s="11">
        <f>IFERROR(INDEX(ShipPartShape!$A:$A,MATCH(T120,ShipPartShape!$B:$B,0)),"-")</f>
        <v>46600008</v>
      </c>
      <c r="V120" s="4" t="s">
        <v>604</v>
      </c>
      <c r="W120" s="11">
        <f>IFERROR(INDEX(ShipPartShape!$A:$A,MATCH(V120,ShipPartShape!$B:$B,0)),"-")</f>
        <v>46600005</v>
      </c>
      <c r="X120" s="4"/>
      <c r="Y120" s="11" t="str">
        <f>IFERROR(INDEX(ShipPartShape!$A:$A,MATCH(X120,ShipPartShape!$B:$B,0)),"-")</f>
        <v>-</v>
      </c>
      <c r="Z120" s="4"/>
      <c r="AA120" s="11" t="str">
        <f>IFERROR(INDEX(ShipPartShape!$A:$A,MATCH(Z120,ShipPartShape!$B:$B,0)),"-")</f>
        <v>-</v>
      </c>
      <c r="AB120" s="4"/>
      <c r="AC120" s="11" t="str">
        <f>IFERROR(INDEX(ShipPartShape!$A:$A,MATCH(AB120,ShipPartShape!$B:$B,0)),"-")</f>
        <v>-</v>
      </c>
      <c r="AD120" s="4"/>
      <c r="AE120" s="11" t="str">
        <f>IFERROR(INDEX(ShipPartShape!$A:$A,MATCH(AD120,ShipPartShape!$B:$B,0)),"-")</f>
        <v>-</v>
      </c>
      <c r="AF120" s="4"/>
      <c r="AG120" s="11" t="str">
        <f>IFERROR(INDEX(ShipPartShape!$A:$A,MATCH(AF120,ShipPartShape!$B:$B,0)),"-")</f>
        <v>-</v>
      </c>
      <c r="AH120" s="4"/>
      <c r="AI120" s="11" t="str">
        <f>IFERROR(INDEX(ShipPartShape!$A:$A,MATCH(AH120,ShipPartShape!$B:$B,0)),"-")</f>
        <v>-</v>
      </c>
      <c r="AJ120" s="11" t="s">
        <v>0</v>
      </c>
      <c r="AK120" s="11" t="s">
        <v>0</v>
      </c>
      <c r="AL120" s="11" t="s">
        <v>0</v>
      </c>
      <c r="AM120" s="11" t="s">
        <v>0</v>
      </c>
      <c r="AN120" s="11" t="s">
        <v>0</v>
      </c>
      <c r="AO120" s="11" t="s">
        <v>0</v>
      </c>
      <c r="AP120" s="11" t="s">
        <v>0</v>
      </c>
      <c r="AQ120" s="11" t="s">
        <v>0</v>
      </c>
      <c r="AR120" s="11" t="s">
        <v>0</v>
      </c>
      <c r="AS120" s="11" t="s">
        <v>0</v>
      </c>
      <c r="AT120" s="11" t="s">
        <v>0</v>
      </c>
      <c r="AU120" s="11">
        <v>47600017</v>
      </c>
      <c r="AV120" s="11" t="s">
        <v>0</v>
      </c>
      <c r="AW120" s="11" t="s">
        <v>0</v>
      </c>
      <c r="AX120" s="11" t="s">
        <v>0</v>
      </c>
    </row>
    <row r="121" spans="1:50" ht="15">
      <c r="A121" s="10">
        <f t="shared" si="1"/>
        <v>45000111</v>
      </c>
      <c r="B121" s="22" t="s">
        <v>1385</v>
      </c>
      <c r="C121" s="11" t="s">
        <v>1389</v>
      </c>
      <c r="D121" s="4" t="s">
        <v>1380</v>
      </c>
      <c r="E121" s="11">
        <v>600</v>
      </c>
      <c r="F121" s="11">
        <v>100</v>
      </c>
      <c r="G121" s="11">
        <v>-10</v>
      </c>
      <c r="H121" s="11">
        <v>-20</v>
      </c>
      <c r="I121" s="11">
        <f>IFERROR(INDEX(ShipPartShape!$A:$A,MATCH(D121,ShipPartShape!$B:$B,0)),"-")</f>
        <v>46000099</v>
      </c>
      <c r="J121" s="4" t="s">
        <v>1392</v>
      </c>
      <c r="K121" s="11">
        <f>IFERROR(INDEX(ShipPartShape!$A:$A,MATCH(J121,ShipPartShape!$B:$B,0)),"-")</f>
        <v>46700007</v>
      </c>
      <c r="L121" s="4" t="s">
        <v>1398</v>
      </c>
      <c r="M121" s="11">
        <f>IFERROR(INDEX(ShipPartShape!$A:$A,MATCH(L121,ShipPartShape!$B:$B,0)),"-")</f>
        <v>46300002</v>
      </c>
      <c r="N121" s="4"/>
      <c r="O121" s="11" t="str">
        <f>IFERROR(INDEX(ShipPartShape!$A:$A,MATCH(N121,ShipPartShape!$B:$B,0)),"-")</f>
        <v>-</v>
      </c>
      <c r="P121" s="4"/>
      <c r="Q121" s="11" t="str">
        <f>IFERROR(INDEX(ShipPartShape!$A:$A,MATCH(P121,ShipPartShape!$B:$B,0)),"-")</f>
        <v>-</v>
      </c>
      <c r="R121" s="4"/>
      <c r="S121" s="11" t="str">
        <f>IFERROR(INDEX(ShipPartShape!$A:$A,MATCH(R121,ShipPartShape!$B:$B,0)),"-")</f>
        <v>-</v>
      </c>
      <c r="T121" s="4"/>
      <c r="U121" s="11" t="str">
        <f>IFERROR(INDEX(ShipPartShape!$A:$A,MATCH(T121,ShipPartShape!$B:$B,0)),"-")</f>
        <v>-</v>
      </c>
      <c r="V121" s="4"/>
      <c r="W121" s="11" t="str">
        <f>IFERROR(INDEX(ShipPartShape!$A:$A,MATCH(V121,ShipPartShape!$B:$B,0)),"-")</f>
        <v>-</v>
      </c>
      <c r="X121" s="4"/>
      <c r="Y121" s="11" t="str">
        <f>IFERROR(INDEX(ShipPartShape!$A:$A,MATCH(X121,ShipPartShape!$B:$B,0)),"-")</f>
        <v>-</v>
      </c>
      <c r="Z121" s="4"/>
      <c r="AA121" s="11" t="str">
        <f>IFERROR(INDEX(ShipPartShape!$A:$A,MATCH(Z121,ShipPartShape!$B:$B,0)),"-")</f>
        <v>-</v>
      </c>
      <c r="AB121" s="4"/>
      <c r="AC121" s="11" t="str">
        <f>IFERROR(INDEX(ShipPartShape!$A:$A,MATCH(AB121,ShipPartShape!$B:$B,0)),"-")</f>
        <v>-</v>
      </c>
      <c r="AD121" s="4"/>
      <c r="AE121" s="11" t="str">
        <f>IFERROR(INDEX(ShipPartShape!$A:$A,MATCH(AD121,ShipPartShape!$B:$B,0)),"-")</f>
        <v>-</v>
      </c>
      <c r="AF121" s="4"/>
      <c r="AG121" s="11" t="str">
        <f>IFERROR(INDEX(ShipPartShape!$A:$A,MATCH(AF121,ShipPartShape!$B:$B,0)),"-")</f>
        <v>-</v>
      </c>
      <c r="AH121" s="4"/>
      <c r="AI121" s="11" t="str">
        <f>IFERROR(INDEX(ShipPartShape!$A:$A,MATCH(AH121,ShipPartShape!$B:$B,0)),"-")</f>
        <v>-</v>
      </c>
      <c r="AJ121" s="11" t="s">
        <v>0</v>
      </c>
      <c r="AK121" s="11" t="s">
        <v>0</v>
      </c>
      <c r="AL121" s="11" t="s">
        <v>0</v>
      </c>
      <c r="AM121" s="11" t="s">
        <v>0</v>
      </c>
      <c r="AN121" s="11" t="s">
        <v>0</v>
      </c>
      <c r="AO121" s="11" t="s">
        <v>0</v>
      </c>
      <c r="AP121" s="11" t="s">
        <v>0</v>
      </c>
      <c r="AQ121" s="11" t="s">
        <v>0</v>
      </c>
      <c r="AR121" s="11" t="s">
        <v>0</v>
      </c>
      <c r="AS121" s="11" t="s">
        <v>0</v>
      </c>
      <c r="AT121" s="11" t="s">
        <v>0</v>
      </c>
      <c r="AU121" s="11">
        <v>47600014</v>
      </c>
      <c r="AV121" s="11" t="s">
        <v>0</v>
      </c>
      <c r="AW121" s="11" t="s">
        <v>0</v>
      </c>
      <c r="AX121" s="11" t="s">
        <v>0</v>
      </c>
    </row>
    <row r="122" spans="1:50" ht="15">
      <c r="A122" s="10">
        <f t="shared" si="1"/>
        <v>45000112</v>
      </c>
      <c r="B122" s="22" t="s">
        <v>1381</v>
      </c>
      <c r="C122" s="11" t="s">
        <v>1388</v>
      </c>
      <c r="D122" s="4" t="s">
        <v>1390</v>
      </c>
      <c r="E122" s="11">
        <v>600</v>
      </c>
      <c r="F122" s="11">
        <v>100</v>
      </c>
      <c r="G122" s="11" t="s">
        <v>0</v>
      </c>
      <c r="H122" s="11">
        <v>-20</v>
      </c>
      <c r="I122" s="11">
        <f>IFERROR(INDEX(ShipPartShape!$A:$A,MATCH(D122,ShipPartShape!$B:$B,0)),"-")</f>
        <v>46000100</v>
      </c>
      <c r="J122" s="4" t="s">
        <v>1255</v>
      </c>
      <c r="K122" s="11">
        <f>IFERROR(INDEX(ShipPartShape!$A:$A,MATCH(J122,ShipPartShape!$B:$B,0)),"-")</f>
        <v>46700009</v>
      </c>
      <c r="L122" s="4" t="s">
        <v>69</v>
      </c>
      <c r="M122" s="11">
        <f>IFERROR(INDEX(ShipPartShape!$A:$A,MATCH(L122,ShipPartShape!$B:$B,0)),"-")</f>
        <v>46300001</v>
      </c>
      <c r="N122" s="4"/>
      <c r="O122" s="11" t="str">
        <f>IFERROR(INDEX(ShipPartShape!$A:$A,MATCH(N122,ShipPartShape!$B:$B,0)),"-")</f>
        <v>-</v>
      </c>
      <c r="P122" s="4"/>
      <c r="Q122" s="11" t="str">
        <f>IFERROR(INDEX(ShipPartShape!$A:$A,MATCH(P122,ShipPartShape!$B:$B,0)),"-")</f>
        <v>-</v>
      </c>
      <c r="R122" s="4"/>
      <c r="S122" s="11" t="str">
        <f>IFERROR(INDEX(ShipPartShape!$A:$A,MATCH(R122,ShipPartShape!$B:$B,0)),"-")</f>
        <v>-</v>
      </c>
      <c r="T122" s="4"/>
      <c r="U122" s="11" t="str">
        <f>IFERROR(INDEX(ShipPartShape!$A:$A,MATCH(T122,ShipPartShape!$B:$B,0)),"-")</f>
        <v>-</v>
      </c>
      <c r="V122" s="4" t="s">
        <v>601</v>
      </c>
      <c r="W122" s="11">
        <f>IFERROR(INDEX(ShipPartShape!$A:$A,MATCH(V122,ShipPartShape!$B:$B,0)),"-")</f>
        <v>46600001</v>
      </c>
      <c r="X122" s="4" t="s">
        <v>605</v>
      </c>
      <c r="Y122" s="11">
        <f>IFERROR(INDEX(ShipPartShape!$A:$A,MATCH(X122,ShipPartShape!$B:$B,0)),"-")</f>
        <v>46600009</v>
      </c>
      <c r="Z122" s="4"/>
      <c r="AA122" s="11" t="str">
        <f>IFERROR(INDEX(ShipPartShape!$A:$A,MATCH(Z122,ShipPartShape!$B:$B,0)),"-")</f>
        <v>-</v>
      </c>
      <c r="AB122" s="4"/>
      <c r="AC122" s="11" t="str">
        <f>IFERROR(INDEX(ShipPartShape!$A:$A,MATCH(AB122,ShipPartShape!$B:$B,0)),"-")</f>
        <v>-</v>
      </c>
      <c r="AD122" s="4"/>
      <c r="AE122" s="11" t="str">
        <f>IFERROR(INDEX(ShipPartShape!$A:$A,MATCH(AD122,ShipPartShape!$B:$B,0)),"-")</f>
        <v>-</v>
      </c>
      <c r="AF122" s="4"/>
      <c r="AG122" s="11" t="str">
        <f>IFERROR(INDEX(ShipPartShape!$A:$A,MATCH(AF122,ShipPartShape!$B:$B,0)),"-")</f>
        <v>-</v>
      </c>
      <c r="AH122" s="4"/>
      <c r="AI122" s="11" t="str">
        <f>IFERROR(INDEX(ShipPartShape!$A:$A,MATCH(AH122,ShipPartShape!$B:$B,0)),"-")</f>
        <v>-</v>
      </c>
      <c r="AJ122" s="11" t="s">
        <v>0</v>
      </c>
      <c r="AK122" s="11" t="s">
        <v>0</v>
      </c>
      <c r="AL122" s="11" t="s">
        <v>0</v>
      </c>
      <c r="AM122" s="11" t="s">
        <v>0</v>
      </c>
      <c r="AN122" s="11" t="s">
        <v>0</v>
      </c>
      <c r="AO122" s="11" t="s">
        <v>0</v>
      </c>
      <c r="AP122" s="11" t="s">
        <v>0</v>
      </c>
      <c r="AQ122" s="11" t="s">
        <v>0</v>
      </c>
      <c r="AR122" s="11" t="s">
        <v>0</v>
      </c>
      <c r="AS122" s="11" t="s">
        <v>0</v>
      </c>
      <c r="AT122" s="11" t="s">
        <v>0</v>
      </c>
      <c r="AU122" s="11">
        <v>47600015</v>
      </c>
      <c r="AV122" s="11" t="s">
        <v>0</v>
      </c>
      <c r="AW122" s="11" t="s">
        <v>0</v>
      </c>
      <c r="AX122" s="11" t="s">
        <v>0</v>
      </c>
    </row>
    <row r="123" spans="1:50" ht="15">
      <c r="A123" s="10">
        <f t="shared" si="1"/>
        <v>45000113</v>
      </c>
      <c r="B123" s="22" t="s">
        <v>1386</v>
      </c>
      <c r="C123" s="11" t="s">
        <v>1387</v>
      </c>
      <c r="D123" s="4" t="s">
        <v>1391</v>
      </c>
      <c r="E123" s="11">
        <v>600</v>
      </c>
      <c r="F123" s="11">
        <v>100</v>
      </c>
      <c r="G123" s="11">
        <v>20</v>
      </c>
      <c r="H123" s="11">
        <v>-20</v>
      </c>
      <c r="I123" s="11">
        <f>IFERROR(INDEX(ShipPartShape!$A:$A,MATCH(D123,ShipPartShape!$B:$B,0)),"-")</f>
        <v>46000101</v>
      </c>
      <c r="J123" s="4" t="s">
        <v>1374</v>
      </c>
      <c r="K123" s="11">
        <f>IFERROR(INDEX(ShipPartShape!$A:$A,MATCH(J123,ShipPartShape!$B:$B,0)),"-")</f>
        <v>46700008</v>
      </c>
      <c r="L123" s="4" t="s">
        <v>69</v>
      </c>
      <c r="M123" s="11">
        <f>IFERROR(INDEX(ShipPartShape!$A:$A,MATCH(L123,ShipPartShape!$B:$B,0)),"-")</f>
        <v>46300001</v>
      </c>
      <c r="N123" s="4"/>
      <c r="O123" s="11" t="str">
        <f>IFERROR(INDEX(ShipPartShape!$A:$A,MATCH(N123,ShipPartShape!$B:$B,0)),"-")</f>
        <v>-</v>
      </c>
      <c r="P123" s="4"/>
      <c r="Q123" s="11" t="str">
        <f>IFERROR(INDEX(ShipPartShape!$A:$A,MATCH(P123,ShipPartShape!$B:$B,0)),"-")</f>
        <v>-</v>
      </c>
      <c r="R123" s="4"/>
      <c r="S123" s="11" t="str">
        <f>IFERROR(INDEX(ShipPartShape!$A:$A,MATCH(R123,ShipPartShape!$B:$B,0)),"-")</f>
        <v>-</v>
      </c>
      <c r="T123" s="4"/>
      <c r="U123" s="11" t="str">
        <f>IFERROR(INDEX(ShipPartShape!$A:$A,MATCH(T123,ShipPartShape!$B:$B,0)),"-")</f>
        <v>-</v>
      </c>
      <c r="V123" s="4" t="s">
        <v>601</v>
      </c>
      <c r="W123" s="11">
        <f>IFERROR(INDEX(ShipPartShape!$A:$A,MATCH(V123,ShipPartShape!$B:$B,0)),"-")</f>
        <v>46600001</v>
      </c>
      <c r="X123" s="4" t="s">
        <v>605</v>
      </c>
      <c r="Y123" s="11">
        <f>IFERROR(INDEX(ShipPartShape!$A:$A,MATCH(X123,ShipPartShape!$B:$B,0)),"-")</f>
        <v>46600009</v>
      </c>
      <c r="Z123" s="4"/>
      <c r="AA123" s="11" t="str">
        <f>IFERROR(INDEX(ShipPartShape!$A:$A,MATCH(Z123,ShipPartShape!$B:$B,0)),"-")</f>
        <v>-</v>
      </c>
      <c r="AB123" s="4"/>
      <c r="AC123" s="11" t="str">
        <f>IFERROR(INDEX(ShipPartShape!$A:$A,MATCH(AB123,ShipPartShape!$B:$B,0)),"-")</f>
        <v>-</v>
      </c>
      <c r="AD123" s="4"/>
      <c r="AE123" s="11" t="str">
        <f>IFERROR(INDEX(ShipPartShape!$A:$A,MATCH(AD123,ShipPartShape!$B:$B,0)),"-")</f>
        <v>-</v>
      </c>
      <c r="AF123" s="4"/>
      <c r="AG123" s="11" t="str">
        <f>IFERROR(INDEX(ShipPartShape!$A:$A,MATCH(AF123,ShipPartShape!$B:$B,0)),"-")</f>
        <v>-</v>
      </c>
      <c r="AH123" s="4"/>
      <c r="AI123" s="11" t="str">
        <f>IFERROR(INDEX(ShipPartShape!$A:$A,MATCH(AH123,ShipPartShape!$B:$B,0)),"-")</f>
        <v>-</v>
      </c>
      <c r="AJ123" s="11" t="s">
        <v>0</v>
      </c>
      <c r="AK123" s="11" t="s">
        <v>0</v>
      </c>
      <c r="AL123" s="11" t="s">
        <v>0</v>
      </c>
      <c r="AM123" s="11" t="s">
        <v>0</v>
      </c>
      <c r="AN123" s="11" t="s">
        <v>0</v>
      </c>
      <c r="AO123" s="11" t="s">
        <v>0</v>
      </c>
      <c r="AP123" s="11" t="s">
        <v>0</v>
      </c>
      <c r="AQ123" s="11" t="s">
        <v>0</v>
      </c>
      <c r="AR123" s="11" t="s">
        <v>0</v>
      </c>
      <c r="AS123" s="11" t="s">
        <v>0</v>
      </c>
      <c r="AT123" s="11" t="s">
        <v>0</v>
      </c>
      <c r="AU123" s="11">
        <v>47600014</v>
      </c>
      <c r="AV123" s="11" t="s">
        <v>0</v>
      </c>
      <c r="AW123" s="11" t="s">
        <v>0</v>
      </c>
      <c r="AX123" s="11" t="s">
        <v>0</v>
      </c>
    </row>
    <row r="124" spans="1:50" ht="15">
      <c r="A124" s="10">
        <f t="shared" si="1"/>
        <v>45000114</v>
      </c>
      <c r="B124" s="22" t="s">
        <v>1445</v>
      </c>
      <c r="C124" s="11" t="s">
        <v>1395</v>
      </c>
      <c r="D124" s="4" t="s">
        <v>1393</v>
      </c>
      <c r="E124" s="11">
        <v>700</v>
      </c>
      <c r="F124" s="11">
        <v>150</v>
      </c>
      <c r="G124" s="11">
        <v>20</v>
      </c>
      <c r="H124" s="11">
        <v>-40</v>
      </c>
      <c r="I124" s="11">
        <f>IFERROR(INDEX(ShipPartShape!$A:$A,MATCH(D124,ShipPartShape!$B:$B,0)),"-")</f>
        <v>46000102</v>
      </c>
      <c r="J124" s="4" t="s">
        <v>1215</v>
      </c>
      <c r="K124" s="11">
        <f>IFERROR(INDEX(ShipPartShape!$A:$A,MATCH(J124,ShipPartShape!$B:$B,0)),"-")</f>
        <v>46700013</v>
      </c>
      <c r="L124" s="4" t="s">
        <v>1398</v>
      </c>
      <c r="M124" s="11">
        <f>IFERROR(INDEX(ShipPartShape!$A:$A,MATCH(L124,ShipPartShape!$B:$B,0)),"-")</f>
        <v>46300002</v>
      </c>
      <c r="N124" s="4" t="s">
        <v>1397</v>
      </c>
      <c r="O124" s="11">
        <f>IFERROR(INDEX(ShipPartShape!$A:$A,MATCH(N124,ShipPartShape!$B:$B,0)),"-")</f>
        <v>46500015</v>
      </c>
      <c r="P124" s="4"/>
      <c r="Q124" s="11" t="str">
        <f>IFERROR(INDEX(ShipPartShape!$A:$A,MATCH(P124,ShipPartShape!$B:$B,0)),"-")</f>
        <v>-</v>
      </c>
      <c r="R124" s="4"/>
      <c r="S124" s="11" t="str">
        <f>IFERROR(INDEX(ShipPartShape!$A:$A,MATCH(R124,ShipPartShape!$B:$B,0)),"-")</f>
        <v>-</v>
      </c>
      <c r="T124" s="4"/>
      <c r="U124" s="11" t="str">
        <f>IFERROR(INDEX(ShipPartShape!$A:$A,MATCH(T124,ShipPartShape!$B:$B,0)),"-")</f>
        <v>-</v>
      </c>
      <c r="V124" s="4" t="s">
        <v>606</v>
      </c>
      <c r="W124" s="11">
        <f>IFERROR(INDEX(ShipPartShape!$A:$A,MATCH(V124,ShipPartShape!$B:$B,0)),"-")</f>
        <v>46600003</v>
      </c>
      <c r="X124" s="4" t="s">
        <v>603</v>
      </c>
      <c r="Y124" s="11">
        <f>IFERROR(INDEX(ShipPartShape!$A:$A,MATCH(X124,ShipPartShape!$B:$B,0)),"-")</f>
        <v>46600007</v>
      </c>
      <c r="Z124" s="4"/>
      <c r="AA124" s="11" t="str">
        <f>IFERROR(INDEX(ShipPartShape!$A:$A,MATCH(Z124,ShipPartShape!$B:$B,0)),"-")</f>
        <v>-</v>
      </c>
      <c r="AB124" s="4"/>
      <c r="AC124" s="11" t="str">
        <f>IFERROR(INDEX(ShipPartShape!$A:$A,MATCH(AB124,ShipPartShape!$B:$B,0)),"-")</f>
        <v>-</v>
      </c>
      <c r="AD124" s="4"/>
      <c r="AE124" s="11" t="str">
        <f>IFERROR(INDEX(ShipPartShape!$A:$A,MATCH(AD124,ShipPartShape!$B:$B,0)),"-")</f>
        <v>-</v>
      </c>
      <c r="AF124" s="4"/>
      <c r="AG124" s="11" t="str">
        <f>IFERROR(INDEX(ShipPartShape!$A:$A,MATCH(AF124,ShipPartShape!$B:$B,0)),"-")</f>
        <v>-</v>
      </c>
      <c r="AH124" s="4"/>
      <c r="AI124" s="11" t="str">
        <f>IFERROR(INDEX(ShipPartShape!$A:$A,MATCH(AH124,ShipPartShape!$B:$B,0)),"-")</f>
        <v>-</v>
      </c>
      <c r="AJ124" s="11" t="s">
        <v>0</v>
      </c>
      <c r="AK124" s="11" t="s">
        <v>0</v>
      </c>
      <c r="AL124" s="11" t="s">
        <v>0</v>
      </c>
      <c r="AM124" s="11" t="s">
        <v>0</v>
      </c>
      <c r="AN124" s="11" t="s">
        <v>0</v>
      </c>
      <c r="AO124" s="11" t="s">
        <v>0</v>
      </c>
      <c r="AP124" s="11" t="s">
        <v>0</v>
      </c>
      <c r="AQ124" s="11" t="s">
        <v>0</v>
      </c>
      <c r="AR124" s="11" t="s">
        <v>0</v>
      </c>
      <c r="AS124" s="11" t="s">
        <v>0</v>
      </c>
      <c r="AT124" s="11" t="s">
        <v>0</v>
      </c>
      <c r="AU124" s="11">
        <v>47600018</v>
      </c>
      <c r="AV124" s="11" t="s">
        <v>0</v>
      </c>
      <c r="AW124" s="11" t="s">
        <v>0</v>
      </c>
      <c r="AX124" s="11" t="s">
        <v>0</v>
      </c>
    </row>
    <row r="125" spans="1:50" ht="15">
      <c r="A125" s="10">
        <f t="shared" si="1"/>
        <v>45000115</v>
      </c>
      <c r="B125" s="22" t="s">
        <v>1404</v>
      </c>
      <c r="C125" s="11" t="s">
        <v>1405</v>
      </c>
      <c r="D125" s="4" t="s">
        <v>1406</v>
      </c>
      <c r="E125" s="11">
        <v>700</v>
      </c>
      <c r="F125" s="11">
        <v>100</v>
      </c>
      <c r="G125" s="11">
        <v>20</v>
      </c>
      <c r="H125" s="11">
        <v>-40</v>
      </c>
      <c r="I125" s="11">
        <f>IFERROR(INDEX(ShipPartShape!$A:$A,MATCH(D125,ShipPartShape!$B:$B,0)),"-")</f>
        <v>46000103</v>
      </c>
      <c r="J125" s="4" t="s">
        <v>1392</v>
      </c>
      <c r="K125" s="11">
        <f>IFERROR(INDEX(ShipPartShape!$A:$A,MATCH(J125,ShipPartShape!$B:$B,0)),"-")</f>
        <v>46700007</v>
      </c>
      <c r="L125" s="4" t="s">
        <v>69</v>
      </c>
      <c r="M125" s="11">
        <f>IFERROR(INDEX(ShipPartShape!$A:$A,MATCH(L125,ShipPartShape!$B:$B,0)),"-")</f>
        <v>46300001</v>
      </c>
      <c r="N125" s="4" t="s">
        <v>1407</v>
      </c>
      <c r="O125" s="11">
        <f>IFERROR(INDEX(ShipPartShape!$A:$A,MATCH(N125,ShipPartShape!$B:$B,0)),"-")</f>
        <v>46500016</v>
      </c>
      <c r="P125" s="4"/>
      <c r="Q125" s="11" t="str">
        <f>IFERROR(INDEX(ShipPartShape!$A:$A,MATCH(P125,ShipPartShape!$B:$B,0)),"-")</f>
        <v>-</v>
      </c>
      <c r="R125" s="4"/>
      <c r="S125" s="11" t="str">
        <f>IFERROR(INDEX(ShipPartShape!$A:$A,MATCH(R125,ShipPartShape!$B:$B,0)),"-")</f>
        <v>-</v>
      </c>
      <c r="T125" s="4"/>
      <c r="U125" s="11" t="str">
        <f>IFERROR(INDEX(ShipPartShape!$A:$A,MATCH(T125,ShipPartShape!$B:$B,0)),"-")</f>
        <v>-</v>
      </c>
      <c r="V125" s="4" t="s">
        <v>601</v>
      </c>
      <c r="W125" s="11">
        <f>IFERROR(INDEX(ShipPartShape!$A:$A,MATCH(V125,ShipPartShape!$B:$B,0)),"-")</f>
        <v>46600001</v>
      </c>
      <c r="X125" s="4" t="s">
        <v>602</v>
      </c>
      <c r="Y125" s="11">
        <f>IFERROR(INDEX(ShipPartShape!$A:$A,MATCH(X125,ShipPartShape!$B:$B,0)),"-")</f>
        <v>46600002</v>
      </c>
      <c r="Z125" s="4" t="s">
        <v>603</v>
      </c>
      <c r="AA125" s="11">
        <f>IFERROR(INDEX(ShipPartShape!$A:$A,MATCH(Z125,ShipPartShape!$B:$B,0)),"-")</f>
        <v>46600007</v>
      </c>
      <c r="AB125" s="4"/>
      <c r="AC125" s="11" t="str">
        <f>IFERROR(INDEX(ShipPartShape!$A:$A,MATCH(AB125,ShipPartShape!$B:$B,0)),"-")</f>
        <v>-</v>
      </c>
      <c r="AD125" s="4"/>
      <c r="AE125" s="11" t="str">
        <f>IFERROR(INDEX(ShipPartShape!$A:$A,MATCH(AD125,ShipPartShape!$B:$B,0)),"-")</f>
        <v>-</v>
      </c>
      <c r="AF125" s="4"/>
      <c r="AG125" s="11" t="str">
        <f>IFERROR(INDEX(ShipPartShape!$A:$A,MATCH(AF125,ShipPartShape!$B:$B,0)),"-")</f>
        <v>-</v>
      </c>
      <c r="AH125" s="4"/>
      <c r="AI125" s="11" t="str">
        <f>IFERROR(INDEX(ShipPartShape!$A:$A,MATCH(AH125,ShipPartShape!$B:$B,0)),"-")</f>
        <v>-</v>
      </c>
      <c r="AJ125" s="11" t="s">
        <v>0</v>
      </c>
      <c r="AK125" s="11" t="s">
        <v>0</v>
      </c>
      <c r="AL125" s="11" t="s">
        <v>0</v>
      </c>
      <c r="AM125" s="11" t="s">
        <v>0</v>
      </c>
      <c r="AN125" s="11" t="s">
        <v>0</v>
      </c>
      <c r="AO125" s="11" t="s">
        <v>0</v>
      </c>
      <c r="AP125" s="11" t="s">
        <v>0</v>
      </c>
      <c r="AQ125" s="11" t="s">
        <v>0</v>
      </c>
      <c r="AR125" s="11" t="s">
        <v>0</v>
      </c>
      <c r="AS125" s="11" t="s">
        <v>0</v>
      </c>
      <c r="AT125" s="11" t="s">
        <v>0</v>
      </c>
      <c r="AU125" s="11">
        <v>47600016</v>
      </c>
      <c r="AV125" s="11" t="s">
        <v>0</v>
      </c>
      <c r="AW125" s="11" t="s">
        <v>0</v>
      </c>
      <c r="AX125" s="11" t="s">
        <v>0</v>
      </c>
    </row>
    <row r="126" spans="1:50" ht="15">
      <c r="A126" s="10">
        <f t="shared" si="1"/>
        <v>45000116</v>
      </c>
      <c r="B126" s="22" t="s">
        <v>1446</v>
      </c>
      <c r="C126" s="11" t="s">
        <v>1408</v>
      </c>
      <c r="D126" s="4" t="s">
        <v>1409</v>
      </c>
      <c r="E126" s="11">
        <v>700</v>
      </c>
      <c r="F126" s="11">
        <v>150</v>
      </c>
      <c r="G126" s="11">
        <v>20</v>
      </c>
      <c r="H126" s="11">
        <v>-40</v>
      </c>
      <c r="I126" s="11">
        <f>IFERROR(INDEX(ShipPartShape!$A:$A,MATCH(D126,ShipPartShape!$B:$B,0)),"-")</f>
        <v>46000104</v>
      </c>
      <c r="J126" s="4" t="s">
        <v>1392</v>
      </c>
      <c r="K126" s="11">
        <f>IFERROR(INDEX(ShipPartShape!$A:$A,MATCH(J126,ShipPartShape!$B:$B,0)),"-")</f>
        <v>46700007</v>
      </c>
      <c r="L126" s="4" t="s">
        <v>69</v>
      </c>
      <c r="M126" s="11">
        <f>IFERROR(INDEX(ShipPartShape!$A:$A,MATCH(L126,ShipPartShape!$B:$B,0)),"-")</f>
        <v>46300001</v>
      </c>
      <c r="N126" s="4" t="s">
        <v>1410</v>
      </c>
      <c r="O126" s="11">
        <f>IFERROR(INDEX(ShipPartShape!$A:$A,MATCH(N126,ShipPartShape!$B:$B,0)),"-")</f>
        <v>46500017</v>
      </c>
      <c r="P126" s="4"/>
      <c r="Q126" s="11" t="str">
        <f>IFERROR(INDEX(ShipPartShape!$A:$A,MATCH(P126,ShipPartShape!$B:$B,0)),"-")</f>
        <v>-</v>
      </c>
      <c r="R126" s="4"/>
      <c r="S126" s="11" t="str">
        <f>IFERROR(INDEX(ShipPartShape!$A:$A,MATCH(R126,ShipPartShape!$B:$B,0)),"-")</f>
        <v>-</v>
      </c>
      <c r="T126" s="4"/>
      <c r="U126" s="11" t="str">
        <f>IFERROR(INDEX(ShipPartShape!$A:$A,MATCH(T126,ShipPartShape!$B:$B,0)),"-")</f>
        <v>-</v>
      </c>
      <c r="V126" s="4" t="s">
        <v>601</v>
      </c>
      <c r="W126" s="11">
        <f>IFERROR(INDEX(ShipPartShape!$A:$A,MATCH(V126,ShipPartShape!$B:$B,0)),"-")</f>
        <v>46600001</v>
      </c>
      <c r="X126" s="4" t="s">
        <v>602</v>
      </c>
      <c r="Y126" s="11">
        <f>IFERROR(INDEX(ShipPartShape!$A:$A,MATCH(X126,ShipPartShape!$B:$B,0)),"-")</f>
        <v>46600002</v>
      </c>
      <c r="Z126" s="4"/>
      <c r="AA126" s="11" t="str">
        <f>IFERROR(INDEX(ShipPartShape!$A:$A,MATCH(Z126,ShipPartShape!$B:$B,0)),"-")</f>
        <v>-</v>
      </c>
      <c r="AB126" s="4"/>
      <c r="AC126" s="11" t="str">
        <f>IFERROR(INDEX(ShipPartShape!$A:$A,MATCH(AB126,ShipPartShape!$B:$B,0)),"-")</f>
        <v>-</v>
      </c>
      <c r="AD126" s="4"/>
      <c r="AE126" s="11" t="str">
        <f>IFERROR(INDEX(ShipPartShape!$A:$A,MATCH(AD126,ShipPartShape!$B:$B,0)),"-")</f>
        <v>-</v>
      </c>
      <c r="AF126" s="4"/>
      <c r="AG126" s="11" t="str">
        <f>IFERROR(INDEX(ShipPartShape!$A:$A,MATCH(AF126,ShipPartShape!$B:$B,0)),"-")</f>
        <v>-</v>
      </c>
      <c r="AH126" s="4"/>
      <c r="AI126" s="11" t="str">
        <f>IFERROR(INDEX(ShipPartShape!$A:$A,MATCH(AH126,ShipPartShape!$B:$B,0)),"-")</f>
        <v>-</v>
      </c>
      <c r="AJ126" s="11" t="s">
        <v>0</v>
      </c>
      <c r="AK126" s="11" t="s">
        <v>0</v>
      </c>
      <c r="AL126" s="11" t="s">
        <v>0</v>
      </c>
      <c r="AM126" s="11" t="s">
        <v>0</v>
      </c>
      <c r="AN126" s="11" t="s">
        <v>0</v>
      </c>
      <c r="AO126" s="11" t="s">
        <v>0</v>
      </c>
      <c r="AP126" s="11" t="s">
        <v>0</v>
      </c>
      <c r="AQ126" s="11" t="s">
        <v>0</v>
      </c>
      <c r="AR126" s="11" t="s">
        <v>0</v>
      </c>
      <c r="AS126" s="11" t="s">
        <v>0</v>
      </c>
      <c r="AT126" s="11" t="s">
        <v>0</v>
      </c>
      <c r="AU126" s="11">
        <v>47600017</v>
      </c>
      <c r="AV126" s="11" t="s">
        <v>0</v>
      </c>
      <c r="AW126" s="11" t="s">
        <v>0</v>
      </c>
      <c r="AX126" s="11" t="s">
        <v>0</v>
      </c>
    </row>
    <row r="127" spans="1:50" ht="15">
      <c r="A127" s="10">
        <f t="shared" si="1"/>
        <v>45000117</v>
      </c>
      <c r="B127" s="22" t="s">
        <v>1447</v>
      </c>
      <c r="C127" s="11" t="s">
        <v>1411</v>
      </c>
      <c r="D127" s="4" t="s">
        <v>1412</v>
      </c>
      <c r="E127" s="11">
        <v>600</v>
      </c>
      <c r="F127" s="11">
        <v>100</v>
      </c>
      <c r="G127" s="11">
        <v>20</v>
      </c>
      <c r="H127" s="11">
        <v>-20</v>
      </c>
      <c r="I127" s="11">
        <f>IFERROR(INDEX(ShipPartShape!$A:$A,MATCH(D127,ShipPartShape!$B:$B,0)),"-")</f>
        <v>46000105</v>
      </c>
      <c r="J127" s="4" t="s">
        <v>1215</v>
      </c>
      <c r="K127" s="11">
        <f>IFERROR(INDEX(ShipPartShape!$A:$A,MATCH(J127,ShipPartShape!$B:$B,0)),"-")</f>
        <v>46700013</v>
      </c>
      <c r="L127" s="4" t="s">
        <v>1413</v>
      </c>
      <c r="M127" s="11">
        <f>IFERROR(INDEX(ShipPartShape!$A:$A,MATCH(L127,ShipPartShape!$B:$B,0)),"-")</f>
        <v>46300003</v>
      </c>
      <c r="N127" s="4"/>
      <c r="O127" s="11" t="str">
        <f>IFERROR(INDEX(ShipPartShape!$A:$A,MATCH(N127,ShipPartShape!$B:$B,0)),"-")</f>
        <v>-</v>
      </c>
      <c r="P127" s="4"/>
      <c r="Q127" s="11" t="str">
        <f>IFERROR(INDEX(ShipPartShape!$A:$A,MATCH(P127,ShipPartShape!$B:$B,0)),"-")</f>
        <v>-</v>
      </c>
      <c r="R127" s="4"/>
      <c r="S127" s="11" t="str">
        <f>IFERROR(INDEX(ShipPartShape!$A:$A,MATCH(R127,ShipPartShape!$B:$B,0)),"-")</f>
        <v>-</v>
      </c>
      <c r="T127" s="4"/>
      <c r="U127" s="11" t="str">
        <f>IFERROR(INDEX(ShipPartShape!$A:$A,MATCH(T127,ShipPartShape!$B:$B,0)),"-")</f>
        <v>-</v>
      </c>
      <c r="V127" s="4" t="s">
        <v>602</v>
      </c>
      <c r="W127" s="11">
        <f>IFERROR(INDEX(ShipPartShape!$A:$A,MATCH(V127,ShipPartShape!$B:$B,0)),"-")</f>
        <v>46600002</v>
      </c>
      <c r="X127" s="4" t="s">
        <v>604</v>
      </c>
      <c r="Y127" s="11">
        <f>IFERROR(INDEX(ShipPartShape!$A:$A,MATCH(X127,ShipPartShape!$B:$B,0)),"-")</f>
        <v>46600005</v>
      </c>
      <c r="Z127" s="4" t="s">
        <v>603</v>
      </c>
      <c r="AA127" s="11">
        <f>IFERROR(INDEX(ShipPartShape!$A:$A,MATCH(Z127,ShipPartShape!$B:$B,0)),"-")</f>
        <v>46600007</v>
      </c>
      <c r="AB127" s="4" t="s">
        <v>611</v>
      </c>
      <c r="AC127" s="11">
        <f>IFERROR(INDEX(ShipPartShape!$A:$A,MATCH(AB127,ShipPartShape!$B:$B,0)),"-")</f>
        <v>46600010</v>
      </c>
      <c r="AD127" s="4"/>
      <c r="AE127" s="11" t="str">
        <f>IFERROR(INDEX(ShipPartShape!$A:$A,MATCH(AD127,ShipPartShape!$B:$B,0)),"-")</f>
        <v>-</v>
      </c>
      <c r="AF127" s="4"/>
      <c r="AG127" s="11" t="str">
        <f>IFERROR(INDEX(ShipPartShape!$A:$A,MATCH(AF127,ShipPartShape!$B:$B,0)),"-")</f>
        <v>-</v>
      </c>
      <c r="AH127" s="4"/>
      <c r="AI127" s="11" t="str">
        <f>IFERROR(INDEX(ShipPartShape!$A:$A,MATCH(AH127,ShipPartShape!$B:$B,0)),"-")</f>
        <v>-</v>
      </c>
      <c r="AJ127" s="11" t="s">
        <v>0</v>
      </c>
      <c r="AK127" s="11" t="s">
        <v>0</v>
      </c>
      <c r="AL127" s="11" t="s">
        <v>0</v>
      </c>
      <c r="AM127" s="11" t="s">
        <v>0</v>
      </c>
      <c r="AN127" s="11" t="s">
        <v>0</v>
      </c>
      <c r="AO127" s="11" t="s">
        <v>0</v>
      </c>
      <c r="AP127" s="11" t="s">
        <v>0</v>
      </c>
      <c r="AQ127" s="11" t="s">
        <v>0</v>
      </c>
      <c r="AR127" s="11" t="s">
        <v>0</v>
      </c>
      <c r="AS127" s="11" t="s">
        <v>0</v>
      </c>
      <c r="AT127" s="11" t="s">
        <v>0</v>
      </c>
      <c r="AU127" s="11">
        <v>47600014</v>
      </c>
      <c r="AV127" s="11" t="s">
        <v>0</v>
      </c>
      <c r="AW127" s="11" t="s">
        <v>0</v>
      </c>
      <c r="AX127" s="11" t="s">
        <v>0</v>
      </c>
    </row>
    <row r="128" spans="1:50" ht="15">
      <c r="A128" s="10">
        <f t="shared" si="1"/>
        <v>45000118</v>
      </c>
      <c r="B128" s="22" t="s">
        <v>1417</v>
      </c>
      <c r="C128" s="11" t="s">
        <v>1418</v>
      </c>
      <c r="D128" s="4" t="s">
        <v>1419</v>
      </c>
      <c r="E128" s="11">
        <v>700</v>
      </c>
      <c r="F128" s="11">
        <v>150</v>
      </c>
      <c r="G128" s="11">
        <v>20</v>
      </c>
      <c r="H128" s="11">
        <v>-40</v>
      </c>
      <c r="I128" s="11">
        <f>IFERROR(INDEX(ShipPartShape!$A:$A,MATCH(D128,ShipPartShape!$B:$B,0)),"-")</f>
        <v>46000106</v>
      </c>
      <c r="J128" s="4" t="s">
        <v>1213</v>
      </c>
      <c r="K128" s="11">
        <f>IFERROR(INDEX(ShipPartShape!$A:$A,MATCH(J128,ShipPartShape!$B:$B,0)),"-")</f>
        <v>46700010</v>
      </c>
      <c r="L128" s="4"/>
      <c r="M128" s="11" t="str">
        <f>IFERROR(INDEX(ShipPartShape!$A:$A,MATCH(L128,ShipPartShape!$B:$B,0)),"-")</f>
        <v>-</v>
      </c>
      <c r="N128" s="4" t="s">
        <v>1415</v>
      </c>
      <c r="O128" s="11">
        <f>IFERROR(INDEX(ShipPartShape!$A:$A,MATCH(N128,ShipPartShape!$B:$B,0)),"-")</f>
        <v>46500018</v>
      </c>
      <c r="P128" s="4"/>
      <c r="Q128" s="11" t="str">
        <f>IFERROR(INDEX(ShipPartShape!$A:$A,MATCH(P128,ShipPartShape!$B:$B,0)),"-")</f>
        <v>-</v>
      </c>
      <c r="R128" s="4"/>
      <c r="S128" s="11" t="str">
        <f>IFERROR(INDEX(ShipPartShape!$A:$A,MATCH(R128,ShipPartShape!$B:$B,0)),"-")</f>
        <v>-</v>
      </c>
      <c r="T128" s="4"/>
      <c r="U128" s="11" t="str">
        <f>IFERROR(INDEX(ShipPartShape!$A:$A,MATCH(T128,ShipPartShape!$B:$B,0)),"-")</f>
        <v>-</v>
      </c>
      <c r="V128" s="4"/>
      <c r="W128" s="11" t="str">
        <f>IFERROR(INDEX(ShipPartShape!$A:$A,MATCH(V128,ShipPartShape!$B:$B,0)),"-")</f>
        <v>-</v>
      </c>
      <c r="X128" s="4"/>
      <c r="Y128" s="11" t="str">
        <f>IFERROR(INDEX(ShipPartShape!$A:$A,MATCH(X128,ShipPartShape!$B:$B,0)),"-")</f>
        <v>-</v>
      </c>
      <c r="Z128" s="4"/>
      <c r="AA128" s="11" t="str">
        <f>IFERROR(INDEX(ShipPartShape!$A:$A,MATCH(Z128,ShipPartShape!$B:$B,0)),"-")</f>
        <v>-</v>
      </c>
      <c r="AB128" s="4"/>
      <c r="AC128" s="11" t="str">
        <f>IFERROR(INDEX(ShipPartShape!$A:$A,MATCH(AB128,ShipPartShape!$B:$B,0)),"-")</f>
        <v>-</v>
      </c>
      <c r="AD128" s="4"/>
      <c r="AE128" s="11" t="str">
        <f>IFERROR(INDEX(ShipPartShape!$A:$A,MATCH(AD128,ShipPartShape!$B:$B,0)),"-")</f>
        <v>-</v>
      </c>
      <c r="AF128" s="4"/>
      <c r="AG128" s="11" t="str">
        <f>IFERROR(INDEX(ShipPartShape!$A:$A,MATCH(AF128,ShipPartShape!$B:$B,0)),"-")</f>
        <v>-</v>
      </c>
      <c r="AH128" s="4"/>
      <c r="AI128" s="11" t="str">
        <f>IFERROR(INDEX(ShipPartShape!$A:$A,MATCH(AH128,ShipPartShape!$B:$B,0)),"-")</f>
        <v>-</v>
      </c>
      <c r="AJ128" s="11" t="s">
        <v>0</v>
      </c>
      <c r="AK128" s="11" t="s">
        <v>0</v>
      </c>
      <c r="AL128" s="11" t="s">
        <v>0</v>
      </c>
      <c r="AM128" s="11" t="s">
        <v>0</v>
      </c>
      <c r="AN128" s="11" t="s">
        <v>0</v>
      </c>
      <c r="AO128" s="11" t="s">
        <v>0</v>
      </c>
      <c r="AP128" s="11" t="s">
        <v>0</v>
      </c>
      <c r="AQ128" s="11" t="s">
        <v>0</v>
      </c>
      <c r="AR128" s="11" t="s">
        <v>0</v>
      </c>
      <c r="AS128" s="11" t="s">
        <v>0</v>
      </c>
      <c r="AT128" s="11" t="s">
        <v>0</v>
      </c>
      <c r="AU128" s="11">
        <v>47600018</v>
      </c>
      <c r="AV128" s="11" t="s">
        <v>0</v>
      </c>
      <c r="AW128" s="11" t="s">
        <v>0</v>
      </c>
      <c r="AX128" s="11" t="s">
        <v>0</v>
      </c>
    </row>
    <row r="129" spans="1:50" ht="15">
      <c r="A129" s="10">
        <f t="shared" si="1"/>
        <v>45000119</v>
      </c>
      <c r="B129" s="22" t="s">
        <v>1422</v>
      </c>
      <c r="C129" s="11" t="s">
        <v>1423</v>
      </c>
      <c r="D129" s="4" t="s">
        <v>1420</v>
      </c>
      <c r="E129" s="11">
        <v>700</v>
      </c>
      <c r="F129" s="11">
        <v>100</v>
      </c>
      <c r="G129" s="11">
        <v>20</v>
      </c>
      <c r="H129" s="11">
        <v>-40</v>
      </c>
      <c r="I129" s="11">
        <f>IFERROR(INDEX(ShipPartShape!$A:$A,MATCH(D129,ShipPartShape!$B:$B,0)),"-")</f>
        <v>46000107</v>
      </c>
      <c r="J129" s="4" t="s">
        <v>1255</v>
      </c>
      <c r="K129" s="11">
        <f>IFERROR(INDEX(ShipPartShape!$A:$A,MATCH(J129,ShipPartShape!$B:$B,0)),"-")</f>
        <v>46700009</v>
      </c>
      <c r="L129" s="4"/>
      <c r="M129" s="11" t="str">
        <f>IFERROR(INDEX(ShipPartShape!$A:$A,MATCH(L129,ShipPartShape!$B:$B,0)),"-")</f>
        <v>-</v>
      </c>
      <c r="N129" s="4"/>
      <c r="O129" s="11" t="str">
        <f>IFERROR(INDEX(ShipPartShape!$A:$A,MATCH(N129,ShipPartShape!$B:$B,0)),"-")</f>
        <v>-</v>
      </c>
      <c r="P129" s="4"/>
      <c r="Q129" s="11" t="str">
        <f>IFERROR(INDEX(ShipPartShape!$A:$A,MATCH(P129,ShipPartShape!$B:$B,0)),"-")</f>
        <v>-</v>
      </c>
      <c r="R129" s="4"/>
      <c r="S129" s="11" t="str">
        <f>IFERROR(INDEX(ShipPartShape!$A:$A,MATCH(R129,ShipPartShape!$B:$B,0)),"-")</f>
        <v>-</v>
      </c>
      <c r="T129" s="4" t="s">
        <v>601</v>
      </c>
      <c r="U129" s="11">
        <f>IFERROR(INDEX(ShipPartShape!$A:$A,MATCH(T129,ShipPartShape!$B:$B,0)),"-")</f>
        <v>46600001</v>
      </c>
      <c r="V129" s="4" t="s">
        <v>602</v>
      </c>
      <c r="W129" s="11">
        <f>IFERROR(INDEX(ShipPartShape!$A:$A,MATCH(V129,ShipPartShape!$B:$B,0)),"-")</f>
        <v>46600002</v>
      </c>
      <c r="X129" s="4" t="s">
        <v>604</v>
      </c>
      <c r="Y129" s="11">
        <f>IFERROR(INDEX(ShipPartShape!$A:$A,MATCH(X129,ShipPartShape!$B:$B,0)),"-")</f>
        <v>46600005</v>
      </c>
      <c r="Z129" s="4" t="s">
        <v>611</v>
      </c>
      <c r="AA129" s="11">
        <f>IFERROR(INDEX(ShipPartShape!$A:$A,MATCH(Z129,ShipPartShape!$B:$B,0)),"-")</f>
        <v>46600010</v>
      </c>
      <c r="AB129" s="4" t="s">
        <v>605</v>
      </c>
      <c r="AC129" s="11">
        <f>IFERROR(INDEX(ShipPartShape!$A:$A,MATCH(AB129,ShipPartShape!$B:$B,0)),"-")</f>
        <v>46600009</v>
      </c>
      <c r="AD129" s="4" t="s">
        <v>603</v>
      </c>
      <c r="AE129" s="11">
        <f>IFERROR(INDEX(ShipPartShape!$A:$A,MATCH(AD129,ShipPartShape!$B:$B,0)),"-")</f>
        <v>46600007</v>
      </c>
      <c r="AF129" s="4"/>
      <c r="AG129" s="11" t="str">
        <f>IFERROR(INDEX(ShipPartShape!$A:$A,MATCH(AF129,ShipPartShape!$B:$B,0)),"-")</f>
        <v>-</v>
      </c>
      <c r="AH129" s="4"/>
      <c r="AI129" s="11" t="str">
        <f>IFERROR(INDEX(ShipPartShape!$A:$A,MATCH(AH129,ShipPartShape!$B:$B,0)),"-")</f>
        <v>-</v>
      </c>
      <c r="AJ129" s="11" t="s">
        <v>0</v>
      </c>
      <c r="AK129" s="11" t="s">
        <v>0</v>
      </c>
      <c r="AL129" s="11" t="s">
        <v>0</v>
      </c>
      <c r="AM129" s="11" t="s">
        <v>0</v>
      </c>
      <c r="AN129" s="11" t="s">
        <v>0</v>
      </c>
      <c r="AO129" s="11" t="s">
        <v>0</v>
      </c>
      <c r="AP129" s="11" t="s">
        <v>0</v>
      </c>
      <c r="AQ129" s="11" t="s">
        <v>0</v>
      </c>
      <c r="AR129" s="11" t="s">
        <v>0</v>
      </c>
      <c r="AS129" s="11" t="s">
        <v>0</v>
      </c>
      <c r="AT129" s="11" t="s">
        <v>0</v>
      </c>
      <c r="AU129" s="11">
        <v>47600016</v>
      </c>
      <c r="AV129" s="11" t="s">
        <v>0</v>
      </c>
      <c r="AW129" s="11" t="s">
        <v>0</v>
      </c>
      <c r="AX129" s="11" t="s">
        <v>0</v>
      </c>
    </row>
    <row r="130" spans="1:50" ht="15">
      <c r="A130" s="10">
        <f t="shared" si="1"/>
        <v>45000120</v>
      </c>
      <c r="B130" s="22" t="s">
        <v>1426</v>
      </c>
      <c r="C130" s="11" t="s">
        <v>1427</v>
      </c>
      <c r="D130" s="4" t="s">
        <v>1424</v>
      </c>
      <c r="E130" s="11">
        <v>600</v>
      </c>
      <c r="F130" s="11">
        <v>100</v>
      </c>
      <c r="G130" s="11">
        <v>10</v>
      </c>
      <c r="H130" s="11">
        <v>-10</v>
      </c>
      <c r="I130" s="11">
        <f>IFERROR(INDEX(ShipPartShape!$A:$A,MATCH(D130,ShipPartShape!$B:$B,0)),"-")</f>
        <v>46000108</v>
      </c>
      <c r="J130" s="4" t="s">
        <v>1213</v>
      </c>
      <c r="K130" s="11">
        <f>IFERROR(INDEX(ShipPartShape!$A:$A,MATCH(J130,ShipPartShape!$B:$B,0)),"-")</f>
        <v>46700010</v>
      </c>
      <c r="L130" s="4" t="s">
        <v>69</v>
      </c>
      <c r="M130" s="11">
        <f>IFERROR(INDEX(ShipPartShape!$A:$A,MATCH(L130,ShipPartShape!$B:$B,0)),"-")</f>
        <v>46300001</v>
      </c>
      <c r="N130" s="4"/>
      <c r="O130" s="11" t="str">
        <f>IFERROR(INDEX(ShipPartShape!$A:$A,MATCH(N130,ShipPartShape!$B:$B,0)),"-")</f>
        <v>-</v>
      </c>
      <c r="P130" s="4"/>
      <c r="Q130" s="11" t="str">
        <f>IFERROR(INDEX(ShipPartShape!$A:$A,MATCH(P130,ShipPartShape!$B:$B,0)),"-")</f>
        <v>-</v>
      </c>
      <c r="R130" s="4"/>
      <c r="S130" s="11" t="str">
        <f>IFERROR(INDEX(ShipPartShape!$A:$A,MATCH(R130,ShipPartShape!$B:$B,0)),"-")</f>
        <v>-</v>
      </c>
      <c r="T130" s="4" t="s">
        <v>601</v>
      </c>
      <c r="U130" s="11">
        <f>IFERROR(INDEX(ShipPartShape!$A:$A,MATCH(T130,ShipPartShape!$B:$B,0)),"-")</f>
        <v>46600001</v>
      </c>
      <c r="V130" s="4" t="s">
        <v>602</v>
      </c>
      <c r="W130" s="11">
        <f>IFERROR(INDEX(ShipPartShape!$A:$A,MATCH(V130,ShipPartShape!$B:$B,0)),"-")</f>
        <v>46600002</v>
      </c>
      <c r="X130" s="4" t="s">
        <v>606</v>
      </c>
      <c r="Y130" s="11">
        <f>IFERROR(INDEX(ShipPartShape!$A:$A,MATCH(X130,ShipPartShape!$B:$B,0)),"-")</f>
        <v>46600003</v>
      </c>
      <c r="Z130" s="4" t="s">
        <v>608</v>
      </c>
      <c r="AA130" s="11">
        <f>IFERROR(INDEX(ShipPartShape!$A:$A,MATCH(Z130,ShipPartShape!$B:$B,0)),"-")</f>
        <v>46600004</v>
      </c>
      <c r="AB130" s="4" t="s">
        <v>603</v>
      </c>
      <c r="AC130" s="11">
        <f>IFERROR(INDEX(ShipPartShape!$A:$A,MATCH(AB130,ShipPartShape!$B:$B,0)),"-")</f>
        <v>46600007</v>
      </c>
      <c r="AD130" s="4"/>
      <c r="AE130" s="11" t="str">
        <f>IFERROR(INDEX(ShipPartShape!$A:$A,MATCH(AD130,ShipPartShape!$B:$B,0)),"-")</f>
        <v>-</v>
      </c>
      <c r="AF130" s="4"/>
      <c r="AG130" s="11" t="str">
        <f>IFERROR(INDEX(ShipPartShape!$A:$A,MATCH(AF130,ShipPartShape!$B:$B,0)),"-")</f>
        <v>-</v>
      </c>
      <c r="AH130" s="4"/>
      <c r="AI130" s="11" t="str">
        <f>IFERROR(INDEX(ShipPartShape!$A:$A,MATCH(AH130,ShipPartShape!$B:$B,0)),"-")</f>
        <v>-</v>
      </c>
      <c r="AJ130" s="11" t="s">
        <v>0</v>
      </c>
      <c r="AK130" s="11" t="s">
        <v>0</v>
      </c>
      <c r="AL130" s="11" t="s">
        <v>0</v>
      </c>
      <c r="AM130" s="11" t="s">
        <v>0</v>
      </c>
      <c r="AN130" s="11" t="s">
        <v>0</v>
      </c>
      <c r="AO130" s="11" t="s">
        <v>0</v>
      </c>
      <c r="AP130" s="11" t="s">
        <v>0</v>
      </c>
      <c r="AQ130" s="11" t="s">
        <v>0</v>
      </c>
      <c r="AR130" s="11" t="s">
        <v>0</v>
      </c>
      <c r="AS130" s="11" t="s">
        <v>0</v>
      </c>
      <c r="AT130" s="11" t="s">
        <v>0</v>
      </c>
      <c r="AU130" s="11">
        <v>47600016</v>
      </c>
      <c r="AV130" s="11" t="s">
        <v>0</v>
      </c>
      <c r="AW130" s="11" t="s">
        <v>0</v>
      </c>
      <c r="AX130" s="11" t="s">
        <v>0</v>
      </c>
    </row>
    <row r="131" spans="1:50" ht="15">
      <c r="A131" s="10">
        <f t="shared" si="1"/>
        <v>45000121</v>
      </c>
      <c r="B131" s="22" t="s">
        <v>1430</v>
      </c>
      <c r="C131" s="11" t="s">
        <v>1431</v>
      </c>
      <c r="D131" s="4" t="s">
        <v>1428</v>
      </c>
      <c r="E131" s="11">
        <v>700</v>
      </c>
      <c r="F131" s="11">
        <v>100</v>
      </c>
      <c r="G131" s="11">
        <v>20</v>
      </c>
      <c r="H131" s="11">
        <v>-40</v>
      </c>
      <c r="I131" s="11">
        <f>IFERROR(INDEX(ShipPartShape!$A:$A,MATCH(D131,ShipPartShape!$B:$B,0)),"-")</f>
        <v>46000109</v>
      </c>
      <c r="J131" s="4" t="s">
        <v>1374</v>
      </c>
      <c r="K131" s="11">
        <f>IFERROR(INDEX(ShipPartShape!$A:$A,MATCH(J131,ShipPartShape!$B:$B,0)),"-")</f>
        <v>46700008</v>
      </c>
      <c r="L131" s="4" t="s">
        <v>69</v>
      </c>
      <c r="M131" s="11">
        <f>IFERROR(INDEX(ShipPartShape!$A:$A,MATCH(L131,ShipPartShape!$B:$B,0)),"-")</f>
        <v>46300001</v>
      </c>
      <c r="N131" s="4"/>
      <c r="O131" s="11" t="str">
        <f>IFERROR(INDEX(ShipPartShape!$A:$A,MATCH(N131,ShipPartShape!$B:$B,0)),"-")</f>
        <v>-</v>
      </c>
      <c r="P131" s="4"/>
      <c r="Q131" s="11" t="str">
        <f>IFERROR(INDEX(ShipPartShape!$A:$A,MATCH(P131,ShipPartShape!$B:$B,0)),"-")</f>
        <v>-</v>
      </c>
      <c r="R131" s="4"/>
      <c r="S131" s="11" t="str">
        <f>IFERROR(INDEX(ShipPartShape!$A:$A,MATCH(R131,ShipPartShape!$B:$B,0)),"-")</f>
        <v>-</v>
      </c>
      <c r="T131" s="4" t="s">
        <v>601</v>
      </c>
      <c r="U131" s="11">
        <f>IFERROR(INDEX(ShipPartShape!$A:$A,MATCH(T131,ShipPartShape!$B:$B,0)),"-")</f>
        <v>46600001</v>
      </c>
      <c r="V131" s="4" t="s">
        <v>604</v>
      </c>
      <c r="W131" s="11">
        <f>IFERROR(INDEX(ShipPartShape!$A:$A,MATCH(V131,ShipPartShape!$B:$B,0)),"-")</f>
        <v>46600005</v>
      </c>
      <c r="X131" s="4"/>
      <c r="Y131" s="11" t="str">
        <f>IFERROR(INDEX(ShipPartShape!$A:$A,MATCH(X131,ShipPartShape!$B:$B,0)),"-")</f>
        <v>-</v>
      </c>
      <c r="Z131" s="4"/>
      <c r="AA131" s="11" t="str">
        <f>IFERROR(INDEX(ShipPartShape!$A:$A,MATCH(Z131,ShipPartShape!$B:$B,0)),"-")</f>
        <v>-</v>
      </c>
      <c r="AB131" s="4"/>
      <c r="AC131" s="11" t="str">
        <f>IFERROR(INDEX(ShipPartShape!$A:$A,MATCH(AB131,ShipPartShape!$B:$B,0)),"-")</f>
        <v>-</v>
      </c>
      <c r="AD131" s="4"/>
      <c r="AE131" s="11" t="str">
        <f>IFERROR(INDEX(ShipPartShape!$A:$A,MATCH(AD131,ShipPartShape!$B:$B,0)),"-")</f>
        <v>-</v>
      </c>
      <c r="AF131" s="4"/>
      <c r="AG131" s="11" t="str">
        <f>IFERROR(INDEX(ShipPartShape!$A:$A,MATCH(AF131,ShipPartShape!$B:$B,0)),"-")</f>
        <v>-</v>
      </c>
      <c r="AH131" s="4"/>
      <c r="AI131" s="11" t="str">
        <f>IFERROR(INDEX(ShipPartShape!$A:$A,MATCH(AH131,ShipPartShape!$B:$B,0)),"-")</f>
        <v>-</v>
      </c>
      <c r="AJ131" s="11" t="s">
        <v>0</v>
      </c>
      <c r="AK131" s="11" t="s">
        <v>0</v>
      </c>
      <c r="AL131" s="11" t="s">
        <v>0</v>
      </c>
      <c r="AM131" s="11" t="s">
        <v>0</v>
      </c>
      <c r="AN131" s="11" t="s">
        <v>0</v>
      </c>
      <c r="AO131" s="11" t="s">
        <v>0</v>
      </c>
      <c r="AP131" s="11" t="s">
        <v>0</v>
      </c>
      <c r="AQ131" s="11" t="s">
        <v>0</v>
      </c>
      <c r="AR131" s="11" t="s">
        <v>0</v>
      </c>
      <c r="AS131" s="11" t="s">
        <v>0</v>
      </c>
      <c r="AT131" s="11" t="s">
        <v>0</v>
      </c>
      <c r="AU131" s="11">
        <v>47600016</v>
      </c>
      <c r="AV131" s="11" t="s">
        <v>0</v>
      </c>
      <c r="AW131" s="11" t="s">
        <v>0</v>
      </c>
      <c r="AX131" s="11" t="s">
        <v>0</v>
      </c>
    </row>
    <row r="132" spans="1:50" ht="15">
      <c r="A132" s="10">
        <f t="shared" si="1"/>
        <v>45000122</v>
      </c>
      <c r="B132" s="22" t="s">
        <v>1434</v>
      </c>
      <c r="C132" s="11" t="s">
        <v>1435</v>
      </c>
      <c r="D132" s="4" t="s">
        <v>1432</v>
      </c>
      <c r="E132" s="11">
        <v>600</v>
      </c>
      <c r="F132" s="11">
        <v>150</v>
      </c>
      <c r="G132" s="11">
        <v>20</v>
      </c>
      <c r="H132" s="11">
        <v>-40</v>
      </c>
      <c r="I132" s="11">
        <f>IFERROR(INDEX(ShipPartShape!$A:$A,MATCH(D132,ShipPartShape!$B:$B,0)),"-")</f>
        <v>46000110</v>
      </c>
      <c r="J132" s="4" t="s">
        <v>1213</v>
      </c>
      <c r="K132" s="11">
        <f>IFERROR(INDEX(ShipPartShape!$A:$A,MATCH(J132,ShipPartShape!$B:$B,0)),"-")</f>
        <v>46700010</v>
      </c>
      <c r="L132" s="4" t="s">
        <v>69</v>
      </c>
      <c r="M132" s="11">
        <f>IFERROR(INDEX(ShipPartShape!$A:$A,MATCH(L132,ShipPartShape!$B:$B,0)),"-")</f>
        <v>46300001</v>
      </c>
      <c r="N132" s="4"/>
      <c r="O132" s="11" t="str">
        <f>IFERROR(INDEX(ShipPartShape!$A:$A,MATCH(N132,ShipPartShape!$B:$B,0)),"-")</f>
        <v>-</v>
      </c>
      <c r="P132" s="4"/>
      <c r="Q132" s="11" t="str">
        <f>IFERROR(INDEX(ShipPartShape!$A:$A,MATCH(P132,ShipPartShape!$B:$B,0)),"-")</f>
        <v>-</v>
      </c>
      <c r="R132" s="4"/>
      <c r="S132" s="11" t="str">
        <f>IFERROR(INDEX(ShipPartShape!$A:$A,MATCH(R132,ShipPartShape!$B:$B,0)),"-")</f>
        <v>-</v>
      </c>
      <c r="T132" s="4" t="s">
        <v>602</v>
      </c>
      <c r="U132" s="11">
        <f>IFERROR(INDEX(ShipPartShape!$A:$A,MATCH(T132,ShipPartShape!$B:$B,0)),"-")</f>
        <v>46600002</v>
      </c>
      <c r="V132" s="4" t="s">
        <v>604</v>
      </c>
      <c r="W132" s="11">
        <f>IFERROR(INDEX(ShipPartShape!$A:$A,MATCH(V132,ShipPartShape!$B:$B,0)),"-")</f>
        <v>46600005</v>
      </c>
      <c r="X132" s="4" t="s">
        <v>608</v>
      </c>
      <c r="Y132" s="11">
        <f>IFERROR(INDEX(ShipPartShape!$A:$A,MATCH(X132,ShipPartShape!$B:$B,0)),"-")</f>
        <v>46600004</v>
      </c>
      <c r="Z132" s="4" t="s">
        <v>611</v>
      </c>
      <c r="AA132" s="11">
        <f>IFERROR(INDEX(ShipPartShape!$A:$A,MATCH(Z132,ShipPartShape!$B:$B,0)),"-")</f>
        <v>46600010</v>
      </c>
      <c r="AB132" s="4"/>
      <c r="AC132" s="11" t="str">
        <f>IFERROR(INDEX(ShipPartShape!$A:$A,MATCH(AB132,ShipPartShape!$B:$B,0)),"-")</f>
        <v>-</v>
      </c>
      <c r="AD132" s="4"/>
      <c r="AE132" s="11" t="str">
        <f>IFERROR(INDEX(ShipPartShape!$A:$A,MATCH(AD132,ShipPartShape!$B:$B,0)),"-")</f>
        <v>-</v>
      </c>
      <c r="AF132" s="4"/>
      <c r="AG132" s="11" t="str">
        <f>IFERROR(INDEX(ShipPartShape!$A:$A,MATCH(AF132,ShipPartShape!$B:$B,0)),"-")</f>
        <v>-</v>
      </c>
      <c r="AH132" s="4"/>
      <c r="AI132" s="11" t="str">
        <f>IFERROR(INDEX(ShipPartShape!$A:$A,MATCH(AH132,ShipPartShape!$B:$B,0)),"-")</f>
        <v>-</v>
      </c>
      <c r="AJ132" s="11" t="s">
        <v>0</v>
      </c>
      <c r="AK132" s="11" t="s">
        <v>0</v>
      </c>
      <c r="AL132" s="11" t="s">
        <v>0</v>
      </c>
      <c r="AM132" s="11" t="s">
        <v>0</v>
      </c>
      <c r="AN132" s="11" t="s">
        <v>0</v>
      </c>
      <c r="AO132" s="11" t="s">
        <v>0</v>
      </c>
      <c r="AP132" s="11" t="s">
        <v>0</v>
      </c>
      <c r="AQ132" s="11" t="s">
        <v>0</v>
      </c>
      <c r="AR132" s="11" t="s">
        <v>0</v>
      </c>
      <c r="AS132" s="11" t="s">
        <v>0</v>
      </c>
      <c r="AT132" s="11" t="s">
        <v>0</v>
      </c>
      <c r="AU132" s="11">
        <v>47600017</v>
      </c>
      <c r="AV132" s="11" t="s">
        <v>0</v>
      </c>
      <c r="AW132" s="11" t="s">
        <v>0</v>
      </c>
      <c r="AX132" s="11" t="s">
        <v>0</v>
      </c>
    </row>
    <row r="133" spans="1:50" ht="15">
      <c r="A133" s="10">
        <f t="shared" si="1"/>
        <v>45000123</v>
      </c>
      <c r="B133" s="22" t="s">
        <v>1448</v>
      </c>
      <c r="C133" s="11" t="s">
        <v>1438</v>
      </c>
      <c r="D133" s="4" t="s">
        <v>1436</v>
      </c>
      <c r="E133" s="11">
        <v>600</v>
      </c>
      <c r="F133" s="11">
        <v>100</v>
      </c>
      <c r="G133" s="11">
        <v>10</v>
      </c>
      <c r="H133" s="11">
        <v>-10</v>
      </c>
      <c r="I133" s="11">
        <f>IFERROR(INDEX(ShipPartShape!$A:$A,MATCH(D133,ShipPartShape!$B:$B,0)),"-")</f>
        <v>46000111</v>
      </c>
      <c r="J133" s="4" t="s">
        <v>1213</v>
      </c>
      <c r="K133" s="11">
        <f>IFERROR(INDEX(ShipPartShape!$A:$A,MATCH(J133,ShipPartShape!$B:$B,0)),"-")</f>
        <v>46700010</v>
      </c>
      <c r="L133" s="4" t="s">
        <v>69</v>
      </c>
      <c r="M133" s="11">
        <f>IFERROR(INDEX(ShipPartShape!$A:$A,MATCH(L133,ShipPartShape!$B:$B,0)),"-")</f>
        <v>46300001</v>
      </c>
      <c r="N133" s="4"/>
      <c r="O133" s="11" t="str">
        <f>IFERROR(INDEX(ShipPartShape!$A:$A,MATCH(N133,ShipPartShape!$B:$B,0)),"-")</f>
        <v>-</v>
      </c>
      <c r="P133" s="4"/>
      <c r="Q133" s="11" t="str">
        <f>IFERROR(INDEX(ShipPartShape!$A:$A,MATCH(P133,ShipPartShape!$B:$B,0)),"-")</f>
        <v>-</v>
      </c>
      <c r="R133" s="4"/>
      <c r="S133" s="11" t="str">
        <f>IFERROR(INDEX(ShipPartShape!$A:$A,MATCH(R133,ShipPartShape!$B:$B,0)),"-")</f>
        <v>-</v>
      </c>
      <c r="T133" s="4" t="s">
        <v>603</v>
      </c>
      <c r="U133" s="11">
        <f>IFERROR(INDEX(ShipPartShape!$A:$A,MATCH(T133,ShipPartShape!$B:$B,0)),"-")</f>
        <v>46600007</v>
      </c>
      <c r="V133" s="4" t="s">
        <v>604</v>
      </c>
      <c r="W133" s="11">
        <f>IFERROR(INDEX(ShipPartShape!$A:$A,MATCH(V133,ShipPartShape!$B:$B,0)),"-")</f>
        <v>46600005</v>
      </c>
      <c r="X133" s="4" t="s">
        <v>608</v>
      </c>
      <c r="Y133" s="11">
        <f>IFERROR(INDEX(ShipPartShape!$A:$A,MATCH(X133,ShipPartShape!$B:$B,0)),"-")</f>
        <v>46600004</v>
      </c>
      <c r="Z133" s="4"/>
      <c r="AA133" s="11" t="str">
        <f>IFERROR(INDEX(ShipPartShape!$A:$A,MATCH(Z133,ShipPartShape!$B:$B,0)),"-")</f>
        <v>-</v>
      </c>
      <c r="AB133" s="4"/>
      <c r="AC133" s="11" t="str">
        <f>IFERROR(INDEX(ShipPartShape!$A:$A,MATCH(AB133,ShipPartShape!$B:$B,0)),"-")</f>
        <v>-</v>
      </c>
      <c r="AD133" s="4"/>
      <c r="AE133" s="11" t="str">
        <f>IFERROR(INDEX(ShipPartShape!$A:$A,MATCH(AD133,ShipPartShape!$B:$B,0)),"-")</f>
        <v>-</v>
      </c>
      <c r="AF133" s="4"/>
      <c r="AG133" s="11" t="str">
        <f>IFERROR(INDEX(ShipPartShape!$A:$A,MATCH(AF133,ShipPartShape!$B:$B,0)),"-")</f>
        <v>-</v>
      </c>
      <c r="AH133" s="4"/>
      <c r="AI133" s="11" t="str">
        <f>IFERROR(INDEX(ShipPartShape!$A:$A,MATCH(AH133,ShipPartShape!$B:$B,0)),"-")</f>
        <v>-</v>
      </c>
      <c r="AJ133" s="11" t="s">
        <v>0</v>
      </c>
      <c r="AK133" s="11" t="s">
        <v>0</v>
      </c>
      <c r="AL133" s="11" t="s">
        <v>0</v>
      </c>
      <c r="AM133" s="11" t="s">
        <v>0</v>
      </c>
      <c r="AN133" s="11" t="s">
        <v>0</v>
      </c>
      <c r="AO133" s="11" t="s">
        <v>0</v>
      </c>
      <c r="AP133" s="11" t="s">
        <v>0</v>
      </c>
      <c r="AQ133" s="11" t="s">
        <v>0</v>
      </c>
      <c r="AR133" s="11" t="s">
        <v>0</v>
      </c>
      <c r="AS133" s="11" t="s">
        <v>0</v>
      </c>
      <c r="AT133" s="11" t="s">
        <v>0</v>
      </c>
      <c r="AU133" s="11">
        <v>47600015</v>
      </c>
      <c r="AV133" s="11" t="s">
        <v>0</v>
      </c>
      <c r="AW133" s="11" t="s">
        <v>0</v>
      </c>
      <c r="AX133" s="11" t="s">
        <v>0</v>
      </c>
    </row>
    <row r="134" spans="1:50" ht="15">
      <c r="A134" s="10">
        <f t="shared" si="1"/>
        <v>45000124</v>
      </c>
      <c r="B134" s="22" t="s">
        <v>1440</v>
      </c>
      <c r="C134" s="11" t="s">
        <v>1442</v>
      </c>
      <c r="D134" s="4" t="s">
        <v>1441</v>
      </c>
      <c r="E134" s="11">
        <v>600</v>
      </c>
      <c r="F134" s="11">
        <v>100</v>
      </c>
      <c r="G134" s="11">
        <v>20</v>
      </c>
      <c r="H134" s="11">
        <v>-40</v>
      </c>
      <c r="I134" s="11">
        <f>IFERROR(INDEX(ShipPartShape!$A:$A,MATCH(D134,ShipPartShape!$B:$B,0)),"-")</f>
        <v>46000112</v>
      </c>
      <c r="J134" s="4" t="s">
        <v>1212</v>
      </c>
      <c r="K134" s="11">
        <f>IFERROR(INDEX(ShipPartShape!$A:$A,MATCH(J134,ShipPartShape!$B:$B,0)),"-")</f>
        <v>46700005</v>
      </c>
      <c r="L134" s="4" t="s">
        <v>69</v>
      </c>
      <c r="M134" s="11">
        <f>IFERROR(INDEX(ShipPartShape!$A:$A,MATCH(L134,ShipPartShape!$B:$B,0)),"-")</f>
        <v>46300001</v>
      </c>
      <c r="N134" s="4"/>
      <c r="O134" s="11" t="str">
        <f>IFERROR(INDEX(ShipPartShape!$A:$A,MATCH(N134,ShipPartShape!$B:$B,0)),"-")</f>
        <v>-</v>
      </c>
      <c r="P134" s="4"/>
      <c r="Q134" s="11" t="str">
        <f>IFERROR(INDEX(ShipPartShape!$A:$A,MATCH(P134,ShipPartShape!$B:$B,0)),"-")</f>
        <v>-</v>
      </c>
      <c r="R134" s="4"/>
      <c r="S134" s="11" t="str">
        <f>IFERROR(INDEX(ShipPartShape!$A:$A,MATCH(R134,ShipPartShape!$B:$B,0)),"-")</f>
        <v>-</v>
      </c>
      <c r="T134" s="4" t="s">
        <v>601</v>
      </c>
      <c r="U134" s="11">
        <f>IFERROR(INDEX(ShipPartShape!$A:$A,MATCH(T134,ShipPartShape!$B:$B,0)),"-")</f>
        <v>46600001</v>
      </c>
      <c r="V134" s="4" t="s">
        <v>606</v>
      </c>
      <c r="W134" s="11">
        <f>IFERROR(INDEX(ShipPartShape!$A:$A,MATCH(V134,ShipPartShape!$B:$B,0)),"-")</f>
        <v>46600003</v>
      </c>
      <c r="X134" s="4" t="s">
        <v>604</v>
      </c>
      <c r="Y134" s="11">
        <f>IFERROR(INDEX(ShipPartShape!$A:$A,MATCH(X134,ShipPartShape!$B:$B,0)),"-")</f>
        <v>46600005</v>
      </c>
      <c r="Z134" s="4"/>
      <c r="AA134" s="11" t="str">
        <f>IFERROR(INDEX(ShipPartShape!$A:$A,MATCH(Z134,ShipPartShape!$B:$B,0)),"-")</f>
        <v>-</v>
      </c>
      <c r="AB134" s="4"/>
      <c r="AC134" s="11" t="str">
        <f>IFERROR(INDEX(ShipPartShape!$A:$A,MATCH(AB134,ShipPartShape!$B:$B,0)),"-")</f>
        <v>-</v>
      </c>
      <c r="AD134" s="4"/>
      <c r="AE134" s="11" t="str">
        <f>IFERROR(INDEX(ShipPartShape!$A:$A,MATCH(AD134,ShipPartShape!$B:$B,0)),"-")</f>
        <v>-</v>
      </c>
      <c r="AF134" s="4"/>
      <c r="AG134" s="11" t="str">
        <f>IFERROR(INDEX(ShipPartShape!$A:$A,MATCH(AF134,ShipPartShape!$B:$B,0)),"-")</f>
        <v>-</v>
      </c>
      <c r="AH134" s="4"/>
      <c r="AI134" s="11" t="str">
        <f>IFERROR(INDEX(ShipPartShape!$A:$A,MATCH(AH134,ShipPartShape!$B:$B,0)),"-")</f>
        <v>-</v>
      </c>
      <c r="AJ134" s="11" t="s">
        <v>0</v>
      </c>
      <c r="AK134" s="11" t="s">
        <v>0</v>
      </c>
      <c r="AL134" s="11" t="s">
        <v>0</v>
      </c>
      <c r="AM134" s="11" t="s">
        <v>0</v>
      </c>
      <c r="AN134" s="11" t="s">
        <v>0</v>
      </c>
      <c r="AO134" s="11" t="s">
        <v>0</v>
      </c>
      <c r="AP134" s="11" t="s">
        <v>0</v>
      </c>
      <c r="AQ134" s="11" t="s">
        <v>0</v>
      </c>
      <c r="AR134" s="11" t="s">
        <v>0</v>
      </c>
      <c r="AS134" s="11" t="s">
        <v>0</v>
      </c>
      <c r="AT134" s="11" t="s">
        <v>0</v>
      </c>
      <c r="AU134" s="11">
        <v>47600016</v>
      </c>
      <c r="AV134" s="11" t="s">
        <v>0</v>
      </c>
      <c r="AW134" s="11" t="s">
        <v>0</v>
      </c>
      <c r="AX134" s="11" t="s">
        <v>0</v>
      </c>
    </row>
    <row r="135" spans="1:50" ht="15">
      <c r="A135" s="10">
        <f t="shared" si="1"/>
        <v>45000125</v>
      </c>
      <c r="B135" s="22" t="s">
        <v>1644</v>
      </c>
      <c r="C135" s="11" t="s">
        <v>1450</v>
      </c>
      <c r="D135" s="4" t="s">
        <v>1647</v>
      </c>
      <c r="E135" s="11">
        <v>700</v>
      </c>
      <c r="F135" s="11">
        <v>150</v>
      </c>
      <c r="G135" s="11">
        <v>10</v>
      </c>
      <c r="H135" s="11">
        <v>-40</v>
      </c>
      <c r="I135" s="11">
        <f>IFERROR(INDEX(ShipPartShape!$A:$A,MATCH(D135,ShipPartShape!$B:$B,0)),"-")</f>
        <v>46000113</v>
      </c>
      <c r="J135" s="4" t="s">
        <v>1257</v>
      </c>
      <c r="K135" s="11">
        <f>IFERROR(INDEX(ShipPartShape!$A:$A,MATCH(J135,ShipPartShape!$B:$B,0)),"-")</f>
        <v>46700012</v>
      </c>
      <c r="L135" s="4" t="s">
        <v>1413</v>
      </c>
      <c r="M135" s="11">
        <f>IFERROR(INDEX(ShipPartShape!$A:$A,MATCH(L135,ShipPartShape!$B:$B,0)),"-")</f>
        <v>46300003</v>
      </c>
      <c r="N135" s="4"/>
      <c r="O135" s="11" t="str">
        <f>IFERROR(INDEX(ShipPartShape!$A:$A,MATCH(N135,ShipPartShape!$B:$B,0)),"-")</f>
        <v>-</v>
      </c>
      <c r="P135" s="4"/>
      <c r="Q135" s="11" t="str">
        <f>IFERROR(INDEX(ShipPartShape!$A:$A,MATCH(P135,ShipPartShape!$B:$B,0)),"-")</f>
        <v>-</v>
      </c>
      <c r="R135" s="4"/>
      <c r="S135" s="11" t="str">
        <f>IFERROR(INDEX(ShipPartShape!$A:$A,MATCH(R135,ShipPartShape!$B:$B,0)),"-")</f>
        <v>-</v>
      </c>
      <c r="T135" s="4" t="s">
        <v>602</v>
      </c>
      <c r="U135" s="11">
        <f>IFERROR(INDEX(ShipPartShape!$A:$A,MATCH(T135,ShipPartShape!$B:$B,0)),"-")</f>
        <v>46600002</v>
      </c>
      <c r="V135" s="4" t="s">
        <v>611</v>
      </c>
      <c r="W135" s="11">
        <f>IFERROR(INDEX(ShipPartShape!$A:$A,MATCH(V135,ShipPartShape!$B:$B,0)),"-")</f>
        <v>46600010</v>
      </c>
      <c r="X135" s="4" t="s">
        <v>609</v>
      </c>
      <c r="Y135" s="11">
        <f>IFERROR(INDEX(ShipPartShape!$A:$A,MATCH(X135,ShipPartShape!$B:$B,0)),"-")</f>
        <v>46600011</v>
      </c>
      <c r="Z135" s="4" t="s">
        <v>606</v>
      </c>
      <c r="AA135" s="11">
        <f>IFERROR(INDEX(ShipPartShape!$A:$A,MATCH(Z135,ShipPartShape!$B:$B,0)),"-")</f>
        <v>46600003</v>
      </c>
      <c r="AB135" s="4"/>
      <c r="AC135" s="11" t="str">
        <f>IFERROR(INDEX(ShipPartShape!$A:$A,MATCH(AB135,ShipPartShape!$B:$B,0)),"-")</f>
        <v>-</v>
      </c>
      <c r="AD135" s="4"/>
      <c r="AE135" s="11" t="str">
        <f>IFERROR(INDEX(ShipPartShape!$A:$A,MATCH(AD135,ShipPartShape!$B:$B,0)),"-")</f>
        <v>-</v>
      </c>
      <c r="AF135" s="4"/>
      <c r="AG135" s="11" t="str">
        <f>IFERROR(INDEX(ShipPartShape!$A:$A,MATCH(AF135,ShipPartShape!$B:$B,0)),"-")</f>
        <v>-</v>
      </c>
      <c r="AH135" s="4"/>
      <c r="AI135" s="11" t="str">
        <f>IFERROR(INDEX(ShipPartShape!$A:$A,MATCH(AH135,ShipPartShape!$B:$B,0)),"-")</f>
        <v>-</v>
      </c>
      <c r="AJ135" s="11" t="s">
        <v>0</v>
      </c>
      <c r="AK135" s="11" t="s">
        <v>0</v>
      </c>
      <c r="AL135" s="11" t="s">
        <v>0</v>
      </c>
      <c r="AM135" s="11" t="s">
        <v>0</v>
      </c>
      <c r="AN135" s="11" t="s">
        <v>0</v>
      </c>
      <c r="AO135" s="11" t="s">
        <v>0</v>
      </c>
      <c r="AP135" s="11" t="s">
        <v>0</v>
      </c>
      <c r="AQ135" s="11" t="s">
        <v>0</v>
      </c>
      <c r="AR135" s="11" t="s">
        <v>0</v>
      </c>
      <c r="AS135" s="11" t="s">
        <v>0</v>
      </c>
      <c r="AT135" s="11" t="s">
        <v>0</v>
      </c>
      <c r="AU135" s="11">
        <v>47600018</v>
      </c>
      <c r="AV135" s="11" t="s">
        <v>0</v>
      </c>
      <c r="AW135" s="11" t="s">
        <v>0</v>
      </c>
      <c r="AX135" s="11" t="s">
        <v>0</v>
      </c>
    </row>
    <row r="136" spans="1:50" ht="15">
      <c r="A136" s="10">
        <f t="shared" si="1"/>
        <v>45000126</v>
      </c>
      <c r="B136" s="22" t="s">
        <v>1453</v>
      </c>
      <c r="C136" s="11" t="s">
        <v>1454</v>
      </c>
      <c r="D136" s="4" t="s">
        <v>1451</v>
      </c>
      <c r="E136" s="11">
        <v>600</v>
      </c>
      <c r="F136" s="11">
        <v>100</v>
      </c>
      <c r="G136" s="11">
        <v>10</v>
      </c>
      <c r="H136" s="11">
        <v>-40</v>
      </c>
      <c r="I136" s="11">
        <f>IFERROR(INDEX(ShipPartShape!$A:$A,MATCH(D136,ShipPartShape!$B:$B,0)),"-")</f>
        <v>46000114</v>
      </c>
      <c r="J136" s="4" t="s">
        <v>1212</v>
      </c>
      <c r="K136" s="11">
        <f>IFERROR(INDEX(ShipPartShape!$A:$A,MATCH(J136,ShipPartShape!$B:$B,0)),"-")</f>
        <v>46700005</v>
      </c>
      <c r="L136" s="4" t="s">
        <v>69</v>
      </c>
      <c r="M136" s="11">
        <f>IFERROR(INDEX(ShipPartShape!$A:$A,MATCH(L136,ShipPartShape!$B:$B,0)),"-")</f>
        <v>46300001</v>
      </c>
      <c r="N136" s="4"/>
      <c r="O136" s="11" t="str">
        <f>IFERROR(INDEX(ShipPartShape!$A:$A,MATCH(N136,ShipPartShape!$B:$B,0)),"-")</f>
        <v>-</v>
      </c>
      <c r="P136" s="4"/>
      <c r="Q136" s="11" t="str">
        <f>IFERROR(INDEX(ShipPartShape!$A:$A,MATCH(P136,ShipPartShape!$B:$B,0)),"-")</f>
        <v>-</v>
      </c>
      <c r="R136" s="4"/>
      <c r="S136" s="11" t="str">
        <f>IFERROR(INDEX(ShipPartShape!$A:$A,MATCH(R136,ShipPartShape!$B:$B,0)),"-")</f>
        <v>-</v>
      </c>
      <c r="T136" s="4" t="s">
        <v>601</v>
      </c>
      <c r="U136" s="11">
        <f>IFERROR(INDEX(ShipPartShape!$A:$A,MATCH(T136,ShipPartShape!$B:$B,0)),"-")</f>
        <v>46600001</v>
      </c>
      <c r="V136" s="4" t="s">
        <v>606</v>
      </c>
      <c r="W136" s="11">
        <f>IFERROR(INDEX(ShipPartShape!$A:$A,MATCH(V136,ShipPartShape!$B:$B,0)),"-")</f>
        <v>46600003</v>
      </c>
      <c r="X136" s="4" t="s">
        <v>604</v>
      </c>
      <c r="Y136" s="11">
        <f>IFERROR(INDEX(ShipPartShape!$A:$A,MATCH(X136,ShipPartShape!$B:$B,0)),"-")</f>
        <v>46600005</v>
      </c>
      <c r="Z136" s="4" t="s">
        <v>605</v>
      </c>
      <c r="AA136" s="11">
        <f>IFERROR(INDEX(ShipPartShape!$A:$A,MATCH(Z136,ShipPartShape!$B:$B,0)),"-")</f>
        <v>46600009</v>
      </c>
      <c r="AB136" s="4"/>
      <c r="AC136" s="11" t="str">
        <f>IFERROR(INDEX(ShipPartShape!$A:$A,MATCH(AB136,ShipPartShape!$B:$B,0)),"-")</f>
        <v>-</v>
      </c>
      <c r="AD136" s="4"/>
      <c r="AE136" s="11" t="str">
        <f>IFERROR(INDEX(ShipPartShape!$A:$A,MATCH(AD136,ShipPartShape!$B:$B,0)),"-")</f>
        <v>-</v>
      </c>
      <c r="AF136" s="4"/>
      <c r="AG136" s="11" t="str">
        <f>IFERROR(INDEX(ShipPartShape!$A:$A,MATCH(AF136,ShipPartShape!$B:$B,0)),"-")</f>
        <v>-</v>
      </c>
      <c r="AH136" s="4"/>
      <c r="AI136" s="11" t="str">
        <f>IFERROR(INDEX(ShipPartShape!$A:$A,MATCH(AH136,ShipPartShape!$B:$B,0)),"-")</f>
        <v>-</v>
      </c>
      <c r="AJ136" s="11" t="s">
        <v>0</v>
      </c>
      <c r="AK136" s="11" t="s">
        <v>0</v>
      </c>
      <c r="AL136" s="11" t="s">
        <v>0</v>
      </c>
      <c r="AM136" s="11" t="s">
        <v>0</v>
      </c>
      <c r="AN136" s="11" t="s">
        <v>0</v>
      </c>
      <c r="AO136" s="11" t="s">
        <v>0</v>
      </c>
      <c r="AP136" s="11" t="s">
        <v>0</v>
      </c>
      <c r="AQ136" s="11" t="s">
        <v>0</v>
      </c>
      <c r="AR136" s="11" t="s">
        <v>0</v>
      </c>
      <c r="AS136" s="11" t="s">
        <v>0</v>
      </c>
      <c r="AT136" s="11" t="s">
        <v>0</v>
      </c>
      <c r="AU136" s="11">
        <v>47600015</v>
      </c>
      <c r="AV136" s="11" t="s">
        <v>0</v>
      </c>
      <c r="AW136" s="11" t="s">
        <v>0</v>
      </c>
      <c r="AX136" s="11" t="s">
        <v>0</v>
      </c>
    </row>
    <row r="137" spans="1:50" ht="15">
      <c r="A137" s="10">
        <f t="shared" si="1"/>
        <v>45000127</v>
      </c>
      <c r="B137" s="22" t="s">
        <v>1458</v>
      </c>
      <c r="C137" s="11" t="s">
        <v>1459</v>
      </c>
      <c r="D137" s="4" t="s">
        <v>1460</v>
      </c>
      <c r="E137" s="11">
        <v>700</v>
      </c>
      <c r="F137" s="11">
        <v>150</v>
      </c>
      <c r="G137" s="11">
        <v>20</v>
      </c>
      <c r="H137" s="11">
        <v>-40</v>
      </c>
      <c r="I137" s="11">
        <f>IFERROR(INDEX(ShipPartShape!$A:$A,MATCH(D137,ShipPartShape!$B:$B,0)),"-")</f>
        <v>46000115</v>
      </c>
      <c r="J137" s="4" t="s">
        <v>1392</v>
      </c>
      <c r="K137" s="11">
        <f>IFERROR(INDEX(ShipPartShape!$A:$A,MATCH(J137,ShipPartShape!$B:$B,0)),"-")</f>
        <v>46700007</v>
      </c>
      <c r="L137" s="4" t="s">
        <v>69</v>
      </c>
      <c r="M137" s="11">
        <f>IFERROR(INDEX(ShipPartShape!$A:$A,MATCH(L137,ShipPartShape!$B:$B,0)),"-")</f>
        <v>46300001</v>
      </c>
      <c r="N137" s="4" t="s">
        <v>1456</v>
      </c>
      <c r="O137" s="11">
        <f>IFERROR(INDEX(ShipPartShape!$A:$A,MATCH(N137,ShipPartShape!$B:$B,0)),"-")</f>
        <v>46500019</v>
      </c>
      <c r="P137" s="4"/>
      <c r="Q137" s="11" t="str">
        <f>IFERROR(INDEX(ShipPartShape!$A:$A,MATCH(P137,ShipPartShape!$B:$B,0)),"-")</f>
        <v>-</v>
      </c>
      <c r="R137" s="4"/>
      <c r="S137" s="11" t="str">
        <f>IFERROR(INDEX(ShipPartShape!$A:$A,MATCH(R137,ShipPartShape!$B:$B,0)),"-")</f>
        <v>-</v>
      </c>
      <c r="T137" s="4"/>
      <c r="U137" s="11" t="str">
        <f>IFERROR(INDEX(ShipPartShape!$A:$A,MATCH(T137,ShipPartShape!$B:$B,0)),"-")</f>
        <v>-</v>
      </c>
      <c r="V137" s="4"/>
      <c r="W137" s="11" t="str">
        <f>IFERROR(INDEX(ShipPartShape!$A:$A,MATCH(V137,ShipPartShape!$B:$B,0)),"-")</f>
        <v>-</v>
      </c>
      <c r="X137" s="4"/>
      <c r="Y137" s="11" t="str">
        <f>IFERROR(INDEX(ShipPartShape!$A:$A,MATCH(X137,ShipPartShape!$B:$B,0)),"-")</f>
        <v>-</v>
      </c>
      <c r="Z137" s="4"/>
      <c r="AA137" s="11" t="str">
        <f>IFERROR(INDEX(ShipPartShape!$A:$A,MATCH(Z137,ShipPartShape!$B:$B,0)),"-")</f>
        <v>-</v>
      </c>
      <c r="AB137" s="4"/>
      <c r="AC137" s="11" t="str">
        <f>IFERROR(INDEX(ShipPartShape!$A:$A,MATCH(AB137,ShipPartShape!$B:$B,0)),"-")</f>
        <v>-</v>
      </c>
      <c r="AD137" s="4"/>
      <c r="AE137" s="11" t="str">
        <f>IFERROR(INDEX(ShipPartShape!$A:$A,MATCH(AD137,ShipPartShape!$B:$B,0)),"-")</f>
        <v>-</v>
      </c>
      <c r="AF137" s="4"/>
      <c r="AG137" s="11" t="str">
        <f>IFERROR(INDEX(ShipPartShape!$A:$A,MATCH(AF137,ShipPartShape!$B:$B,0)),"-")</f>
        <v>-</v>
      </c>
      <c r="AH137" s="4"/>
      <c r="AI137" s="11" t="str">
        <f>IFERROR(INDEX(ShipPartShape!$A:$A,MATCH(AH137,ShipPartShape!$B:$B,0)),"-")</f>
        <v>-</v>
      </c>
      <c r="AJ137" s="11" t="s">
        <v>0</v>
      </c>
      <c r="AK137" s="11" t="s">
        <v>0</v>
      </c>
      <c r="AL137" s="11" t="s">
        <v>0</v>
      </c>
      <c r="AM137" s="11" t="s">
        <v>0</v>
      </c>
      <c r="AN137" s="11" t="s">
        <v>0</v>
      </c>
      <c r="AO137" s="11" t="s">
        <v>0</v>
      </c>
      <c r="AP137" s="11" t="s">
        <v>0</v>
      </c>
      <c r="AQ137" s="11" t="s">
        <v>0</v>
      </c>
      <c r="AR137" s="11" t="s">
        <v>0</v>
      </c>
      <c r="AS137" s="11" t="s">
        <v>0</v>
      </c>
      <c r="AT137" s="11" t="s">
        <v>0</v>
      </c>
      <c r="AU137" s="11">
        <v>47600017</v>
      </c>
      <c r="AV137" s="11" t="s">
        <v>0</v>
      </c>
      <c r="AW137" s="11" t="s">
        <v>0</v>
      </c>
      <c r="AX137" s="11" t="s">
        <v>0</v>
      </c>
    </row>
    <row r="138" spans="1:50" ht="15">
      <c r="A138" s="10">
        <f t="shared" si="1"/>
        <v>45000128</v>
      </c>
      <c r="B138" s="22" t="s">
        <v>1465</v>
      </c>
      <c r="C138" s="11" t="s">
        <v>1466</v>
      </c>
      <c r="D138" s="4" t="s">
        <v>1461</v>
      </c>
      <c r="E138" s="11">
        <v>700</v>
      </c>
      <c r="F138" s="11">
        <v>150</v>
      </c>
      <c r="G138" s="11">
        <v>20</v>
      </c>
      <c r="H138" s="11">
        <v>-40</v>
      </c>
      <c r="I138" s="11">
        <f>IFERROR(INDEX(ShipPartShape!$A:$A,MATCH(D138,ShipPartShape!$B:$B,0)),"-")</f>
        <v>46000116</v>
      </c>
      <c r="J138" s="4" t="s">
        <v>1392</v>
      </c>
      <c r="K138" s="11">
        <f>IFERROR(INDEX(ShipPartShape!$A:$A,MATCH(J138,ShipPartShape!$B:$B,0)),"-")</f>
        <v>46700007</v>
      </c>
      <c r="L138" s="4" t="s">
        <v>69</v>
      </c>
      <c r="M138" s="11">
        <f>IFERROR(INDEX(ShipPartShape!$A:$A,MATCH(L138,ShipPartShape!$B:$B,0)),"-")</f>
        <v>46300001</v>
      </c>
      <c r="N138" s="4" t="s">
        <v>1463</v>
      </c>
      <c r="O138" s="11">
        <f>IFERROR(INDEX(ShipPartShape!$A:$A,MATCH(N138,ShipPartShape!$B:$B,0)),"-")</f>
        <v>46500020</v>
      </c>
      <c r="P138" s="4"/>
      <c r="Q138" s="11" t="str">
        <f>IFERROR(INDEX(ShipPartShape!$A:$A,MATCH(P138,ShipPartShape!$B:$B,0)),"-")</f>
        <v>-</v>
      </c>
      <c r="R138" s="4"/>
      <c r="S138" s="11" t="str">
        <f>IFERROR(INDEX(ShipPartShape!$A:$A,MATCH(R138,ShipPartShape!$B:$B,0)),"-")</f>
        <v>-</v>
      </c>
      <c r="T138" s="4"/>
      <c r="U138" s="11" t="str">
        <f>IFERROR(INDEX(ShipPartShape!$A:$A,MATCH(T138,ShipPartShape!$B:$B,0)),"-")</f>
        <v>-</v>
      </c>
      <c r="V138" s="4"/>
      <c r="W138" s="11" t="str">
        <f>IFERROR(INDEX(ShipPartShape!$A:$A,MATCH(V138,ShipPartShape!$B:$B,0)),"-")</f>
        <v>-</v>
      </c>
      <c r="X138" s="4"/>
      <c r="Y138" s="11" t="str">
        <f>IFERROR(INDEX(ShipPartShape!$A:$A,MATCH(X138,ShipPartShape!$B:$B,0)),"-")</f>
        <v>-</v>
      </c>
      <c r="Z138" s="4"/>
      <c r="AA138" s="11" t="str">
        <f>IFERROR(INDEX(ShipPartShape!$A:$A,MATCH(Z138,ShipPartShape!$B:$B,0)),"-")</f>
        <v>-</v>
      </c>
      <c r="AB138" s="4"/>
      <c r="AC138" s="11" t="str">
        <f>IFERROR(INDEX(ShipPartShape!$A:$A,MATCH(AB138,ShipPartShape!$B:$B,0)),"-")</f>
        <v>-</v>
      </c>
      <c r="AD138" s="4"/>
      <c r="AE138" s="11" t="str">
        <f>IFERROR(INDEX(ShipPartShape!$A:$A,MATCH(AD138,ShipPartShape!$B:$B,0)),"-")</f>
        <v>-</v>
      </c>
      <c r="AF138" s="4"/>
      <c r="AG138" s="11" t="str">
        <f>IFERROR(INDEX(ShipPartShape!$A:$A,MATCH(AF138,ShipPartShape!$B:$B,0)),"-")</f>
        <v>-</v>
      </c>
      <c r="AH138" s="4"/>
      <c r="AI138" s="11" t="str">
        <f>IFERROR(INDEX(ShipPartShape!$A:$A,MATCH(AH138,ShipPartShape!$B:$B,0)),"-")</f>
        <v>-</v>
      </c>
      <c r="AJ138" s="11" t="s">
        <v>0</v>
      </c>
      <c r="AK138" s="11" t="s">
        <v>0</v>
      </c>
      <c r="AL138" s="11" t="s">
        <v>0</v>
      </c>
      <c r="AM138" s="11" t="s">
        <v>0</v>
      </c>
      <c r="AN138" s="11" t="s">
        <v>0</v>
      </c>
      <c r="AO138" s="11" t="s">
        <v>0</v>
      </c>
      <c r="AP138" s="11" t="s">
        <v>0</v>
      </c>
      <c r="AQ138" s="11" t="s">
        <v>0</v>
      </c>
      <c r="AR138" s="11" t="s">
        <v>0</v>
      </c>
      <c r="AS138" s="11" t="s">
        <v>0</v>
      </c>
      <c r="AT138" s="11" t="s">
        <v>0</v>
      </c>
      <c r="AU138" s="11">
        <v>47600018</v>
      </c>
      <c r="AV138" s="11" t="s">
        <v>0</v>
      </c>
      <c r="AW138" s="11" t="s">
        <v>0</v>
      </c>
      <c r="AX138" s="11" t="s">
        <v>0</v>
      </c>
    </row>
    <row r="139" spans="1:50" ht="15">
      <c r="A139" s="10">
        <f t="shared" si="1"/>
        <v>45000129</v>
      </c>
      <c r="B139" s="22" t="s">
        <v>1645</v>
      </c>
      <c r="C139" s="11" t="s">
        <v>1468</v>
      </c>
      <c r="D139" s="4" t="s">
        <v>1648</v>
      </c>
      <c r="E139" s="11">
        <v>700</v>
      </c>
      <c r="F139" s="11">
        <v>150</v>
      </c>
      <c r="G139" s="11">
        <v>20</v>
      </c>
      <c r="H139" s="11">
        <v>-40</v>
      </c>
      <c r="I139" s="11">
        <f>IFERROR(INDEX(ShipPartShape!$A:$A,MATCH(D139,ShipPartShape!$B:$B,0)),"-")</f>
        <v>46000117</v>
      </c>
      <c r="J139" s="4" t="s">
        <v>1257</v>
      </c>
      <c r="K139" s="11">
        <f>IFERROR(INDEX(ShipPartShape!$A:$A,MATCH(J139,ShipPartShape!$B:$B,0)),"-")</f>
        <v>46700012</v>
      </c>
      <c r="L139" s="4"/>
      <c r="M139" s="11" t="str">
        <f>IFERROR(INDEX(ShipPartShape!$A:$A,MATCH(L139,ShipPartShape!$B:$B,0)),"-")</f>
        <v>-</v>
      </c>
      <c r="N139" s="4"/>
      <c r="O139" s="11" t="str">
        <f>IFERROR(INDEX(ShipPartShape!$A:$A,MATCH(N139,ShipPartShape!$B:$B,0)),"-")</f>
        <v>-</v>
      </c>
      <c r="P139" s="4"/>
      <c r="Q139" s="11" t="str">
        <f>IFERROR(INDEX(ShipPartShape!$A:$A,MATCH(P139,ShipPartShape!$B:$B,0)),"-")</f>
        <v>-</v>
      </c>
      <c r="R139" s="4"/>
      <c r="S139" s="11" t="str">
        <f>IFERROR(INDEX(ShipPartShape!$A:$A,MATCH(R139,ShipPartShape!$B:$B,0)),"-")</f>
        <v>-</v>
      </c>
      <c r="T139" s="4"/>
      <c r="U139" s="11" t="str">
        <f>IFERROR(INDEX(ShipPartShape!$A:$A,MATCH(T139,ShipPartShape!$B:$B,0)),"-")</f>
        <v>-</v>
      </c>
      <c r="V139" s="4" t="s">
        <v>602</v>
      </c>
      <c r="W139" s="11">
        <f>IFERROR(INDEX(ShipPartShape!$A:$A,MATCH(V139,ShipPartShape!$B:$B,0)),"-")</f>
        <v>46600002</v>
      </c>
      <c r="X139" s="4" t="s">
        <v>603</v>
      </c>
      <c r="Y139" s="11">
        <f>IFERROR(INDEX(ShipPartShape!$A:$A,MATCH(X139,ShipPartShape!$B:$B,0)),"-")</f>
        <v>46600007</v>
      </c>
      <c r="Z139" s="4"/>
      <c r="AA139" s="11" t="str">
        <f>IFERROR(INDEX(ShipPartShape!$A:$A,MATCH(Z139,ShipPartShape!$B:$B,0)),"-")</f>
        <v>-</v>
      </c>
      <c r="AB139" s="4"/>
      <c r="AC139" s="11" t="str">
        <f>IFERROR(INDEX(ShipPartShape!$A:$A,MATCH(AB139,ShipPartShape!$B:$B,0)),"-")</f>
        <v>-</v>
      </c>
      <c r="AD139" s="4"/>
      <c r="AE139" s="11" t="str">
        <f>IFERROR(INDEX(ShipPartShape!$A:$A,MATCH(AD139,ShipPartShape!$B:$B,0)),"-")</f>
        <v>-</v>
      </c>
      <c r="AF139" s="4"/>
      <c r="AG139" s="11" t="str">
        <f>IFERROR(INDEX(ShipPartShape!$A:$A,MATCH(AF139,ShipPartShape!$B:$B,0)),"-")</f>
        <v>-</v>
      </c>
      <c r="AH139" s="4"/>
      <c r="AI139" s="11" t="str">
        <f>IFERROR(INDEX(ShipPartShape!$A:$A,MATCH(AH139,ShipPartShape!$B:$B,0)),"-")</f>
        <v>-</v>
      </c>
      <c r="AJ139" s="11" t="s">
        <v>0</v>
      </c>
      <c r="AK139" s="11" t="s">
        <v>0</v>
      </c>
      <c r="AL139" s="11" t="s">
        <v>0</v>
      </c>
      <c r="AM139" s="11" t="s">
        <v>0</v>
      </c>
      <c r="AN139" s="11" t="s">
        <v>0</v>
      </c>
      <c r="AO139" s="11" t="s">
        <v>0</v>
      </c>
      <c r="AP139" s="11" t="s">
        <v>0</v>
      </c>
      <c r="AQ139" s="11" t="s">
        <v>0</v>
      </c>
      <c r="AR139" s="11" t="s">
        <v>0</v>
      </c>
      <c r="AS139" s="11" t="s">
        <v>0</v>
      </c>
      <c r="AT139" s="11" t="s">
        <v>0</v>
      </c>
      <c r="AU139" s="11">
        <v>47600018</v>
      </c>
      <c r="AV139" s="11" t="s">
        <v>0</v>
      </c>
      <c r="AW139" s="11" t="s">
        <v>0</v>
      </c>
      <c r="AX139" s="11" t="s">
        <v>0</v>
      </c>
    </row>
    <row r="140" spans="1:50" ht="15">
      <c r="A140" s="10">
        <f t="shared" ref="A140:A203" si="2">A139+1</f>
        <v>45000130</v>
      </c>
      <c r="B140" s="22" t="s">
        <v>1471</v>
      </c>
      <c r="C140" s="11" t="s">
        <v>1472</v>
      </c>
      <c r="D140" s="4" t="s">
        <v>1469</v>
      </c>
      <c r="E140" s="11">
        <v>700</v>
      </c>
      <c r="F140" s="11">
        <v>100</v>
      </c>
      <c r="G140" s="11">
        <v>20</v>
      </c>
      <c r="H140" s="11">
        <v>-40</v>
      </c>
      <c r="I140" s="11">
        <f>IFERROR(INDEX(ShipPartShape!$A:$A,MATCH(D140,ShipPartShape!$B:$B,0)),"-")</f>
        <v>46000118</v>
      </c>
      <c r="J140" s="4" t="s">
        <v>1215</v>
      </c>
      <c r="K140" s="11">
        <f>IFERROR(INDEX(ShipPartShape!$A:$A,MATCH(J140,ShipPartShape!$B:$B,0)),"-")</f>
        <v>46700013</v>
      </c>
      <c r="L140" s="4"/>
      <c r="M140" s="11" t="str">
        <f>IFERROR(INDEX(ShipPartShape!$A:$A,MATCH(L140,ShipPartShape!$B:$B,0)),"-")</f>
        <v>-</v>
      </c>
      <c r="N140" s="4"/>
      <c r="O140" s="11" t="str">
        <f>IFERROR(INDEX(ShipPartShape!$A:$A,MATCH(N140,ShipPartShape!$B:$B,0)),"-")</f>
        <v>-</v>
      </c>
      <c r="P140" s="4"/>
      <c r="Q140" s="11" t="str">
        <f>IFERROR(INDEX(ShipPartShape!$A:$A,MATCH(P140,ShipPartShape!$B:$B,0)),"-")</f>
        <v>-</v>
      </c>
      <c r="R140" s="4"/>
      <c r="S140" s="11" t="str">
        <f>IFERROR(INDEX(ShipPartShape!$A:$A,MATCH(R140,ShipPartShape!$B:$B,0)),"-")</f>
        <v>-</v>
      </c>
      <c r="T140" s="4" t="s">
        <v>602</v>
      </c>
      <c r="U140" s="11">
        <f>IFERROR(INDEX(ShipPartShape!$A:$A,MATCH(T140,ShipPartShape!$B:$B,0)),"-")</f>
        <v>46600002</v>
      </c>
      <c r="V140" s="4" t="s">
        <v>603</v>
      </c>
      <c r="W140" s="11">
        <f>IFERROR(INDEX(ShipPartShape!$A:$A,MATCH(V140,ShipPartShape!$B:$B,0)),"-")</f>
        <v>46600007</v>
      </c>
      <c r="X140" s="4" t="s">
        <v>606</v>
      </c>
      <c r="Y140" s="11">
        <f>IFERROR(INDEX(ShipPartShape!$A:$A,MATCH(X140,ShipPartShape!$B:$B,0)),"-")</f>
        <v>46600003</v>
      </c>
      <c r="Z140" s="4"/>
      <c r="AA140" s="11" t="str">
        <f>IFERROR(INDEX(ShipPartShape!$A:$A,MATCH(Z140,ShipPartShape!$B:$B,0)),"-")</f>
        <v>-</v>
      </c>
      <c r="AB140" s="4"/>
      <c r="AC140" s="11" t="str">
        <f>IFERROR(INDEX(ShipPartShape!$A:$A,MATCH(AB140,ShipPartShape!$B:$B,0)),"-")</f>
        <v>-</v>
      </c>
      <c r="AD140" s="4"/>
      <c r="AE140" s="11" t="str">
        <f>IFERROR(INDEX(ShipPartShape!$A:$A,MATCH(AD140,ShipPartShape!$B:$B,0)),"-")</f>
        <v>-</v>
      </c>
      <c r="AF140" s="4"/>
      <c r="AG140" s="11" t="str">
        <f>IFERROR(INDEX(ShipPartShape!$A:$A,MATCH(AF140,ShipPartShape!$B:$B,0)),"-")</f>
        <v>-</v>
      </c>
      <c r="AH140" s="4"/>
      <c r="AI140" s="11" t="str">
        <f>IFERROR(INDEX(ShipPartShape!$A:$A,MATCH(AH140,ShipPartShape!$B:$B,0)),"-")</f>
        <v>-</v>
      </c>
      <c r="AJ140" s="11" t="s">
        <v>0</v>
      </c>
      <c r="AK140" s="11" t="s">
        <v>0</v>
      </c>
      <c r="AL140" s="11" t="s">
        <v>0</v>
      </c>
      <c r="AM140" s="11" t="s">
        <v>0</v>
      </c>
      <c r="AN140" s="11" t="s">
        <v>0</v>
      </c>
      <c r="AO140" s="11" t="s">
        <v>0</v>
      </c>
      <c r="AP140" s="11" t="s">
        <v>0</v>
      </c>
      <c r="AQ140" s="11" t="s">
        <v>0</v>
      </c>
      <c r="AR140" s="11" t="s">
        <v>0</v>
      </c>
      <c r="AS140" s="11" t="s">
        <v>0</v>
      </c>
      <c r="AT140" s="11" t="s">
        <v>0</v>
      </c>
      <c r="AU140" s="11">
        <v>47600016</v>
      </c>
      <c r="AV140" s="11" t="s">
        <v>0</v>
      </c>
      <c r="AW140" s="11" t="s">
        <v>0</v>
      </c>
      <c r="AX140" s="11" t="s">
        <v>0</v>
      </c>
    </row>
    <row r="141" spans="1:50" ht="15">
      <c r="A141" s="10">
        <f t="shared" si="2"/>
        <v>45000131</v>
      </c>
      <c r="B141" s="22" t="s">
        <v>1475</v>
      </c>
      <c r="C141" s="11" t="s">
        <v>1476</v>
      </c>
      <c r="D141" s="4" t="s">
        <v>1473</v>
      </c>
      <c r="E141" s="11">
        <v>700</v>
      </c>
      <c r="F141" s="11">
        <v>100</v>
      </c>
      <c r="G141" s="11">
        <v>20</v>
      </c>
      <c r="H141" s="11">
        <v>-40</v>
      </c>
      <c r="I141" s="11">
        <f>IFERROR(INDEX(ShipPartShape!$A:$A,MATCH(D141,ShipPartShape!$B:$B,0)),"-")</f>
        <v>46000119</v>
      </c>
      <c r="J141" s="4" t="s">
        <v>1213</v>
      </c>
      <c r="K141" s="11">
        <f>IFERROR(INDEX(ShipPartShape!$A:$A,MATCH(J141,ShipPartShape!$B:$B,0)),"-")</f>
        <v>46700010</v>
      </c>
      <c r="L141" s="4" t="s">
        <v>69</v>
      </c>
      <c r="M141" s="11">
        <f>IFERROR(INDEX(ShipPartShape!$A:$A,MATCH(L141,ShipPartShape!$B:$B,0)),"-")</f>
        <v>46300001</v>
      </c>
      <c r="N141" s="4"/>
      <c r="O141" s="11" t="str">
        <f>IFERROR(INDEX(ShipPartShape!$A:$A,MATCH(N141,ShipPartShape!$B:$B,0)),"-")</f>
        <v>-</v>
      </c>
      <c r="P141" s="4"/>
      <c r="Q141" s="11" t="str">
        <f>IFERROR(INDEX(ShipPartShape!$A:$A,MATCH(P141,ShipPartShape!$B:$B,0)),"-")</f>
        <v>-</v>
      </c>
      <c r="R141" s="4"/>
      <c r="S141" s="11" t="str">
        <f>IFERROR(INDEX(ShipPartShape!$A:$A,MATCH(R141,ShipPartShape!$B:$B,0)),"-")</f>
        <v>-</v>
      </c>
      <c r="T141" s="4"/>
      <c r="U141" s="11" t="str">
        <f>IFERROR(INDEX(ShipPartShape!$A:$A,MATCH(T141,ShipPartShape!$B:$B,0)),"-")</f>
        <v>-</v>
      </c>
      <c r="V141" s="4" t="s">
        <v>601</v>
      </c>
      <c r="W141" s="11">
        <f>IFERROR(INDEX(ShipPartShape!$A:$A,MATCH(V141,ShipPartShape!$B:$B,0)),"-")</f>
        <v>46600001</v>
      </c>
      <c r="X141" s="4" t="s">
        <v>602</v>
      </c>
      <c r="Y141" s="11">
        <f>IFERROR(INDEX(ShipPartShape!$A:$A,MATCH(X141,ShipPartShape!$B:$B,0)),"-")</f>
        <v>46600002</v>
      </c>
      <c r="Z141" s="4" t="s">
        <v>608</v>
      </c>
      <c r="AA141" s="11">
        <f>IFERROR(INDEX(ShipPartShape!$A:$A,MATCH(Z141,ShipPartShape!$B:$B,0)),"-")</f>
        <v>46600004</v>
      </c>
      <c r="AB141" s="4" t="s">
        <v>603</v>
      </c>
      <c r="AC141" s="11">
        <f>IFERROR(INDEX(ShipPartShape!$A:$A,MATCH(AB141,ShipPartShape!$B:$B,0)),"-")</f>
        <v>46600007</v>
      </c>
      <c r="AD141" s="4" t="s">
        <v>611</v>
      </c>
      <c r="AE141" s="11">
        <f>IFERROR(INDEX(ShipPartShape!$A:$A,MATCH(AD141,ShipPartShape!$B:$B,0)),"-")</f>
        <v>46600010</v>
      </c>
      <c r="AF141" s="4"/>
      <c r="AG141" s="11" t="str">
        <f>IFERROR(INDEX(ShipPartShape!$A:$A,MATCH(AF141,ShipPartShape!$B:$B,0)),"-")</f>
        <v>-</v>
      </c>
      <c r="AH141" s="4"/>
      <c r="AI141" s="11" t="str">
        <f>IFERROR(INDEX(ShipPartShape!$A:$A,MATCH(AH141,ShipPartShape!$B:$B,0)),"-")</f>
        <v>-</v>
      </c>
      <c r="AJ141" s="11" t="s">
        <v>0</v>
      </c>
      <c r="AK141" s="11" t="s">
        <v>0</v>
      </c>
      <c r="AL141" s="11" t="s">
        <v>0</v>
      </c>
      <c r="AM141" s="11" t="s">
        <v>0</v>
      </c>
      <c r="AN141" s="11" t="s">
        <v>0</v>
      </c>
      <c r="AO141" s="11" t="s">
        <v>0</v>
      </c>
      <c r="AP141" s="11" t="s">
        <v>0</v>
      </c>
      <c r="AQ141" s="11" t="s">
        <v>0</v>
      </c>
      <c r="AR141" s="11" t="s">
        <v>0</v>
      </c>
      <c r="AS141" s="11" t="s">
        <v>0</v>
      </c>
      <c r="AT141" s="11" t="s">
        <v>0</v>
      </c>
      <c r="AU141" s="11">
        <v>47600016</v>
      </c>
      <c r="AV141" s="11" t="s">
        <v>0</v>
      </c>
      <c r="AW141" s="11" t="s">
        <v>0</v>
      </c>
      <c r="AX141" s="11" t="s">
        <v>0</v>
      </c>
    </row>
    <row r="142" spans="1:50" ht="15">
      <c r="A142" s="10">
        <f t="shared" si="2"/>
        <v>45000132</v>
      </c>
      <c r="B142" s="22" t="s">
        <v>1478</v>
      </c>
      <c r="C142" s="11" t="s">
        <v>1480</v>
      </c>
      <c r="D142" s="4" t="s">
        <v>1479</v>
      </c>
      <c r="E142" s="11">
        <v>700</v>
      </c>
      <c r="F142" s="11">
        <v>150</v>
      </c>
      <c r="G142" s="11">
        <v>20</v>
      </c>
      <c r="H142" s="11">
        <v>-40</v>
      </c>
      <c r="I142" s="11">
        <f>IFERROR(INDEX(ShipPartShape!$A:$A,MATCH(D142,ShipPartShape!$B:$B,0)),"-")</f>
        <v>46000120</v>
      </c>
      <c r="J142" s="4" t="s">
        <v>1257</v>
      </c>
      <c r="K142" s="11">
        <f>IFERROR(INDEX(ShipPartShape!$A:$A,MATCH(J142,ShipPartShape!$B:$B,0)),"-")</f>
        <v>46700012</v>
      </c>
      <c r="L142" s="4" t="s">
        <v>69</v>
      </c>
      <c r="M142" s="11">
        <f>IFERROR(INDEX(ShipPartShape!$A:$A,MATCH(L142,ShipPartShape!$B:$B,0)),"-")</f>
        <v>46300001</v>
      </c>
      <c r="N142" s="4"/>
      <c r="O142" s="11" t="str">
        <f>IFERROR(INDEX(ShipPartShape!$A:$A,MATCH(N142,ShipPartShape!$B:$B,0)),"-")</f>
        <v>-</v>
      </c>
      <c r="P142" s="4"/>
      <c r="Q142" s="11" t="str">
        <f>IFERROR(INDEX(ShipPartShape!$A:$A,MATCH(P142,ShipPartShape!$B:$B,0)),"-")</f>
        <v>-</v>
      </c>
      <c r="R142" s="4"/>
      <c r="S142" s="11" t="str">
        <f>IFERROR(INDEX(ShipPartShape!$A:$A,MATCH(R142,ShipPartShape!$B:$B,0)),"-")</f>
        <v>-</v>
      </c>
      <c r="T142" s="4" t="s">
        <v>603</v>
      </c>
      <c r="U142" s="11">
        <f>IFERROR(INDEX(ShipPartShape!$A:$A,MATCH(T142,ShipPartShape!$B:$B,0)),"-")</f>
        <v>46600007</v>
      </c>
      <c r="V142" s="4" t="s">
        <v>611</v>
      </c>
      <c r="W142" s="11">
        <f>IFERROR(INDEX(ShipPartShape!$A:$A,MATCH(V142,ShipPartShape!$B:$B,0)),"-")</f>
        <v>46600010</v>
      </c>
      <c r="X142" s="4" t="s">
        <v>605</v>
      </c>
      <c r="Y142" s="11">
        <f>IFERROR(INDEX(ShipPartShape!$A:$A,MATCH(X142,ShipPartShape!$B:$B,0)),"-")</f>
        <v>46600009</v>
      </c>
      <c r="Z142" s="4" t="s">
        <v>606</v>
      </c>
      <c r="AA142" s="11">
        <f>IFERROR(INDEX(ShipPartShape!$A:$A,MATCH(Z142,ShipPartShape!$B:$B,0)),"-")</f>
        <v>46600003</v>
      </c>
      <c r="AB142" s="4" t="s">
        <v>601</v>
      </c>
      <c r="AC142" s="11">
        <f>IFERROR(INDEX(ShipPartShape!$A:$A,MATCH(AB142,ShipPartShape!$B:$B,0)),"-")</f>
        <v>46600001</v>
      </c>
      <c r="AD142" s="4"/>
      <c r="AE142" s="11" t="str">
        <f>IFERROR(INDEX(ShipPartShape!$A:$A,MATCH(AD142,ShipPartShape!$B:$B,0)),"-")</f>
        <v>-</v>
      </c>
      <c r="AF142" s="4"/>
      <c r="AG142" s="11" t="str">
        <f>IFERROR(INDEX(ShipPartShape!$A:$A,MATCH(AF142,ShipPartShape!$B:$B,0)),"-")</f>
        <v>-</v>
      </c>
      <c r="AH142" s="4"/>
      <c r="AI142" s="11" t="str">
        <f>IFERROR(INDEX(ShipPartShape!$A:$A,MATCH(AH142,ShipPartShape!$B:$B,0)),"-")</f>
        <v>-</v>
      </c>
      <c r="AJ142" s="11" t="s">
        <v>0</v>
      </c>
      <c r="AK142" s="11" t="s">
        <v>0</v>
      </c>
      <c r="AL142" s="11" t="s">
        <v>0</v>
      </c>
      <c r="AM142" s="11" t="s">
        <v>0</v>
      </c>
      <c r="AN142" s="11" t="s">
        <v>0</v>
      </c>
      <c r="AO142" s="11" t="s">
        <v>0</v>
      </c>
      <c r="AP142" s="11" t="s">
        <v>0</v>
      </c>
      <c r="AQ142" s="11" t="s">
        <v>0</v>
      </c>
      <c r="AR142" s="11" t="s">
        <v>0</v>
      </c>
      <c r="AS142" s="11" t="s">
        <v>0</v>
      </c>
      <c r="AT142" s="11" t="s">
        <v>0</v>
      </c>
      <c r="AU142" s="11">
        <v>47600017</v>
      </c>
      <c r="AV142" s="11" t="s">
        <v>0</v>
      </c>
      <c r="AW142" s="11" t="s">
        <v>0</v>
      </c>
      <c r="AX142" s="11" t="s">
        <v>0</v>
      </c>
    </row>
    <row r="143" spans="1:50" ht="15">
      <c r="A143" s="10">
        <f t="shared" si="2"/>
        <v>45000133</v>
      </c>
      <c r="B143" s="22" t="s">
        <v>1483</v>
      </c>
      <c r="C143" s="11" t="s">
        <v>1484</v>
      </c>
      <c r="D143" s="4" t="s">
        <v>1481</v>
      </c>
      <c r="E143" s="11">
        <v>700</v>
      </c>
      <c r="F143" s="11">
        <v>100</v>
      </c>
      <c r="G143" s="11">
        <v>20</v>
      </c>
      <c r="H143" s="11">
        <v>-40</v>
      </c>
      <c r="I143" s="11">
        <f>IFERROR(INDEX(ShipPartShape!$A:$A,MATCH(D143,ShipPartShape!$B:$B,0)),"-")</f>
        <v>46000121</v>
      </c>
      <c r="J143" s="4" t="s">
        <v>70</v>
      </c>
      <c r="K143" s="11">
        <f>IFERROR(INDEX(ShipPartShape!$A:$A,MATCH(J143,ShipPartShape!$B:$B,0)),"-")</f>
        <v>46700001</v>
      </c>
      <c r="L143" s="4" t="s">
        <v>69</v>
      </c>
      <c r="M143" s="11">
        <f>IFERROR(INDEX(ShipPartShape!$A:$A,MATCH(L143,ShipPartShape!$B:$B,0)),"-")</f>
        <v>46300001</v>
      </c>
      <c r="N143" s="4"/>
      <c r="O143" s="11" t="str">
        <f>IFERROR(INDEX(ShipPartShape!$A:$A,MATCH(N143,ShipPartShape!$B:$B,0)),"-")</f>
        <v>-</v>
      </c>
      <c r="P143" s="4"/>
      <c r="Q143" s="11" t="str">
        <f>IFERROR(INDEX(ShipPartShape!$A:$A,MATCH(P143,ShipPartShape!$B:$B,0)),"-")</f>
        <v>-</v>
      </c>
      <c r="R143" s="4"/>
      <c r="S143" s="11" t="str">
        <f>IFERROR(INDEX(ShipPartShape!$A:$A,MATCH(R143,ShipPartShape!$B:$B,0)),"-")</f>
        <v>-</v>
      </c>
      <c r="T143" s="4" t="s">
        <v>602</v>
      </c>
      <c r="U143" s="11">
        <f>IFERROR(INDEX(ShipPartShape!$A:$A,MATCH(T143,ShipPartShape!$B:$B,0)),"-")</f>
        <v>46600002</v>
      </c>
      <c r="V143" s="4" t="s">
        <v>608</v>
      </c>
      <c r="W143" s="11">
        <f>IFERROR(INDEX(ShipPartShape!$A:$A,MATCH(V143,ShipPartShape!$B:$B,0)),"-")</f>
        <v>46600004</v>
      </c>
      <c r="X143" s="4" t="s">
        <v>605</v>
      </c>
      <c r="Y143" s="11">
        <f>IFERROR(INDEX(ShipPartShape!$A:$A,MATCH(X143,ShipPartShape!$B:$B,0)),"-")</f>
        <v>46600009</v>
      </c>
      <c r="Z143" s="4"/>
      <c r="AA143" s="11" t="str">
        <f>IFERROR(INDEX(ShipPartShape!$A:$A,MATCH(Z143,ShipPartShape!$B:$B,0)),"-")</f>
        <v>-</v>
      </c>
      <c r="AB143" s="4"/>
      <c r="AC143" s="11" t="str">
        <f>IFERROR(INDEX(ShipPartShape!$A:$A,MATCH(AB143,ShipPartShape!$B:$B,0)),"-")</f>
        <v>-</v>
      </c>
      <c r="AD143" s="4"/>
      <c r="AE143" s="11" t="str">
        <f>IFERROR(INDEX(ShipPartShape!$A:$A,MATCH(AD143,ShipPartShape!$B:$B,0)),"-")</f>
        <v>-</v>
      </c>
      <c r="AF143" s="4"/>
      <c r="AG143" s="11" t="str">
        <f>IFERROR(INDEX(ShipPartShape!$A:$A,MATCH(AF143,ShipPartShape!$B:$B,0)),"-")</f>
        <v>-</v>
      </c>
      <c r="AH143" s="4"/>
      <c r="AI143" s="11" t="str">
        <f>IFERROR(INDEX(ShipPartShape!$A:$A,MATCH(AH143,ShipPartShape!$B:$B,0)),"-")</f>
        <v>-</v>
      </c>
      <c r="AJ143" s="11" t="s">
        <v>0</v>
      </c>
      <c r="AK143" s="11" t="s">
        <v>0</v>
      </c>
      <c r="AL143" s="11" t="s">
        <v>0</v>
      </c>
      <c r="AM143" s="11" t="s">
        <v>0</v>
      </c>
      <c r="AN143" s="11" t="s">
        <v>0</v>
      </c>
      <c r="AO143" s="11" t="s">
        <v>0</v>
      </c>
      <c r="AP143" s="11" t="s">
        <v>0</v>
      </c>
      <c r="AQ143" s="11" t="s">
        <v>0</v>
      </c>
      <c r="AR143" s="11" t="s">
        <v>0</v>
      </c>
      <c r="AS143" s="11" t="s">
        <v>0</v>
      </c>
      <c r="AT143" s="11" t="s">
        <v>0</v>
      </c>
      <c r="AU143" s="11">
        <v>47600015</v>
      </c>
      <c r="AV143" s="11" t="s">
        <v>0</v>
      </c>
      <c r="AW143" s="11" t="s">
        <v>0</v>
      </c>
      <c r="AX143" s="11" t="s">
        <v>0</v>
      </c>
    </row>
    <row r="144" spans="1:50" ht="15">
      <c r="A144" s="10">
        <f t="shared" si="2"/>
        <v>45000134</v>
      </c>
      <c r="B144" s="22" t="s">
        <v>1646</v>
      </c>
      <c r="C144" s="11" t="s">
        <v>1487</v>
      </c>
      <c r="D144" s="4" t="s">
        <v>1649</v>
      </c>
      <c r="E144" s="11">
        <v>700</v>
      </c>
      <c r="F144" s="11">
        <v>150</v>
      </c>
      <c r="G144" s="11">
        <v>20</v>
      </c>
      <c r="H144" s="11">
        <v>-40</v>
      </c>
      <c r="I144" s="11">
        <f>IFERROR(INDEX(ShipPartShape!$A:$A,MATCH(D144,ShipPartShape!$B:$B,0)),"-")</f>
        <v>46000122</v>
      </c>
      <c r="J144" s="4" t="s">
        <v>1212</v>
      </c>
      <c r="K144" s="11">
        <f>IFERROR(INDEX(ShipPartShape!$A:$A,MATCH(J144,ShipPartShape!$B:$B,0)),"-")</f>
        <v>46700005</v>
      </c>
      <c r="L144" s="4" t="s">
        <v>69</v>
      </c>
      <c r="M144" s="11">
        <f>IFERROR(INDEX(ShipPartShape!$A:$A,MATCH(L144,ShipPartShape!$B:$B,0)),"-")</f>
        <v>46300001</v>
      </c>
      <c r="N144" s="4" t="s">
        <v>1650</v>
      </c>
      <c r="O144" s="11">
        <f>IFERROR(INDEX(ShipPartShape!$A:$A,MATCH(N144,ShipPartShape!$B:$B,0)),"-")</f>
        <v>46500021</v>
      </c>
      <c r="P144" s="4"/>
      <c r="Q144" s="11" t="str">
        <f>IFERROR(INDEX(ShipPartShape!$A:$A,MATCH(P144,ShipPartShape!$B:$B,0)),"-")</f>
        <v>-</v>
      </c>
      <c r="R144" s="4"/>
      <c r="S144" s="11" t="str">
        <f>IFERROR(INDEX(ShipPartShape!$A:$A,MATCH(R144,ShipPartShape!$B:$B,0)),"-")</f>
        <v>-</v>
      </c>
      <c r="T144" s="4"/>
      <c r="U144" s="11" t="str">
        <f>IFERROR(INDEX(ShipPartShape!$A:$A,MATCH(T144,ShipPartShape!$B:$B,0)),"-")</f>
        <v>-</v>
      </c>
      <c r="V144" s="4"/>
      <c r="W144" s="11" t="str">
        <f>IFERROR(INDEX(ShipPartShape!$A:$A,MATCH(V144,ShipPartShape!$B:$B,0)),"-")</f>
        <v>-</v>
      </c>
      <c r="X144" s="4"/>
      <c r="Y144" s="11" t="str">
        <f>IFERROR(INDEX(ShipPartShape!$A:$A,MATCH(X144,ShipPartShape!$B:$B,0)),"-")</f>
        <v>-</v>
      </c>
      <c r="Z144" s="4"/>
      <c r="AA144" s="11" t="str">
        <f>IFERROR(INDEX(ShipPartShape!$A:$A,MATCH(Z144,ShipPartShape!$B:$B,0)),"-")</f>
        <v>-</v>
      </c>
      <c r="AB144" s="4"/>
      <c r="AC144" s="11" t="str">
        <f>IFERROR(INDEX(ShipPartShape!$A:$A,MATCH(AB144,ShipPartShape!$B:$B,0)),"-")</f>
        <v>-</v>
      </c>
      <c r="AD144" s="4"/>
      <c r="AE144" s="11" t="str">
        <f>IFERROR(INDEX(ShipPartShape!$A:$A,MATCH(AD144,ShipPartShape!$B:$B,0)),"-")</f>
        <v>-</v>
      </c>
      <c r="AF144" s="4"/>
      <c r="AG144" s="11" t="str">
        <f>IFERROR(INDEX(ShipPartShape!$A:$A,MATCH(AF144,ShipPartShape!$B:$B,0)),"-")</f>
        <v>-</v>
      </c>
      <c r="AH144" s="4"/>
      <c r="AI144" s="11" t="str">
        <f>IFERROR(INDEX(ShipPartShape!$A:$A,MATCH(AH144,ShipPartShape!$B:$B,0)),"-")</f>
        <v>-</v>
      </c>
      <c r="AJ144" s="11" t="s">
        <v>0</v>
      </c>
      <c r="AK144" s="11" t="s">
        <v>0</v>
      </c>
      <c r="AL144" s="11" t="s">
        <v>0</v>
      </c>
      <c r="AM144" s="11" t="s">
        <v>0</v>
      </c>
      <c r="AN144" s="11" t="s">
        <v>0</v>
      </c>
      <c r="AO144" s="11" t="s">
        <v>0</v>
      </c>
      <c r="AP144" s="11" t="s">
        <v>0</v>
      </c>
      <c r="AQ144" s="11" t="s">
        <v>0</v>
      </c>
      <c r="AR144" s="11" t="s">
        <v>0</v>
      </c>
      <c r="AS144" s="11" t="s">
        <v>0</v>
      </c>
      <c r="AT144" s="11" t="s">
        <v>0</v>
      </c>
      <c r="AU144" s="11">
        <v>47600017</v>
      </c>
      <c r="AV144" s="11" t="s">
        <v>0</v>
      </c>
      <c r="AW144" s="11" t="s">
        <v>0</v>
      </c>
      <c r="AX144" s="11" t="s">
        <v>0</v>
      </c>
    </row>
    <row r="145" spans="1:50" ht="15">
      <c r="A145" s="10">
        <f t="shared" si="2"/>
        <v>45000135</v>
      </c>
      <c r="B145" s="22" t="s">
        <v>1490</v>
      </c>
      <c r="C145" s="11" t="s">
        <v>1491</v>
      </c>
      <c r="D145" s="4" t="s">
        <v>1492</v>
      </c>
      <c r="E145" s="11">
        <v>700</v>
      </c>
      <c r="F145" s="11">
        <v>150</v>
      </c>
      <c r="G145" s="11">
        <v>20</v>
      </c>
      <c r="H145" s="11">
        <v>-40</v>
      </c>
      <c r="I145" s="11">
        <f>IFERROR(INDEX(ShipPartShape!$A:$A,MATCH(D145,ShipPartShape!$B:$B,0)),"-")</f>
        <v>46000123</v>
      </c>
      <c r="J145" s="4" t="s">
        <v>1215</v>
      </c>
      <c r="K145" s="11">
        <f>IFERROR(INDEX(ShipPartShape!$A:$A,MATCH(J145,ShipPartShape!$B:$B,0)),"-")</f>
        <v>46700013</v>
      </c>
      <c r="L145" s="4"/>
      <c r="M145" s="11" t="str">
        <f>IFERROR(INDEX(ShipPartShape!$A:$A,MATCH(L145,ShipPartShape!$B:$B,0)),"-")</f>
        <v>-</v>
      </c>
      <c r="N145" s="4"/>
      <c r="O145" s="11" t="str">
        <f>IFERROR(INDEX(ShipPartShape!$A:$A,MATCH(N145,ShipPartShape!$B:$B,0)),"-")</f>
        <v>-</v>
      </c>
      <c r="P145" s="4"/>
      <c r="Q145" s="11" t="str">
        <f>IFERROR(INDEX(ShipPartShape!$A:$A,MATCH(P145,ShipPartShape!$B:$B,0)),"-")</f>
        <v>-</v>
      </c>
      <c r="R145" s="4"/>
      <c r="S145" s="11" t="str">
        <f>IFERROR(INDEX(ShipPartShape!$A:$A,MATCH(R145,ShipPartShape!$B:$B,0)),"-")</f>
        <v>-</v>
      </c>
      <c r="T145" s="4" t="s">
        <v>601</v>
      </c>
      <c r="U145" s="11">
        <f>IFERROR(INDEX(ShipPartShape!$A:$A,MATCH(T145,ShipPartShape!$B:$B,0)),"-")</f>
        <v>46600001</v>
      </c>
      <c r="V145" s="4" t="s">
        <v>602</v>
      </c>
      <c r="W145" s="11">
        <f>IFERROR(INDEX(ShipPartShape!$A:$A,MATCH(V145,ShipPartShape!$B:$B,0)),"-")</f>
        <v>46600002</v>
      </c>
      <c r="X145" s="4" t="s">
        <v>611</v>
      </c>
      <c r="Y145" s="11">
        <f>IFERROR(INDEX(ShipPartShape!$A:$A,MATCH(X145,ShipPartShape!$B:$B,0)),"-")</f>
        <v>46600010</v>
      </c>
      <c r="Z145" s="4" t="s">
        <v>609</v>
      </c>
      <c r="AA145" s="11">
        <f>IFERROR(INDEX(ShipPartShape!$A:$A,MATCH(Z145,ShipPartShape!$B:$B,0)),"-")</f>
        <v>46600011</v>
      </c>
      <c r="AB145" s="4"/>
      <c r="AC145" s="11" t="str">
        <f>IFERROR(INDEX(ShipPartShape!$A:$A,MATCH(AB145,ShipPartShape!$B:$B,0)),"-")</f>
        <v>-</v>
      </c>
      <c r="AD145" s="4"/>
      <c r="AE145" s="11" t="str">
        <f>IFERROR(INDEX(ShipPartShape!$A:$A,MATCH(AD145,ShipPartShape!$B:$B,0)),"-")</f>
        <v>-</v>
      </c>
      <c r="AF145" s="4"/>
      <c r="AG145" s="11" t="str">
        <f>IFERROR(INDEX(ShipPartShape!$A:$A,MATCH(AF145,ShipPartShape!$B:$B,0)),"-")</f>
        <v>-</v>
      </c>
      <c r="AH145" s="4"/>
      <c r="AI145" s="11" t="str">
        <f>IFERROR(INDEX(ShipPartShape!$A:$A,MATCH(AH145,ShipPartShape!$B:$B,0)),"-")</f>
        <v>-</v>
      </c>
      <c r="AJ145" s="11" t="s">
        <v>0</v>
      </c>
      <c r="AK145" s="11" t="s">
        <v>0</v>
      </c>
      <c r="AL145" s="11" t="s">
        <v>0</v>
      </c>
      <c r="AM145" s="11" t="s">
        <v>0</v>
      </c>
      <c r="AN145" s="11" t="s">
        <v>0</v>
      </c>
      <c r="AO145" s="11" t="s">
        <v>0</v>
      </c>
      <c r="AP145" s="11" t="s">
        <v>0</v>
      </c>
      <c r="AQ145" s="11" t="s">
        <v>0</v>
      </c>
      <c r="AR145" s="11" t="s">
        <v>0</v>
      </c>
      <c r="AS145" s="11" t="s">
        <v>0</v>
      </c>
      <c r="AT145" s="11" t="s">
        <v>0</v>
      </c>
      <c r="AU145" s="11">
        <v>47600018</v>
      </c>
      <c r="AV145" s="11" t="s">
        <v>0</v>
      </c>
      <c r="AW145" s="11" t="s">
        <v>0</v>
      </c>
      <c r="AX145" s="11" t="s">
        <v>0</v>
      </c>
    </row>
    <row r="146" spans="1:50" ht="15">
      <c r="A146" s="10">
        <f t="shared" si="2"/>
        <v>45000136</v>
      </c>
      <c r="B146" s="22" t="s">
        <v>1493</v>
      </c>
      <c r="C146" s="11" t="s">
        <v>1494</v>
      </c>
      <c r="D146" s="4" t="s">
        <v>1495</v>
      </c>
      <c r="E146" s="11">
        <v>700</v>
      </c>
      <c r="F146" s="11">
        <v>150</v>
      </c>
      <c r="G146" s="11">
        <v>20</v>
      </c>
      <c r="H146" s="11">
        <v>-40</v>
      </c>
      <c r="I146" s="11">
        <f>IFERROR(INDEX(ShipPartShape!$A:$A,MATCH(D146,ShipPartShape!$B:$B,0)),"-")</f>
        <v>46000124</v>
      </c>
      <c r="J146" s="4" t="s">
        <v>1213</v>
      </c>
      <c r="K146" s="11">
        <f>IFERROR(INDEX(ShipPartShape!$A:$A,MATCH(J146,ShipPartShape!$B:$B,0)),"-")</f>
        <v>46700010</v>
      </c>
      <c r="L146" s="4" t="s">
        <v>69</v>
      </c>
      <c r="M146" s="11">
        <f>IFERROR(INDEX(ShipPartShape!$A:$A,MATCH(L146,ShipPartShape!$B:$B,0)),"-")</f>
        <v>46300001</v>
      </c>
      <c r="N146" s="4"/>
      <c r="O146" s="11" t="str">
        <f>IFERROR(INDEX(ShipPartShape!$A:$A,MATCH(N146,ShipPartShape!$B:$B,0)),"-")</f>
        <v>-</v>
      </c>
      <c r="P146" s="4"/>
      <c r="Q146" s="11" t="str">
        <f>IFERROR(INDEX(ShipPartShape!$A:$A,MATCH(P146,ShipPartShape!$B:$B,0)),"-")</f>
        <v>-</v>
      </c>
      <c r="R146" s="4"/>
      <c r="S146" s="11" t="str">
        <f>IFERROR(INDEX(ShipPartShape!$A:$A,MATCH(R146,ShipPartShape!$B:$B,0)),"-")</f>
        <v>-</v>
      </c>
      <c r="T146" s="4" t="s">
        <v>601</v>
      </c>
      <c r="U146" s="11">
        <f>IFERROR(INDEX(ShipPartShape!$A:$A,MATCH(T146,ShipPartShape!$B:$B,0)),"-")</f>
        <v>46600001</v>
      </c>
      <c r="V146" s="4" t="s">
        <v>608</v>
      </c>
      <c r="W146" s="11">
        <f>IFERROR(INDEX(ShipPartShape!$A:$A,MATCH(V146,ShipPartShape!$B:$B,0)),"-")</f>
        <v>46600004</v>
      </c>
      <c r="X146" s="4"/>
      <c r="Y146" s="11" t="str">
        <f>IFERROR(INDEX(ShipPartShape!$A:$A,MATCH(X146,ShipPartShape!$B:$B,0)),"-")</f>
        <v>-</v>
      </c>
      <c r="Z146" s="4"/>
      <c r="AA146" s="11" t="str">
        <f>IFERROR(INDEX(ShipPartShape!$A:$A,MATCH(Z146,ShipPartShape!$B:$B,0)),"-")</f>
        <v>-</v>
      </c>
      <c r="AB146" s="4"/>
      <c r="AC146" s="11" t="str">
        <f>IFERROR(INDEX(ShipPartShape!$A:$A,MATCH(AB146,ShipPartShape!$B:$B,0)),"-")</f>
        <v>-</v>
      </c>
      <c r="AD146" s="4"/>
      <c r="AE146" s="11" t="str">
        <f>IFERROR(INDEX(ShipPartShape!$A:$A,MATCH(AD146,ShipPartShape!$B:$B,0)),"-")</f>
        <v>-</v>
      </c>
      <c r="AF146" s="4"/>
      <c r="AG146" s="11" t="str">
        <f>IFERROR(INDEX(ShipPartShape!$A:$A,MATCH(AF146,ShipPartShape!$B:$B,0)),"-")</f>
        <v>-</v>
      </c>
      <c r="AH146" s="4"/>
      <c r="AI146" s="11" t="str">
        <f>IFERROR(INDEX(ShipPartShape!$A:$A,MATCH(AH146,ShipPartShape!$B:$B,0)),"-")</f>
        <v>-</v>
      </c>
      <c r="AJ146" s="11" t="s">
        <v>0</v>
      </c>
      <c r="AK146" s="11" t="s">
        <v>0</v>
      </c>
      <c r="AL146" s="11" t="s">
        <v>0</v>
      </c>
      <c r="AM146" s="11" t="s">
        <v>0</v>
      </c>
      <c r="AN146" s="11" t="s">
        <v>0</v>
      </c>
      <c r="AO146" s="11" t="s">
        <v>0</v>
      </c>
      <c r="AP146" s="11" t="s">
        <v>0</v>
      </c>
      <c r="AQ146" s="11" t="s">
        <v>0</v>
      </c>
      <c r="AR146" s="11" t="s">
        <v>0</v>
      </c>
      <c r="AS146" s="11" t="s">
        <v>0</v>
      </c>
      <c r="AT146" s="11" t="s">
        <v>0</v>
      </c>
      <c r="AU146" s="11">
        <v>47600017</v>
      </c>
      <c r="AV146" s="11" t="s">
        <v>0</v>
      </c>
      <c r="AW146" s="11" t="s">
        <v>0</v>
      </c>
      <c r="AX146" s="11" t="s">
        <v>0</v>
      </c>
    </row>
    <row r="147" spans="1:50" ht="15">
      <c r="A147" s="10">
        <f t="shared" si="2"/>
        <v>45000137</v>
      </c>
      <c r="B147" s="22" t="s">
        <v>1651</v>
      </c>
      <c r="C147" s="11" t="s">
        <v>1497</v>
      </c>
      <c r="D147" s="4" t="s">
        <v>1652</v>
      </c>
      <c r="E147" s="11">
        <v>700</v>
      </c>
      <c r="F147" s="11">
        <v>100</v>
      </c>
      <c r="G147" s="11">
        <v>20</v>
      </c>
      <c r="H147" s="11">
        <v>-40</v>
      </c>
      <c r="I147" s="11">
        <f>IFERROR(INDEX(ShipPartShape!$A:$A,MATCH(D147,ShipPartShape!$B:$B,0)),"-")</f>
        <v>46000125</v>
      </c>
      <c r="J147" s="4" t="s">
        <v>1216</v>
      </c>
      <c r="K147" s="11">
        <f>IFERROR(INDEX(ShipPartShape!$A:$A,MATCH(J147,ShipPartShape!$B:$B,0)),"-")</f>
        <v>46700014</v>
      </c>
      <c r="L147" s="4" t="s">
        <v>69</v>
      </c>
      <c r="M147" s="11">
        <f>IFERROR(INDEX(ShipPartShape!$A:$A,MATCH(L147,ShipPartShape!$B:$B,0)),"-")</f>
        <v>46300001</v>
      </c>
      <c r="N147" s="4"/>
      <c r="O147" s="11" t="str">
        <f>IFERROR(INDEX(ShipPartShape!$A:$A,MATCH(N147,ShipPartShape!$B:$B,0)),"-")</f>
        <v>-</v>
      </c>
      <c r="P147" s="4"/>
      <c r="Q147" s="11" t="str">
        <f>IFERROR(INDEX(ShipPartShape!$A:$A,MATCH(P147,ShipPartShape!$B:$B,0)),"-")</f>
        <v>-</v>
      </c>
      <c r="R147" s="4"/>
      <c r="S147" s="11" t="str">
        <f>IFERROR(INDEX(ShipPartShape!$A:$A,MATCH(R147,ShipPartShape!$B:$B,0)),"-")</f>
        <v>-</v>
      </c>
      <c r="T147" s="4" t="s">
        <v>603</v>
      </c>
      <c r="U147" s="11">
        <f>IFERROR(INDEX(ShipPartShape!$A:$A,MATCH(T147,ShipPartShape!$B:$B,0)),"-")</f>
        <v>46600007</v>
      </c>
      <c r="V147" s="4" t="s">
        <v>602</v>
      </c>
      <c r="W147" s="11">
        <f>IFERROR(INDEX(ShipPartShape!$A:$A,MATCH(V147,ShipPartShape!$B:$B,0)),"-")</f>
        <v>46600002</v>
      </c>
      <c r="X147" s="4" t="s">
        <v>604</v>
      </c>
      <c r="Y147" s="11">
        <f>IFERROR(INDEX(ShipPartShape!$A:$A,MATCH(X147,ShipPartShape!$B:$B,0)),"-")</f>
        <v>46600005</v>
      </c>
      <c r="Z147" s="4"/>
      <c r="AA147" s="11" t="str">
        <f>IFERROR(INDEX(ShipPartShape!$A:$A,MATCH(Z147,ShipPartShape!$B:$B,0)),"-")</f>
        <v>-</v>
      </c>
      <c r="AB147" s="4"/>
      <c r="AC147" s="11" t="str">
        <f>IFERROR(INDEX(ShipPartShape!$A:$A,MATCH(AB147,ShipPartShape!$B:$B,0)),"-")</f>
        <v>-</v>
      </c>
      <c r="AD147" s="4"/>
      <c r="AE147" s="11" t="str">
        <f>IFERROR(INDEX(ShipPartShape!$A:$A,MATCH(AD147,ShipPartShape!$B:$B,0)),"-")</f>
        <v>-</v>
      </c>
      <c r="AF147" s="4"/>
      <c r="AG147" s="11" t="str">
        <f>IFERROR(INDEX(ShipPartShape!$A:$A,MATCH(AF147,ShipPartShape!$B:$B,0)),"-")</f>
        <v>-</v>
      </c>
      <c r="AH147" s="4"/>
      <c r="AI147" s="11" t="str">
        <f>IFERROR(INDEX(ShipPartShape!$A:$A,MATCH(AH147,ShipPartShape!$B:$B,0)),"-")</f>
        <v>-</v>
      </c>
      <c r="AJ147" s="11" t="s">
        <v>0</v>
      </c>
      <c r="AK147" s="11" t="s">
        <v>0</v>
      </c>
      <c r="AL147" s="11" t="s">
        <v>0</v>
      </c>
      <c r="AM147" s="11" t="s">
        <v>0</v>
      </c>
      <c r="AN147" s="11" t="s">
        <v>0</v>
      </c>
      <c r="AO147" s="11" t="s">
        <v>0</v>
      </c>
      <c r="AP147" s="11" t="s">
        <v>0</v>
      </c>
      <c r="AQ147" s="11" t="s">
        <v>0</v>
      </c>
      <c r="AR147" s="11" t="s">
        <v>0</v>
      </c>
      <c r="AS147" s="11" t="s">
        <v>0</v>
      </c>
      <c r="AT147" s="11" t="s">
        <v>0</v>
      </c>
      <c r="AU147" s="11">
        <v>47600016</v>
      </c>
      <c r="AV147" s="11" t="s">
        <v>0</v>
      </c>
      <c r="AW147" s="11" t="s">
        <v>0</v>
      </c>
      <c r="AX147" s="11" t="s">
        <v>0</v>
      </c>
    </row>
    <row r="148" spans="1:50" ht="15">
      <c r="A148" s="10">
        <f t="shared" si="2"/>
        <v>45000138</v>
      </c>
      <c r="B148" s="22" t="s">
        <v>1499</v>
      </c>
      <c r="C148" s="11" t="s">
        <v>1500</v>
      </c>
      <c r="D148" s="4" t="s">
        <v>1501</v>
      </c>
      <c r="E148" s="11">
        <v>700</v>
      </c>
      <c r="F148" s="11">
        <v>150</v>
      </c>
      <c r="G148" s="11">
        <v>20</v>
      </c>
      <c r="H148" s="11">
        <v>-40</v>
      </c>
      <c r="I148" s="11">
        <f>IFERROR(INDEX(ShipPartShape!$A:$A,MATCH(D148,ShipPartShape!$B:$B,0)),"-")</f>
        <v>46000126</v>
      </c>
      <c r="J148" s="4" t="s">
        <v>1215</v>
      </c>
      <c r="K148" s="11">
        <f>IFERROR(INDEX(ShipPartShape!$A:$A,MATCH(J148,ShipPartShape!$B:$B,0)),"-")</f>
        <v>46700013</v>
      </c>
      <c r="L148" s="4" t="s">
        <v>69</v>
      </c>
      <c r="M148" s="11">
        <f>IFERROR(INDEX(ShipPartShape!$A:$A,MATCH(L148,ShipPartShape!$B:$B,0)),"-")</f>
        <v>46300001</v>
      </c>
      <c r="N148" s="4"/>
      <c r="O148" s="11" t="str">
        <f>IFERROR(INDEX(ShipPartShape!$A:$A,MATCH(N148,ShipPartShape!$B:$B,0)),"-")</f>
        <v>-</v>
      </c>
      <c r="P148" s="4"/>
      <c r="Q148" s="11" t="str">
        <f>IFERROR(INDEX(ShipPartShape!$A:$A,MATCH(P148,ShipPartShape!$B:$B,0)),"-")</f>
        <v>-</v>
      </c>
      <c r="R148" s="4"/>
      <c r="S148" s="11" t="str">
        <f>IFERROR(INDEX(ShipPartShape!$A:$A,MATCH(R148,ShipPartShape!$B:$B,0)),"-")</f>
        <v>-</v>
      </c>
      <c r="T148" s="4" t="s">
        <v>602</v>
      </c>
      <c r="U148" s="11">
        <f>IFERROR(INDEX(ShipPartShape!$A:$A,MATCH(T148,ShipPartShape!$B:$B,0)),"-")</f>
        <v>46600002</v>
      </c>
      <c r="V148" s="4" t="s">
        <v>603</v>
      </c>
      <c r="W148" s="11">
        <f>IFERROR(INDEX(ShipPartShape!$A:$A,MATCH(V148,ShipPartShape!$B:$B,0)),"-")</f>
        <v>46600007</v>
      </c>
      <c r="X148" s="4"/>
      <c r="Y148" s="11" t="str">
        <f>IFERROR(INDEX(ShipPartShape!$A:$A,MATCH(X148,ShipPartShape!$B:$B,0)),"-")</f>
        <v>-</v>
      </c>
      <c r="Z148" s="4"/>
      <c r="AA148" s="11" t="str">
        <f>IFERROR(INDEX(ShipPartShape!$A:$A,MATCH(Z148,ShipPartShape!$B:$B,0)),"-")</f>
        <v>-</v>
      </c>
      <c r="AB148" s="4"/>
      <c r="AC148" s="11" t="str">
        <f>IFERROR(INDEX(ShipPartShape!$A:$A,MATCH(AB148,ShipPartShape!$B:$B,0)),"-")</f>
        <v>-</v>
      </c>
      <c r="AD148" s="4"/>
      <c r="AE148" s="11" t="str">
        <f>IFERROR(INDEX(ShipPartShape!$A:$A,MATCH(AD148,ShipPartShape!$B:$B,0)),"-")</f>
        <v>-</v>
      </c>
      <c r="AF148" s="4"/>
      <c r="AG148" s="11" t="str">
        <f>IFERROR(INDEX(ShipPartShape!$A:$A,MATCH(AF148,ShipPartShape!$B:$B,0)),"-")</f>
        <v>-</v>
      </c>
      <c r="AH148" s="4"/>
      <c r="AI148" s="11" t="str">
        <f>IFERROR(INDEX(ShipPartShape!$A:$A,MATCH(AH148,ShipPartShape!$B:$B,0)),"-")</f>
        <v>-</v>
      </c>
      <c r="AJ148" s="11" t="s">
        <v>0</v>
      </c>
      <c r="AK148" s="11" t="s">
        <v>0</v>
      </c>
      <c r="AL148" s="11" t="s">
        <v>0</v>
      </c>
      <c r="AM148" s="11" t="s">
        <v>0</v>
      </c>
      <c r="AN148" s="11" t="s">
        <v>0</v>
      </c>
      <c r="AO148" s="11" t="s">
        <v>0</v>
      </c>
      <c r="AP148" s="11" t="s">
        <v>0</v>
      </c>
      <c r="AQ148" s="11" t="s">
        <v>0</v>
      </c>
      <c r="AR148" s="11" t="s">
        <v>0</v>
      </c>
      <c r="AS148" s="11" t="s">
        <v>0</v>
      </c>
      <c r="AT148" s="11" t="s">
        <v>0</v>
      </c>
      <c r="AU148" s="11">
        <v>47600017</v>
      </c>
      <c r="AV148" s="11" t="s">
        <v>0</v>
      </c>
      <c r="AW148" s="11" t="s">
        <v>0</v>
      </c>
      <c r="AX148" s="11" t="s">
        <v>0</v>
      </c>
    </row>
    <row r="149" spans="1:50" ht="15">
      <c r="A149" s="10">
        <f t="shared" si="2"/>
        <v>45000139</v>
      </c>
      <c r="B149" s="22" t="s">
        <v>1502</v>
      </c>
      <c r="C149" s="11" t="s">
        <v>1503</v>
      </c>
      <c r="D149" s="4" t="s">
        <v>1504</v>
      </c>
      <c r="E149" s="11">
        <v>700</v>
      </c>
      <c r="F149" s="11">
        <v>100</v>
      </c>
      <c r="G149" s="11">
        <v>20</v>
      </c>
      <c r="H149" s="11">
        <v>-40</v>
      </c>
      <c r="I149" s="11">
        <f>IFERROR(INDEX(ShipPartShape!$A:$A,MATCH(D149,ShipPartShape!$B:$B,0)),"-")</f>
        <v>46000127</v>
      </c>
      <c r="J149" s="4" t="s">
        <v>1215</v>
      </c>
      <c r="K149" s="11">
        <f>IFERROR(INDEX(ShipPartShape!$A:$A,MATCH(J149,ShipPartShape!$B:$B,0)),"-")</f>
        <v>46700013</v>
      </c>
      <c r="L149" s="4" t="s">
        <v>69</v>
      </c>
      <c r="M149" s="11">
        <f>IFERROR(INDEX(ShipPartShape!$A:$A,MATCH(L149,ShipPartShape!$B:$B,0)),"-")</f>
        <v>46300001</v>
      </c>
      <c r="N149" s="4"/>
      <c r="O149" s="11" t="str">
        <f>IFERROR(INDEX(ShipPartShape!$A:$A,MATCH(N149,ShipPartShape!$B:$B,0)),"-")</f>
        <v>-</v>
      </c>
      <c r="P149" s="4"/>
      <c r="Q149" s="11" t="str">
        <f>IFERROR(INDEX(ShipPartShape!$A:$A,MATCH(P149,ShipPartShape!$B:$B,0)),"-")</f>
        <v>-</v>
      </c>
      <c r="R149" s="4"/>
      <c r="S149" s="11" t="str">
        <f>IFERROR(INDEX(ShipPartShape!$A:$A,MATCH(R149,ShipPartShape!$B:$B,0)),"-")</f>
        <v>-</v>
      </c>
      <c r="T149" s="4" t="s">
        <v>606</v>
      </c>
      <c r="U149" s="11">
        <f>IFERROR(INDEX(ShipPartShape!$A:$A,MATCH(T149,ShipPartShape!$B:$B,0)),"-")</f>
        <v>46600003</v>
      </c>
      <c r="V149" s="4" t="s">
        <v>611</v>
      </c>
      <c r="W149" s="11">
        <f>IFERROR(INDEX(ShipPartShape!$A:$A,MATCH(V149,ShipPartShape!$B:$B,0)),"-")</f>
        <v>46600010</v>
      </c>
      <c r="X149" s="4"/>
      <c r="Y149" s="11" t="str">
        <f>IFERROR(INDEX(ShipPartShape!$A:$A,MATCH(X149,ShipPartShape!$B:$B,0)),"-")</f>
        <v>-</v>
      </c>
      <c r="Z149" s="4"/>
      <c r="AA149" s="11" t="str">
        <f>IFERROR(INDEX(ShipPartShape!$A:$A,MATCH(Z149,ShipPartShape!$B:$B,0)),"-")</f>
        <v>-</v>
      </c>
      <c r="AB149" s="4"/>
      <c r="AC149" s="11" t="str">
        <f>IFERROR(INDEX(ShipPartShape!$A:$A,MATCH(AB149,ShipPartShape!$B:$B,0)),"-")</f>
        <v>-</v>
      </c>
      <c r="AD149" s="4"/>
      <c r="AE149" s="11" t="str">
        <f>IFERROR(INDEX(ShipPartShape!$A:$A,MATCH(AD149,ShipPartShape!$B:$B,0)),"-")</f>
        <v>-</v>
      </c>
      <c r="AF149" s="4"/>
      <c r="AG149" s="11" t="str">
        <f>IFERROR(INDEX(ShipPartShape!$A:$A,MATCH(AF149,ShipPartShape!$B:$B,0)),"-")</f>
        <v>-</v>
      </c>
      <c r="AH149" s="4"/>
      <c r="AI149" s="11" t="str">
        <f>IFERROR(INDEX(ShipPartShape!$A:$A,MATCH(AH149,ShipPartShape!$B:$B,0)),"-")</f>
        <v>-</v>
      </c>
      <c r="AJ149" s="11" t="s">
        <v>0</v>
      </c>
      <c r="AK149" s="11" t="s">
        <v>0</v>
      </c>
      <c r="AL149" s="11" t="s">
        <v>0</v>
      </c>
      <c r="AM149" s="11" t="s">
        <v>0</v>
      </c>
      <c r="AN149" s="11" t="s">
        <v>0</v>
      </c>
      <c r="AO149" s="11" t="s">
        <v>0</v>
      </c>
      <c r="AP149" s="11" t="s">
        <v>0</v>
      </c>
      <c r="AQ149" s="11" t="s">
        <v>0</v>
      </c>
      <c r="AR149" s="11" t="s">
        <v>0</v>
      </c>
      <c r="AS149" s="11" t="s">
        <v>0</v>
      </c>
      <c r="AT149" s="11" t="s">
        <v>0</v>
      </c>
      <c r="AU149" s="11">
        <v>47600016</v>
      </c>
      <c r="AV149" s="11" t="s">
        <v>0</v>
      </c>
      <c r="AW149" s="11" t="s">
        <v>0</v>
      </c>
      <c r="AX149" s="11" t="s">
        <v>0</v>
      </c>
    </row>
    <row r="150" spans="1:50" ht="15">
      <c r="A150" s="10">
        <f t="shared" si="2"/>
        <v>45000140</v>
      </c>
      <c r="B150" s="22" t="s">
        <v>1508</v>
      </c>
      <c r="C150" s="11" t="s">
        <v>1509</v>
      </c>
      <c r="D150" s="4" t="s">
        <v>1506</v>
      </c>
      <c r="E150" s="11">
        <v>700</v>
      </c>
      <c r="F150" s="11">
        <v>150</v>
      </c>
      <c r="G150" s="11">
        <v>20</v>
      </c>
      <c r="H150" s="11">
        <v>-40</v>
      </c>
      <c r="I150" s="11">
        <f>IFERROR(INDEX(ShipPartShape!$A:$A,MATCH(D150,ShipPartShape!$B:$B,0)),"-")</f>
        <v>46000128</v>
      </c>
      <c r="J150" s="4" t="s">
        <v>1213</v>
      </c>
      <c r="K150" s="11">
        <f>IFERROR(INDEX(ShipPartShape!$A:$A,MATCH(J150,ShipPartShape!$B:$B,0)),"-")</f>
        <v>46700010</v>
      </c>
      <c r="L150" s="4" t="s">
        <v>69</v>
      </c>
      <c r="M150" s="11">
        <f>IFERROR(INDEX(ShipPartShape!$A:$A,MATCH(L150,ShipPartShape!$B:$B,0)),"-")</f>
        <v>46300001</v>
      </c>
      <c r="N150" s="4"/>
      <c r="O150" s="11" t="str">
        <f>IFERROR(INDEX(ShipPartShape!$A:$A,MATCH(N150,ShipPartShape!$B:$B,0)),"-")</f>
        <v>-</v>
      </c>
      <c r="P150" s="4"/>
      <c r="Q150" s="11" t="str">
        <f>IFERROR(INDEX(ShipPartShape!$A:$A,MATCH(P150,ShipPartShape!$B:$B,0)),"-")</f>
        <v>-</v>
      </c>
      <c r="R150" s="4"/>
      <c r="S150" s="11" t="str">
        <f>IFERROR(INDEX(ShipPartShape!$A:$A,MATCH(R150,ShipPartShape!$B:$B,0)),"-")</f>
        <v>-</v>
      </c>
      <c r="T150" s="4"/>
      <c r="U150" s="11" t="str">
        <f>IFERROR(INDEX(ShipPartShape!$A:$A,MATCH(T150,ShipPartShape!$B:$B,0)),"-")</f>
        <v>-</v>
      </c>
      <c r="V150" s="4"/>
      <c r="W150" s="11" t="str">
        <f>IFERROR(INDEX(ShipPartShape!$A:$A,MATCH(V150,ShipPartShape!$B:$B,0)),"-")</f>
        <v>-</v>
      </c>
      <c r="X150" s="4"/>
      <c r="Y150" s="11" t="str">
        <f>IFERROR(INDEX(ShipPartShape!$A:$A,MATCH(X150,ShipPartShape!$B:$B,0)),"-")</f>
        <v>-</v>
      </c>
      <c r="Z150" s="4"/>
      <c r="AA150" s="11" t="str">
        <f>IFERROR(INDEX(ShipPartShape!$A:$A,MATCH(Z150,ShipPartShape!$B:$B,0)),"-")</f>
        <v>-</v>
      </c>
      <c r="AB150" s="4"/>
      <c r="AC150" s="11" t="str">
        <f>IFERROR(INDEX(ShipPartShape!$A:$A,MATCH(AB150,ShipPartShape!$B:$B,0)),"-")</f>
        <v>-</v>
      </c>
      <c r="AD150" s="4"/>
      <c r="AE150" s="11" t="str">
        <f>IFERROR(INDEX(ShipPartShape!$A:$A,MATCH(AD150,ShipPartShape!$B:$B,0)),"-")</f>
        <v>-</v>
      </c>
      <c r="AF150" s="4"/>
      <c r="AG150" s="11" t="str">
        <f>IFERROR(INDEX(ShipPartShape!$A:$A,MATCH(AF150,ShipPartShape!$B:$B,0)),"-")</f>
        <v>-</v>
      </c>
      <c r="AH150" s="4"/>
      <c r="AI150" s="11" t="str">
        <f>IFERROR(INDEX(ShipPartShape!$A:$A,MATCH(AH150,ShipPartShape!$B:$B,0)),"-")</f>
        <v>-</v>
      </c>
      <c r="AJ150" s="11" t="s">
        <v>0</v>
      </c>
      <c r="AK150" s="11" t="s">
        <v>0</v>
      </c>
      <c r="AL150" s="11" t="s">
        <v>0</v>
      </c>
      <c r="AM150" s="11" t="s">
        <v>0</v>
      </c>
      <c r="AN150" s="11" t="s">
        <v>0</v>
      </c>
      <c r="AO150" s="11" t="s">
        <v>0</v>
      </c>
      <c r="AP150" s="11" t="s">
        <v>0</v>
      </c>
      <c r="AQ150" s="11" t="s">
        <v>0</v>
      </c>
      <c r="AR150" s="11" t="s">
        <v>0</v>
      </c>
      <c r="AS150" s="11" t="s">
        <v>0</v>
      </c>
      <c r="AT150" s="11" t="s">
        <v>0</v>
      </c>
      <c r="AU150" s="11">
        <v>47600017</v>
      </c>
      <c r="AV150" s="11" t="s">
        <v>0</v>
      </c>
      <c r="AW150" s="11" t="s">
        <v>0</v>
      </c>
      <c r="AX150" s="11" t="s">
        <v>0</v>
      </c>
    </row>
    <row r="151" spans="1:50" ht="15">
      <c r="A151" s="10">
        <f t="shared" si="2"/>
        <v>45000141</v>
      </c>
      <c r="B151" s="22" t="s">
        <v>1512</v>
      </c>
      <c r="C151" s="11" t="s">
        <v>1513</v>
      </c>
      <c r="D151" s="4" t="s">
        <v>1511</v>
      </c>
      <c r="E151" s="11">
        <v>700</v>
      </c>
      <c r="F151" s="11">
        <v>150</v>
      </c>
      <c r="G151" s="11">
        <v>20</v>
      </c>
      <c r="H151" s="11">
        <v>-40</v>
      </c>
      <c r="I151" s="11">
        <f>IFERROR(INDEX(ShipPartShape!$A:$A,MATCH(D151,ShipPartShape!$B:$B,0)),"-")</f>
        <v>46000129</v>
      </c>
      <c r="J151" s="4" t="s">
        <v>1257</v>
      </c>
      <c r="K151" s="11">
        <f>IFERROR(INDEX(ShipPartShape!$A:$A,MATCH(J151,ShipPartShape!$B:$B,0)),"-")</f>
        <v>46700012</v>
      </c>
      <c r="L151" s="4"/>
      <c r="M151" s="11" t="str">
        <f>IFERROR(INDEX(ShipPartShape!$A:$A,MATCH(L151,ShipPartShape!$B:$B,0)),"-")</f>
        <v>-</v>
      </c>
      <c r="N151" s="4"/>
      <c r="O151" s="11" t="str">
        <f>IFERROR(INDEX(ShipPartShape!$A:$A,MATCH(N151,ShipPartShape!$B:$B,0)),"-")</f>
        <v>-</v>
      </c>
      <c r="P151" s="4"/>
      <c r="Q151" s="11" t="str">
        <f>IFERROR(INDEX(ShipPartShape!$A:$A,MATCH(P151,ShipPartShape!$B:$B,0)),"-")</f>
        <v>-</v>
      </c>
      <c r="R151" s="4"/>
      <c r="S151" s="11" t="str">
        <f>IFERROR(INDEX(ShipPartShape!$A:$A,MATCH(R151,ShipPartShape!$B:$B,0)),"-")</f>
        <v>-</v>
      </c>
      <c r="T151" s="4" t="s">
        <v>602</v>
      </c>
      <c r="U151" s="11">
        <f>IFERROR(INDEX(ShipPartShape!$A:$A,MATCH(T151,ShipPartShape!$B:$B,0)),"-")</f>
        <v>46600002</v>
      </c>
      <c r="V151" s="4" t="s">
        <v>603</v>
      </c>
      <c r="W151" s="11">
        <f>IFERROR(INDEX(ShipPartShape!$A:$A,MATCH(V151,ShipPartShape!$B:$B,0)),"-")</f>
        <v>46600007</v>
      </c>
      <c r="X151" s="4" t="s">
        <v>606</v>
      </c>
      <c r="Y151" s="11">
        <f>IFERROR(INDEX(ShipPartShape!$A:$A,MATCH(X151,ShipPartShape!$B:$B,0)),"-")</f>
        <v>46600003</v>
      </c>
      <c r="Z151" s="4" t="s">
        <v>604</v>
      </c>
      <c r="AA151" s="11">
        <f>IFERROR(INDEX(ShipPartShape!$A:$A,MATCH(Z151,ShipPartShape!$B:$B,0)),"-")</f>
        <v>46600005</v>
      </c>
      <c r="AB151" s="4"/>
      <c r="AC151" s="11" t="str">
        <f>IFERROR(INDEX(ShipPartShape!$A:$A,MATCH(AB151,ShipPartShape!$B:$B,0)),"-")</f>
        <v>-</v>
      </c>
      <c r="AD151" s="4"/>
      <c r="AE151" s="11" t="str">
        <f>IFERROR(INDEX(ShipPartShape!$A:$A,MATCH(AD151,ShipPartShape!$B:$B,0)),"-")</f>
        <v>-</v>
      </c>
      <c r="AF151" s="4"/>
      <c r="AG151" s="11" t="str">
        <f>IFERROR(INDEX(ShipPartShape!$A:$A,MATCH(AF151,ShipPartShape!$B:$B,0)),"-")</f>
        <v>-</v>
      </c>
      <c r="AH151" s="4"/>
      <c r="AI151" s="11" t="str">
        <f>IFERROR(INDEX(ShipPartShape!$A:$A,MATCH(AH151,ShipPartShape!$B:$B,0)),"-")</f>
        <v>-</v>
      </c>
      <c r="AJ151" s="11" t="s">
        <v>0</v>
      </c>
      <c r="AK151" s="11" t="s">
        <v>0</v>
      </c>
      <c r="AL151" s="11" t="s">
        <v>0</v>
      </c>
      <c r="AM151" s="11" t="s">
        <v>0</v>
      </c>
      <c r="AN151" s="11" t="s">
        <v>0</v>
      </c>
      <c r="AO151" s="11" t="s">
        <v>0</v>
      </c>
      <c r="AP151" s="11" t="s">
        <v>0</v>
      </c>
      <c r="AQ151" s="11" t="s">
        <v>0</v>
      </c>
      <c r="AR151" s="11" t="s">
        <v>0</v>
      </c>
      <c r="AS151" s="11" t="s">
        <v>0</v>
      </c>
      <c r="AT151" s="11" t="s">
        <v>0</v>
      </c>
      <c r="AU151" s="11">
        <v>47600018</v>
      </c>
      <c r="AV151" s="11" t="s">
        <v>0</v>
      </c>
      <c r="AW151" s="11" t="s">
        <v>0</v>
      </c>
      <c r="AX151" s="11" t="s">
        <v>0</v>
      </c>
    </row>
    <row r="152" spans="1:50" ht="15">
      <c r="A152" s="10">
        <f t="shared" si="2"/>
        <v>45000142</v>
      </c>
      <c r="B152" s="22" t="s">
        <v>1653</v>
      </c>
      <c r="C152" s="11" t="s">
        <v>1515</v>
      </c>
      <c r="D152" s="4" t="s">
        <v>1656</v>
      </c>
      <c r="E152" s="11">
        <v>700</v>
      </c>
      <c r="F152" s="11">
        <v>150</v>
      </c>
      <c r="G152" s="11">
        <v>20</v>
      </c>
      <c r="H152" s="11">
        <v>-40</v>
      </c>
      <c r="I152" s="11">
        <f>IFERROR(INDEX(ShipPartShape!$A:$A,MATCH(D152,ShipPartShape!$B:$B,0)),"-")</f>
        <v>46000130</v>
      </c>
      <c r="J152" s="4" t="s">
        <v>1215</v>
      </c>
      <c r="K152" s="11">
        <f>IFERROR(INDEX(ShipPartShape!$A:$A,MATCH(J152,ShipPartShape!$B:$B,0)),"-")</f>
        <v>46700013</v>
      </c>
      <c r="L152" s="4"/>
      <c r="M152" s="11" t="str">
        <f>IFERROR(INDEX(ShipPartShape!$A:$A,MATCH(L152,ShipPartShape!$B:$B,0)),"-")</f>
        <v>-</v>
      </c>
      <c r="N152" s="4"/>
      <c r="O152" s="11" t="str">
        <f>IFERROR(INDEX(ShipPartShape!$A:$A,MATCH(N152,ShipPartShape!$B:$B,0)),"-")</f>
        <v>-</v>
      </c>
      <c r="P152" s="4"/>
      <c r="Q152" s="11" t="str">
        <f>IFERROR(INDEX(ShipPartShape!$A:$A,MATCH(P152,ShipPartShape!$B:$B,0)),"-")</f>
        <v>-</v>
      </c>
      <c r="R152" s="4"/>
      <c r="S152" s="11" t="str">
        <f>IFERROR(INDEX(ShipPartShape!$A:$A,MATCH(R152,ShipPartShape!$B:$B,0)),"-")</f>
        <v>-</v>
      </c>
      <c r="T152" s="4" t="s">
        <v>603</v>
      </c>
      <c r="U152" s="11">
        <f>IFERROR(INDEX(ShipPartShape!$A:$A,MATCH(T152,ShipPartShape!$B:$B,0)),"-")</f>
        <v>46600007</v>
      </c>
      <c r="V152" s="4" t="s">
        <v>611</v>
      </c>
      <c r="W152" s="11">
        <f>IFERROR(INDEX(ShipPartShape!$A:$A,MATCH(V152,ShipPartShape!$B:$B,0)),"-")</f>
        <v>46600010</v>
      </c>
      <c r="X152" s="4" t="s">
        <v>601</v>
      </c>
      <c r="Y152" s="11">
        <f>IFERROR(INDEX(ShipPartShape!$A:$A,MATCH(X152,ShipPartShape!$B:$B,0)),"-")</f>
        <v>46600001</v>
      </c>
      <c r="Z152" s="4" t="s">
        <v>609</v>
      </c>
      <c r="AA152" s="11">
        <f>IFERROR(INDEX(ShipPartShape!$A:$A,MATCH(Z152,ShipPartShape!$B:$B,0)),"-")</f>
        <v>46600011</v>
      </c>
      <c r="AB152" s="4"/>
      <c r="AC152" s="11" t="str">
        <f>IFERROR(INDEX(ShipPartShape!$A:$A,MATCH(AB152,ShipPartShape!$B:$B,0)),"-")</f>
        <v>-</v>
      </c>
      <c r="AD152" s="4"/>
      <c r="AE152" s="11" t="str">
        <f>IFERROR(INDEX(ShipPartShape!$A:$A,MATCH(AD152,ShipPartShape!$B:$B,0)),"-")</f>
        <v>-</v>
      </c>
      <c r="AF152" s="4"/>
      <c r="AG152" s="11" t="str">
        <f>IFERROR(INDEX(ShipPartShape!$A:$A,MATCH(AF152,ShipPartShape!$B:$B,0)),"-")</f>
        <v>-</v>
      </c>
      <c r="AH152" s="4"/>
      <c r="AI152" s="11" t="str">
        <f>IFERROR(INDEX(ShipPartShape!$A:$A,MATCH(AH152,ShipPartShape!$B:$B,0)),"-")</f>
        <v>-</v>
      </c>
      <c r="AJ152" s="11" t="s">
        <v>0</v>
      </c>
      <c r="AK152" s="11" t="s">
        <v>0</v>
      </c>
      <c r="AL152" s="11" t="s">
        <v>0</v>
      </c>
      <c r="AM152" s="11" t="s">
        <v>0</v>
      </c>
      <c r="AN152" s="11" t="s">
        <v>0</v>
      </c>
      <c r="AO152" s="11" t="s">
        <v>0</v>
      </c>
      <c r="AP152" s="11" t="s">
        <v>0</v>
      </c>
      <c r="AQ152" s="11" t="s">
        <v>0</v>
      </c>
      <c r="AR152" s="11" t="s">
        <v>0</v>
      </c>
      <c r="AS152" s="11" t="s">
        <v>0</v>
      </c>
      <c r="AT152" s="11" t="s">
        <v>0</v>
      </c>
      <c r="AU152" s="11">
        <v>47600017</v>
      </c>
      <c r="AV152" s="11" t="s">
        <v>0</v>
      </c>
      <c r="AW152" s="11" t="s">
        <v>0</v>
      </c>
      <c r="AX152" s="11" t="s">
        <v>0</v>
      </c>
    </row>
    <row r="153" spans="1:50" ht="15">
      <c r="A153" s="10">
        <f t="shared" si="2"/>
        <v>45000143</v>
      </c>
      <c r="B153" s="22" t="s">
        <v>1516</v>
      </c>
      <c r="C153" s="11" t="s">
        <v>1518</v>
      </c>
      <c r="D153" s="4" t="s">
        <v>1519</v>
      </c>
      <c r="E153" s="11">
        <v>700</v>
      </c>
      <c r="F153" s="11">
        <v>150</v>
      </c>
      <c r="G153" s="11">
        <v>20</v>
      </c>
      <c r="H153" s="11">
        <v>-40</v>
      </c>
      <c r="I153" s="11">
        <f>IFERROR(INDEX(ShipPartShape!$A:$A,MATCH(D153,ShipPartShape!$B:$B,0)),"-")</f>
        <v>46000131</v>
      </c>
      <c r="J153" s="4" t="s">
        <v>1257</v>
      </c>
      <c r="K153" s="11">
        <f>IFERROR(INDEX(ShipPartShape!$A:$A,MATCH(J153,ShipPartShape!$B:$B,0)),"-")</f>
        <v>46700012</v>
      </c>
      <c r="L153" s="4"/>
      <c r="M153" s="11" t="str">
        <f>IFERROR(INDEX(ShipPartShape!$A:$A,MATCH(L153,ShipPartShape!$B:$B,0)),"-")</f>
        <v>-</v>
      </c>
      <c r="N153" s="4"/>
      <c r="O153" s="11" t="str">
        <f>IFERROR(INDEX(ShipPartShape!$A:$A,MATCH(N153,ShipPartShape!$B:$B,0)),"-")</f>
        <v>-</v>
      </c>
      <c r="P153" s="4"/>
      <c r="Q153" s="11" t="str">
        <f>IFERROR(INDEX(ShipPartShape!$A:$A,MATCH(P153,ShipPartShape!$B:$B,0)),"-")</f>
        <v>-</v>
      </c>
      <c r="R153" s="4"/>
      <c r="S153" s="11" t="str">
        <f>IFERROR(INDEX(ShipPartShape!$A:$A,MATCH(R153,ShipPartShape!$B:$B,0)),"-")</f>
        <v>-</v>
      </c>
      <c r="T153" s="4" t="s">
        <v>603</v>
      </c>
      <c r="U153" s="11">
        <f>IFERROR(INDEX(ShipPartShape!$A:$A,MATCH(T153,ShipPartShape!$B:$B,0)),"-")</f>
        <v>46600007</v>
      </c>
      <c r="V153" s="4" t="s">
        <v>606</v>
      </c>
      <c r="W153" s="11">
        <f>IFERROR(INDEX(ShipPartShape!$A:$A,MATCH(V153,ShipPartShape!$B:$B,0)),"-")</f>
        <v>46600003</v>
      </c>
      <c r="X153" s="4" t="s">
        <v>605</v>
      </c>
      <c r="Y153" s="11">
        <f>IFERROR(INDEX(ShipPartShape!$A:$A,MATCH(X153,ShipPartShape!$B:$B,0)),"-")</f>
        <v>46600009</v>
      </c>
      <c r="Z153" s="4" t="s">
        <v>602</v>
      </c>
      <c r="AA153" s="11">
        <f>IFERROR(INDEX(ShipPartShape!$A:$A,MATCH(Z153,ShipPartShape!$B:$B,0)),"-")</f>
        <v>46600002</v>
      </c>
      <c r="AB153" s="4"/>
      <c r="AC153" s="11" t="str">
        <f>IFERROR(INDEX(ShipPartShape!$A:$A,MATCH(AB153,ShipPartShape!$B:$B,0)),"-")</f>
        <v>-</v>
      </c>
      <c r="AD153" s="4"/>
      <c r="AE153" s="11" t="str">
        <f>IFERROR(INDEX(ShipPartShape!$A:$A,MATCH(AD153,ShipPartShape!$B:$B,0)),"-")</f>
        <v>-</v>
      </c>
      <c r="AF153" s="4"/>
      <c r="AG153" s="11" t="str">
        <f>IFERROR(INDEX(ShipPartShape!$A:$A,MATCH(AF153,ShipPartShape!$B:$B,0)),"-")</f>
        <v>-</v>
      </c>
      <c r="AH153" s="4"/>
      <c r="AI153" s="11" t="str">
        <f>IFERROR(INDEX(ShipPartShape!$A:$A,MATCH(AH153,ShipPartShape!$B:$B,0)),"-")</f>
        <v>-</v>
      </c>
      <c r="AJ153" s="11" t="s">
        <v>0</v>
      </c>
      <c r="AK153" s="11" t="s">
        <v>0</v>
      </c>
      <c r="AL153" s="11" t="s">
        <v>0</v>
      </c>
      <c r="AM153" s="11" t="s">
        <v>0</v>
      </c>
      <c r="AN153" s="11" t="s">
        <v>0</v>
      </c>
      <c r="AO153" s="11" t="s">
        <v>0</v>
      </c>
      <c r="AP153" s="11" t="s">
        <v>0</v>
      </c>
      <c r="AQ153" s="11" t="s">
        <v>0</v>
      </c>
      <c r="AR153" s="11" t="s">
        <v>0</v>
      </c>
      <c r="AS153" s="11" t="s">
        <v>0</v>
      </c>
      <c r="AT153" s="11" t="s">
        <v>0</v>
      </c>
      <c r="AU153" s="11">
        <v>47600018</v>
      </c>
      <c r="AV153" s="11" t="s">
        <v>0</v>
      </c>
      <c r="AW153" s="11" t="s">
        <v>0</v>
      </c>
      <c r="AX153" s="11" t="s">
        <v>0</v>
      </c>
    </row>
    <row r="154" spans="1:50" ht="15">
      <c r="A154" s="10">
        <f t="shared" si="2"/>
        <v>45000144</v>
      </c>
      <c r="B154" s="38" t="s">
        <v>1522</v>
      </c>
      <c r="C154" s="11" t="s">
        <v>1523</v>
      </c>
      <c r="D154" s="4" t="s">
        <v>1520</v>
      </c>
      <c r="E154" s="11">
        <v>700</v>
      </c>
      <c r="F154" s="11">
        <v>150</v>
      </c>
      <c r="G154" s="11">
        <v>20</v>
      </c>
      <c r="H154" s="11">
        <v>-40</v>
      </c>
      <c r="I154" s="11">
        <f>IFERROR(INDEX(ShipPartShape!$A:$A,MATCH(D154,ShipPartShape!$B:$B,0)),"-")</f>
        <v>46000132</v>
      </c>
      <c r="J154" s="4" t="s">
        <v>1215</v>
      </c>
      <c r="K154" s="11">
        <f>IFERROR(INDEX(ShipPartShape!$A:$A,MATCH(J154,ShipPartShape!$B:$B,0)),"-")</f>
        <v>46700013</v>
      </c>
      <c r="L154" s="4" t="s">
        <v>69</v>
      </c>
      <c r="M154" s="11">
        <f>IFERROR(INDEX(ShipPartShape!$A:$A,MATCH(L154,ShipPartShape!$B:$B,0)),"-")</f>
        <v>46300001</v>
      </c>
      <c r="N154" s="4"/>
      <c r="O154" s="11" t="str">
        <f>IFERROR(INDEX(ShipPartShape!$A:$A,MATCH(N154,ShipPartShape!$B:$B,0)),"-")</f>
        <v>-</v>
      </c>
      <c r="P154" s="4"/>
      <c r="Q154" s="11" t="str">
        <f>IFERROR(INDEX(ShipPartShape!$A:$A,MATCH(P154,ShipPartShape!$B:$B,0)),"-")</f>
        <v>-</v>
      </c>
      <c r="R154" s="4"/>
      <c r="S154" s="11" t="str">
        <f>IFERROR(INDEX(ShipPartShape!$A:$A,MATCH(R154,ShipPartShape!$B:$B,0)),"-")</f>
        <v>-</v>
      </c>
      <c r="T154" s="4" t="s">
        <v>605</v>
      </c>
      <c r="U154" s="11">
        <f>IFERROR(INDEX(ShipPartShape!$A:$A,MATCH(T154,ShipPartShape!$B:$B,0)),"-")</f>
        <v>46600009</v>
      </c>
      <c r="V154" s="4" t="s">
        <v>611</v>
      </c>
      <c r="W154" s="11">
        <f>IFERROR(INDEX(ShipPartShape!$A:$A,MATCH(V154,ShipPartShape!$B:$B,0)),"-")</f>
        <v>46600010</v>
      </c>
      <c r="X154" s="4" t="s">
        <v>606</v>
      </c>
      <c r="Y154" s="11">
        <f>IFERROR(INDEX(ShipPartShape!$A:$A,MATCH(X154,ShipPartShape!$B:$B,0)),"-")</f>
        <v>46600003</v>
      </c>
      <c r="Z154" s="4" t="s">
        <v>603</v>
      </c>
      <c r="AA154" s="11">
        <f>IFERROR(INDEX(ShipPartShape!$A:$A,MATCH(Z154,ShipPartShape!$B:$B,0)),"-")</f>
        <v>46600007</v>
      </c>
      <c r="AB154" s="4"/>
      <c r="AC154" s="11" t="str">
        <f>IFERROR(INDEX(ShipPartShape!$A:$A,MATCH(AB154,ShipPartShape!$B:$B,0)),"-")</f>
        <v>-</v>
      </c>
      <c r="AD154" s="4"/>
      <c r="AE154" s="11" t="str">
        <f>IFERROR(INDEX(ShipPartShape!$A:$A,MATCH(AD154,ShipPartShape!$B:$B,0)),"-")</f>
        <v>-</v>
      </c>
      <c r="AF154" s="4"/>
      <c r="AG154" s="11" t="str">
        <f>IFERROR(INDEX(ShipPartShape!$A:$A,MATCH(AF154,ShipPartShape!$B:$B,0)),"-")</f>
        <v>-</v>
      </c>
      <c r="AH154" s="4"/>
      <c r="AI154" s="11" t="str">
        <f>IFERROR(INDEX(ShipPartShape!$A:$A,MATCH(AH154,ShipPartShape!$B:$B,0)),"-")</f>
        <v>-</v>
      </c>
      <c r="AJ154" s="11" t="s">
        <v>0</v>
      </c>
      <c r="AK154" s="11" t="s">
        <v>0</v>
      </c>
      <c r="AL154" s="11" t="s">
        <v>0</v>
      </c>
      <c r="AM154" s="11" t="s">
        <v>0</v>
      </c>
      <c r="AN154" s="11" t="s">
        <v>0</v>
      </c>
      <c r="AO154" s="11" t="s">
        <v>0</v>
      </c>
      <c r="AP154" s="11" t="s">
        <v>0</v>
      </c>
      <c r="AQ154" s="11" t="s">
        <v>0</v>
      </c>
      <c r="AR154" s="11" t="s">
        <v>0</v>
      </c>
      <c r="AS154" s="11" t="s">
        <v>0</v>
      </c>
      <c r="AT154" s="11" t="s">
        <v>0</v>
      </c>
      <c r="AU154" s="11">
        <v>47600017</v>
      </c>
      <c r="AV154" s="11" t="s">
        <v>0</v>
      </c>
      <c r="AW154" s="11" t="s">
        <v>0</v>
      </c>
      <c r="AX154" s="11" t="s">
        <v>0</v>
      </c>
    </row>
    <row r="155" spans="1:50" ht="15">
      <c r="A155" s="10">
        <f t="shared" si="2"/>
        <v>45000145</v>
      </c>
      <c r="B155" s="22" t="s">
        <v>1528</v>
      </c>
      <c r="C155" s="11" t="s">
        <v>1529</v>
      </c>
      <c r="D155" s="4" t="s">
        <v>1524</v>
      </c>
      <c r="E155" s="11">
        <v>700</v>
      </c>
      <c r="F155" s="11">
        <v>150</v>
      </c>
      <c r="G155" s="11">
        <v>20</v>
      </c>
      <c r="H155" s="11">
        <v>-40</v>
      </c>
      <c r="I155" s="11">
        <f>IFERROR(INDEX(ShipPartShape!$A:$A,MATCH(D155,ShipPartShape!$B:$B,0)),"-")</f>
        <v>46000133</v>
      </c>
      <c r="J155" s="4" t="s">
        <v>1212</v>
      </c>
      <c r="K155" s="11">
        <f>IFERROR(INDEX(ShipPartShape!$A:$A,MATCH(J155,ShipPartShape!$B:$B,0)),"-")</f>
        <v>46700005</v>
      </c>
      <c r="L155" s="4" t="s">
        <v>69</v>
      </c>
      <c r="M155" s="11">
        <f>IFERROR(INDEX(ShipPartShape!$A:$A,MATCH(L155,ShipPartShape!$B:$B,0)),"-")</f>
        <v>46300001</v>
      </c>
      <c r="N155" s="4" t="s">
        <v>1526</v>
      </c>
      <c r="O155" s="11">
        <f>IFERROR(INDEX(ShipPartShape!$A:$A,MATCH(N155,ShipPartShape!$B:$B,0)),"-")</f>
        <v>46500022</v>
      </c>
      <c r="P155" s="4"/>
      <c r="Q155" s="11" t="str">
        <f>IFERROR(INDEX(ShipPartShape!$A:$A,MATCH(P155,ShipPartShape!$B:$B,0)),"-")</f>
        <v>-</v>
      </c>
      <c r="R155" s="4"/>
      <c r="S155" s="11" t="str">
        <f>IFERROR(INDEX(ShipPartShape!$A:$A,MATCH(R155,ShipPartShape!$B:$B,0)),"-")</f>
        <v>-</v>
      </c>
      <c r="T155" s="4"/>
      <c r="U155" s="11" t="str">
        <f>IFERROR(INDEX(ShipPartShape!$A:$A,MATCH(T155,ShipPartShape!$B:$B,0)),"-")</f>
        <v>-</v>
      </c>
      <c r="V155" s="4"/>
      <c r="W155" s="11" t="str">
        <f>IFERROR(INDEX(ShipPartShape!$A:$A,MATCH(V155,ShipPartShape!$B:$B,0)),"-")</f>
        <v>-</v>
      </c>
      <c r="X155" s="4"/>
      <c r="Y155" s="11" t="str">
        <f>IFERROR(INDEX(ShipPartShape!$A:$A,MATCH(X155,ShipPartShape!$B:$B,0)),"-")</f>
        <v>-</v>
      </c>
      <c r="Z155" s="4"/>
      <c r="AA155" s="11" t="str">
        <f>IFERROR(INDEX(ShipPartShape!$A:$A,MATCH(Z155,ShipPartShape!$B:$B,0)),"-")</f>
        <v>-</v>
      </c>
      <c r="AB155" s="4"/>
      <c r="AC155" s="11" t="str">
        <f>IFERROR(INDEX(ShipPartShape!$A:$A,MATCH(AB155,ShipPartShape!$B:$B,0)),"-")</f>
        <v>-</v>
      </c>
      <c r="AD155" s="4"/>
      <c r="AE155" s="11" t="str">
        <f>IFERROR(INDEX(ShipPartShape!$A:$A,MATCH(AD155,ShipPartShape!$B:$B,0)),"-")</f>
        <v>-</v>
      </c>
      <c r="AF155" s="4"/>
      <c r="AG155" s="11" t="str">
        <f>IFERROR(INDEX(ShipPartShape!$A:$A,MATCH(AF155,ShipPartShape!$B:$B,0)),"-")</f>
        <v>-</v>
      </c>
      <c r="AH155" s="4"/>
      <c r="AI155" s="11" t="str">
        <f>IFERROR(INDEX(ShipPartShape!$A:$A,MATCH(AH155,ShipPartShape!$B:$B,0)),"-")</f>
        <v>-</v>
      </c>
      <c r="AJ155" s="11" t="s">
        <v>0</v>
      </c>
      <c r="AK155" s="11" t="s">
        <v>0</v>
      </c>
      <c r="AL155" s="11" t="s">
        <v>0</v>
      </c>
      <c r="AM155" s="11" t="s">
        <v>0</v>
      </c>
      <c r="AN155" s="11" t="s">
        <v>0</v>
      </c>
      <c r="AO155" s="11" t="s">
        <v>0</v>
      </c>
      <c r="AP155" s="11" t="s">
        <v>0</v>
      </c>
      <c r="AQ155" s="11" t="s">
        <v>0</v>
      </c>
      <c r="AR155" s="11" t="s">
        <v>0</v>
      </c>
      <c r="AS155" s="11" t="s">
        <v>0</v>
      </c>
      <c r="AT155" s="11" t="s">
        <v>0</v>
      </c>
      <c r="AU155" s="11">
        <v>47600017</v>
      </c>
      <c r="AV155" s="11" t="s">
        <v>0</v>
      </c>
      <c r="AW155" s="11" t="s">
        <v>0</v>
      </c>
      <c r="AX155" s="11" t="s">
        <v>0</v>
      </c>
    </row>
    <row r="156" spans="1:50" ht="15">
      <c r="A156" s="10">
        <f t="shared" si="2"/>
        <v>45000146</v>
      </c>
      <c r="B156" s="22" t="s">
        <v>1534</v>
      </c>
      <c r="C156" s="11" t="s">
        <v>1535</v>
      </c>
      <c r="D156" s="4" t="s">
        <v>1530</v>
      </c>
      <c r="E156" s="11">
        <v>700</v>
      </c>
      <c r="F156" s="11">
        <v>100</v>
      </c>
      <c r="G156" s="11">
        <v>-10</v>
      </c>
      <c r="H156" s="11">
        <v>-40</v>
      </c>
      <c r="I156" s="11">
        <f>IFERROR(INDEX(ShipPartShape!$A:$A,MATCH(D156,ShipPartShape!$B:$B,0)),"-")</f>
        <v>46000134</v>
      </c>
      <c r="J156" s="4" t="s">
        <v>1218</v>
      </c>
      <c r="K156" s="11">
        <f>IFERROR(INDEX(ShipPartShape!$A:$A,MATCH(J156,ShipPartShape!$B:$B,0)),"-")</f>
        <v>46700017</v>
      </c>
      <c r="L156" s="4"/>
      <c r="M156" s="11" t="str">
        <f>IFERROR(INDEX(ShipPartShape!$A:$A,MATCH(L156,ShipPartShape!$B:$B,0)),"-")</f>
        <v>-</v>
      </c>
      <c r="N156" s="4" t="s">
        <v>1533</v>
      </c>
      <c r="O156" s="11">
        <f>IFERROR(INDEX(ShipPartShape!$A:$A,MATCH(N156,ShipPartShape!$B:$B,0)),"-")</f>
        <v>46500023</v>
      </c>
      <c r="P156" s="4"/>
      <c r="Q156" s="11" t="str">
        <f>IFERROR(INDEX(ShipPartShape!$A:$A,MATCH(P156,ShipPartShape!$B:$B,0)),"-")</f>
        <v>-</v>
      </c>
      <c r="R156" s="4"/>
      <c r="S156" s="11" t="str">
        <f>IFERROR(INDEX(ShipPartShape!$A:$A,MATCH(R156,ShipPartShape!$B:$B,0)),"-")</f>
        <v>-</v>
      </c>
      <c r="T156" s="4" t="s">
        <v>601</v>
      </c>
      <c r="U156" s="11">
        <f>IFERROR(INDEX(ShipPartShape!$A:$A,MATCH(T156,ShipPartShape!$B:$B,0)),"-")</f>
        <v>46600001</v>
      </c>
      <c r="V156" s="4"/>
      <c r="W156" s="11" t="str">
        <f>IFERROR(INDEX(ShipPartShape!$A:$A,MATCH(V156,ShipPartShape!$B:$B,0)),"-")</f>
        <v>-</v>
      </c>
      <c r="X156" s="4"/>
      <c r="Y156" s="11" t="str">
        <f>IFERROR(INDEX(ShipPartShape!$A:$A,MATCH(X156,ShipPartShape!$B:$B,0)),"-")</f>
        <v>-</v>
      </c>
      <c r="Z156" s="4"/>
      <c r="AA156" s="11" t="str">
        <f>IFERROR(INDEX(ShipPartShape!$A:$A,MATCH(Z156,ShipPartShape!$B:$B,0)),"-")</f>
        <v>-</v>
      </c>
      <c r="AB156" s="4"/>
      <c r="AC156" s="11" t="str">
        <f>IFERROR(INDEX(ShipPartShape!$A:$A,MATCH(AB156,ShipPartShape!$B:$B,0)),"-")</f>
        <v>-</v>
      </c>
      <c r="AD156" s="4"/>
      <c r="AE156" s="11" t="str">
        <f>IFERROR(INDEX(ShipPartShape!$A:$A,MATCH(AD156,ShipPartShape!$B:$B,0)),"-")</f>
        <v>-</v>
      </c>
      <c r="AF156" s="4"/>
      <c r="AG156" s="11" t="str">
        <f>IFERROR(INDEX(ShipPartShape!$A:$A,MATCH(AF156,ShipPartShape!$B:$B,0)),"-")</f>
        <v>-</v>
      </c>
      <c r="AH156" s="4"/>
      <c r="AI156" s="11" t="str">
        <f>IFERROR(INDEX(ShipPartShape!$A:$A,MATCH(AH156,ShipPartShape!$B:$B,0)),"-")</f>
        <v>-</v>
      </c>
      <c r="AJ156" s="11" t="s">
        <v>0</v>
      </c>
      <c r="AK156" s="11" t="s">
        <v>0</v>
      </c>
      <c r="AL156" s="11" t="s">
        <v>0</v>
      </c>
      <c r="AM156" s="11" t="s">
        <v>0</v>
      </c>
      <c r="AN156" s="11" t="s">
        <v>0</v>
      </c>
      <c r="AO156" s="11" t="s">
        <v>0</v>
      </c>
      <c r="AP156" s="11" t="s">
        <v>0</v>
      </c>
      <c r="AQ156" s="11" t="s">
        <v>0</v>
      </c>
      <c r="AR156" s="11" t="s">
        <v>0</v>
      </c>
      <c r="AS156" s="11" t="s">
        <v>0</v>
      </c>
      <c r="AT156" s="11" t="s">
        <v>0</v>
      </c>
      <c r="AU156" s="11">
        <v>47600016</v>
      </c>
      <c r="AV156" s="11" t="s">
        <v>0</v>
      </c>
      <c r="AW156" s="11" t="s">
        <v>0</v>
      </c>
      <c r="AX156" s="11" t="s">
        <v>0</v>
      </c>
    </row>
    <row r="157" spans="1:50" ht="15">
      <c r="A157" s="10">
        <f t="shared" si="2"/>
        <v>45000147</v>
      </c>
      <c r="B157" s="22" t="s">
        <v>1539</v>
      </c>
      <c r="C157" s="11" t="s">
        <v>1538</v>
      </c>
      <c r="D157" s="4" t="s">
        <v>1536</v>
      </c>
      <c r="E157" s="11">
        <v>700</v>
      </c>
      <c r="F157" s="11">
        <v>100</v>
      </c>
      <c r="G157" s="11">
        <v>20</v>
      </c>
      <c r="H157" s="11">
        <v>-40</v>
      </c>
      <c r="I157" s="11">
        <f>IFERROR(INDEX(ShipPartShape!$A:$A,MATCH(D157,ShipPartShape!$B:$B,0)),"-")</f>
        <v>46000135</v>
      </c>
      <c r="J157" s="4" t="s">
        <v>1374</v>
      </c>
      <c r="K157" s="11">
        <f>IFERROR(INDEX(ShipPartShape!$A:$A,MATCH(J157,ShipPartShape!$B:$B,0)),"-")</f>
        <v>46700008</v>
      </c>
      <c r="L157" s="4" t="s">
        <v>69</v>
      </c>
      <c r="M157" s="11">
        <f>IFERROR(INDEX(ShipPartShape!$A:$A,MATCH(L157,ShipPartShape!$B:$B,0)),"-")</f>
        <v>46300001</v>
      </c>
      <c r="N157" s="4"/>
      <c r="O157" s="11" t="str">
        <f>IFERROR(INDEX(ShipPartShape!$A:$A,MATCH(N157,ShipPartShape!$B:$B,0)),"-")</f>
        <v>-</v>
      </c>
      <c r="P157" s="4"/>
      <c r="Q157" s="11" t="str">
        <f>IFERROR(INDEX(ShipPartShape!$A:$A,MATCH(P157,ShipPartShape!$B:$B,0)),"-")</f>
        <v>-</v>
      </c>
      <c r="R157" s="4"/>
      <c r="S157" s="11" t="str">
        <f>IFERROR(INDEX(ShipPartShape!$A:$A,MATCH(R157,ShipPartShape!$B:$B,0)),"-")</f>
        <v>-</v>
      </c>
      <c r="T157" s="4" t="s">
        <v>611</v>
      </c>
      <c r="U157" s="11">
        <f>IFERROR(INDEX(ShipPartShape!$A:$A,MATCH(T157,ShipPartShape!$B:$B,0)),"-")</f>
        <v>46600010</v>
      </c>
      <c r="V157" s="4" t="s">
        <v>608</v>
      </c>
      <c r="W157" s="11">
        <f>IFERROR(INDEX(ShipPartShape!$A:$A,MATCH(V157,ShipPartShape!$B:$B,0)),"-")</f>
        <v>46600004</v>
      </c>
      <c r="X157" s="4" t="s">
        <v>603</v>
      </c>
      <c r="Y157" s="11">
        <f>IFERROR(INDEX(ShipPartShape!$A:$A,MATCH(X157,ShipPartShape!$B:$B,0)),"-")</f>
        <v>46600007</v>
      </c>
      <c r="Z157" s="4" t="s">
        <v>602</v>
      </c>
      <c r="AA157" s="11">
        <f>IFERROR(INDEX(ShipPartShape!$A:$A,MATCH(Z157,ShipPartShape!$B:$B,0)),"-")</f>
        <v>46600002</v>
      </c>
      <c r="AB157" s="4"/>
      <c r="AC157" s="11" t="str">
        <f>IFERROR(INDEX(ShipPartShape!$A:$A,MATCH(AB157,ShipPartShape!$B:$B,0)),"-")</f>
        <v>-</v>
      </c>
      <c r="AD157" s="4"/>
      <c r="AE157" s="11" t="str">
        <f>IFERROR(INDEX(ShipPartShape!$A:$A,MATCH(AD157,ShipPartShape!$B:$B,0)),"-")</f>
        <v>-</v>
      </c>
      <c r="AF157" s="4"/>
      <c r="AG157" s="11" t="str">
        <f>IFERROR(INDEX(ShipPartShape!$A:$A,MATCH(AF157,ShipPartShape!$B:$B,0)),"-")</f>
        <v>-</v>
      </c>
      <c r="AH157" s="4"/>
      <c r="AI157" s="11" t="str">
        <f>IFERROR(INDEX(ShipPartShape!$A:$A,MATCH(AH157,ShipPartShape!$B:$B,0)),"-")</f>
        <v>-</v>
      </c>
      <c r="AJ157" s="11" t="s">
        <v>0</v>
      </c>
      <c r="AK157" s="11" t="s">
        <v>0</v>
      </c>
      <c r="AL157" s="11" t="s">
        <v>0</v>
      </c>
      <c r="AM157" s="11" t="s">
        <v>0</v>
      </c>
      <c r="AN157" s="11" t="s">
        <v>0</v>
      </c>
      <c r="AO157" s="11" t="s">
        <v>0</v>
      </c>
      <c r="AP157" s="11" t="s">
        <v>0</v>
      </c>
      <c r="AQ157" s="11" t="s">
        <v>0</v>
      </c>
      <c r="AR157" s="11" t="s">
        <v>0</v>
      </c>
      <c r="AS157" s="11" t="s">
        <v>0</v>
      </c>
      <c r="AT157" s="11" t="s">
        <v>0</v>
      </c>
      <c r="AU157" s="11">
        <v>47600015</v>
      </c>
      <c r="AV157" s="11" t="s">
        <v>0</v>
      </c>
      <c r="AW157" s="11" t="s">
        <v>0</v>
      </c>
      <c r="AX157" s="11" t="s">
        <v>0</v>
      </c>
    </row>
    <row r="158" spans="1:50" ht="15">
      <c r="A158" s="10">
        <f t="shared" si="2"/>
        <v>45000148</v>
      </c>
      <c r="B158" s="22" t="s">
        <v>1543</v>
      </c>
      <c r="C158" s="11" t="s">
        <v>1542</v>
      </c>
      <c r="D158" s="4" t="s">
        <v>1540</v>
      </c>
      <c r="E158" s="11">
        <v>700</v>
      </c>
      <c r="F158" s="11">
        <v>150</v>
      </c>
      <c r="G158" s="11">
        <v>20</v>
      </c>
      <c r="H158" s="11">
        <v>-40</v>
      </c>
      <c r="I158" s="11">
        <f>IFERROR(INDEX(ShipPartShape!$A:$A,MATCH(D158,ShipPartShape!$B:$B,0)),"-")</f>
        <v>46000136</v>
      </c>
      <c r="J158" s="4" t="s">
        <v>1257</v>
      </c>
      <c r="K158" s="11">
        <f>IFERROR(INDEX(ShipPartShape!$A:$A,MATCH(J158,ShipPartShape!$B:$B,0)),"-")</f>
        <v>46700012</v>
      </c>
      <c r="L158" s="4"/>
      <c r="M158" s="11" t="str">
        <f>IFERROR(INDEX(ShipPartShape!$A:$A,MATCH(L158,ShipPartShape!$B:$B,0)),"-")</f>
        <v>-</v>
      </c>
      <c r="N158" s="4"/>
      <c r="O158" s="11" t="str">
        <f>IFERROR(INDEX(ShipPartShape!$A:$A,MATCH(N158,ShipPartShape!$B:$B,0)),"-")</f>
        <v>-</v>
      </c>
      <c r="P158" s="4"/>
      <c r="Q158" s="11" t="str">
        <f>IFERROR(INDEX(ShipPartShape!$A:$A,MATCH(P158,ShipPartShape!$B:$B,0)),"-")</f>
        <v>-</v>
      </c>
      <c r="R158" s="4"/>
      <c r="S158" s="11" t="str">
        <f>IFERROR(INDEX(ShipPartShape!$A:$A,MATCH(R158,ShipPartShape!$B:$B,0)),"-")</f>
        <v>-</v>
      </c>
      <c r="T158" s="4" t="s">
        <v>603</v>
      </c>
      <c r="U158" s="11">
        <f>IFERROR(INDEX(ShipPartShape!$A:$A,MATCH(T158,ShipPartShape!$B:$B,0)),"-")</f>
        <v>46600007</v>
      </c>
      <c r="V158" s="4" t="s">
        <v>601</v>
      </c>
      <c r="W158" s="11">
        <f>IFERROR(INDEX(ShipPartShape!$A:$A,MATCH(V158,ShipPartShape!$B:$B,0)),"-")</f>
        <v>46600001</v>
      </c>
      <c r="X158" s="4" t="s">
        <v>611</v>
      </c>
      <c r="Y158" s="11">
        <f>IFERROR(INDEX(ShipPartShape!$A:$A,MATCH(X158,ShipPartShape!$B:$B,0)),"-")</f>
        <v>46600010</v>
      </c>
      <c r="Z158" s="4" t="s">
        <v>606</v>
      </c>
      <c r="AA158" s="11">
        <f>IFERROR(INDEX(ShipPartShape!$A:$A,MATCH(Z158,ShipPartShape!$B:$B,0)),"-")</f>
        <v>46600003</v>
      </c>
      <c r="AB158" s="4"/>
      <c r="AC158" s="11" t="str">
        <f>IFERROR(INDEX(ShipPartShape!$A:$A,MATCH(AB158,ShipPartShape!$B:$B,0)),"-")</f>
        <v>-</v>
      </c>
      <c r="AD158" s="4"/>
      <c r="AE158" s="11" t="str">
        <f>IFERROR(INDEX(ShipPartShape!$A:$A,MATCH(AD158,ShipPartShape!$B:$B,0)),"-")</f>
        <v>-</v>
      </c>
      <c r="AF158" s="4"/>
      <c r="AG158" s="11" t="str">
        <f>IFERROR(INDEX(ShipPartShape!$A:$A,MATCH(AF158,ShipPartShape!$B:$B,0)),"-")</f>
        <v>-</v>
      </c>
      <c r="AH158" s="4"/>
      <c r="AI158" s="11" t="str">
        <f>IFERROR(INDEX(ShipPartShape!$A:$A,MATCH(AH158,ShipPartShape!$B:$B,0)),"-")</f>
        <v>-</v>
      </c>
      <c r="AJ158" s="11" t="s">
        <v>0</v>
      </c>
      <c r="AK158" s="11" t="s">
        <v>0</v>
      </c>
      <c r="AL158" s="11" t="s">
        <v>0</v>
      </c>
      <c r="AM158" s="11" t="s">
        <v>0</v>
      </c>
      <c r="AN158" s="11" t="s">
        <v>0</v>
      </c>
      <c r="AO158" s="11" t="s">
        <v>0</v>
      </c>
      <c r="AP158" s="11" t="s">
        <v>0</v>
      </c>
      <c r="AQ158" s="11" t="s">
        <v>0</v>
      </c>
      <c r="AR158" s="11" t="s">
        <v>0</v>
      </c>
      <c r="AS158" s="11" t="s">
        <v>0</v>
      </c>
      <c r="AT158" s="11" t="s">
        <v>0</v>
      </c>
      <c r="AU158" s="11">
        <v>47600017</v>
      </c>
      <c r="AV158" s="11" t="s">
        <v>0</v>
      </c>
      <c r="AW158" s="11" t="s">
        <v>0</v>
      </c>
      <c r="AX158" s="11" t="s">
        <v>0</v>
      </c>
    </row>
    <row r="159" spans="1:50" ht="15">
      <c r="A159" s="10">
        <f t="shared" si="2"/>
        <v>45000149</v>
      </c>
      <c r="B159" s="22" t="s">
        <v>1546</v>
      </c>
      <c r="C159" s="11" t="s">
        <v>1547</v>
      </c>
      <c r="D159" s="4" t="s">
        <v>1544</v>
      </c>
      <c r="E159" s="11">
        <v>700</v>
      </c>
      <c r="F159" s="11">
        <v>150</v>
      </c>
      <c r="G159" s="11">
        <v>10</v>
      </c>
      <c r="H159" s="11">
        <v>-40</v>
      </c>
      <c r="I159" s="11">
        <f>IFERROR(INDEX(ShipPartShape!$A:$A,MATCH(D159,ShipPartShape!$B:$B,0)),"-")</f>
        <v>46000137</v>
      </c>
      <c r="J159" s="4" t="s">
        <v>1215</v>
      </c>
      <c r="K159" s="11">
        <f>IFERROR(INDEX(ShipPartShape!$A:$A,MATCH(J159,ShipPartShape!$B:$B,0)),"-")</f>
        <v>46700013</v>
      </c>
      <c r="L159" s="4" t="s">
        <v>69</v>
      </c>
      <c r="M159" s="11">
        <f>IFERROR(INDEX(ShipPartShape!$A:$A,MATCH(L159,ShipPartShape!$B:$B,0)),"-")</f>
        <v>46300001</v>
      </c>
      <c r="N159" s="4"/>
      <c r="O159" s="11" t="str">
        <f>IFERROR(INDEX(ShipPartShape!$A:$A,MATCH(N159,ShipPartShape!$B:$B,0)),"-")</f>
        <v>-</v>
      </c>
      <c r="P159" s="4"/>
      <c r="Q159" s="11" t="str">
        <f>IFERROR(INDEX(ShipPartShape!$A:$A,MATCH(P159,ShipPartShape!$B:$B,0)),"-")</f>
        <v>-</v>
      </c>
      <c r="R159" s="4"/>
      <c r="S159" s="11" t="str">
        <f>IFERROR(INDEX(ShipPartShape!$A:$A,MATCH(R159,ShipPartShape!$B:$B,0)),"-")</f>
        <v>-</v>
      </c>
      <c r="T159" s="4" t="s">
        <v>602</v>
      </c>
      <c r="U159" s="11">
        <f>IFERROR(INDEX(ShipPartShape!$A:$A,MATCH(T159,ShipPartShape!$B:$B,0)),"-")</f>
        <v>46600002</v>
      </c>
      <c r="V159" s="4" t="s">
        <v>603</v>
      </c>
      <c r="W159" s="11">
        <f>IFERROR(INDEX(ShipPartShape!$A:$A,MATCH(V159,ShipPartShape!$B:$B,0)),"-")</f>
        <v>46600007</v>
      </c>
      <c r="X159" s="4" t="s">
        <v>607</v>
      </c>
      <c r="Y159" s="11">
        <f>IFERROR(INDEX(ShipPartShape!$A:$A,MATCH(X159,ShipPartShape!$B:$B,0)),"-")</f>
        <v>46600008</v>
      </c>
      <c r="Z159" s="4"/>
      <c r="AA159" s="11" t="str">
        <f>IFERROR(INDEX(ShipPartShape!$A:$A,MATCH(Z159,ShipPartShape!$B:$B,0)),"-")</f>
        <v>-</v>
      </c>
      <c r="AB159" s="4"/>
      <c r="AC159" s="11" t="str">
        <f>IFERROR(INDEX(ShipPartShape!$A:$A,MATCH(AB159,ShipPartShape!$B:$B,0)),"-")</f>
        <v>-</v>
      </c>
      <c r="AD159" s="4"/>
      <c r="AE159" s="11" t="str">
        <f>IFERROR(INDEX(ShipPartShape!$A:$A,MATCH(AD159,ShipPartShape!$B:$B,0)),"-")</f>
        <v>-</v>
      </c>
      <c r="AF159" s="4"/>
      <c r="AG159" s="11" t="str">
        <f>IFERROR(INDEX(ShipPartShape!$A:$A,MATCH(AF159,ShipPartShape!$B:$B,0)),"-")</f>
        <v>-</v>
      </c>
      <c r="AH159" s="4"/>
      <c r="AI159" s="11" t="str">
        <f>IFERROR(INDEX(ShipPartShape!$A:$A,MATCH(AH159,ShipPartShape!$B:$B,0)),"-")</f>
        <v>-</v>
      </c>
      <c r="AJ159" s="11" t="s">
        <v>0</v>
      </c>
      <c r="AK159" s="11" t="s">
        <v>0</v>
      </c>
      <c r="AL159" s="11" t="s">
        <v>0</v>
      </c>
      <c r="AM159" s="11" t="s">
        <v>0</v>
      </c>
      <c r="AN159" s="11" t="s">
        <v>0</v>
      </c>
      <c r="AO159" s="11" t="s">
        <v>0</v>
      </c>
      <c r="AP159" s="11" t="s">
        <v>0</v>
      </c>
      <c r="AQ159" s="11" t="s">
        <v>0</v>
      </c>
      <c r="AR159" s="11" t="s">
        <v>0</v>
      </c>
      <c r="AS159" s="11" t="s">
        <v>0</v>
      </c>
      <c r="AT159" s="11" t="s">
        <v>0</v>
      </c>
      <c r="AU159" s="11">
        <v>47600017</v>
      </c>
      <c r="AV159" s="11" t="s">
        <v>0</v>
      </c>
      <c r="AW159" s="11" t="s">
        <v>0</v>
      </c>
      <c r="AX159" s="11" t="s">
        <v>0</v>
      </c>
    </row>
    <row r="160" spans="1:50" ht="15">
      <c r="A160" s="10">
        <f t="shared" si="2"/>
        <v>45000150</v>
      </c>
      <c r="B160" s="22" t="s">
        <v>1550</v>
      </c>
      <c r="C160" s="11" t="s">
        <v>1551</v>
      </c>
      <c r="D160" s="4" t="s">
        <v>1548</v>
      </c>
      <c r="E160" s="11">
        <v>700</v>
      </c>
      <c r="F160" s="11">
        <v>100</v>
      </c>
      <c r="G160" s="11">
        <v>20</v>
      </c>
      <c r="H160" s="11">
        <v>-40</v>
      </c>
      <c r="I160" s="11">
        <f>IFERROR(INDEX(ShipPartShape!$A:$A,MATCH(D160,ShipPartShape!$B:$B,0)),"-")</f>
        <v>46000138</v>
      </c>
      <c r="J160" s="4" t="s">
        <v>1215</v>
      </c>
      <c r="K160" s="11">
        <f>IFERROR(INDEX(ShipPartShape!$A:$A,MATCH(J160,ShipPartShape!$B:$B,0)),"-")</f>
        <v>46700013</v>
      </c>
      <c r="L160" s="4"/>
      <c r="M160" s="11" t="str">
        <f>IFERROR(INDEX(ShipPartShape!$A:$A,MATCH(L160,ShipPartShape!$B:$B,0)),"-")</f>
        <v>-</v>
      </c>
      <c r="N160" s="4"/>
      <c r="O160" s="11" t="str">
        <f>IFERROR(INDEX(ShipPartShape!$A:$A,MATCH(N160,ShipPartShape!$B:$B,0)),"-")</f>
        <v>-</v>
      </c>
      <c r="P160" s="4"/>
      <c r="Q160" s="11" t="str">
        <f>IFERROR(INDEX(ShipPartShape!$A:$A,MATCH(P160,ShipPartShape!$B:$B,0)),"-")</f>
        <v>-</v>
      </c>
      <c r="R160" s="4"/>
      <c r="S160" s="11" t="str">
        <f>IFERROR(INDEX(ShipPartShape!$A:$A,MATCH(R160,ShipPartShape!$B:$B,0)),"-")</f>
        <v>-</v>
      </c>
      <c r="T160" s="4" t="s">
        <v>601</v>
      </c>
      <c r="U160" s="11">
        <f>IFERROR(INDEX(ShipPartShape!$A:$A,MATCH(T160,ShipPartShape!$B:$B,0)),"-")</f>
        <v>46600001</v>
      </c>
      <c r="V160" s="4" t="s">
        <v>611</v>
      </c>
      <c r="W160" s="11">
        <f>IFERROR(INDEX(ShipPartShape!$A:$A,MATCH(V160,ShipPartShape!$B:$B,0)),"-")</f>
        <v>46600010</v>
      </c>
      <c r="X160" s="4" t="s">
        <v>609</v>
      </c>
      <c r="Y160" s="11">
        <f>IFERROR(INDEX(ShipPartShape!$A:$A,MATCH(X160,ShipPartShape!$B:$B,0)),"-")</f>
        <v>46600011</v>
      </c>
      <c r="Z160" s="4" t="s">
        <v>606</v>
      </c>
      <c r="AA160" s="11">
        <f>IFERROR(INDEX(ShipPartShape!$A:$A,MATCH(Z160,ShipPartShape!$B:$B,0)),"-")</f>
        <v>46600003</v>
      </c>
      <c r="AB160" s="4"/>
      <c r="AC160" s="11" t="str">
        <f>IFERROR(INDEX(ShipPartShape!$A:$A,MATCH(AB160,ShipPartShape!$B:$B,0)),"-")</f>
        <v>-</v>
      </c>
      <c r="AD160" s="4"/>
      <c r="AE160" s="11" t="str">
        <f>IFERROR(INDEX(ShipPartShape!$A:$A,MATCH(AD160,ShipPartShape!$B:$B,0)),"-")</f>
        <v>-</v>
      </c>
      <c r="AF160" s="4"/>
      <c r="AG160" s="11" t="str">
        <f>IFERROR(INDEX(ShipPartShape!$A:$A,MATCH(AF160,ShipPartShape!$B:$B,0)),"-")</f>
        <v>-</v>
      </c>
      <c r="AH160" s="4"/>
      <c r="AI160" s="11" t="str">
        <f>IFERROR(INDEX(ShipPartShape!$A:$A,MATCH(AH160,ShipPartShape!$B:$B,0)),"-")</f>
        <v>-</v>
      </c>
      <c r="AJ160" s="11" t="s">
        <v>0</v>
      </c>
      <c r="AK160" s="11" t="s">
        <v>0</v>
      </c>
      <c r="AL160" s="11" t="s">
        <v>0</v>
      </c>
      <c r="AM160" s="11" t="s">
        <v>0</v>
      </c>
      <c r="AN160" s="11" t="s">
        <v>0</v>
      </c>
      <c r="AO160" s="11" t="s">
        <v>0</v>
      </c>
      <c r="AP160" s="11" t="s">
        <v>0</v>
      </c>
      <c r="AQ160" s="11" t="s">
        <v>0</v>
      </c>
      <c r="AR160" s="11" t="s">
        <v>0</v>
      </c>
      <c r="AS160" s="11" t="s">
        <v>0</v>
      </c>
      <c r="AT160" s="11" t="s">
        <v>0</v>
      </c>
      <c r="AU160" s="11">
        <v>47600016</v>
      </c>
      <c r="AV160" s="11" t="s">
        <v>0</v>
      </c>
      <c r="AW160" s="11" t="s">
        <v>0</v>
      </c>
      <c r="AX160" s="11" t="s">
        <v>0</v>
      </c>
    </row>
    <row r="161" spans="1:50" ht="15">
      <c r="A161" s="10">
        <f t="shared" si="2"/>
        <v>45000151</v>
      </c>
      <c r="B161" s="38" t="s">
        <v>1554</v>
      </c>
      <c r="C161" s="11" t="s">
        <v>1555</v>
      </c>
      <c r="D161" s="4" t="s">
        <v>1552</v>
      </c>
      <c r="E161" s="11">
        <v>700</v>
      </c>
      <c r="F161" s="11">
        <v>150</v>
      </c>
      <c r="G161" s="11">
        <v>20</v>
      </c>
      <c r="H161" s="11">
        <v>-40</v>
      </c>
      <c r="I161" s="11">
        <f>IFERROR(INDEX(ShipPartShape!$A:$A,MATCH(D161,ShipPartShape!$B:$B,0)),"-")</f>
        <v>46000139</v>
      </c>
      <c r="J161" s="4" t="s">
        <v>1257</v>
      </c>
      <c r="K161" s="11">
        <f>IFERROR(INDEX(ShipPartShape!$A:$A,MATCH(J161,ShipPartShape!$B:$B,0)),"-")</f>
        <v>46700012</v>
      </c>
      <c r="L161" s="4"/>
      <c r="M161" s="11" t="str">
        <f>IFERROR(INDEX(ShipPartShape!$A:$A,MATCH(L161,ShipPartShape!$B:$B,0)),"-")</f>
        <v>-</v>
      </c>
      <c r="N161" s="4"/>
      <c r="O161" s="11" t="str">
        <f>IFERROR(INDEX(ShipPartShape!$A:$A,MATCH(N161,ShipPartShape!$B:$B,0)),"-")</f>
        <v>-</v>
      </c>
      <c r="P161" s="4"/>
      <c r="Q161" s="11" t="str">
        <f>IFERROR(INDEX(ShipPartShape!$A:$A,MATCH(P161,ShipPartShape!$B:$B,0)),"-")</f>
        <v>-</v>
      </c>
      <c r="R161" s="4"/>
      <c r="S161" s="11" t="str">
        <f>IFERROR(INDEX(ShipPartShape!$A:$A,MATCH(R161,ShipPartShape!$B:$B,0)),"-")</f>
        <v>-</v>
      </c>
      <c r="T161" s="4" t="s">
        <v>611</v>
      </c>
      <c r="U161" s="11">
        <f>IFERROR(INDEX(ShipPartShape!$A:$A,MATCH(T161,ShipPartShape!$B:$B,0)),"-")</f>
        <v>46600010</v>
      </c>
      <c r="V161" s="4" t="s">
        <v>605</v>
      </c>
      <c r="W161" s="11">
        <f>IFERROR(INDEX(ShipPartShape!$A:$A,MATCH(V161,ShipPartShape!$B:$B,0)),"-")</f>
        <v>46600009</v>
      </c>
      <c r="X161" s="4" t="s">
        <v>603</v>
      </c>
      <c r="Y161" s="11">
        <f>IFERROR(INDEX(ShipPartShape!$A:$A,MATCH(X161,ShipPartShape!$B:$B,0)),"-")</f>
        <v>46600007</v>
      </c>
      <c r="Z161" s="4"/>
      <c r="AA161" s="11" t="str">
        <f>IFERROR(INDEX(ShipPartShape!$A:$A,MATCH(Z161,ShipPartShape!$B:$B,0)),"-")</f>
        <v>-</v>
      </c>
      <c r="AB161" s="4"/>
      <c r="AC161" s="11" t="str">
        <f>IFERROR(INDEX(ShipPartShape!$A:$A,MATCH(AB161,ShipPartShape!$B:$B,0)),"-")</f>
        <v>-</v>
      </c>
      <c r="AD161" s="4"/>
      <c r="AE161" s="11" t="str">
        <f>IFERROR(INDEX(ShipPartShape!$A:$A,MATCH(AD161,ShipPartShape!$B:$B,0)),"-")</f>
        <v>-</v>
      </c>
      <c r="AF161" s="4"/>
      <c r="AG161" s="11" t="str">
        <f>IFERROR(INDEX(ShipPartShape!$A:$A,MATCH(AF161,ShipPartShape!$B:$B,0)),"-")</f>
        <v>-</v>
      </c>
      <c r="AH161" s="4"/>
      <c r="AI161" s="11" t="str">
        <f>IFERROR(INDEX(ShipPartShape!$A:$A,MATCH(AH161,ShipPartShape!$B:$B,0)),"-")</f>
        <v>-</v>
      </c>
      <c r="AJ161" s="11" t="s">
        <v>0</v>
      </c>
      <c r="AK161" s="11" t="s">
        <v>0</v>
      </c>
      <c r="AL161" s="11" t="s">
        <v>0</v>
      </c>
      <c r="AM161" s="11" t="s">
        <v>0</v>
      </c>
      <c r="AN161" s="11" t="s">
        <v>0</v>
      </c>
      <c r="AO161" s="11" t="s">
        <v>0</v>
      </c>
      <c r="AP161" s="11" t="s">
        <v>0</v>
      </c>
      <c r="AQ161" s="11" t="s">
        <v>0</v>
      </c>
      <c r="AR161" s="11" t="s">
        <v>0</v>
      </c>
      <c r="AS161" s="11" t="s">
        <v>0</v>
      </c>
      <c r="AT161" s="11" t="s">
        <v>0</v>
      </c>
      <c r="AU161" s="11">
        <v>47600017</v>
      </c>
      <c r="AV161" s="11" t="s">
        <v>0</v>
      </c>
      <c r="AW161" s="11" t="s">
        <v>0</v>
      </c>
      <c r="AX161" s="11" t="s">
        <v>0</v>
      </c>
    </row>
    <row r="162" spans="1:50" ht="15">
      <c r="A162" s="10">
        <f t="shared" si="2"/>
        <v>45000152</v>
      </c>
      <c r="B162" s="22" t="s">
        <v>1654</v>
      </c>
      <c r="C162" s="11" t="s">
        <v>1557</v>
      </c>
      <c r="D162" s="4" t="s">
        <v>1655</v>
      </c>
      <c r="E162" s="11">
        <v>700</v>
      </c>
      <c r="F162" s="11">
        <v>150</v>
      </c>
      <c r="G162" s="11">
        <v>20</v>
      </c>
      <c r="H162" s="11">
        <v>-40</v>
      </c>
      <c r="I162" s="11">
        <f>IFERROR(INDEX(ShipPartShape!$A:$A,MATCH(D162,ShipPartShape!$B:$B,0)),"-")</f>
        <v>46000140</v>
      </c>
      <c r="J162" s="4" t="s">
        <v>1257</v>
      </c>
      <c r="K162" s="11">
        <f>IFERROR(INDEX(ShipPartShape!$A:$A,MATCH(J162,ShipPartShape!$B:$B,0)),"-")</f>
        <v>46700012</v>
      </c>
      <c r="L162" s="4"/>
      <c r="M162" s="11" t="str">
        <f>IFERROR(INDEX(ShipPartShape!$A:$A,MATCH(L162,ShipPartShape!$B:$B,0)),"-")</f>
        <v>-</v>
      </c>
      <c r="N162" s="4"/>
      <c r="O162" s="11" t="str">
        <f>IFERROR(INDEX(ShipPartShape!$A:$A,MATCH(N162,ShipPartShape!$B:$B,0)),"-")</f>
        <v>-</v>
      </c>
      <c r="P162" s="4"/>
      <c r="Q162" s="11" t="str">
        <f>IFERROR(INDEX(ShipPartShape!$A:$A,MATCH(P162,ShipPartShape!$B:$B,0)),"-")</f>
        <v>-</v>
      </c>
      <c r="R162" s="4"/>
      <c r="S162" s="11" t="str">
        <f>IFERROR(INDEX(ShipPartShape!$A:$A,MATCH(R162,ShipPartShape!$B:$B,0)),"-")</f>
        <v>-</v>
      </c>
      <c r="T162" s="4" t="s">
        <v>601</v>
      </c>
      <c r="U162" s="11">
        <f>IFERROR(INDEX(ShipPartShape!$A:$A,MATCH(T162,ShipPartShape!$B:$B,0)),"-")</f>
        <v>46600001</v>
      </c>
      <c r="V162" s="4" t="s">
        <v>602</v>
      </c>
      <c r="W162" s="11">
        <f>IFERROR(INDEX(ShipPartShape!$A:$A,MATCH(V162,ShipPartShape!$B:$B,0)),"-")</f>
        <v>46600002</v>
      </c>
      <c r="X162" s="4" t="s">
        <v>607</v>
      </c>
      <c r="Y162" s="11">
        <f>IFERROR(INDEX(ShipPartShape!$A:$A,MATCH(X162,ShipPartShape!$B:$B,0)),"-")</f>
        <v>46600008</v>
      </c>
      <c r="Z162" s="4"/>
      <c r="AA162" s="11" t="str">
        <f>IFERROR(INDEX(ShipPartShape!$A:$A,MATCH(Z162,ShipPartShape!$B:$B,0)),"-")</f>
        <v>-</v>
      </c>
      <c r="AB162" s="4"/>
      <c r="AC162" s="11" t="str">
        <f>IFERROR(INDEX(ShipPartShape!$A:$A,MATCH(AB162,ShipPartShape!$B:$B,0)),"-")</f>
        <v>-</v>
      </c>
      <c r="AD162" s="4"/>
      <c r="AE162" s="11" t="str">
        <f>IFERROR(INDEX(ShipPartShape!$A:$A,MATCH(AD162,ShipPartShape!$B:$B,0)),"-")</f>
        <v>-</v>
      </c>
      <c r="AF162" s="4"/>
      <c r="AG162" s="11" t="str">
        <f>IFERROR(INDEX(ShipPartShape!$A:$A,MATCH(AF162,ShipPartShape!$B:$B,0)),"-")</f>
        <v>-</v>
      </c>
      <c r="AH162" s="4"/>
      <c r="AI162" s="11" t="str">
        <f>IFERROR(INDEX(ShipPartShape!$A:$A,MATCH(AH162,ShipPartShape!$B:$B,0)),"-")</f>
        <v>-</v>
      </c>
      <c r="AJ162" s="11" t="s">
        <v>0</v>
      </c>
      <c r="AK162" s="11" t="s">
        <v>0</v>
      </c>
      <c r="AL162" s="11" t="s">
        <v>0</v>
      </c>
      <c r="AM162" s="11" t="s">
        <v>0</v>
      </c>
      <c r="AN162" s="11" t="s">
        <v>0</v>
      </c>
      <c r="AO162" s="11" t="s">
        <v>0</v>
      </c>
      <c r="AP162" s="11" t="s">
        <v>0</v>
      </c>
      <c r="AQ162" s="11" t="s">
        <v>0</v>
      </c>
      <c r="AR162" s="11" t="s">
        <v>0</v>
      </c>
      <c r="AS162" s="11" t="s">
        <v>0</v>
      </c>
      <c r="AT162" s="11" t="s">
        <v>0</v>
      </c>
      <c r="AU162" s="11">
        <v>47600017</v>
      </c>
      <c r="AV162" s="11" t="s">
        <v>0</v>
      </c>
      <c r="AW162" s="11" t="s">
        <v>0</v>
      </c>
      <c r="AX162" s="11" t="s">
        <v>0</v>
      </c>
    </row>
    <row r="163" spans="1:50" ht="15">
      <c r="A163" s="10">
        <f t="shared" si="2"/>
        <v>45000153</v>
      </c>
      <c r="B163" s="22" t="s">
        <v>1562</v>
      </c>
      <c r="C163" s="11" t="s">
        <v>1563</v>
      </c>
      <c r="D163" s="4" t="s">
        <v>1558</v>
      </c>
      <c r="E163" s="11">
        <v>700</v>
      </c>
      <c r="F163" s="11">
        <v>150</v>
      </c>
      <c r="G163" s="11">
        <v>20</v>
      </c>
      <c r="H163" s="11">
        <v>-40</v>
      </c>
      <c r="I163" s="11">
        <f>IFERROR(INDEX(ShipPartShape!$A:$A,MATCH(D163,ShipPartShape!$B:$B,0)),"-")</f>
        <v>46000141</v>
      </c>
      <c r="J163" s="4" t="s">
        <v>1258</v>
      </c>
      <c r="K163" s="11">
        <f>IFERROR(INDEX(ShipPartShape!$A:$A,MATCH(J163,ShipPartShape!$B:$B,0)),"-")</f>
        <v>46700004</v>
      </c>
      <c r="L163" s="4" t="s">
        <v>3292</v>
      </c>
      <c r="M163" s="11">
        <f>IFERROR(INDEX(ShipPartShape!$A:$A,MATCH(L163,ShipPartShape!$B:$B,0)),"-")</f>
        <v>46800006</v>
      </c>
      <c r="N163" s="4" t="s">
        <v>1560</v>
      </c>
      <c r="O163" s="11">
        <f>IFERROR(INDEX(ShipPartShape!$A:$A,MATCH(N163,ShipPartShape!$B:$B,0)),"-")</f>
        <v>46500024</v>
      </c>
      <c r="P163" s="4"/>
      <c r="Q163" s="11" t="str">
        <f>IFERROR(INDEX(ShipPartShape!$A:$A,MATCH(P163,ShipPartShape!$B:$B,0)),"-")</f>
        <v>-</v>
      </c>
      <c r="R163" s="4"/>
      <c r="S163" s="11" t="str">
        <f>IFERROR(INDEX(ShipPartShape!$A:$A,MATCH(R163,ShipPartShape!$B:$B,0)),"-")</f>
        <v>-</v>
      </c>
      <c r="T163" s="4"/>
      <c r="U163" s="11" t="str">
        <f>IFERROR(INDEX(ShipPartShape!$A:$A,MATCH(T163,ShipPartShape!$B:$B,0)),"-")</f>
        <v>-</v>
      </c>
      <c r="V163" s="4"/>
      <c r="W163" s="11" t="str">
        <f>IFERROR(INDEX(ShipPartShape!$A:$A,MATCH(V163,ShipPartShape!$B:$B,0)),"-")</f>
        <v>-</v>
      </c>
      <c r="X163" s="4"/>
      <c r="Y163" s="11" t="str">
        <f>IFERROR(INDEX(ShipPartShape!$A:$A,MATCH(X163,ShipPartShape!$B:$B,0)),"-")</f>
        <v>-</v>
      </c>
      <c r="Z163" s="4"/>
      <c r="AA163" s="11" t="str">
        <f>IFERROR(INDEX(ShipPartShape!$A:$A,MATCH(Z163,ShipPartShape!$B:$B,0)),"-")</f>
        <v>-</v>
      </c>
      <c r="AB163" s="4"/>
      <c r="AC163" s="11" t="str">
        <f>IFERROR(INDEX(ShipPartShape!$A:$A,MATCH(AB163,ShipPartShape!$B:$B,0)),"-")</f>
        <v>-</v>
      </c>
      <c r="AD163" s="4"/>
      <c r="AE163" s="11" t="str">
        <f>IFERROR(INDEX(ShipPartShape!$A:$A,MATCH(AD163,ShipPartShape!$B:$B,0)),"-")</f>
        <v>-</v>
      </c>
      <c r="AF163" s="4"/>
      <c r="AG163" s="11" t="str">
        <f>IFERROR(INDEX(ShipPartShape!$A:$A,MATCH(AF163,ShipPartShape!$B:$B,0)),"-")</f>
        <v>-</v>
      </c>
      <c r="AH163" s="4"/>
      <c r="AI163" s="11" t="str">
        <f>IFERROR(INDEX(ShipPartShape!$A:$A,MATCH(AH163,ShipPartShape!$B:$B,0)),"-")</f>
        <v>-</v>
      </c>
      <c r="AJ163" s="11" t="s">
        <v>0</v>
      </c>
      <c r="AK163" s="11" t="s">
        <v>0</v>
      </c>
      <c r="AL163" s="11" t="s">
        <v>0</v>
      </c>
      <c r="AM163" s="11" t="s">
        <v>0</v>
      </c>
      <c r="AN163" s="11" t="s">
        <v>0</v>
      </c>
      <c r="AO163" s="11" t="s">
        <v>0</v>
      </c>
      <c r="AP163" s="11" t="s">
        <v>0</v>
      </c>
      <c r="AQ163" s="11" t="s">
        <v>0</v>
      </c>
      <c r="AR163" s="11" t="s">
        <v>0</v>
      </c>
      <c r="AS163" s="11" t="s">
        <v>0</v>
      </c>
      <c r="AT163" s="11" t="s">
        <v>0</v>
      </c>
      <c r="AU163" s="11">
        <v>47600018</v>
      </c>
      <c r="AV163" s="11" t="s">
        <v>0</v>
      </c>
      <c r="AW163" s="11" t="s">
        <v>0</v>
      </c>
      <c r="AX163" s="11" t="s">
        <v>0</v>
      </c>
    </row>
    <row r="164" spans="1:50" ht="15">
      <c r="A164" s="10">
        <f t="shared" si="2"/>
        <v>45000154</v>
      </c>
      <c r="B164" s="38" t="s">
        <v>1565</v>
      </c>
      <c r="C164" s="11" t="s">
        <v>1566</v>
      </c>
      <c r="D164" s="4" t="s">
        <v>1567</v>
      </c>
      <c r="E164" s="11">
        <v>600</v>
      </c>
      <c r="F164" s="11">
        <v>100</v>
      </c>
      <c r="G164" s="11">
        <v>10</v>
      </c>
      <c r="H164" s="11">
        <v>-40</v>
      </c>
      <c r="I164" s="11">
        <f>IFERROR(INDEX(ShipPartShape!$A:$A,MATCH(D164,ShipPartShape!$B:$B,0)),"-")</f>
        <v>46000142</v>
      </c>
      <c r="J164" s="4" t="s">
        <v>1374</v>
      </c>
      <c r="K164" s="11">
        <f>IFERROR(INDEX(ShipPartShape!$A:$A,MATCH(J164,ShipPartShape!$B:$B,0)),"-")</f>
        <v>46700008</v>
      </c>
      <c r="L164" s="4" t="s">
        <v>1398</v>
      </c>
      <c r="M164" s="11">
        <f>IFERROR(INDEX(ShipPartShape!$A:$A,MATCH(L164,ShipPartShape!$B:$B,0)),"-")</f>
        <v>46300002</v>
      </c>
      <c r="N164" s="4"/>
      <c r="O164" s="11" t="str">
        <f>IFERROR(INDEX(ShipPartShape!$A:$A,MATCH(N164,ShipPartShape!$B:$B,0)),"-")</f>
        <v>-</v>
      </c>
      <c r="P164" s="4"/>
      <c r="Q164" s="11" t="str">
        <f>IFERROR(INDEX(ShipPartShape!$A:$A,MATCH(P164,ShipPartShape!$B:$B,0)),"-")</f>
        <v>-</v>
      </c>
      <c r="R164" s="4"/>
      <c r="S164" s="11" t="str">
        <f>IFERROR(INDEX(ShipPartShape!$A:$A,MATCH(R164,ShipPartShape!$B:$B,0)),"-")</f>
        <v>-</v>
      </c>
      <c r="T164" s="4"/>
      <c r="U164" s="11" t="str">
        <f>IFERROR(INDEX(ShipPartShape!$A:$A,MATCH(T164,ShipPartShape!$B:$B,0)),"-")</f>
        <v>-</v>
      </c>
      <c r="V164" s="4"/>
      <c r="W164" s="11" t="str">
        <f>IFERROR(INDEX(ShipPartShape!$A:$A,MATCH(V164,ShipPartShape!$B:$B,0)),"-")</f>
        <v>-</v>
      </c>
      <c r="X164" s="4"/>
      <c r="Y164" s="11" t="str">
        <f>IFERROR(INDEX(ShipPartShape!$A:$A,MATCH(X164,ShipPartShape!$B:$B,0)),"-")</f>
        <v>-</v>
      </c>
      <c r="Z164" s="4"/>
      <c r="AA164" s="11" t="str">
        <f>IFERROR(INDEX(ShipPartShape!$A:$A,MATCH(Z164,ShipPartShape!$B:$B,0)),"-")</f>
        <v>-</v>
      </c>
      <c r="AB164" s="4"/>
      <c r="AC164" s="11" t="str">
        <f>IFERROR(INDEX(ShipPartShape!$A:$A,MATCH(AB164,ShipPartShape!$B:$B,0)),"-")</f>
        <v>-</v>
      </c>
      <c r="AD164" s="4"/>
      <c r="AE164" s="11" t="str">
        <f>IFERROR(INDEX(ShipPartShape!$A:$A,MATCH(AD164,ShipPartShape!$B:$B,0)),"-")</f>
        <v>-</v>
      </c>
      <c r="AF164" s="4"/>
      <c r="AG164" s="11" t="str">
        <f>IFERROR(INDEX(ShipPartShape!$A:$A,MATCH(AF164,ShipPartShape!$B:$B,0)),"-")</f>
        <v>-</v>
      </c>
      <c r="AH164" s="4"/>
      <c r="AI164" s="11" t="str">
        <f>IFERROR(INDEX(ShipPartShape!$A:$A,MATCH(AH164,ShipPartShape!$B:$B,0)),"-")</f>
        <v>-</v>
      </c>
      <c r="AJ164" s="11" t="s">
        <v>0</v>
      </c>
      <c r="AK164" s="11" t="s">
        <v>0</v>
      </c>
      <c r="AL164" s="11" t="s">
        <v>0</v>
      </c>
      <c r="AM164" s="11" t="s">
        <v>0</v>
      </c>
      <c r="AN164" s="11" t="s">
        <v>0</v>
      </c>
      <c r="AO164" s="11" t="s">
        <v>0</v>
      </c>
      <c r="AP164" s="11" t="s">
        <v>0</v>
      </c>
      <c r="AQ164" s="11" t="s">
        <v>0</v>
      </c>
      <c r="AR164" s="11" t="s">
        <v>0</v>
      </c>
      <c r="AS164" s="11" t="s">
        <v>0</v>
      </c>
      <c r="AT164" s="11" t="s">
        <v>0</v>
      </c>
      <c r="AU164" s="11">
        <v>47600015</v>
      </c>
      <c r="AV164" s="11" t="s">
        <v>0</v>
      </c>
      <c r="AW164" s="11" t="s">
        <v>0</v>
      </c>
      <c r="AX164" s="11" t="s">
        <v>0</v>
      </c>
    </row>
    <row r="165" spans="1:50" ht="15">
      <c r="A165" s="10">
        <f t="shared" si="2"/>
        <v>45000155</v>
      </c>
      <c r="B165" s="38" t="s">
        <v>2904</v>
      </c>
      <c r="C165" s="11" t="s">
        <v>1569</v>
      </c>
      <c r="D165" s="4" t="s">
        <v>2905</v>
      </c>
      <c r="E165" s="11">
        <v>700</v>
      </c>
      <c r="F165" s="11">
        <v>150</v>
      </c>
      <c r="G165" s="11">
        <v>40</v>
      </c>
      <c r="H165" s="11">
        <v>0</v>
      </c>
      <c r="I165" s="11">
        <f>IFERROR(INDEX(ShipPartShape!$A:$A,MATCH(D165,ShipPartShape!$B:$B,0)),"-")</f>
        <v>46000143</v>
      </c>
      <c r="J165" s="4" t="s">
        <v>1215</v>
      </c>
      <c r="K165" s="11">
        <f>IFERROR(INDEX(ShipPartShape!$A:$A,MATCH(J165,ShipPartShape!$B:$B,0)),"-")</f>
        <v>46700013</v>
      </c>
      <c r="L165" s="4"/>
      <c r="M165" s="11" t="str">
        <f>IFERROR(INDEX(ShipPartShape!$A:$A,MATCH(L165,ShipPartShape!$B:$B,0)),"-")</f>
        <v>-</v>
      </c>
      <c r="N165" s="4"/>
      <c r="O165" s="11" t="str">
        <f>IFERROR(INDEX(ShipPartShape!$A:$A,MATCH(N165,ShipPartShape!$B:$B,0)),"-")</f>
        <v>-</v>
      </c>
      <c r="P165" s="4"/>
      <c r="Q165" s="11" t="str">
        <f>IFERROR(INDEX(ShipPartShape!$A:$A,MATCH(P165,ShipPartShape!$B:$B,0)),"-")</f>
        <v>-</v>
      </c>
      <c r="R165" s="4"/>
      <c r="S165" s="11" t="str">
        <f>IFERROR(INDEX(ShipPartShape!$A:$A,MATCH(R165,ShipPartShape!$B:$B,0)),"-")</f>
        <v>-</v>
      </c>
      <c r="T165" s="4" t="s">
        <v>601</v>
      </c>
      <c r="U165" s="11">
        <f>IFERROR(INDEX(ShipPartShape!$A:$A,MATCH(T165,ShipPartShape!$B:$B,0)),"-")</f>
        <v>46600001</v>
      </c>
      <c r="V165" s="4" t="s">
        <v>602</v>
      </c>
      <c r="W165" s="11">
        <f>IFERROR(INDEX(ShipPartShape!$A:$A,MATCH(V165,ShipPartShape!$B:$B,0)),"-")</f>
        <v>46600002</v>
      </c>
      <c r="X165" s="4" t="s">
        <v>609</v>
      </c>
      <c r="Y165" s="11">
        <f>IFERROR(INDEX(ShipPartShape!$A:$A,MATCH(X165,ShipPartShape!$B:$B,0)),"-")</f>
        <v>46600011</v>
      </c>
      <c r="Z165" s="4"/>
      <c r="AA165" s="11" t="str">
        <f>IFERROR(INDEX(ShipPartShape!$A:$A,MATCH(Z165,ShipPartShape!$B:$B,0)),"-")</f>
        <v>-</v>
      </c>
      <c r="AB165" s="4"/>
      <c r="AC165" s="11" t="str">
        <f>IFERROR(INDEX(ShipPartShape!$A:$A,MATCH(AB165,ShipPartShape!$B:$B,0)),"-")</f>
        <v>-</v>
      </c>
      <c r="AD165" s="4"/>
      <c r="AE165" s="11" t="str">
        <f>IFERROR(INDEX(ShipPartShape!$A:$A,MATCH(AD165,ShipPartShape!$B:$B,0)),"-")</f>
        <v>-</v>
      </c>
      <c r="AF165" s="4"/>
      <c r="AG165" s="11" t="str">
        <f>IFERROR(INDEX(ShipPartShape!$A:$A,MATCH(AF165,ShipPartShape!$B:$B,0)),"-")</f>
        <v>-</v>
      </c>
      <c r="AH165" s="4"/>
      <c r="AI165" s="11" t="str">
        <f>IFERROR(INDEX(ShipPartShape!$A:$A,MATCH(AH165,ShipPartShape!$B:$B,0)),"-")</f>
        <v>-</v>
      </c>
      <c r="AJ165" s="11" t="s">
        <v>0</v>
      </c>
      <c r="AK165" s="11" t="s">
        <v>0</v>
      </c>
      <c r="AL165" s="11" t="s">
        <v>0</v>
      </c>
      <c r="AM165" s="11" t="s">
        <v>0</v>
      </c>
      <c r="AN165" s="11" t="s">
        <v>0</v>
      </c>
      <c r="AO165" s="11" t="s">
        <v>0</v>
      </c>
      <c r="AP165" s="11" t="s">
        <v>0</v>
      </c>
      <c r="AQ165" s="11" t="s">
        <v>0</v>
      </c>
      <c r="AR165" s="11" t="s">
        <v>0</v>
      </c>
      <c r="AS165" s="11" t="s">
        <v>0</v>
      </c>
      <c r="AT165" s="11" t="s">
        <v>0</v>
      </c>
      <c r="AU165" s="11">
        <v>47600017</v>
      </c>
      <c r="AV165" s="11" t="s">
        <v>0</v>
      </c>
      <c r="AW165" s="11" t="s">
        <v>0</v>
      </c>
      <c r="AX165" s="11" t="s">
        <v>0</v>
      </c>
    </row>
    <row r="166" spans="1:50" ht="15">
      <c r="A166" s="10">
        <f t="shared" si="2"/>
        <v>45000156</v>
      </c>
      <c r="B166" s="22" t="s">
        <v>1574</v>
      </c>
      <c r="C166" s="11" t="s">
        <v>1575</v>
      </c>
      <c r="D166" s="4" t="s">
        <v>1572</v>
      </c>
      <c r="E166" s="11">
        <v>600</v>
      </c>
      <c r="F166" s="11">
        <v>150</v>
      </c>
      <c r="G166" s="11">
        <v>20</v>
      </c>
      <c r="H166" s="11">
        <v>-40</v>
      </c>
      <c r="I166" s="11">
        <f>IFERROR(INDEX(ShipPartShape!$A:$A,MATCH(D166,ShipPartShape!$B:$B,0)),"-")</f>
        <v>46000144</v>
      </c>
      <c r="J166" s="4" t="s">
        <v>1257</v>
      </c>
      <c r="K166" s="11">
        <f>IFERROR(INDEX(ShipPartShape!$A:$A,MATCH(J166,ShipPartShape!$B:$B,0)),"-")</f>
        <v>46700012</v>
      </c>
      <c r="L166" s="4"/>
      <c r="M166" s="11" t="str">
        <f>IFERROR(INDEX(ShipPartShape!$A:$A,MATCH(L166,ShipPartShape!$B:$B,0)),"-")</f>
        <v>-</v>
      </c>
      <c r="N166" s="4"/>
      <c r="O166" s="11" t="str">
        <f>IFERROR(INDEX(ShipPartShape!$A:$A,MATCH(N166,ShipPartShape!$B:$B,0)),"-")</f>
        <v>-</v>
      </c>
      <c r="P166" s="4"/>
      <c r="Q166" s="11" t="str">
        <f>IFERROR(INDEX(ShipPartShape!$A:$A,MATCH(P166,ShipPartShape!$B:$B,0)),"-")</f>
        <v>-</v>
      </c>
      <c r="R166" s="4"/>
      <c r="S166" s="11" t="str">
        <f>IFERROR(INDEX(ShipPartShape!$A:$A,MATCH(R166,ShipPartShape!$B:$B,0)),"-")</f>
        <v>-</v>
      </c>
      <c r="T166" s="4" t="s">
        <v>604</v>
      </c>
      <c r="U166" s="11">
        <f>IFERROR(INDEX(ShipPartShape!$A:$A,MATCH(T166,ShipPartShape!$B:$B,0)),"-")</f>
        <v>46600005</v>
      </c>
      <c r="V166" s="4" t="s">
        <v>611</v>
      </c>
      <c r="W166" s="11">
        <f>IFERROR(INDEX(ShipPartShape!$A:$A,MATCH(V166,ShipPartShape!$B:$B,0)),"-")</f>
        <v>46600010</v>
      </c>
      <c r="X166" s="4" t="s">
        <v>609</v>
      </c>
      <c r="Y166" s="11">
        <f>IFERROR(INDEX(ShipPartShape!$A:$A,MATCH(X166,ShipPartShape!$B:$B,0)),"-")</f>
        <v>46600011</v>
      </c>
      <c r="Z166" s="4"/>
      <c r="AA166" s="11" t="str">
        <f>IFERROR(INDEX(ShipPartShape!$A:$A,MATCH(Z166,ShipPartShape!$B:$B,0)),"-")</f>
        <v>-</v>
      </c>
      <c r="AB166" s="4"/>
      <c r="AC166" s="11" t="str">
        <f>IFERROR(INDEX(ShipPartShape!$A:$A,MATCH(AB166,ShipPartShape!$B:$B,0)),"-")</f>
        <v>-</v>
      </c>
      <c r="AD166" s="4"/>
      <c r="AE166" s="11" t="str">
        <f>IFERROR(INDEX(ShipPartShape!$A:$A,MATCH(AD166,ShipPartShape!$B:$B,0)),"-")</f>
        <v>-</v>
      </c>
      <c r="AF166" s="4"/>
      <c r="AG166" s="11" t="str">
        <f>IFERROR(INDEX(ShipPartShape!$A:$A,MATCH(AF166,ShipPartShape!$B:$B,0)),"-")</f>
        <v>-</v>
      </c>
      <c r="AH166" s="4"/>
      <c r="AI166" s="11" t="str">
        <f>IFERROR(INDEX(ShipPartShape!$A:$A,MATCH(AH166,ShipPartShape!$B:$B,0)),"-")</f>
        <v>-</v>
      </c>
      <c r="AJ166" s="11" t="s">
        <v>0</v>
      </c>
      <c r="AK166" s="11" t="s">
        <v>0</v>
      </c>
      <c r="AL166" s="11" t="s">
        <v>0</v>
      </c>
      <c r="AM166" s="11" t="s">
        <v>0</v>
      </c>
      <c r="AN166" s="11" t="s">
        <v>0</v>
      </c>
      <c r="AO166" s="11" t="s">
        <v>0</v>
      </c>
      <c r="AP166" s="11" t="s">
        <v>0</v>
      </c>
      <c r="AQ166" s="11" t="s">
        <v>0</v>
      </c>
      <c r="AR166" s="11" t="s">
        <v>0</v>
      </c>
      <c r="AS166" s="11" t="s">
        <v>0</v>
      </c>
      <c r="AT166" s="11" t="s">
        <v>0</v>
      </c>
      <c r="AU166" s="11">
        <v>47600018</v>
      </c>
      <c r="AV166" s="11" t="s">
        <v>0</v>
      </c>
      <c r="AW166" s="11" t="s">
        <v>0</v>
      </c>
      <c r="AX166" s="11" t="s">
        <v>0</v>
      </c>
    </row>
    <row r="167" spans="1:50" ht="15">
      <c r="A167" s="10">
        <f t="shared" si="2"/>
        <v>45000157</v>
      </c>
      <c r="B167" s="22" t="s">
        <v>1581</v>
      </c>
      <c r="C167" s="11" t="s">
        <v>1580</v>
      </c>
      <c r="D167" s="4" t="s">
        <v>1577</v>
      </c>
      <c r="E167" s="11">
        <v>600</v>
      </c>
      <c r="F167" s="11">
        <v>150</v>
      </c>
      <c r="G167" s="11">
        <v>20</v>
      </c>
      <c r="H167" s="11">
        <v>-40</v>
      </c>
      <c r="I167" s="11">
        <f>IFERROR(INDEX(ShipPartShape!$A:$A,MATCH(D167,ShipPartShape!$B:$B,0)),"-")</f>
        <v>46000145</v>
      </c>
      <c r="J167" s="4" t="s">
        <v>1218</v>
      </c>
      <c r="K167" s="11">
        <f>IFERROR(INDEX(ShipPartShape!$A:$A,MATCH(J167,ShipPartShape!$B:$B,0)),"-")</f>
        <v>46700017</v>
      </c>
      <c r="L167" s="4" t="s">
        <v>1398</v>
      </c>
      <c r="M167" s="11">
        <f>IFERROR(INDEX(ShipPartShape!$A:$A,MATCH(L167,ShipPartShape!$B:$B,0)),"-")</f>
        <v>46300002</v>
      </c>
      <c r="N167" s="4" t="s">
        <v>1579</v>
      </c>
      <c r="O167" s="11">
        <f>IFERROR(INDEX(ShipPartShape!$A:$A,MATCH(N167,ShipPartShape!$B:$B,0)),"-")</f>
        <v>46500025</v>
      </c>
      <c r="P167" s="4"/>
      <c r="Q167" s="11" t="str">
        <f>IFERROR(INDEX(ShipPartShape!$A:$A,MATCH(P167,ShipPartShape!$B:$B,0)),"-")</f>
        <v>-</v>
      </c>
      <c r="R167" s="4"/>
      <c r="S167" s="11" t="str">
        <f>IFERROR(INDEX(ShipPartShape!$A:$A,MATCH(R167,ShipPartShape!$B:$B,0)),"-")</f>
        <v>-</v>
      </c>
      <c r="T167" s="4" t="s">
        <v>601</v>
      </c>
      <c r="U167" s="11">
        <f>IFERROR(INDEX(ShipPartShape!$A:$A,MATCH(T167,ShipPartShape!$B:$B,0)),"-")</f>
        <v>46600001</v>
      </c>
      <c r="V167" s="4" t="s">
        <v>604</v>
      </c>
      <c r="W167" s="11">
        <f>IFERROR(INDEX(ShipPartShape!$A:$A,MATCH(V167,ShipPartShape!$B:$B,0)),"-")</f>
        <v>46600005</v>
      </c>
      <c r="X167" s="4" t="s">
        <v>605</v>
      </c>
      <c r="Y167" s="11">
        <f>IFERROR(INDEX(ShipPartShape!$A:$A,MATCH(X167,ShipPartShape!$B:$B,0)),"-")</f>
        <v>46600009</v>
      </c>
      <c r="Z167" s="4"/>
      <c r="AA167" s="11" t="str">
        <f>IFERROR(INDEX(ShipPartShape!$A:$A,MATCH(Z167,ShipPartShape!$B:$B,0)),"-")</f>
        <v>-</v>
      </c>
      <c r="AB167" s="4"/>
      <c r="AC167" s="11" t="str">
        <f>IFERROR(INDEX(ShipPartShape!$A:$A,MATCH(AB167,ShipPartShape!$B:$B,0)),"-")</f>
        <v>-</v>
      </c>
      <c r="AD167" s="4"/>
      <c r="AE167" s="11" t="str">
        <f>IFERROR(INDEX(ShipPartShape!$A:$A,MATCH(AD167,ShipPartShape!$B:$B,0)),"-")</f>
        <v>-</v>
      </c>
      <c r="AF167" s="4"/>
      <c r="AG167" s="11" t="str">
        <f>IFERROR(INDEX(ShipPartShape!$A:$A,MATCH(AF167,ShipPartShape!$B:$B,0)),"-")</f>
        <v>-</v>
      </c>
      <c r="AH167" s="4"/>
      <c r="AI167" s="11" t="str">
        <f>IFERROR(INDEX(ShipPartShape!$A:$A,MATCH(AH167,ShipPartShape!$B:$B,0)),"-")</f>
        <v>-</v>
      </c>
      <c r="AJ167" s="11" t="s">
        <v>0</v>
      </c>
      <c r="AK167" s="11" t="s">
        <v>0</v>
      </c>
      <c r="AL167" s="11" t="s">
        <v>0</v>
      </c>
      <c r="AM167" s="11" t="s">
        <v>0</v>
      </c>
      <c r="AN167" s="11" t="s">
        <v>0</v>
      </c>
      <c r="AO167" s="11" t="s">
        <v>0</v>
      </c>
      <c r="AP167" s="11" t="s">
        <v>0</v>
      </c>
      <c r="AQ167" s="11" t="s">
        <v>0</v>
      </c>
      <c r="AR167" s="11" t="s">
        <v>0</v>
      </c>
      <c r="AS167" s="11" t="s">
        <v>0</v>
      </c>
      <c r="AT167" s="11" t="s">
        <v>0</v>
      </c>
      <c r="AU167" s="11">
        <v>47600017</v>
      </c>
      <c r="AV167" s="11" t="s">
        <v>0</v>
      </c>
      <c r="AW167" s="11" t="s">
        <v>0</v>
      </c>
      <c r="AX167" s="11" t="s">
        <v>0</v>
      </c>
    </row>
    <row r="168" spans="1:50" ht="15">
      <c r="A168" s="10">
        <f t="shared" si="2"/>
        <v>45000158</v>
      </c>
      <c r="B168" s="22" t="s">
        <v>1587</v>
      </c>
      <c r="C168" s="11" t="s">
        <v>1586</v>
      </c>
      <c r="D168" s="4" t="s">
        <v>1583</v>
      </c>
      <c r="E168" s="11">
        <v>600</v>
      </c>
      <c r="F168" s="11">
        <v>100</v>
      </c>
      <c r="G168" s="11">
        <v>20</v>
      </c>
      <c r="H168" s="11">
        <v>-20</v>
      </c>
      <c r="I168" s="11">
        <f>IFERROR(INDEX(ShipPartShape!$A:$A,MATCH(D168,ShipPartShape!$B:$B,0)),"-")</f>
        <v>46000146</v>
      </c>
      <c r="J168" s="4" t="s">
        <v>1217</v>
      </c>
      <c r="K168" s="11">
        <f>IFERROR(INDEX(ShipPartShape!$A:$A,MATCH(J168,ShipPartShape!$B:$B,0)),"-")</f>
        <v>46700016</v>
      </c>
      <c r="L168" s="4" t="s">
        <v>1413</v>
      </c>
      <c r="M168" s="11">
        <f>IFERROR(INDEX(ShipPartShape!$A:$A,MATCH(L168,ShipPartShape!$B:$B,0)),"-")</f>
        <v>46300003</v>
      </c>
      <c r="N168" s="4" t="s">
        <v>1584</v>
      </c>
      <c r="O168" s="11">
        <f>IFERROR(INDEX(ShipPartShape!$A:$A,MATCH(N168,ShipPartShape!$B:$B,0)),"-")</f>
        <v>46500026</v>
      </c>
      <c r="P168" s="4"/>
      <c r="Q168" s="11" t="str">
        <f>IFERROR(INDEX(ShipPartShape!$A:$A,MATCH(P168,ShipPartShape!$B:$B,0)),"-")</f>
        <v>-</v>
      </c>
      <c r="R168" s="4"/>
      <c r="S168" s="11" t="str">
        <f>IFERROR(INDEX(ShipPartShape!$A:$A,MATCH(R168,ShipPartShape!$B:$B,0)),"-")</f>
        <v>-</v>
      </c>
      <c r="T168" s="4" t="s">
        <v>604</v>
      </c>
      <c r="U168" s="11">
        <f>IFERROR(INDEX(ShipPartShape!$A:$A,MATCH(T168,ShipPartShape!$B:$B,0)),"-")</f>
        <v>46600005</v>
      </c>
      <c r="V168" s="4" t="s">
        <v>603</v>
      </c>
      <c r="W168" s="11">
        <f>IFERROR(INDEX(ShipPartShape!$A:$A,MATCH(V168,ShipPartShape!$B:$B,0)),"-")</f>
        <v>46600007</v>
      </c>
      <c r="X168" s="4"/>
      <c r="Y168" s="11" t="str">
        <f>IFERROR(INDEX(ShipPartShape!$A:$A,MATCH(X168,ShipPartShape!$B:$B,0)),"-")</f>
        <v>-</v>
      </c>
      <c r="Z168" s="4"/>
      <c r="AA168" s="11" t="str">
        <f>IFERROR(INDEX(ShipPartShape!$A:$A,MATCH(Z168,ShipPartShape!$B:$B,0)),"-")</f>
        <v>-</v>
      </c>
      <c r="AB168" s="4"/>
      <c r="AC168" s="11" t="str">
        <f>IFERROR(INDEX(ShipPartShape!$A:$A,MATCH(AB168,ShipPartShape!$B:$B,0)),"-")</f>
        <v>-</v>
      </c>
      <c r="AD168" s="4"/>
      <c r="AE168" s="11" t="str">
        <f>IFERROR(INDEX(ShipPartShape!$A:$A,MATCH(AD168,ShipPartShape!$B:$B,0)),"-")</f>
        <v>-</v>
      </c>
      <c r="AF168" s="4"/>
      <c r="AG168" s="11" t="str">
        <f>IFERROR(INDEX(ShipPartShape!$A:$A,MATCH(AF168,ShipPartShape!$B:$B,0)),"-")</f>
        <v>-</v>
      </c>
      <c r="AH168" s="4"/>
      <c r="AI168" s="11" t="str">
        <f>IFERROR(INDEX(ShipPartShape!$A:$A,MATCH(AH168,ShipPartShape!$B:$B,0)),"-")</f>
        <v>-</v>
      </c>
      <c r="AJ168" s="11" t="s">
        <v>0</v>
      </c>
      <c r="AK168" s="11" t="s">
        <v>0</v>
      </c>
      <c r="AL168" s="11" t="s">
        <v>0</v>
      </c>
      <c r="AM168" s="11" t="s">
        <v>0</v>
      </c>
      <c r="AN168" s="11" t="s">
        <v>0</v>
      </c>
      <c r="AO168" s="11" t="s">
        <v>0</v>
      </c>
      <c r="AP168" s="11" t="s">
        <v>0</v>
      </c>
      <c r="AQ168" s="11" t="s">
        <v>0</v>
      </c>
      <c r="AR168" s="11" t="s">
        <v>0</v>
      </c>
      <c r="AS168" s="11" t="s">
        <v>0</v>
      </c>
      <c r="AT168" s="11" t="s">
        <v>0</v>
      </c>
      <c r="AU168" s="11">
        <v>47600016</v>
      </c>
      <c r="AV168" s="11" t="s">
        <v>0</v>
      </c>
      <c r="AW168" s="11" t="s">
        <v>0</v>
      </c>
      <c r="AX168" s="11" t="s">
        <v>0</v>
      </c>
    </row>
    <row r="169" spans="1:50" ht="15">
      <c r="A169" s="10">
        <f t="shared" si="2"/>
        <v>45000159</v>
      </c>
      <c r="B169" s="22" t="s">
        <v>1623</v>
      </c>
      <c r="C169" s="11" t="s">
        <v>1624</v>
      </c>
      <c r="D169" s="4" t="s">
        <v>1621</v>
      </c>
      <c r="E169" s="11">
        <v>700</v>
      </c>
      <c r="F169" s="11">
        <v>150</v>
      </c>
      <c r="G169" s="11">
        <v>20</v>
      </c>
      <c r="H169" s="11">
        <v>-40</v>
      </c>
      <c r="I169" s="11">
        <f>IFERROR(INDEX(ShipPartShape!$A:$A,MATCH(D169,ShipPartShape!$B:$B,0)),"-")</f>
        <v>46000147</v>
      </c>
      <c r="J169" s="4" t="s">
        <v>1257</v>
      </c>
      <c r="K169" s="11">
        <f>IFERROR(INDEX(ShipPartShape!$A:$A,MATCH(J169,ShipPartShape!$B:$B,0)),"-")</f>
        <v>46700012</v>
      </c>
      <c r="L169" s="4" t="s">
        <v>69</v>
      </c>
      <c r="M169" s="11">
        <f>IFERROR(INDEX(ShipPartShape!$A:$A,MATCH(L169,ShipPartShape!$B:$B,0)),"-")</f>
        <v>46300001</v>
      </c>
      <c r="N169" s="4"/>
      <c r="O169" s="11" t="str">
        <f>IFERROR(INDEX(ShipPartShape!$A:$A,MATCH(N169,ShipPartShape!$B:$B,0)),"-")</f>
        <v>-</v>
      </c>
      <c r="P169" s="4"/>
      <c r="Q169" s="11" t="str">
        <f>IFERROR(INDEX(ShipPartShape!$A:$A,MATCH(P169,ShipPartShape!$B:$B,0)),"-")</f>
        <v>-</v>
      </c>
      <c r="R169" s="4"/>
      <c r="S169" s="11" t="str">
        <f>IFERROR(INDEX(ShipPartShape!$A:$A,MATCH(R169,ShipPartShape!$B:$B,0)),"-")</f>
        <v>-</v>
      </c>
      <c r="T169" s="4" t="s">
        <v>602</v>
      </c>
      <c r="U169" s="11">
        <f>IFERROR(INDEX(ShipPartShape!$A:$A,MATCH(T169,ShipPartShape!$B:$B,0)),"-")</f>
        <v>46600002</v>
      </c>
      <c r="V169" s="4" t="s">
        <v>606</v>
      </c>
      <c r="W169" s="11">
        <f>IFERROR(INDEX(ShipPartShape!$A:$A,MATCH(V169,ShipPartShape!$B:$B,0)),"-")</f>
        <v>46600003</v>
      </c>
      <c r="X169" s="4" t="s">
        <v>609</v>
      </c>
      <c r="Y169" s="11">
        <f>IFERROR(INDEX(ShipPartShape!$A:$A,MATCH(X169,ShipPartShape!$B:$B,0)),"-")</f>
        <v>46600011</v>
      </c>
      <c r="Z169" s="4"/>
      <c r="AA169" s="11" t="str">
        <f>IFERROR(INDEX(ShipPartShape!$A:$A,MATCH(Z169,ShipPartShape!$B:$B,0)),"-")</f>
        <v>-</v>
      </c>
      <c r="AB169" s="4"/>
      <c r="AC169" s="11" t="str">
        <f>IFERROR(INDEX(ShipPartShape!$A:$A,MATCH(AB169,ShipPartShape!$B:$B,0)),"-")</f>
        <v>-</v>
      </c>
      <c r="AD169" s="4"/>
      <c r="AE169" s="11" t="str">
        <f>IFERROR(INDEX(ShipPartShape!$A:$A,MATCH(AD169,ShipPartShape!$B:$B,0)),"-")</f>
        <v>-</v>
      </c>
      <c r="AF169" s="4"/>
      <c r="AG169" s="11" t="str">
        <f>IFERROR(INDEX(ShipPartShape!$A:$A,MATCH(AF169,ShipPartShape!$B:$B,0)),"-")</f>
        <v>-</v>
      </c>
      <c r="AH169" s="4"/>
      <c r="AI169" s="11" t="str">
        <f>IFERROR(INDEX(ShipPartShape!$A:$A,MATCH(AH169,ShipPartShape!$B:$B,0)),"-")</f>
        <v>-</v>
      </c>
      <c r="AJ169" s="11" t="s">
        <v>0</v>
      </c>
      <c r="AK169" s="11" t="s">
        <v>0</v>
      </c>
      <c r="AL169" s="11" t="s">
        <v>0</v>
      </c>
      <c r="AM169" s="11" t="s">
        <v>0</v>
      </c>
      <c r="AN169" s="11" t="s">
        <v>0</v>
      </c>
      <c r="AO169" s="11" t="s">
        <v>0</v>
      </c>
      <c r="AP169" s="11" t="s">
        <v>0</v>
      </c>
      <c r="AQ169" s="11" t="s">
        <v>0</v>
      </c>
      <c r="AR169" s="11" t="s">
        <v>0</v>
      </c>
      <c r="AS169" s="11" t="s">
        <v>0</v>
      </c>
      <c r="AT169" s="11" t="s">
        <v>0</v>
      </c>
      <c r="AU169" s="11">
        <v>47600017</v>
      </c>
      <c r="AV169" s="11" t="s">
        <v>0</v>
      </c>
      <c r="AW169" s="11" t="s">
        <v>0</v>
      </c>
      <c r="AX169" s="11" t="s">
        <v>0</v>
      </c>
    </row>
    <row r="170" spans="1:50" ht="15">
      <c r="A170" s="10">
        <f t="shared" si="2"/>
        <v>45000160</v>
      </c>
      <c r="B170" s="22" t="s">
        <v>1627</v>
      </c>
      <c r="C170" s="11" t="s">
        <v>1628</v>
      </c>
      <c r="D170" s="4" t="s">
        <v>1625</v>
      </c>
      <c r="E170" s="11">
        <v>700</v>
      </c>
      <c r="F170" s="11">
        <v>150</v>
      </c>
      <c r="G170" s="11">
        <v>30</v>
      </c>
      <c r="H170" s="11">
        <v>-40</v>
      </c>
      <c r="I170" s="11">
        <f>IFERROR(INDEX(ShipPartShape!$A:$A,MATCH(D170,ShipPartShape!$B:$B,0)),"-")</f>
        <v>46000148</v>
      </c>
      <c r="J170" s="4" t="s">
        <v>1256</v>
      </c>
      <c r="K170" s="11">
        <f>IFERROR(INDEX(ShipPartShape!$A:$A,MATCH(J170,ShipPartShape!$B:$B,0)),"-")</f>
        <v>46700015</v>
      </c>
      <c r="L170" s="4"/>
      <c r="M170" s="11" t="str">
        <f>IFERROR(INDEX(ShipPartShape!$A:$A,MATCH(L170,ShipPartShape!$B:$B,0)),"-")</f>
        <v>-</v>
      </c>
      <c r="N170" s="4"/>
      <c r="O170" s="11" t="str">
        <f>IFERROR(INDEX(ShipPartShape!$A:$A,MATCH(N170,ShipPartShape!$B:$B,0)),"-")</f>
        <v>-</v>
      </c>
      <c r="P170" s="4"/>
      <c r="Q170" s="11" t="str">
        <f>IFERROR(INDEX(ShipPartShape!$A:$A,MATCH(P170,ShipPartShape!$B:$B,0)),"-")</f>
        <v>-</v>
      </c>
      <c r="R170" s="4"/>
      <c r="S170" s="11" t="str">
        <f>IFERROR(INDEX(ShipPartShape!$A:$A,MATCH(R170,ShipPartShape!$B:$B,0)),"-")</f>
        <v>-</v>
      </c>
      <c r="T170" s="4" t="s">
        <v>609</v>
      </c>
      <c r="U170" s="11">
        <f>IFERROR(INDEX(ShipPartShape!$A:$A,MATCH(T170,ShipPartShape!$B:$B,0)),"-")</f>
        <v>46600011</v>
      </c>
      <c r="V170" s="4" t="s">
        <v>611</v>
      </c>
      <c r="W170" s="11">
        <f>IFERROR(INDEX(ShipPartShape!$A:$A,MATCH(V170,ShipPartShape!$B:$B,0)),"-")</f>
        <v>46600010</v>
      </c>
      <c r="X170" s="4" t="s">
        <v>606</v>
      </c>
      <c r="Y170" s="11">
        <f>IFERROR(INDEX(ShipPartShape!$A:$A,MATCH(X170,ShipPartShape!$B:$B,0)),"-")</f>
        <v>46600003</v>
      </c>
      <c r="Z170" s="4" t="s">
        <v>601</v>
      </c>
      <c r="AA170" s="11">
        <f>IFERROR(INDEX(ShipPartShape!$A:$A,MATCH(Z170,ShipPartShape!$B:$B,0)),"-")</f>
        <v>46600001</v>
      </c>
      <c r="AB170" s="4"/>
      <c r="AC170" s="11" t="str">
        <f>IFERROR(INDEX(ShipPartShape!$A:$A,MATCH(AB170,ShipPartShape!$B:$B,0)),"-")</f>
        <v>-</v>
      </c>
      <c r="AD170" s="4"/>
      <c r="AE170" s="11" t="str">
        <f>IFERROR(INDEX(ShipPartShape!$A:$A,MATCH(AD170,ShipPartShape!$B:$B,0)),"-")</f>
        <v>-</v>
      </c>
      <c r="AF170" s="4"/>
      <c r="AG170" s="11" t="str">
        <f>IFERROR(INDEX(ShipPartShape!$A:$A,MATCH(AF170,ShipPartShape!$B:$B,0)),"-")</f>
        <v>-</v>
      </c>
      <c r="AH170" s="4"/>
      <c r="AI170" s="11" t="str">
        <f>IFERROR(INDEX(ShipPartShape!$A:$A,MATCH(AH170,ShipPartShape!$B:$B,0)),"-")</f>
        <v>-</v>
      </c>
      <c r="AJ170" s="11" t="s">
        <v>0</v>
      </c>
      <c r="AK170" s="11" t="s">
        <v>0</v>
      </c>
      <c r="AL170" s="11" t="s">
        <v>0</v>
      </c>
      <c r="AM170" s="11" t="s">
        <v>0</v>
      </c>
      <c r="AN170" s="11" t="s">
        <v>0</v>
      </c>
      <c r="AO170" s="11" t="s">
        <v>0</v>
      </c>
      <c r="AP170" s="11" t="s">
        <v>0</v>
      </c>
      <c r="AQ170" s="11" t="s">
        <v>0</v>
      </c>
      <c r="AR170" s="11" t="s">
        <v>0</v>
      </c>
      <c r="AS170" s="11" t="s">
        <v>0</v>
      </c>
      <c r="AT170" s="11" t="s">
        <v>0</v>
      </c>
      <c r="AU170" s="11">
        <v>47600018</v>
      </c>
      <c r="AV170" s="11" t="s">
        <v>0</v>
      </c>
      <c r="AW170" s="11" t="s">
        <v>0</v>
      </c>
      <c r="AX170" s="11" t="s">
        <v>0</v>
      </c>
    </row>
    <row r="171" spans="1:50" ht="15">
      <c r="A171" s="10">
        <f t="shared" si="2"/>
        <v>45000161</v>
      </c>
      <c r="B171" s="22" t="s">
        <v>1640</v>
      </c>
      <c r="C171" s="11" t="s">
        <v>1638</v>
      </c>
      <c r="D171" s="4" t="s">
        <v>1639</v>
      </c>
      <c r="E171" s="11">
        <v>700</v>
      </c>
      <c r="F171" s="11">
        <v>150</v>
      </c>
      <c r="G171" s="11">
        <v>20</v>
      </c>
      <c r="H171" s="11">
        <v>-40</v>
      </c>
      <c r="I171" s="11">
        <f>IFERROR(INDEX(ShipPartShape!$A:$A,MATCH(D171,ShipPartShape!$B:$B,0)),"-")</f>
        <v>46000149</v>
      </c>
      <c r="J171" s="4" t="s">
        <v>1257</v>
      </c>
      <c r="K171" s="11">
        <f>IFERROR(INDEX(ShipPartShape!$A:$A,MATCH(J171,ShipPartShape!$B:$B,0)),"-")</f>
        <v>46700012</v>
      </c>
      <c r="L171" s="4" t="s">
        <v>69</v>
      </c>
      <c r="M171" s="11">
        <f>IFERROR(INDEX(ShipPartShape!$A:$A,MATCH(L171,ShipPartShape!$B:$B,0)),"-")</f>
        <v>46300001</v>
      </c>
      <c r="N171" s="4"/>
      <c r="O171" s="11" t="str">
        <f>IFERROR(INDEX(ShipPartShape!$A:$A,MATCH(N171,ShipPartShape!$B:$B,0)),"-")</f>
        <v>-</v>
      </c>
      <c r="P171" s="4"/>
      <c r="Q171" s="11" t="str">
        <f>IFERROR(INDEX(ShipPartShape!$A:$A,MATCH(P171,ShipPartShape!$B:$B,0)),"-")</f>
        <v>-</v>
      </c>
      <c r="R171" s="4"/>
      <c r="S171" s="11" t="str">
        <f>IFERROR(INDEX(ShipPartShape!$A:$A,MATCH(R171,ShipPartShape!$B:$B,0)),"-")</f>
        <v>-</v>
      </c>
      <c r="T171" s="4" t="s">
        <v>602</v>
      </c>
      <c r="U171" s="11">
        <f>IFERROR(INDEX(ShipPartShape!$A:$A,MATCH(T171,ShipPartShape!$B:$B,0)),"-")</f>
        <v>46600002</v>
      </c>
      <c r="V171" s="4" t="s">
        <v>604</v>
      </c>
      <c r="W171" s="11">
        <f>IFERROR(INDEX(ShipPartShape!$A:$A,MATCH(V171,ShipPartShape!$B:$B,0)),"-")</f>
        <v>46600005</v>
      </c>
      <c r="X171" s="4" t="s">
        <v>609</v>
      </c>
      <c r="Y171" s="11">
        <f>IFERROR(INDEX(ShipPartShape!$A:$A,MATCH(X171,ShipPartShape!$B:$B,0)),"-")</f>
        <v>46600011</v>
      </c>
      <c r="Z171" s="4"/>
      <c r="AA171" s="11" t="str">
        <f>IFERROR(INDEX(ShipPartShape!$A:$A,MATCH(Z171,ShipPartShape!$B:$B,0)),"-")</f>
        <v>-</v>
      </c>
      <c r="AB171" s="4"/>
      <c r="AC171" s="11" t="str">
        <f>IFERROR(INDEX(ShipPartShape!$A:$A,MATCH(AB171,ShipPartShape!$B:$B,0)),"-")</f>
        <v>-</v>
      </c>
      <c r="AD171" s="4"/>
      <c r="AE171" s="11" t="str">
        <f>IFERROR(INDEX(ShipPartShape!$A:$A,MATCH(AD171,ShipPartShape!$B:$B,0)),"-")</f>
        <v>-</v>
      </c>
      <c r="AF171" s="4"/>
      <c r="AG171" s="11" t="str">
        <f>IFERROR(INDEX(ShipPartShape!$A:$A,MATCH(AF171,ShipPartShape!$B:$B,0)),"-")</f>
        <v>-</v>
      </c>
      <c r="AH171" s="4"/>
      <c r="AI171" s="11" t="str">
        <f>IFERROR(INDEX(ShipPartShape!$A:$A,MATCH(AH171,ShipPartShape!$B:$B,0)),"-")</f>
        <v>-</v>
      </c>
      <c r="AJ171" s="11" t="s">
        <v>0</v>
      </c>
      <c r="AK171" s="11" t="s">
        <v>0</v>
      </c>
      <c r="AL171" s="11" t="s">
        <v>0</v>
      </c>
      <c r="AM171" s="11" t="s">
        <v>0</v>
      </c>
      <c r="AN171" s="11" t="s">
        <v>0</v>
      </c>
      <c r="AO171" s="11" t="s">
        <v>0</v>
      </c>
      <c r="AP171" s="11" t="s">
        <v>0</v>
      </c>
      <c r="AQ171" s="11" t="s">
        <v>0</v>
      </c>
      <c r="AR171" s="11" t="s">
        <v>0</v>
      </c>
      <c r="AS171" s="11" t="s">
        <v>0</v>
      </c>
      <c r="AT171" s="11" t="s">
        <v>0</v>
      </c>
      <c r="AU171" s="11">
        <v>47600018</v>
      </c>
      <c r="AV171" s="11" t="s">
        <v>0</v>
      </c>
      <c r="AW171" s="11" t="s">
        <v>0</v>
      </c>
      <c r="AX171" s="11" t="s">
        <v>0</v>
      </c>
    </row>
    <row r="172" spans="1:50" ht="15">
      <c r="A172" s="10">
        <f t="shared" si="2"/>
        <v>45000162</v>
      </c>
      <c r="B172" s="22" t="s">
        <v>1642</v>
      </c>
      <c r="C172" s="11" t="s">
        <v>1643</v>
      </c>
      <c r="D172" s="4" t="s">
        <v>2833</v>
      </c>
      <c r="E172" s="11">
        <v>700</v>
      </c>
      <c r="F172" s="11">
        <v>150</v>
      </c>
      <c r="G172" s="11">
        <v>20</v>
      </c>
      <c r="H172" s="11">
        <v>-40</v>
      </c>
      <c r="I172" s="11">
        <f>IFERROR(INDEX(ShipPartShape!$A:$A,MATCH(D172,ShipPartShape!$B:$B,0)),"-")</f>
        <v>46000150</v>
      </c>
      <c r="J172" s="4" t="s">
        <v>1215</v>
      </c>
      <c r="K172" s="11">
        <f>IFERROR(INDEX(ShipPartShape!$A:$A,MATCH(J172,ShipPartShape!$B:$B,0)),"-")</f>
        <v>46700013</v>
      </c>
      <c r="L172" s="4" t="s">
        <v>1398</v>
      </c>
      <c r="M172" s="11">
        <f>IFERROR(INDEX(ShipPartShape!$A:$A,MATCH(L172,ShipPartShape!$B:$B,0)),"-")</f>
        <v>46300002</v>
      </c>
      <c r="N172" s="4"/>
      <c r="O172" s="11" t="str">
        <f>IFERROR(INDEX(ShipPartShape!$A:$A,MATCH(N172,ShipPartShape!$B:$B,0)),"-")</f>
        <v>-</v>
      </c>
      <c r="P172" s="4"/>
      <c r="Q172" s="11" t="str">
        <f>IFERROR(INDEX(ShipPartShape!$A:$A,MATCH(P172,ShipPartShape!$B:$B,0)),"-")</f>
        <v>-</v>
      </c>
      <c r="R172" s="4"/>
      <c r="S172" s="11" t="str">
        <f>IFERROR(INDEX(ShipPartShape!$A:$A,MATCH(R172,ShipPartShape!$B:$B,0)),"-")</f>
        <v>-</v>
      </c>
      <c r="T172" s="4" t="s">
        <v>601</v>
      </c>
      <c r="U172" s="11">
        <f>IFERROR(INDEX(ShipPartShape!$A:$A,MATCH(T172,ShipPartShape!$B:$B,0)),"-")</f>
        <v>46600001</v>
      </c>
      <c r="V172" s="4" t="s">
        <v>606</v>
      </c>
      <c r="W172" s="11">
        <f>IFERROR(INDEX(ShipPartShape!$A:$A,MATCH(V172,ShipPartShape!$B:$B,0)),"-")</f>
        <v>46600003</v>
      </c>
      <c r="X172" s="4" t="s">
        <v>611</v>
      </c>
      <c r="Y172" s="11">
        <f>IFERROR(INDEX(ShipPartShape!$A:$A,MATCH(X172,ShipPartShape!$B:$B,0)),"-")</f>
        <v>46600010</v>
      </c>
      <c r="Z172" s="4"/>
      <c r="AA172" s="11" t="str">
        <f>IFERROR(INDEX(ShipPartShape!$A:$A,MATCH(Z172,ShipPartShape!$B:$B,0)),"-")</f>
        <v>-</v>
      </c>
      <c r="AB172" s="4"/>
      <c r="AC172" s="11" t="str">
        <f>IFERROR(INDEX(ShipPartShape!$A:$A,MATCH(AB172,ShipPartShape!$B:$B,0)),"-")</f>
        <v>-</v>
      </c>
      <c r="AD172" s="4"/>
      <c r="AE172" s="11" t="str">
        <f>IFERROR(INDEX(ShipPartShape!$A:$A,MATCH(AD172,ShipPartShape!$B:$B,0)),"-")</f>
        <v>-</v>
      </c>
      <c r="AF172" s="4"/>
      <c r="AG172" s="11" t="str">
        <f>IFERROR(INDEX(ShipPartShape!$A:$A,MATCH(AF172,ShipPartShape!$B:$B,0)),"-")</f>
        <v>-</v>
      </c>
      <c r="AH172" s="4"/>
      <c r="AI172" s="11" t="str">
        <f>IFERROR(INDEX(ShipPartShape!$A:$A,MATCH(AH172,ShipPartShape!$B:$B,0)),"-")</f>
        <v>-</v>
      </c>
      <c r="AJ172" s="11" t="s">
        <v>0</v>
      </c>
      <c r="AK172" s="11" t="s">
        <v>0</v>
      </c>
      <c r="AL172" s="11" t="s">
        <v>0</v>
      </c>
      <c r="AM172" s="11" t="s">
        <v>0</v>
      </c>
      <c r="AN172" s="11" t="s">
        <v>0</v>
      </c>
      <c r="AO172" s="11" t="s">
        <v>0</v>
      </c>
      <c r="AP172" s="11" t="s">
        <v>0</v>
      </c>
      <c r="AQ172" s="11" t="s">
        <v>0</v>
      </c>
      <c r="AR172" s="11" t="s">
        <v>0</v>
      </c>
      <c r="AS172" s="11" t="s">
        <v>0</v>
      </c>
      <c r="AT172" s="11" t="s">
        <v>0</v>
      </c>
      <c r="AU172" s="11">
        <v>47600017</v>
      </c>
      <c r="AV172" s="11" t="s">
        <v>0</v>
      </c>
      <c r="AW172" s="11" t="s">
        <v>0</v>
      </c>
      <c r="AX172" s="11" t="s">
        <v>0</v>
      </c>
    </row>
    <row r="173" spans="1:50" ht="15">
      <c r="A173" s="10">
        <f t="shared" si="2"/>
        <v>45000163</v>
      </c>
      <c r="B173" s="22" t="s">
        <v>1836</v>
      </c>
      <c r="C173" s="11" t="s">
        <v>1840</v>
      </c>
      <c r="D173" s="4" t="s">
        <v>1838</v>
      </c>
      <c r="E173" s="11">
        <v>700</v>
      </c>
      <c r="F173" s="11">
        <v>150</v>
      </c>
      <c r="G173" s="11">
        <v>20</v>
      </c>
      <c r="H173" s="11">
        <v>-40</v>
      </c>
      <c r="I173" s="11">
        <f>IFERROR(INDEX(ShipPartShape!$A:$A,MATCH(D173,ShipPartShape!$B:$B,0)),"-")</f>
        <v>46000151</v>
      </c>
      <c r="J173" s="4" t="s">
        <v>1215</v>
      </c>
      <c r="K173" s="11">
        <f>IFERROR(INDEX(ShipPartShape!$A:$A,MATCH(J173,ShipPartShape!$B:$B,0)),"-")</f>
        <v>46700013</v>
      </c>
      <c r="L173" s="4" t="s">
        <v>69</v>
      </c>
      <c r="M173" s="11">
        <f>IFERROR(INDEX(ShipPartShape!$A:$A,MATCH(L173,ShipPartShape!$B:$B,0)),"-")</f>
        <v>46300001</v>
      </c>
      <c r="N173" s="4"/>
      <c r="O173" s="11" t="str">
        <f>IFERROR(INDEX(ShipPartShape!$A:$A,MATCH(N173,ShipPartShape!$B:$B,0)),"-")</f>
        <v>-</v>
      </c>
      <c r="P173" s="4"/>
      <c r="Q173" s="11" t="str">
        <f>IFERROR(INDEX(ShipPartShape!$A:$A,MATCH(P173,ShipPartShape!$B:$B,0)),"-")</f>
        <v>-</v>
      </c>
      <c r="R173" s="4"/>
      <c r="S173" s="11" t="str">
        <f>IFERROR(INDEX(ShipPartShape!$A:$A,MATCH(R173,ShipPartShape!$B:$B,0)),"-")</f>
        <v>-</v>
      </c>
      <c r="T173" s="4" t="s">
        <v>608</v>
      </c>
      <c r="U173" s="11">
        <f>IFERROR(INDEX(ShipPartShape!$A:$A,MATCH(T173,ShipPartShape!$B:$B,0)),"-")</f>
        <v>46600004</v>
      </c>
      <c r="V173" s="4" t="s">
        <v>604</v>
      </c>
      <c r="W173" s="11">
        <f>IFERROR(INDEX(ShipPartShape!$A:$A,MATCH(V173,ShipPartShape!$B:$B,0)),"-")</f>
        <v>46600005</v>
      </c>
      <c r="X173" s="4" t="s">
        <v>609</v>
      </c>
      <c r="Y173" s="11">
        <f>IFERROR(INDEX(ShipPartShape!$A:$A,MATCH(X173,ShipPartShape!$B:$B,0)),"-")</f>
        <v>46600011</v>
      </c>
      <c r="Z173" s="4" t="s">
        <v>604</v>
      </c>
      <c r="AA173" s="11">
        <f>IFERROR(INDEX(ShipPartShape!$A:$A,MATCH(Z173,ShipPartShape!$B:$B,0)),"-")</f>
        <v>46600005</v>
      </c>
      <c r="AB173" s="4"/>
      <c r="AC173" s="11" t="str">
        <f>IFERROR(INDEX(ShipPartShape!$A:$A,MATCH(AB173,ShipPartShape!$B:$B,0)),"-")</f>
        <v>-</v>
      </c>
      <c r="AD173" s="4"/>
      <c r="AE173" s="11" t="str">
        <f>IFERROR(INDEX(ShipPartShape!$A:$A,MATCH(AD173,ShipPartShape!$B:$B,0)),"-")</f>
        <v>-</v>
      </c>
      <c r="AF173" s="4"/>
      <c r="AG173" s="11" t="str">
        <f>IFERROR(INDEX(ShipPartShape!$A:$A,MATCH(AF173,ShipPartShape!$B:$B,0)),"-")</f>
        <v>-</v>
      </c>
      <c r="AH173" s="4"/>
      <c r="AI173" s="11" t="str">
        <f>IFERROR(INDEX(ShipPartShape!$A:$A,MATCH(AH173,ShipPartShape!$B:$B,0)),"-")</f>
        <v>-</v>
      </c>
      <c r="AJ173" s="11" t="s">
        <v>0</v>
      </c>
      <c r="AK173" s="11" t="s">
        <v>0</v>
      </c>
      <c r="AL173" s="11" t="s">
        <v>0</v>
      </c>
      <c r="AM173" s="11" t="s">
        <v>0</v>
      </c>
      <c r="AN173" s="11" t="s">
        <v>0</v>
      </c>
      <c r="AO173" s="11" t="s">
        <v>0</v>
      </c>
      <c r="AP173" s="11" t="s">
        <v>0</v>
      </c>
      <c r="AQ173" s="11" t="s">
        <v>0</v>
      </c>
      <c r="AR173" s="11" t="s">
        <v>0</v>
      </c>
      <c r="AS173" s="11" t="s">
        <v>0</v>
      </c>
      <c r="AT173" s="11" t="s">
        <v>0</v>
      </c>
      <c r="AU173" s="11">
        <v>47600018</v>
      </c>
      <c r="AV173" s="11" t="s">
        <v>0</v>
      </c>
      <c r="AW173" s="11" t="s">
        <v>0</v>
      </c>
      <c r="AX173" s="11" t="s">
        <v>0</v>
      </c>
    </row>
    <row r="174" spans="1:50" ht="15">
      <c r="A174" s="10">
        <f t="shared" si="2"/>
        <v>45000164</v>
      </c>
      <c r="B174" s="22" t="s">
        <v>1844</v>
      </c>
      <c r="C174" s="11" t="s">
        <v>1845</v>
      </c>
      <c r="D174" s="4" t="s">
        <v>1841</v>
      </c>
      <c r="E174" s="11">
        <v>700</v>
      </c>
      <c r="F174" s="11">
        <v>150</v>
      </c>
      <c r="G174" s="11">
        <v>20</v>
      </c>
      <c r="H174" s="11">
        <v>-40</v>
      </c>
      <c r="I174" s="11">
        <f>IFERROR(INDEX(ShipPartShape!$A:$A,MATCH(D174,ShipPartShape!$B:$B,0)),"-")</f>
        <v>46000152</v>
      </c>
      <c r="J174" s="4" t="s">
        <v>1215</v>
      </c>
      <c r="K174" s="11">
        <f>IFERROR(INDEX(ShipPartShape!$A:$A,MATCH(J174,ShipPartShape!$B:$B,0)),"-")</f>
        <v>46700013</v>
      </c>
      <c r="L174" s="4"/>
      <c r="M174" s="11" t="str">
        <f>IFERROR(INDEX(ShipPartShape!$A:$A,MATCH(L174,ShipPartShape!$B:$B,0)),"-")</f>
        <v>-</v>
      </c>
      <c r="N174" s="4"/>
      <c r="O174" s="11" t="str">
        <f>IFERROR(INDEX(ShipPartShape!$A:$A,MATCH(N174,ShipPartShape!$B:$B,0)),"-")</f>
        <v>-</v>
      </c>
      <c r="P174" s="4"/>
      <c r="Q174" s="11" t="str">
        <f>IFERROR(INDEX(ShipPartShape!$A:$A,MATCH(P174,ShipPartShape!$B:$B,0)),"-")</f>
        <v>-</v>
      </c>
      <c r="R174" s="4"/>
      <c r="S174" s="11" t="str">
        <f>IFERROR(INDEX(ShipPartShape!$A:$A,MATCH(R174,ShipPartShape!$B:$B,0)),"-")</f>
        <v>-</v>
      </c>
      <c r="T174" s="4" t="s">
        <v>602</v>
      </c>
      <c r="U174" s="11">
        <f>IFERROR(INDEX(ShipPartShape!$A:$A,MATCH(T174,ShipPartShape!$B:$B,0)),"-")</f>
        <v>46600002</v>
      </c>
      <c r="V174" s="4" t="s">
        <v>606</v>
      </c>
      <c r="W174" s="11">
        <f>IFERROR(INDEX(ShipPartShape!$A:$A,MATCH(V174,ShipPartShape!$B:$B,0)),"-")</f>
        <v>46600003</v>
      </c>
      <c r="X174" s="4" t="s">
        <v>609</v>
      </c>
      <c r="Y174" s="11">
        <f>IFERROR(INDEX(ShipPartShape!$A:$A,MATCH(X174,ShipPartShape!$B:$B,0)),"-")</f>
        <v>46600011</v>
      </c>
      <c r="Z174" s="4" t="s">
        <v>601</v>
      </c>
      <c r="AA174" s="11">
        <f>IFERROR(INDEX(ShipPartShape!$A:$A,MATCH(Z174,ShipPartShape!$B:$B,0)),"-")</f>
        <v>46600001</v>
      </c>
      <c r="AB174" s="4"/>
      <c r="AC174" s="11" t="str">
        <f>IFERROR(INDEX(ShipPartShape!$A:$A,MATCH(AB174,ShipPartShape!$B:$B,0)),"-")</f>
        <v>-</v>
      </c>
      <c r="AD174" s="4"/>
      <c r="AE174" s="11" t="str">
        <f>IFERROR(INDEX(ShipPartShape!$A:$A,MATCH(AD174,ShipPartShape!$B:$B,0)),"-")</f>
        <v>-</v>
      </c>
      <c r="AF174" s="4"/>
      <c r="AG174" s="11" t="str">
        <f>IFERROR(INDEX(ShipPartShape!$A:$A,MATCH(AF174,ShipPartShape!$B:$B,0)),"-")</f>
        <v>-</v>
      </c>
      <c r="AH174" s="4"/>
      <c r="AI174" s="11" t="str">
        <f>IFERROR(INDEX(ShipPartShape!$A:$A,MATCH(AH174,ShipPartShape!$B:$B,0)),"-")</f>
        <v>-</v>
      </c>
      <c r="AJ174" s="11" t="s">
        <v>0</v>
      </c>
      <c r="AK174" s="11" t="s">
        <v>0</v>
      </c>
      <c r="AL174" s="11" t="s">
        <v>0</v>
      </c>
      <c r="AM174" s="11" t="s">
        <v>0</v>
      </c>
      <c r="AN174" s="11" t="s">
        <v>0</v>
      </c>
      <c r="AO174" s="11" t="s">
        <v>0</v>
      </c>
      <c r="AP174" s="11" t="s">
        <v>0</v>
      </c>
      <c r="AQ174" s="11" t="s">
        <v>0</v>
      </c>
      <c r="AR174" s="11" t="s">
        <v>0</v>
      </c>
      <c r="AS174" s="11" t="s">
        <v>0</v>
      </c>
      <c r="AT174" s="11" t="s">
        <v>0</v>
      </c>
      <c r="AU174" s="11">
        <v>47600017</v>
      </c>
      <c r="AV174" s="11" t="s">
        <v>0</v>
      </c>
      <c r="AW174" s="11" t="s">
        <v>0</v>
      </c>
      <c r="AX174" s="11" t="s">
        <v>0</v>
      </c>
    </row>
    <row r="175" spans="1:50" ht="15">
      <c r="A175" s="10">
        <f t="shared" si="2"/>
        <v>45000165</v>
      </c>
      <c r="B175" s="22" t="s">
        <v>1849</v>
      </c>
      <c r="C175" s="11" t="s">
        <v>1850</v>
      </c>
      <c r="D175" s="4" t="s">
        <v>1846</v>
      </c>
      <c r="E175" s="11">
        <v>700</v>
      </c>
      <c r="F175" s="11">
        <v>150</v>
      </c>
      <c r="G175" s="11">
        <v>20</v>
      </c>
      <c r="H175" s="11">
        <v>-40</v>
      </c>
      <c r="I175" s="11">
        <f>IFERROR(INDEX(ShipPartShape!$A:$A,MATCH(D175,ShipPartShape!$B:$B,0)),"-")</f>
        <v>46000153</v>
      </c>
      <c r="J175" s="4" t="s">
        <v>1257</v>
      </c>
      <c r="K175" s="11">
        <f>IFERROR(INDEX(ShipPartShape!$A:$A,MATCH(J175,ShipPartShape!$B:$B,0)),"-")</f>
        <v>46700012</v>
      </c>
      <c r="L175" s="4"/>
      <c r="M175" s="11" t="str">
        <f>IFERROR(INDEX(ShipPartShape!$A:$A,MATCH(L175,ShipPartShape!$B:$B,0)),"-")</f>
        <v>-</v>
      </c>
      <c r="N175" s="4"/>
      <c r="O175" s="11" t="str">
        <f>IFERROR(INDEX(ShipPartShape!$A:$A,MATCH(N175,ShipPartShape!$B:$B,0)),"-")</f>
        <v>-</v>
      </c>
      <c r="P175" s="4"/>
      <c r="Q175" s="11" t="str">
        <f>IFERROR(INDEX(ShipPartShape!$A:$A,MATCH(P175,ShipPartShape!$B:$B,0)),"-")</f>
        <v>-</v>
      </c>
      <c r="R175" s="4"/>
      <c r="S175" s="11" t="str">
        <f>IFERROR(INDEX(ShipPartShape!$A:$A,MATCH(R175,ShipPartShape!$B:$B,0)),"-")</f>
        <v>-</v>
      </c>
      <c r="T175" s="4" t="s">
        <v>604</v>
      </c>
      <c r="U175" s="11">
        <f>IFERROR(INDEX(ShipPartShape!$A:$A,MATCH(T175,ShipPartShape!$B:$B,0)),"-")</f>
        <v>46600005</v>
      </c>
      <c r="V175" s="4" t="s">
        <v>605</v>
      </c>
      <c r="W175" s="11">
        <f>IFERROR(INDEX(ShipPartShape!$A:$A,MATCH(V175,ShipPartShape!$B:$B,0)),"-")</f>
        <v>46600009</v>
      </c>
      <c r="X175" s="4" t="s">
        <v>609</v>
      </c>
      <c r="Y175" s="11">
        <f>IFERROR(INDEX(ShipPartShape!$A:$A,MATCH(X175,ShipPartShape!$B:$B,0)),"-")</f>
        <v>46600011</v>
      </c>
      <c r="Z175" s="4"/>
      <c r="AA175" s="11" t="str">
        <f>IFERROR(INDEX(ShipPartShape!$A:$A,MATCH(Z175,ShipPartShape!$B:$B,0)),"-")</f>
        <v>-</v>
      </c>
      <c r="AB175" s="4"/>
      <c r="AC175" s="11" t="str">
        <f>IFERROR(INDEX(ShipPartShape!$A:$A,MATCH(AB175,ShipPartShape!$B:$B,0)),"-")</f>
        <v>-</v>
      </c>
      <c r="AD175" s="4"/>
      <c r="AE175" s="11" t="str">
        <f>IFERROR(INDEX(ShipPartShape!$A:$A,MATCH(AD175,ShipPartShape!$B:$B,0)),"-")</f>
        <v>-</v>
      </c>
      <c r="AF175" s="4"/>
      <c r="AG175" s="11" t="str">
        <f>IFERROR(INDEX(ShipPartShape!$A:$A,MATCH(AF175,ShipPartShape!$B:$B,0)),"-")</f>
        <v>-</v>
      </c>
      <c r="AH175" s="4"/>
      <c r="AI175" s="11" t="str">
        <f>IFERROR(INDEX(ShipPartShape!$A:$A,MATCH(AH175,ShipPartShape!$B:$B,0)),"-")</f>
        <v>-</v>
      </c>
      <c r="AJ175" s="11" t="s">
        <v>0</v>
      </c>
      <c r="AK175" s="11" t="s">
        <v>0</v>
      </c>
      <c r="AL175" s="11" t="s">
        <v>0</v>
      </c>
      <c r="AM175" s="11" t="s">
        <v>0</v>
      </c>
      <c r="AN175" s="11" t="s">
        <v>0</v>
      </c>
      <c r="AO175" s="11" t="s">
        <v>0</v>
      </c>
      <c r="AP175" s="11" t="s">
        <v>0</v>
      </c>
      <c r="AQ175" s="11" t="s">
        <v>0</v>
      </c>
      <c r="AR175" s="11" t="s">
        <v>0</v>
      </c>
      <c r="AS175" s="11" t="s">
        <v>0</v>
      </c>
      <c r="AT175" s="11" t="s">
        <v>0</v>
      </c>
      <c r="AU175" s="11">
        <v>47600017</v>
      </c>
      <c r="AV175" s="11" t="s">
        <v>0</v>
      </c>
      <c r="AW175" s="11" t="s">
        <v>0</v>
      </c>
      <c r="AX175" s="11" t="s">
        <v>0</v>
      </c>
    </row>
    <row r="176" spans="1:50" ht="15">
      <c r="A176" s="10">
        <f t="shared" si="2"/>
        <v>45000166</v>
      </c>
      <c r="B176" s="22" t="s">
        <v>1857</v>
      </c>
      <c r="C176" s="11" t="s">
        <v>1858</v>
      </c>
      <c r="D176" s="4" t="s">
        <v>1851</v>
      </c>
      <c r="E176" s="11">
        <v>600</v>
      </c>
      <c r="F176" s="11">
        <v>100</v>
      </c>
      <c r="G176" s="11">
        <v>-10</v>
      </c>
      <c r="H176" s="11">
        <v>-20</v>
      </c>
      <c r="I176" s="11">
        <f>IFERROR(INDEX(ShipPartShape!$A:$A,MATCH(D176,ShipPartShape!$B:$B,0)),"-")</f>
        <v>46000154</v>
      </c>
      <c r="J176" s="4" t="s">
        <v>1255</v>
      </c>
      <c r="K176" s="11">
        <f>IFERROR(INDEX(ShipPartShape!$A:$A,MATCH(J176,ShipPartShape!$B:$B,0)),"-")</f>
        <v>46700009</v>
      </c>
      <c r="L176" s="4" t="s">
        <v>1854</v>
      </c>
      <c r="M176" s="11">
        <f>IFERROR(INDEX(ShipPartShape!$A:$A,MATCH(L176,ShipPartShape!$B:$B,0)),"-")</f>
        <v>46500027</v>
      </c>
      <c r="N176" s="4" t="s">
        <v>69</v>
      </c>
      <c r="O176" s="11">
        <f>IFERROR(INDEX(ShipPartShape!$A:$A,MATCH(N176,ShipPartShape!$B:$B,0)),"-")</f>
        <v>46300001</v>
      </c>
      <c r="P176" s="4"/>
      <c r="Q176" s="11" t="str">
        <f>IFERROR(INDEX(ShipPartShape!$A:$A,MATCH(P176,ShipPartShape!$B:$B,0)),"-")</f>
        <v>-</v>
      </c>
      <c r="R176" s="4"/>
      <c r="S176" s="11" t="str">
        <f>IFERROR(INDEX(ShipPartShape!$A:$A,MATCH(R176,ShipPartShape!$B:$B,0)),"-")</f>
        <v>-</v>
      </c>
      <c r="T176" s="4"/>
      <c r="U176" s="11" t="str">
        <f>IFERROR(INDEX(ShipPartShape!$A:$A,MATCH(T176,ShipPartShape!$B:$B,0)),"-")</f>
        <v>-</v>
      </c>
      <c r="V176" s="4" t="s">
        <v>601</v>
      </c>
      <c r="W176" s="11">
        <f>IFERROR(INDEX(ShipPartShape!$A:$A,MATCH(V176,ShipPartShape!$B:$B,0)),"-")</f>
        <v>46600001</v>
      </c>
      <c r="X176" s="4" t="s">
        <v>603</v>
      </c>
      <c r="Y176" s="11">
        <f>IFERROR(INDEX(ShipPartShape!$A:$A,MATCH(X176,ShipPartShape!$B:$B,0)),"-")</f>
        <v>46600007</v>
      </c>
      <c r="Z176" s="4" t="s">
        <v>605</v>
      </c>
      <c r="AA176" s="11">
        <f>IFERROR(INDEX(ShipPartShape!$A:$A,MATCH(Z176,ShipPartShape!$B:$B,0)),"-")</f>
        <v>46600009</v>
      </c>
      <c r="AB176" s="4" t="s">
        <v>609</v>
      </c>
      <c r="AC176" s="11">
        <f>IFERROR(INDEX(ShipPartShape!$A:$A,MATCH(AB176,ShipPartShape!$B:$B,0)),"-")</f>
        <v>46600011</v>
      </c>
      <c r="AD176" s="4"/>
      <c r="AE176" s="11" t="str">
        <f>IFERROR(INDEX(ShipPartShape!$A:$A,MATCH(AD176,ShipPartShape!$B:$B,0)),"-")</f>
        <v>-</v>
      </c>
      <c r="AF176" s="4"/>
      <c r="AG176" s="11" t="str">
        <f>IFERROR(INDEX(ShipPartShape!$A:$A,MATCH(AF176,ShipPartShape!$B:$B,0)),"-")</f>
        <v>-</v>
      </c>
      <c r="AH176" s="4"/>
      <c r="AI176" s="11" t="str">
        <f>IFERROR(INDEX(ShipPartShape!$A:$A,MATCH(AH176,ShipPartShape!$B:$B,0)),"-")</f>
        <v>-</v>
      </c>
      <c r="AJ176" s="11" t="s">
        <v>0</v>
      </c>
      <c r="AK176" s="11" t="s">
        <v>0</v>
      </c>
      <c r="AL176" s="11" t="s">
        <v>0</v>
      </c>
      <c r="AM176" s="11" t="s">
        <v>0</v>
      </c>
      <c r="AN176" s="11" t="s">
        <v>0</v>
      </c>
      <c r="AO176" s="11" t="s">
        <v>0</v>
      </c>
      <c r="AP176" s="11" t="s">
        <v>0</v>
      </c>
      <c r="AQ176" s="11" t="s">
        <v>0</v>
      </c>
      <c r="AR176" s="11" t="s">
        <v>0</v>
      </c>
      <c r="AS176" s="11" t="s">
        <v>0</v>
      </c>
      <c r="AT176" s="11" t="s">
        <v>0</v>
      </c>
      <c r="AU176" s="11">
        <v>47600015</v>
      </c>
      <c r="AV176" s="11" t="s">
        <v>0</v>
      </c>
      <c r="AW176" s="11" t="s">
        <v>0</v>
      </c>
      <c r="AX176" s="11" t="s">
        <v>0</v>
      </c>
    </row>
    <row r="177" spans="1:50" ht="15">
      <c r="A177" s="10">
        <f t="shared" si="2"/>
        <v>45000167</v>
      </c>
      <c r="B177" s="22" t="s">
        <v>1865</v>
      </c>
      <c r="C177" s="11" t="s">
        <v>1866</v>
      </c>
      <c r="D177" s="4" t="s">
        <v>1859</v>
      </c>
      <c r="E177" s="11">
        <v>600</v>
      </c>
      <c r="F177" s="11">
        <v>100</v>
      </c>
      <c r="G177" s="11">
        <v>20</v>
      </c>
      <c r="H177" s="11">
        <v>-40</v>
      </c>
      <c r="I177" s="11">
        <f>IFERROR(INDEX(ShipPartShape!$A:$A,MATCH(D177,ShipPartShape!$B:$B,0)),"-")</f>
        <v>46000155</v>
      </c>
      <c r="J177" s="4" t="s">
        <v>1213</v>
      </c>
      <c r="K177" s="11">
        <f>IFERROR(INDEX(ShipPartShape!$A:$A,MATCH(J177,ShipPartShape!$B:$B,0)),"-")</f>
        <v>46700010</v>
      </c>
      <c r="L177" s="4" t="s">
        <v>1863</v>
      </c>
      <c r="M177" s="11">
        <f>IFERROR(INDEX(ShipPartShape!$A:$A,MATCH(L177,ShipPartShape!$B:$B,0)),"-")</f>
        <v>46500028</v>
      </c>
      <c r="N177" s="4"/>
      <c r="O177" s="11" t="str">
        <f>IFERROR(INDEX(ShipPartShape!$A:$A,MATCH(N177,ShipPartShape!$B:$B,0)),"-")</f>
        <v>-</v>
      </c>
      <c r="P177" s="4"/>
      <c r="Q177" s="11" t="str">
        <f>IFERROR(INDEX(ShipPartShape!$A:$A,MATCH(P177,ShipPartShape!$B:$B,0)),"-")</f>
        <v>-</v>
      </c>
      <c r="R177" s="4"/>
      <c r="S177" s="11" t="str">
        <f>IFERROR(INDEX(ShipPartShape!$A:$A,MATCH(R177,ShipPartShape!$B:$B,0)),"-")</f>
        <v>-</v>
      </c>
      <c r="T177" s="4" t="s">
        <v>601</v>
      </c>
      <c r="U177" s="11">
        <f>IFERROR(INDEX(ShipPartShape!$A:$A,MATCH(T177,ShipPartShape!$B:$B,0)),"-")</f>
        <v>46600001</v>
      </c>
      <c r="V177" s="4" t="s">
        <v>608</v>
      </c>
      <c r="W177" s="11">
        <f>IFERROR(INDEX(ShipPartShape!$A:$A,MATCH(V177,ShipPartShape!$B:$B,0)),"-")</f>
        <v>46600004</v>
      </c>
      <c r="X177" s="4"/>
      <c r="Y177" s="11" t="str">
        <f>IFERROR(INDEX(ShipPartShape!$A:$A,MATCH(X177,ShipPartShape!$B:$B,0)),"-")</f>
        <v>-</v>
      </c>
      <c r="Z177" s="4"/>
      <c r="AA177" s="11" t="str">
        <f>IFERROR(INDEX(ShipPartShape!$A:$A,MATCH(Z177,ShipPartShape!$B:$B,0)),"-")</f>
        <v>-</v>
      </c>
      <c r="AB177" s="4"/>
      <c r="AC177" s="11" t="str">
        <f>IFERROR(INDEX(ShipPartShape!$A:$A,MATCH(AB177,ShipPartShape!$B:$B,0)),"-")</f>
        <v>-</v>
      </c>
      <c r="AD177" s="4"/>
      <c r="AE177" s="11" t="str">
        <f>IFERROR(INDEX(ShipPartShape!$A:$A,MATCH(AD177,ShipPartShape!$B:$B,0)),"-")</f>
        <v>-</v>
      </c>
      <c r="AF177" s="4"/>
      <c r="AG177" s="11" t="str">
        <f>IFERROR(INDEX(ShipPartShape!$A:$A,MATCH(AF177,ShipPartShape!$B:$B,0)),"-")</f>
        <v>-</v>
      </c>
      <c r="AH177" s="4"/>
      <c r="AI177" s="11" t="str">
        <f>IFERROR(INDEX(ShipPartShape!$A:$A,MATCH(AH177,ShipPartShape!$B:$B,0)),"-")</f>
        <v>-</v>
      </c>
      <c r="AJ177" s="11" t="s">
        <v>0</v>
      </c>
      <c r="AK177" s="11" t="s">
        <v>0</v>
      </c>
      <c r="AL177" s="11" t="s">
        <v>0</v>
      </c>
      <c r="AM177" s="11" t="s">
        <v>0</v>
      </c>
      <c r="AN177" s="11" t="s">
        <v>0</v>
      </c>
      <c r="AO177" s="11" t="s">
        <v>0</v>
      </c>
      <c r="AP177" s="11" t="s">
        <v>0</v>
      </c>
      <c r="AQ177" s="11" t="s">
        <v>0</v>
      </c>
      <c r="AR177" s="11" t="s">
        <v>0</v>
      </c>
      <c r="AS177" s="11" t="s">
        <v>0</v>
      </c>
      <c r="AT177" s="11" t="s">
        <v>0</v>
      </c>
      <c r="AU177" s="11">
        <v>47600015</v>
      </c>
      <c r="AV177" s="11" t="s">
        <v>0</v>
      </c>
      <c r="AW177" s="11" t="s">
        <v>0</v>
      </c>
      <c r="AX177" s="11" t="s">
        <v>0</v>
      </c>
    </row>
    <row r="178" spans="1:50" ht="15">
      <c r="A178" s="10">
        <f t="shared" si="2"/>
        <v>45000168</v>
      </c>
      <c r="B178" s="22" t="s">
        <v>1870</v>
      </c>
      <c r="C178" s="11" t="s">
        <v>1871</v>
      </c>
      <c r="D178" s="4" t="s">
        <v>1868</v>
      </c>
      <c r="E178" s="11">
        <v>600</v>
      </c>
      <c r="F178" s="11">
        <v>150</v>
      </c>
      <c r="G178" s="11">
        <v>20</v>
      </c>
      <c r="H178" s="11">
        <v>-40</v>
      </c>
      <c r="I178" s="11">
        <f>IFERROR(INDEX(ShipPartShape!$A:$A,MATCH(D178,ShipPartShape!$B:$B,0)),"-")</f>
        <v>46000156</v>
      </c>
      <c r="J178" s="4" t="s">
        <v>1215</v>
      </c>
      <c r="K178" s="11">
        <f>IFERROR(INDEX(ShipPartShape!$A:$A,MATCH(J178,ShipPartShape!$B:$B,0)),"-")</f>
        <v>46700013</v>
      </c>
      <c r="L178" s="4"/>
      <c r="M178" s="11" t="str">
        <f>IFERROR(INDEX(ShipPartShape!$A:$A,MATCH(L178,ShipPartShape!$B:$B,0)),"-")</f>
        <v>-</v>
      </c>
      <c r="N178" s="4"/>
      <c r="O178" s="11" t="str">
        <f>IFERROR(INDEX(ShipPartShape!$A:$A,MATCH(N178,ShipPartShape!$B:$B,0)),"-")</f>
        <v>-</v>
      </c>
      <c r="P178" s="4"/>
      <c r="Q178" s="11" t="str">
        <f>IFERROR(INDEX(ShipPartShape!$A:$A,MATCH(P178,ShipPartShape!$B:$B,0)),"-")</f>
        <v>-</v>
      </c>
      <c r="R178" s="4"/>
      <c r="S178" s="11" t="str">
        <f>IFERROR(INDEX(ShipPartShape!$A:$A,MATCH(R178,ShipPartShape!$B:$B,0)),"-")</f>
        <v>-</v>
      </c>
      <c r="T178" s="4"/>
      <c r="U178" s="11" t="str">
        <f>IFERROR(INDEX(ShipPartShape!$A:$A,MATCH(T178,ShipPartShape!$B:$B,0)),"-")</f>
        <v>-</v>
      </c>
      <c r="V178" s="4"/>
      <c r="W178" s="11" t="str">
        <f>IFERROR(INDEX(ShipPartShape!$A:$A,MATCH(V178,ShipPartShape!$B:$B,0)),"-")</f>
        <v>-</v>
      </c>
      <c r="X178" s="4"/>
      <c r="Y178" s="11" t="str">
        <f>IFERROR(INDEX(ShipPartShape!$A:$A,MATCH(X178,ShipPartShape!$B:$B,0)),"-")</f>
        <v>-</v>
      </c>
      <c r="Z178" s="4"/>
      <c r="AA178" s="11" t="str">
        <f>IFERROR(INDEX(ShipPartShape!$A:$A,MATCH(Z178,ShipPartShape!$B:$B,0)),"-")</f>
        <v>-</v>
      </c>
      <c r="AB178" s="4"/>
      <c r="AC178" s="11" t="str">
        <f>IFERROR(INDEX(ShipPartShape!$A:$A,MATCH(AB178,ShipPartShape!$B:$B,0)),"-")</f>
        <v>-</v>
      </c>
      <c r="AD178" s="4"/>
      <c r="AE178" s="11" t="str">
        <f>IFERROR(INDEX(ShipPartShape!$A:$A,MATCH(AD178,ShipPartShape!$B:$B,0)),"-")</f>
        <v>-</v>
      </c>
      <c r="AF178" s="4"/>
      <c r="AG178" s="11" t="str">
        <f>IFERROR(INDEX(ShipPartShape!$A:$A,MATCH(AF178,ShipPartShape!$B:$B,0)),"-")</f>
        <v>-</v>
      </c>
      <c r="AH178" s="4"/>
      <c r="AI178" s="11" t="str">
        <f>IFERROR(INDEX(ShipPartShape!$A:$A,MATCH(AH178,ShipPartShape!$B:$B,0)),"-")</f>
        <v>-</v>
      </c>
      <c r="AJ178" s="11" t="s">
        <v>0</v>
      </c>
      <c r="AK178" s="11" t="s">
        <v>0</v>
      </c>
      <c r="AL178" s="11" t="s">
        <v>0</v>
      </c>
      <c r="AM178" s="11" t="s">
        <v>0</v>
      </c>
      <c r="AN178" s="11" t="s">
        <v>0</v>
      </c>
      <c r="AO178" s="11" t="s">
        <v>0</v>
      </c>
      <c r="AP178" s="11" t="s">
        <v>0</v>
      </c>
      <c r="AQ178" s="11" t="s">
        <v>0</v>
      </c>
      <c r="AR178" s="11" t="s">
        <v>0</v>
      </c>
      <c r="AS178" s="11" t="s">
        <v>0</v>
      </c>
      <c r="AT178" s="11" t="s">
        <v>0</v>
      </c>
      <c r="AU178" s="11">
        <v>47600018</v>
      </c>
      <c r="AV178" s="11" t="s">
        <v>0</v>
      </c>
      <c r="AW178" s="11" t="s">
        <v>0</v>
      </c>
      <c r="AX178" s="11" t="s">
        <v>0</v>
      </c>
    </row>
    <row r="179" spans="1:50" ht="15">
      <c r="A179" s="10">
        <f t="shared" si="2"/>
        <v>45000169</v>
      </c>
      <c r="B179" s="22" t="s">
        <v>2098</v>
      </c>
      <c r="C179" s="11" t="s">
        <v>1875</v>
      </c>
      <c r="D179" s="4" t="s">
        <v>1873</v>
      </c>
      <c r="E179" s="11">
        <v>700</v>
      </c>
      <c r="F179" s="11">
        <v>150</v>
      </c>
      <c r="G179" s="11">
        <v>20</v>
      </c>
      <c r="H179" s="11">
        <v>-40</v>
      </c>
      <c r="I179" s="11">
        <f>IFERROR(INDEX(ShipPartShape!$A:$A,MATCH(D179,ShipPartShape!$B:$B,0)),"-")</f>
        <v>46000157</v>
      </c>
      <c r="J179" s="4" t="s">
        <v>1257</v>
      </c>
      <c r="K179" s="11">
        <f>IFERROR(INDEX(ShipPartShape!$A:$A,MATCH(J179,ShipPartShape!$B:$B,0)),"-")</f>
        <v>46700012</v>
      </c>
      <c r="L179" s="4"/>
      <c r="M179" s="11" t="str">
        <f>IFERROR(INDEX(ShipPartShape!$A:$A,MATCH(L179,ShipPartShape!$B:$B,0)),"-")</f>
        <v>-</v>
      </c>
      <c r="N179" s="4"/>
      <c r="O179" s="11" t="str">
        <f>IFERROR(INDEX(ShipPartShape!$A:$A,MATCH(N179,ShipPartShape!$B:$B,0)),"-")</f>
        <v>-</v>
      </c>
      <c r="P179" s="4"/>
      <c r="Q179" s="11" t="str">
        <f>IFERROR(INDEX(ShipPartShape!$A:$A,MATCH(P179,ShipPartShape!$B:$B,0)),"-")</f>
        <v>-</v>
      </c>
      <c r="R179" s="4"/>
      <c r="S179" s="11" t="str">
        <f>IFERROR(INDEX(ShipPartShape!$A:$A,MATCH(R179,ShipPartShape!$B:$B,0)),"-")</f>
        <v>-</v>
      </c>
      <c r="T179" s="4" t="s">
        <v>606</v>
      </c>
      <c r="U179" s="11">
        <f>IFERROR(INDEX(ShipPartShape!$A:$A,MATCH(T179,ShipPartShape!$B:$B,0)),"-")</f>
        <v>46600003</v>
      </c>
      <c r="V179" s="4" t="s">
        <v>603</v>
      </c>
      <c r="W179" s="11">
        <f>IFERROR(INDEX(ShipPartShape!$A:$A,MATCH(V179,ShipPartShape!$B:$B,0)),"-")</f>
        <v>46600007</v>
      </c>
      <c r="X179" s="4"/>
      <c r="Y179" s="11" t="str">
        <f>IFERROR(INDEX(ShipPartShape!$A:$A,MATCH(X179,ShipPartShape!$B:$B,0)),"-")</f>
        <v>-</v>
      </c>
      <c r="Z179" s="4"/>
      <c r="AA179" s="11" t="str">
        <f>IFERROR(INDEX(ShipPartShape!$A:$A,MATCH(Z179,ShipPartShape!$B:$B,0)),"-")</f>
        <v>-</v>
      </c>
      <c r="AB179" s="4"/>
      <c r="AC179" s="11" t="str">
        <f>IFERROR(INDEX(ShipPartShape!$A:$A,MATCH(AB179,ShipPartShape!$B:$B,0)),"-")</f>
        <v>-</v>
      </c>
      <c r="AD179" s="4"/>
      <c r="AE179" s="11" t="str">
        <f>IFERROR(INDEX(ShipPartShape!$A:$A,MATCH(AD179,ShipPartShape!$B:$B,0)),"-")</f>
        <v>-</v>
      </c>
      <c r="AF179" s="4"/>
      <c r="AG179" s="11" t="str">
        <f>IFERROR(INDEX(ShipPartShape!$A:$A,MATCH(AF179,ShipPartShape!$B:$B,0)),"-")</f>
        <v>-</v>
      </c>
      <c r="AH179" s="4"/>
      <c r="AI179" s="11" t="str">
        <f>IFERROR(INDEX(ShipPartShape!$A:$A,MATCH(AH179,ShipPartShape!$B:$B,0)),"-")</f>
        <v>-</v>
      </c>
      <c r="AJ179" s="11" t="s">
        <v>0</v>
      </c>
      <c r="AK179" s="11" t="s">
        <v>0</v>
      </c>
      <c r="AL179" s="11" t="s">
        <v>0</v>
      </c>
      <c r="AM179" s="11" t="s">
        <v>0</v>
      </c>
      <c r="AN179" s="11" t="s">
        <v>0</v>
      </c>
      <c r="AO179" s="11" t="s">
        <v>0</v>
      </c>
      <c r="AP179" s="11" t="s">
        <v>0</v>
      </c>
      <c r="AQ179" s="11" t="s">
        <v>0</v>
      </c>
      <c r="AR179" s="11" t="s">
        <v>0</v>
      </c>
      <c r="AS179" s="11" t="s">
        <v>0</v>
      </c>
      <c r="AT179" s="11" t="s">
        <v>0</v>
      </c>
      <c r="AU179" s="11">
        <v>47600017</v>
      </c>
      <c r="AV179" s="11" t="s">
        <v>0</v>
      </c>
      <c r="AW179" s="11" t="s">
        <v>0</v>
      </c>
      <c r="AX179" s="11" t="s">
        <v>0</v>
      </c>
    </row>
    <row r="180" spans="1:50" ht="15">
      <c r="A180" s="10">
        <f t="shared" si="2"/>
        <v>45000170</v>
      </c>
      <c r="B180" s="22" t="s">
        <v>1879</v>
      </c>
      <c r="C180" s="11" t="s">
        <v>1880</v>
      </c>
      <c r="D180" s="4" t="s">
        <v>1876</v>
      </c>
      <c r="E180" s="11">
        <v>700</v>
      </c>
      <c r="F180" s="11">
        <v>150</v>
      </c>
      <c r="G180" s="11">
        <v>20</v>
      </c>
      <c r="H180" s="11">
        <v>-40</v>
      </c>
      <c r="I180" s="11">
        <f>IFERROR(INDEX(ShipPartShape!$A:$A,MATCH(D180,ShipPartShape!$B:$B,0)),"-")</f>
        <v>46000158</v>
      </c>
      <c r="J180" s="4" t="s">
        <v>1257</v>
      </c>
      <c r="K180" s="11">
        <f>IFERROR(INDEX(ShipPartShape!$A:$A,MATCH(J180,ShipPartShape!$B:$B,0)),"-")</f>
        <v>46700012</v>
      </c>
      <c r="L180" s="4" t="s">
        <v>69</v>
      </c>
      <c r="M180" s="11">
        <f>IFERROR(INDEX(ShipPartShape!$A:$A,MATCH(L180,ShipPartShape!$B:$B,0)),"-")</f>
        <v>46300001</v>
      </c>
      <c r="N180" s="4"/>
      <c r="O180" s="11" t="str">
        <f>IFERROR(INDEX(ShipPartShape!$A:$A,MATCH(N180,ShipPartShape!$B:$B,0)),"-")</f>
        <v>-</v>
      </c>
      <c r="P180" s="4"/>
      <c r="Q180" s="11" t="str">
        <f>IFERROR(INDEX(ShipPartShape!$A:$A,MATCH(P180,ShipPartShape!$B:$B,0)),"-")</f>
        <v>-</v>
      </c>
      <c r="R180" s="4"/>
      <c r="S180" s="11" t="str">
        <f>IFERROR(INDEX(ShipPartShape!$A:$A,MATCH(R180,ShipPartShape!$B:$B,0)),"-")</f>
        <v>-</v>
      </c>
      <c r="T180" s="4" t="s">
        <v>603</v>
      </c>
      <c r="U180" s="11">
        <f>IFERROR(INDEX(ShipPartShape!$A:$A,MATCH(T180,ShipPartShape!$B:$B,0)),"-")</f>
        <v>46600007</v>
      </c>
      <c r="V180" s="4" t="s">
        <v>605</v>
      </c>
      <c r="W180" s="11">
        <f>IFERROR(INDEX(ShipPartShape!$A:$A,MATCH(V180,ShipPartShape!$B:$B,0)),"-")</f>
        <v>46600009</v>
      </c>
      <c r="X180" s="4"/>
      <c r="Y180" s="11" t="str">
        <f>IFERROR(INDEX(ShipPartShape!$A:$A,MATCH(X180,ShipPartShape!$B:$B,0)),"-")</f>
        <v>-</v>
      </c>
      <c r="Z180" s="4"/>
      <c r="AA180" s="11" t="str">
        <f>IFERROR(INDEX(ShipPartShape!$A:$A,MATCH(Z180,ShipPartShape!$B:$B,0)),"-")</f>
        <v>-</v>
      </c>
      <c r="AB180" s="4"/>
      <c r="AC180" s="11" t="str">
        <f>IFERROR(INDEX(ShipPartShape!$A:$A,MATCH(AB180,ShipPartShape!$B:$B,0)),"-")</f>
        <v>-</v>
      </c>
      <c r="AD180" s="4"/>
      <c r="AE180" s="11" t="str">
        <f>IFERROR(INDEX(ShipPartShape!$A:$A,MATCH(AD180,ShipPartShape!$B:$B,0)),"-")</f>
        <v>-</v>
      </c>
      <c r="AF180" s="4"/>
      <c r="AG180" s="11" t="str">
        <f>IFERROR(INDEX(ShipPartShape!$A:$A,MATCH(AF180,ShipPartShape!$B:$B,0)),"-")</f>
        <v>-</v>
      </c>
      <c r="AH180" s="4"/>
      <c r="AI180" s="11" t="str">
        <f>IFERROR(INDEX(ShipPartShape!$A:$A,MATCH(AH180,ShipPartShape!$B:$B,0)),"-")</f>
        <v>-</v>
      </c>
      <c r="AJ180" s="11" t="s">
        <v>0</v>
      </c>
      <c r="AK180" s="11" t="s">
        <v>0</v>
      </c>
      <c r="AL180" s="11" t="s">
        <v>0</v>
      </c>
      <c r="AM180" s="11" t="s">
        <v>0</v>
      </c>
      <c r="AN180" s="11" t="s">
        <v>0</v>
      </c>
      <c r="AO180" s="11" t="s">
        <v>0</v>
      </c>
      <c r="AP180" s="11" t="s">
        <v>0</v>
      </c>
      <c r="AQ180" s="11" t="s">
        <v>0</v>
      </c>
      <c r="AR180" s="11" t="s">
        <v>0</v>
      </c>
      <c r="AS180" s="11" t="s">
        <v>0</v>
      </c>
      <c r="AT180" s="11" t="s">
        <v>0</v>
      </c>
      <c r="AU180" s="11">
        <v>47600017</v>
      </c>
      <c r="AV180" s="11" t="s">
        <v>0</v>
      </c>
      <c r="AW180" s="11" t="s">
        <v>0</v>
      </c>
      <c r="AX180" s="11" t="s">
        <v>0</v>
      </c>
    </row>
    <row r="181" spans="1:50" ht="15">
      <c r="A181" s="10">
        <f t="shared" si="2"/>
        <v>45000171</v>
      </c>
      <c r="B181" s="22" t="s">
        <v>1882</v>
      </c>
      <c r="C181" s="11" t="s">
        <v>1885</v>
      </c>
      <c r="D181" s="4" t="s">
        <v>1883</v>
      </c>
      <c r="E181" s="11">
        <v>700</v>
      </c>
      <c r="F181" s="11">
        <v>150</v>
      </c>
      <c r="G181" s="11">
        <v>20</v>
      </c>
      <c r="H181" s="11">
        <v>-40</v>
      </c>
      <c r="I181" s="11">
        <f>IFERROR(INDEX(ShipPartShape!$A:$A,MATCH(D181,ShipPartShape!$B:$B,0)),"-")</f>
        <v>46000159</v>
      </c>
      <c r="J181" s="4" t="s">
        <v>1216</v>
      </c>
      <c r="K181" s="11">
        <f>IFERROR(INDEX(ShipPartShape!$A:$A,MATCH(J181,ShipPartShape!$B:$B,0)),"-")</f>
        <v>46700014</v>
      </c>
      <c r="L181" s="4" t="s">
        <v>69</v>
      </c>
      <c r="M181" s="11">
        <f>IFERROR(INDEX(ShipPartShape!$A:$A,MATCH(L181,ShipPartShape!$B:$B,0)),"-")</f>
        <v>46300001</v>
      </c>
      <c r="N181" s="4"/>
      <c r="O181" s="11" t="str">
        <f>IFERROR(INDEX(ShipPartShape!$A:$A,MATCH(N181,ShipPartShape!$B:$B,0)),"-")</f>
        <v>-</v>
      </c>
      <c r="P181" s="4"/>
      <c r="Q181" s="11" t="str">
        <f>IFERROR(INDEX(ShipPartShape!$A:$A,MATCH(P181,ShipPartShape!$B:$B,0)),"-")</f>
        <v>-</v>
      </c>
      <c r="R181" s="4"/>
      <c r="S181" s="11" t="str">
        <f>IFERROR(INDEX(ShipPartShape!$A:$A,MATCH(R181,ShipPartShape!$B:$B,0)),"-")</f>
        <v>-</v>
      </c>
      <c r="T181" s="4" t="s">
        <v>601</v>
      </c>
      <c r="U181" s="11">
        <f>IFERROR(INDEX(ShipPartShape!$A:$A,MATCH(T181,ShipPartShape!$B:$B,0)),"-")</f>
        <v>46600001</v>
      </c>
      <c r="V181" s="4" t="s">
        <v>606</v>
      </c>
      <c r="W181" s="11">
        <f>IFERROR(INDEX(ShipPartShape!$A:$A,MATCH(V181,ShipPartShape!$B:$B,0)),"-")</f>
        <v>46600003</v>
      </c>
      <c r="X181" s="4" t="s">
        <v>611</v>
      </c>
      <c r="Y181" s="11">
        <f>IFERROR(INDEX(ShipPartShape!$A:$A,MATCH(X181,ShipPartShape!$B:$B,0)),"-")</f>
        <v>46600010</v>
      </c>
      <c r="Z181" s="4"/>
      <c r="AA181" s="11" t="str">
        <f>IFERROR(INDEX(ShipPartShape!$A:$A,MATCH(Z181,ShipPartShape!$B:$B,0)),"-")</f>
        <v>-</v>
      </c>
      <c r="AB181" s="4"/>
      <c r="AC181" s="11" t="str">
        <f>IFERROR(INDEX(ShipPartShape!$A:$A,MATCH(AB181,ShipPartShape!$B:$B,0)),"-")</f>
        <v>-</v>
      </c>
      <c r="AD181" s="4"/>
      <c r="AE181" s="11" t="str">
        <f>IFERROR(INDEX(ShipPartShape!$A:$A,MATCH(AD181,ShipPartShape!$B:$B,0)),"-")</f>
        <v>-</v>
      </c>
      <c r="AF181" s="4"/>
      <c r="AG181" s="11" t="str">
        <f>IFERROR(INDEX(ShipPartShape!$A:$A,MATCH(AF181,ShipPartShape!$B:$B,0)),"-")</f>
        <v>-</v>
      </c>
      <c r="AH181" s="4"/>
      <c r="AI181" s="11" t="str">
        <f>IFERROR(INDEX(ShipPartShape!$A:$A,MATCH(AH181,ShipPartShape!$B:$B,0)),"-")</f>
        <v>-</v>
      </c>
      <c r="AJ181" s="11" t="s">
        <v>0</v>
      </c>
      <c r="AK181" s="11" t="s">
        <v>0</v>
      </c>
      <c r="AL181" s="11" t="s">
        <v>0</v>
      </c>
      <c r="AM181" s="11" t="s">
        <v>0</v>
      </c>
      <c r="AN181" s="11" t="s">
        <v>0</v>
      </c>
      <c r="AO181" s="11" t="s">
        <v>0</v>
      </c>
      <c r="AP181" s="11" t="s">
        <v>0</v>
      </c>
      <c r="AQ181" s="11" t="s">
        <v>0</v>
      </c>
      <c r="AR181" s="11" t="s">
        <v>0</v>
      </c>
      <c r="AS181" s="11" t="s">
        <v>0</v>
      </c>
      <c r="AT181" s="11" t="s">
        <v>0</v>
      </c>
      <c r="AU181" s="11">
        <v>47600017</v>
      </c>
      <c r="AV181" s="11" t="s">
        <v>0</v>
      </c>
      <c r="AW181" s="11" t="s">
        <v>0</v>
      </c>
      <c r="AX181" s="11" t="s">
        <v>0</v>
      </c>
    </row>
    <row r="182" spans="1:50" ht="15">
      <c r="A182" s="10">
        <f t="shared" si="2"/>
        <v>45000172</v>
      </c>
      <c r="B182" s="22" t="s">
        <v>1889</v>
      </c>
      <c r="C182" s="11" t="s">
        <v>1890</v>
      </c>
      <c r="D182" s="4" t="s">
        <v>1887</v>
      </c>
      <c r="E182" s="11">
        <v>700</v>
      </c>
      <c r="F182" s="11">
        <v>100</v>
      </c>
      <c r="G182" s="11">
        <v>20</v>
      </c>
      <c r="H182" s="11">
        <v>-40</v>
      </c>
      <c r="I182" s="11">
        <f>IFERROR(INDEX(ShipPartShape!$A:$A,MATCH(D182,ShipPartShape!$B:$B,0)),"-")</f>
        <v>46000160</v>
      </c>
      <c r="J182" s="4" t="s">
        <v>1215</v>
      </c>
      <c r="K182" s="11">
        <f>IFERROR(INDEX(ShipPartShape!$A:$A,MATCH(J182,ShipPartShape!$B:$B,0)),"-")</f>
        <v>46700013</v>
      </c>
      <c r="L182" s="4" t="s">
        <v>69</v>
      </c>
      <c r="M182" s="11">
        <f>IFERROR(INDEX(ShipPartShape!$A:$A,MATCH(L182,ShipPartShape!$B:$B,0)),"-")</f>
        <v>46300001</v>
      </c>
      <c r="N182" s="4"/>
      <c r="O182" s="11" t="str">
        <f>IFERROR(INDEX(ShipPartShape!$A:$A,MATCH(N182,ShipPartShape!$B:$B,0)),"-")</f>
        <v>-</v>
      </c>
      <c r="P182" s="4"/>
      <c r="Q182" s="11" t="str">
        <f>IFERROR(INDEX(ShipPartShape!$A:$A,MATCH(P182,ShipPartShape!$B:$B,0)),"-")</f>
        <v>-</v>
      </c>
      <c r="R182" s="4"/>
      <c r="S182" s="11" t="str">
        <f>IFERROR(INDEX(ShipPartShape!$A:$A,MATCH(R182,ShipPartShape!$B:$B,0)),"-")</f>
        <v>-</v>
      </c>
      <c r="T182" s="4"/>
      <c r="U182" s="11" t="str">
        <f>IFERROR(INDEX(ShipPartShape!$A:$A,MATCH(T182,ShipPartShape!$B:$B,0)),"-")</f>
        <v>-</v>
      </c>
      <c r="V182" s="4" t="s">
        <v>608</v>
      </c>
      <c r="W182" s="11">
        <f>IFERROR(INDEX(ShipPartShape!$A:$A,MATCH(V182,ShipPartShape!$B:$B,0)),"-")</f>
        <v>46600004</v>
      </c>
      <c r="X182" s="4" t="s">
        <v>603</v>
      </c>
      <c r="Y182" s="11">
        <f>IFERROR(INDEX(ShipPartShape!$A:$A,MATCH(X182,ShipPartShape!$B:$B,0)),"-")</f>
        <v>46600007</v>
      </c>
      <c r="Z182" s="4" t="s">
        <v>605</v>
      </c>
      <c r="AA182" s="11">
        <f>IFERROR(INDEX(ShipPartShape!$A:$A,MATCH(Z182,ShipPartShape!$B:$B,0)),"-")</f>
        <v>46600009</v>
      </c>
      <c r="AB182" s="4"/>
      <c r="AC182" s="11" t="str">
        <f>IFERROR(INDEX(ShipPartShape!$A:$A,MATCH(AB182,ShipPartShape!$B:$B,0)),"-")</f>
        <v>-</v>
      </c>
      <c r="AD182" s="4"/>
      <c r="AE182" s="11" t="str">
        <f>IFERROR(INDEX(ShipPartShape!$A:$A,MATCH(AD182,ShipPartShape!$B:$B,0)),"-")</f>
        <v>-</v>
      </c>
      <c r="AF182" s="4"/>
      <c r="AG182" s="11" t="str">
        <f>IFERROR(INDEX(ShipPartShape!$A:$A,MATCH(AF182,ShipPartShape!$B:$B,0)),"-")</f>
        <v>-</v>
      </c>
      <c r="AH182" s="4"/>
      <c r="AI182" s="11" t="str">
        <f>IFERROR(INDEX(ShipPartShape!$A:$A,MATCH(AH182,ShipPartShape!$B:$B,0)),"-")</f>
        <v>-</v>
      </c>
      <c r="AJ182" s="11" t="s">
        <v>0</v>
      </c>
      <c r="AK182" s="11" t="s">
        <v>0</v>
      </c>
      <c r="AL182" s="11" t="s">
        <v>0</v>
      </c>
      <c r="AM182" s="11" t="s">
        <v>0</v>
      </c>
      <c r="AN182" s="11" t="s">
        <v>0</v>
      </c>
      <c r="AO182" s="11" t="s">
        <v>0</v>
      </c>
      <c r="AP182" s="11" t="s">
        <v>0</v>
      </c>
      <c r="AQ182" s="11" t="s">
        <v>0</v>
      </c>
      <c r="AR182" s="11" t="s">
        <v>0</v>
      </c>
      <c r="AS182" s="11" t="s">
        <v>0</v>
      </c>
      <c r="AT182" s="11" t="s">
        <v>0</v>
      </c>
      <c r="AU182" s="11">
        <v>47600016</v>
      </c>
      <c r="AV182" s="11" t="s">
        <v>0</v>
      </c>
      <c r="AW182" s="11" t="s">
        <v>0</v>
      </c>
      <c r="AX182" s="11" t="s">
        <v>0</v>
      </c>
    </row>
    <row r="183" spans="1:50" ht="15">
      <c r="A183" s="10">
        <f t="shared" si="2"/>
        <v>45000173</v>
      </c>
      <c r="B183" s="22" t="s">
        <v>2099</v>
      </c>
      <c r="C183" s="11" t="s">
        <v>1894</v>
      </c>
      <c r="D183" s="4" t="s">
        <v>1892</v>
      </c>
      <c r="E183" s="11">
        <v>700</v>
      </c>
      <c r="F183" s="11">
        <v>150</v>
      </c>
      <c r="G183" s="11">
        <v>20</v>
      </c>
      <c r="H183" s="11">
        <v>-40</v>
      </c>
      <c r="I183" s="11">
        <f>IFERROR(INDEX(ShipPartShape!$A:$A,MATCH(D183,ShipPartShape!$B:$B,0)),"-")</f>
        <v>46000161</v>
      </c>
      <c r="J183" s="4" t="s">
        <v>1257</v>
      </c>
      <c r="K183" s="11">
        <f>IFERROR(INDEX(ShipPartShape!$A:$A,MATCH(J183,ShipPartShape!$B:$B,0)),"-")</f>
        <v>46700012</v>
      </c>
      <c r="L183" s="4" t="s">
        <v>1413</v>
      </c>
      <c r="M183" s="11">
        <f>IFERROR(INDEX(ShipPartShape!$A:$A,MATCH(L183,ShipPartShape!$B:$B,0)),"-")</f>
        <v>46300003</v>
      </c>
      <c r="N183" s="4"/>
      <c r="O183" s="11" t="str">
        <f>IFERROR(INDEX(ShipPartShape!$A:$A,MATCH(N183,ShipPartShape!$B:$B,0)),"-")</f>
        <v>-</v>
      </c>
      <c r="P183" s="4"/>
      <c r="Q183" s="11" t="str">
        <f>IFERROR(INDEX(ShipPartShape!$A:$A,MATCH(P183,ShipPartShape!$B:$B,0)),"-")</f>
        <v>-</v>
      </c>
      <c r="R183" s="4"/>
      <c r="S183" s="11" t="str">
        <f>IFERROR(INDEX(ShipPartShape!$A:$A,MATCH(R183,ShipPartShape!$B:$B,0)),"-")</f>
        <v>-</v>
      </c>
      <c r="T183" s="4" t="s">
        <v>602</v>
      </c>
      <c r="U183" s="11">
        <f>IFERROR(INDEX(ShipPartShape!$A:$A,MATCH(T183,ShipPartShape!$B:$B,0)),"-")</f>
        <v>46600002</v>
      </c>
      <c r="V183" s="4" t="s">
        <v>604</v>
      </c>
      <c r="W183" s="11">
        <f>IFERROR(INDEX(ShipPartShape!$A:$A,MATCH(V183,ShipPartShape!$B:$B,0)),"-")</f>
        <v>46600005</v>
      </c>
      <c r="X183" s="4"/>
      <c r="Y183" s="11" t="str">
        <f>IFERROR(INDEX(ShipPartShape!$A:$A,MATCH(X183,ShipPartShape!$B:$B,0)),"-")</f>
        <v>-</v>
      </c>
      <c r="Z183" s="4"/>
      <c r="AA183" s="11" t="str">
        <f>IFERROR(INDEX(ShipPartShape!$A:$A,MATCH(Z183,ShipPartShape!$B:$B,0)),"-")</f>
        <v>-</v>
      </c>
      <c r="AB183" s="4"/>
      <c r="AC183" s="11" t="str">
        <f>IFERROR(INDEX(ShipPartShape!$A:$A,MATCH(AB183,ShipPartShape!$B:$B,0)),"-")</f>
        <v>-</v>
      </c>
      <c r="AD183" s="4"/>
      <c r="AE183" s="11" t="str">
        <f>IFERROR(INDEX(ShipPartShape!$A:$A,MATCH(AD183,ShipPartShape!$B:$B,0)),"-")</f>
        <v>-</v>
      </c>
      <c r="AF183" s="4"/>
      <c r="AG183" s="11" t="str">
        <f>IFERROR(INDEX(ShipPartShape!$A:$A,MATCH(AF183,ShipPartShape!$B:$B,0)),"-")</f>
        <v>-</v>
      </c>
      <c r="AH183" s="4"/>
      <c r="AI183" s="11" t="str">
        <f>IFERROR(INDEX(ShipPartShape!$A:$A,MATCH(AH183,ShipPartShape!$B:$B,0)),"-")</f>
        <v>-</v>
      </c>
      <c r="AJ183" s="11" t="s">
        <v>0</v>
      </c>
      <c r="AK183" s="11" t="s">
        <v>0</v>
      </c>
      <c r="AL183" s="11" t="s">
        <v>0</v>
      </c>
      <c r="AM183" s="11" t="s">
        <v>0</v>
      </c>
      <c r="AN183" s="11" t="s">
        <v>0</v>
      </c>
      <c r="AO183" s="11" t="s">
        <v>0</v>
      </c>
      <c r="AP183" s="11" t="s">
        <v>0</v>
      </c>
      <c r="AQ183" s="11" t="s">
        <v>0</v>
      </c>
      <c r="AR183" s="11" t="s">
        <v>0</v>
      </c>
      <c r="AS183" s="11" t="s">
        <v>0</v>
      </c>
      <c r="AT183" s="11" t="s">
        <v>0</v>
      </c>
      <c r="AU183" s="11">
        <v>47600018</v>
      </c>
      <c r="AV183" s="11" t="s">
        <v>0</v>
      </c>
      <c r="AW183" s="11" t="s">
        <v>0</v>
      </c>
      <c r="AX183" s="11" t="s">
        <v>0</v>
      </c>
    </row>
    <row r="184" spans="1:50" ht="15">
      <c r="A184" s="10">
        <f t="shared" si="2"/>
        <v>45000174</v>
      </c>
      <c r="B184" s="22" t="s">
        <v>1898</v>
      </c>
      <c r="C184" s="11" t="s">
        <v>1899</v>
      </c>
      <c r="D184" s="4" t="s">
        <v>1896</v>
      </c>
      <c r="E184" s="11">
        <v>700</v>
      </c>
      <c r="F184" s="11">
        <v>100</v>
      </c>
      <c r="G184" s="11">
        <v>20</v>
      </c>
      <c r="H184" s="11">
        <v>-40</v>
      </c>
      <c r="I184" s="11">
        <f>IFERROR(INDEX(ShipPartShape!$A:$A,MATCH(D184,ShipPartShape!$B:$B,0)),"-")</f>
        <v>46000162</v>
      </c>
      <c r="J184" s="4" t="s">
        <v>1255</v>
      </c>
      <c r="K184" s="11">
        <f>IFERROR(INDEX(ShipPartShape!$A:$A,MATCH(J184,ShipPartShape!$B:$B,0)),"-")</f>
        <v>46700009</v>
      </c>
      <c r="L184" s="4" t="s">
        <v>69</v>
      </c>
      <c r="M184" s="11">
        <f>IFERROR(INDEX(ShipPartShape!$A:$A,MATCH(L184,ShipPartShape!$B:$B,0)),"-")</f>
        <v>46300001</v>
      </c>
      <c r="N184" s="4"/>
      <c r="O184" s="11" t="str">
        <f>IFERROR(INDEX(ShipPartShape!$A:$A,MATCH(N184,ShipPartShape!$B:$B,0)),"-")</f>
        <v>-</v>
      </c>
      <c r="P184" s="4"/>
      <c r="Q184" s="11" t="str">
        <f>IFERROR(INDEX(ShipPartShape!$A:$A,MATCH(P184,ShipPartShape!$B:$B,0)),"-")</f>
        <v>-</v>
      </c>
      <c r="R184" s="4"/>
      <c r="S184" s="11" t="str">
        <f>IFERROR(INDEX(ShipPartShape!$A:$A,MATCH(R184,ShipPartShape!$B:$B,0)),"-")</f>
        <v>-</v>
      </c>
      <c r="T184" s="4" t="s">
        <v>601</v>
      </c>
      <c r="U184" s="11">
        <f>IFERROR(INDEX(ShipPartShape!$A:$A,MATCH(T184,ShipPartShape!$B:$B,0)),"-")</f>
        <v>46600001</v>
      </c>
      <c r="V184" s="4" t="s">
        <v>606</v>
      </c>
      <c r="W184" s="11">
        <f>IFERROR(INDEX(ShipPartShape!$A:$A,MATCH(V184,ShipPartShape!$B:$B,0)),"-")</f>
        <v>46600003</v>
      </c>
      <c r="X184" s="4" t="s">
        <v>608</v>
      </c>
      <c r="Y184" s="11">
        <f>IFERROR(INDEX(ShipPartShape!$A:$A,MATCH(X184,ShipPartShape!$B:$B,0)),"-")</f>
        <v>46600004</v>
      </c>
      <c r="Z184" s="4"/>
      <c r="AA184" s="11" t="str">
        <f>IFERROR(INDEX(ShipPartShape!$A:$A,MATCH(Z184,ShipPartShape!$B:$B,0)),"-")</f>
        <v>-</v>
      </c>
      <c r="AB184" s="4"/>
      <c r="AC184" s="11" t="str">
        <f>IFERROR(INDEX(ShipPartShape!$A:$A,MATCH(AB184,ShipPartShape!$B:$B,0)),"-")</f>
        <v>-</v>
      </c>
      <c r="AD184" s="4"/>
      <c r="AE184" s="11" t="str">
        <f>IFERROR(INDEX(ShipPartShape!$A:$A,MATCH(AD184,ShipPartShape!$B:$B,0)),"-")</f>
        <v>-</v>
      </c>
      <c r="AF184" s="4"/>
      <c r="AG184" s="11" t="str">
        <f>IFERROR(INDEX(ShipPartShape!$A:$A,MATCH(AF184,ShipPartShape!$B:$B,0)),"-")</f>
        <v>-</v>
      </c>
      <c r="AH184" s="4"/>
      <c r="AI184" s="11" t="str">
        <f>IFERROR(INDEX(ShipPartShape!$A:$A,MATCH(AH184,ShipPartShape!$B:$B,0)),"-")</f>
        <v>-</v>
      </c>
      <c r="AJ184" s="11" t="s">
        <v>0</v>
      </c>
      <c r="AK184" s="11" t="s">
        <v>0</v>
      </c>
      <c r="AL184" s="11" t="s">
        <v>0</v>
      </c>
      <c r="AM184" s="11" t="s">
        <v>0</v>
      </c>
      <c r="AN184" s="11" t="s">
        <v>0</v>
      </c>
      <c r="AO184" s="11" t="s">
        <v>0</v>
      </c>
      <c r="AP184" s="11" t="s">
        <v>0</v>
      </c>
      <c r="AQ184" s="11" t="s">
        <v>0</v>
      </c>
      <c r="AR184" s="11" t="s">
        <v>0</v>
      </c>
      <c r="AS184" s="11" t="s">
        <v>0</v>
      </c>
      <c r="AT184" s="11" t="s">
        <v>0</v>
      </c>
      <c r="AU184" s="11">
        <v>47600016</v>
      </c>
      <c r="AV184" s="11" t="s">
        <v>0</v>
      </c>
      <c r="AW184" s="11" t="s">
        <v>0</v>
      </c>
      <c r="AX184" s="11" t="s">
        <v>0</v>
      </c>
    </row>
    <row r="185" spans="1:50" ht="15">
      <c r="A185" s="10">
        <f t="shared" si="2"/>
        <v>45000175</v>
      </c>
      <c r="B185" s="22" t="s">
        <v>1906</v>
      </c>
      <c r="C185" s="11" t="s">
        <v>1905</v>
      </c>
      <c r="D185" s="4" t="s">
        <v>1901</v>
      </c>
      <c r="E185" s="11">
        <v>700</v>
      </c>
      <c r="F185" s="11">
        <v>150</v>
      </c>
      <c r="G185" s="11">
        <v>20</v>
      </c>
      <c r="H185" s="11">
        <v>-40</v>
      </c>
      <c r="I185" s="11">
        <f>IFERROR(INDEX(ShipPartShape!$A:$A,MATCH(D185,ShipPartShape!$B:$B,0)),"-")</f>
        <v>46000163</v>
      </c>
      <c r="J185" s="4" t="s">
        <v>1215</v>
      </c>
      <c r="K185" s="11">
        <f>IFERROR(INDEX(ShipPartShape!$A:$A,MATCH(J185,ShipPartShape!$B:$B,0)),"-")</f>
        <v>46700013</v>
      </c>
      <c r="L185" s="4"/>
      <c r="M185" s="11" t="str">
        <f>IFERROR(INDEX(ShipPartShape!$A:$A,MATCH(L185,ShipPartShape!$B:$B,0)),"-")</f>
        <v>-</v>
      </c>
      <c r="N185" s="4" t="s">
        <v>1907</v>
      </c>
      <c r="O185" s="11">
        <f>IFERROR(INDEX(ShipPartShape!$A:$A,MATCH(N185,ShipPartShape!$B:$B,0)),"-")</f>
        <v>46500029</v>
      </c>
      <c r="P185" s="4"/>
      <c r="Q185" s="11" t="str">
        <f>IFERROR(INDEX(ShipPartShape!$A:$A,MATCH(P185,ShipPartShape!$B:$B,0)),"-")</f>
        <v>-</v>
      </c>
      <c r="R185" s="4"/>
      <c r="S185" s="11" t="str">
        <f>IFERROR(INDEX(ShipPartShape!$A:$A,MATCH(R185,ShipPartShape!$B:$B,0)),"-")</f>
        <v>-</v>
      </c>
      <c r="T185" s="4" t="s">
        <v>606</v>
      </c>
      <c r="U185" s="11">
        <f>IFERROR(INDEX(ShipPartShape!$A:$A,MATCH(T185,ShipPartShape!$B:$B,0)),"-")</f>
        <v>46600003</v>
      </c>
      <c r="V185" s="4" t="s">
        <v>604</v>
      </c>
      <c r="W185" s="11">
        <f>IFERROR(INDEX(ShipPartShape!$A:$A,MATCH(V185,ShipPartShape!$B:$B,0)),"-")</f>
        <v>46600005</v>
      </c>
      <c r="X185" s="4" t="s">
        <v>605</v>
      </c>
      <c r="Y185" s="11">
        <f>IFERROR(INDEX(ShipPartShape!$A:$A,MATCH(X185,ShipPartShape!$B:$B,0)),"-")</f>
        <v>46600009</v>
      </c>
      <c r="Z185" s="4" t="s">
        <v>611</v>
      </c>
      <c r="AA185" s="11">
        <f>IFERROR(INDEX(ShipPartShape!$A:$A,MATCH(Z185,ShipPartShape!$B:$B,0)),"-")</f>
        <v>46600010</v>
      </c>
      <c r="AB185" s="4"/>
      <c r="AC185" s="11" t="str">
        <f>IFERROR(INDEX(ShipPartShape!$A:$A,MATCH(AB185,ShipPartShape!$B:$B,0)),"-")</f>
        <v>-</v>
      </c>
      <c r="AD185" s="4"/>
      <c r="AE185" s="11" t="str">
        <f>IFERROR(INDEX(ShipPartShape!$A:$A,MATCH(AD185,ShipPartShape!$B:$B,0)),"-")</f>
        <v>-</v>
      </c>
      <c r="AF185" s="4"/>
      <c r="AG185" s="11" t="str">
        <f>IFERROR(INDEX(ShipPartShape!$A:$A,MATCH(AF185,ShipPartShape!$B:$B,0)),"-")</f>
        <v>-</v>
      </c>
      <c r="AH185" s="4"/>
      <c r="AI185" s="11" t="str">
        <f>IFERROR(INDEX(ShipPartShape!$A:$A,MATCH(AH185,ShipPartShape!$B:$B,0)),"-")</f>
        <v>-</v>
      </c>
      <c r="AJ185" s="11" t="s">
        <v>0</v>
      </c>
      <c r="AK185" s="11" t="s">
        <v>0</v>
      </c>
      <c r="AL185" s="11" t="s">
        <v>0</v>
      </c>
      <c r="AM185" s="11" t="s">
        <v>0</v>
      </c>
      <c r="AN185" s="11" t="s">
        <v>0</v>
      </c>
      <c r="AO185" s="11" t="s">
        <v>0</v>
      </c>
      <c r="AP185" s="11" t="s">
        <v>0</v>
      </c>
      <c r="AQ185" s="11" t="s">
        <v>0</v>
      </c>
      <c r="AR185" s="11" t="s">
        <v>0</v>
      </c>
      <c r="AS185" s="11" t="s">
        <v>0</v>
      </c>
      <c r="AT185" s="11" t="s">
        <v>0</v>
      </c>
      <c r="AU185" s="11">
        <v>47600017</v>
      </c>
      <c r="AV185" s="11" t="s">
        <v>0</v>
      </c>
      <c r="AW185" s="11" t="s">
        <v>0</v>
      </c>
      <c r="AX185" s="11" t="s">
        <v>0</v>
      </c>
    </row>
    <row r="186" spans="1:50" ht="15">
      <c r="A186" s="10">
        <f t="shared" si="2"/>
        <v>45000176</v>
      </c>
      <c r="B186" s="22" t="s">
        <v>1911</v>
      </c>
      <c r="C186" s="11" t="s">
        <v>1912</v>
      </c>
      <c r="D186" s="4" t="s">
        <v>1908</v>
      </c>
      <c r="E186" s="11">
        <v>700</v>
      </c>
      <c r="F186" s="11">
        <v>150</v>
      </c>
      <c r="G186" s="11">
        <v>20</v>
      </c>
      <c r="H186" s="11">
        <v>-40</v>
      </c>
      <c r="I186" s="11">
        <f>IFERROR(INDEX(ShipPartShape!$A:$A,MATCH(D186,ShipPartShape!$B:$B,0)),"-")</f>
        <v>46000164</v>
      </c>
      <c r="J186" s="4" t="s">
        <v>1215</v>
      </c>
      <c r="K186" s="11">
        <f>IFERROR(INDEX(ShipPartShape!$A:$A,MATCH(J186,ShipPartShape!$B:$B,0)),"-")</f>
        <v>46700013</v>
      </c>
      <c r="L186" s="4" t="s">
        <v>69</v>
      </c>
      <c r="M186" s="11">
        <f>IFERROR(INDEX(ShipPartShape!$A:$A,MATCH(L186,ShipPartShape!$B:$B,0)),"-")</f>
        <v>46300001</v>
      </c>
      <c r="N186" s="4"/>
      <c r="O186" s="11" t="str">
        <f>IFERROR(INDEX(ShipPartShape!$A:$A,MATCH(N186,ShipPartShape!$B:$B,0)),"-")</f>
        <v>-</v>
      </c>
      <c r="P186" s="4"/>
      <c r="Q186" s="11" t="str">
        <f>IFERROR(INDEX(ShipPartShape!$A:$A,MATCH(P186,ShipPartShape!$B:$B,0)),"-")</f>
        <v>-</v>
      </c>
      <c r="R186" s="4"/>
      <c r="S186" s="11" t="str">
        <f>IFERROR(INDEX(ShipPartShape!$A:$A,MATCH(R186,ShipPartShape!$B:$B,0)),"-")</f>
        <v>-</v>
      </c>
      <c r="T186" s="4" t="s">
        <v>602</v>
      </c>
      <c r="U186" s="11">
        <f>IFERROR(INDEX(ShipPartShape!$A:$A,MATCH(T186,ShipPartShape!$B:$B,0)),"-")</f>
        <v>46600002</v>
      </c>
      <c r="V186" s="4" t="s">
        <v>606</v>
      </c>
      <c r="W186" s="11">
        <f>IFERROR(INDEX(ShipPartShape!$A:$A,MATCH(V186,ShipPartShape!$B:$B,0)),"-")</f>
        <v>46600003</v>
      </c>
      <c r="X186" s="4" t="s">
        <v>603</v>
      </c>
      <c r="Y186" s="11">
        <f>IFERROR(INDEX(ShipPartShape!$A:$A,MATCH(X186,ShipPartShape!$B:$B,0)),"-")</f>
        <v>46600007</v>
      </c>
      <c r="Z186" s="4" t="s">
        <v>609</v>
      </c>
      <c r="AA186" s="11">
        <f>IFERROR(INDEX(ShipPartShape!$A:$A,MATCH(Z186,ShipPartShape!$B:$B,0)),"-")</f>
        <v>46600011</v>
      </c>
      <c r="AB186" s="4"/>
      <c r="AC186" s="11" t="str">
        <f>IFERROR(INDEX(ShipPartShape!$A:$A,MATCH(AB186,ShipPartShape!$B:$B,0)),"-")</f>
        <v>-</v>
      </c>
      <c r="AD186" s="4"/>
      <c r="AE186" s="11" t="str">
        <f>IFERROR(INDEX(ShipPartShape!$A:$A,MATCH(AD186,ShipPartShape!$B:$B,0)),"-")</f>
        <v>-</v>
      </c>
      <c r="AF186" s="4"/>
      <c r="AG186" s="11" t="str">
        <f>IFERROR(INDEX(ShipPartShape!$A:$A,MATCH(AF186,ShipPartShape!$B:$B,0)),"-")</f>
        <v>-</v>
      </c>
      <c r="AH186" s="4"/>
      <c r="AI186" s="11" t="str">
        <f>IFERROR(INDEX(ShipPartShape!$A:$A,MATCH(AH186,ShipPartShape!$B:$B,0)),"-")</f>
        <v>-</v>
      </c>
      <c r="AJ186" s="11" t="s">
        <v>0</v>
      </c>
      <c r="AK186" s="11" t="s">
        <v>0</v>
      </c>
      <c r="AL186" s="11" t="s">
        <v>0</v>
      </c>
      <c r="AM186" s="11" t="s">
        <v>0</v>
      </c>
      <c r="AN186" s="11" t="s">
        <v>0</v>
      </c>
      <c r="AO186" s="11" t="s">
        <v>0</v>
      </c>
      <c r="AP186" s="11" t="s">
        <v>0</v>
      </c>
      <c r="AQ186" s="11" t="s">
        <v>0</v>
      </c>
      <c r="AR186" s="11" t="s">
        <v>0</v>
      </c>
      <c r="AS186" s="11" t="s">
        <v>0</v>
      </c>
      <c r="AT186" s="11" t="s">
        <v>0</v>
      </c>
      <c r="AU186" s="11">
        <v>47600017</v>
      </c>
      <c r="AV186" s="11" t="s">
        <v>0</v>
      </c>
      <c r="AW186" s="11" t="s">
        <v>0</v>
      </c>
      <c r="AX186" s="11" t="s">
        <v>0</v>
      </c>
    </row>
    <row r="187" spans="1:50" ht="15">
      <c r="A187" s="10">
        <f t="shared" si="2"/>
        <v>45000177</v>
      </c>
      <c r="B187" s="24" t="s">
        <v>1913</v>
      </c>
      <c r="C187" s="11" t="s">
        <v>1468</v>
      </c>
      <c r="D187" s="4" t="s">
        <v>1913</v>
      </c>
      <c r="E187" s="11">
        <v>700</v>
      </c>
      <c r="F187" s="11">
        <v>100</v>
      </c>
      <c r="G187" s="11" t="s">
        <v>0</v>
      </c>
      <c r="H187" s="11" t="s">
        <v>545</v>
      </c>
      <c r="I187" s="11">
        <f>IFERROR(INDEX(ShipPartShape!$A:$A,MATCH(D187,ShipPartShape!$B:$B,0)),"-")</f>
        <v>46000165</v>
      </c>
      <c r="J187" s="4" t="s">
        <v>1257</v>
      </c>
      <c r="K187" s="11">
        <f>IFERROR(INDEX(ShipPartShape!$A:$A,MATCH(J187,ShipPartShape!$B:$B,0)),"-")</f>
        <v>46700012</v>
      </c>
      <c r="L187" s="4"/>
      <c r="M187" s="11" t="str">
        <f>IFERROR(INDEX(ShipPartShape!$A:$A,MATCH(L187,ShipPartShape!$B:$B,0)),"-")</f>
        <v>-</v>
      </c>
      <c r="N187" s="4"/>
      <c r="O187" s="11" t="str">
        <f>IFERROR(INDEX(ShipPartShape!$A:$A,MATCH(N187,ShipPartShape!$B:$B,0)),"-")</f>
        <v>-</v>
      </c>
      <c r="P187" s="4"/>
      <c r="Q187" s="11" t="str">
        <f>IFERROR(INDEX(ShipPartShape!$A:$A,MATCH(P187,ShipPartShape!$B:$B,0)),"-")</f>
        <v>-</v>
      </c>
      <c r="R187" s="4"/>
      <c r="S187" s="11" t="str">
        <f>IFERROR(INDEX(ShipPartShape!$A:$A,MATCH(R187,ShipPartShape!$B:$B,0)),"-")</f>
        <v>-</v>
      </c>
      <c r="T187" s="4"/>
      <c r="U187" s="11" t="str">
        <f>IFERROR(INDEX(ShipPartShape!$A:$A,MATCH(T187,ShipPartShape!$B:$B,0)),"-")</f>
        <v>-</v>
      </c>
      <c r="V187" s="4" t="s">
        <v>602</v>
      </c>
      <c r="W187" s="11">
        <f>IFERROR(INDEX(ShipPartShape!$A:$A,MATCH(V187,ShipPartShape!$B:$B,0)),"-")</f>
        <v>46600002</v>
      </c>
      <c r="X187" s="4" t="s">
        <v>603</v>
      </c>
      <c r="Y187" s="11">
        <f>IFERROR(INDEX(ShipPartShape!$A:$A,MATCH(X187,ShipPartShape!$B:$B,0)),"-")</f>
        <v>46600007</v>
      </c>
      <c r="Z187" s="4"/>
      <c r="AA187" s="11" t="str">
        <f>IFERROR(INDEX(ShipPartShape!$A:$A,MATCH(Z187,ShipPartShape!$B:$B,0)),"-")</f>
        <v>-</v>
      </c>
      <c r="AB187" s="4"/>
      <c r="AC187" s="11" t="str">
        <f>IFERROR(INDEX(ShipPartShape!$A:$A,MATCH(AB187,ShipPartShape!$B:$B,0)),"-")</f>
        <v>-</v>
      </c>
      <c r="AD187" s="4"/>
      <c r="AE187" s="11" t="str">
        <f>IFERROR(INDEX(ShipPartShape!$A:$A,MATCH(AD187,ShipPartShape!$B:$B,0)),"-")</f>
        <v>-</v>
      </c>
      <c r="AF187" s="4"/>
      <c r="AG187" s="11" t="str">
        <f>IFERROR(INDEX(ShipPartShape!$A:$A,MATCH(AF187,ShipPartShape!$B:$B,0)),"-")</f>
        <v>-</v>
      </c>
      <c r="AH187" s="4"/>
      <c r="AI187" s="11" t="str">
        <f>IFERROR(INDEX(ShipPartShape!$A:$A,MATCH(AH187,ShipPartShape!$B:$B,0)),"-")</f>
        <v>-</v>
      </c>
      <c r="AJ187" s="11" t="s">
        <v>0</v>
      </c>
      <c r="AK187" s="11" t="s">
        <v>0</v>
      </c>
      <c r="AL187" s="11" t="s">
        <v>0</v>
      </c>
      <c r="AM187" s="11" t="s">
        <v>0</v>
      </c>
      <c r="AN187" s="11" t="s">
        <v>0</v>
      </c>
      <c r="AO187" s="11" t="s">
        <v>0</v>
      </c>
      <c r="AP187" s="11" t="s">
        <v>0</v>
      </c>
      <c r="AQ187" s="11" t="s">
        <v>0</v>
      </c>
      <c r="AR187" s="11" t="s">
        <v>0</v>
      </c>
      <c r="AS187" s="11" t="s">
        <v>0</v>
      </c>
      <c r="AT187" s="11" t="s">
        <v>0</v>
      </c>
      <c r="AU187" s="11" t="s">
        <v>545</v>
      </c>
      <c r="AV187" s="11" t="s">
        <v>0</v>
      </c>
      <c r="AW187" s="11">
        <v>47600005</v>
      </c>
      <c r="AX187" s="11" t="s">
        <v>0</v>
      </c>
    </row>
    <row r="188" spans="1:50" ht="15">
      <c r="A188" s="10">
        <f t="shared" si="2"/>
        <v>45000178</v>
      </c>
      <c r="B188" s="24" t="s">
        <v>1914</v>
      </c>
      <c r="C188" s="11" t="s">
        <v>1575</v>
      </c>
      <c r="D188" s="4" t="s">
        <v>1914</v>
      </c>
      <c r="E188" s="11">
        <v>600</v>
      </c>
      <c r="F188" s="11">
        <v>100</v>
      </c>
      <c r="G188" s="11" t="s">
        <v>0</v>
      </c>
      <c r="H188" s="11" t="s">
        <v>545</v>
      </c>
      <c r="I188" s="11">
        <f>IFERROR(INDEX(ShipPartShape!$A:$A,MATCH(D188,ShipPartShape!$B:$B,0)),"-")</f>
        <v>46000166</v>
      </c>
      <c r="J188" s="4" t="s">
        <v>1257</v>
      </c>
      <c r="K188" s="11">
        <f>IFERROR(INDEX(ShipPartShape!$A:$A,MATCH(J188,ShipPartShape!$B:$B,0)),"-")</f>
        <v>46700012</v>
      </c>
      <c r="L188" s="4"/>
      <c r="M188" s="11" t="str">
        <f>IFERROR(INDEX(ShipPartShape!$A:$A,MATCH(L188,ShipPartShape!$B:$B,0)),"-")</f>
        <v>-</v>
      </c>
      <c r="N188" s="4"/>
      <c r="O188" s="11" t="str">
        <f>IFERROR(INDEX(ShipPartShape!$A:$A,MATCH(N188,ShipPartShape!$B:$B,0)),"-")</f>
        <v>-</v>
      </c>
      <c r="P188" s="4"/>
      <c r="Q188" s="11" t="str">
        <f>IFERROR(INDEX(ShipPartShape!$A:$A,MATCH(P188,ShipPartShape!$B:$B,0)),"-")</f>
        <v>-</v>
      </c>
      <c r="R188" s="4"/>
      <c r="S188" s="11" t="str">
        <f>IFERROR(INDEX(ShipPartShape!$A:$A,MATCH(R188,ShipPartShape!$B:$B,0)),"-")</f>
        <v>-</v>
      </c>
      <c r="T188" s="4"/>
      <c r="U188" s="11" t="str">
        <f>IFERROR(INDEX(ShipPartShape!$A:$A,MATCH(T188,ShipPartShape!$B:$B,0)),"-")</f>
        <v>-</v>
      </c>
      <c r="V188" s="4"/>
      <c r="W188" s="11" t="str">
        <f>IFERROR(INDEX(ShipPartShape!$A:$A,MATCH(V188,ShipPartShape!$B:$B,0)),"-")</f>
        <v>-</v>
      </c>
      <c r="X188" s="4"/>
      <c r="Y188" s="11" t="str">
        <f>IFERROR(INDEX(ShipPartShape!$A:$A,MATCH(X188,ShipPartShape!$B:$B,0)),"-")</f>
        <v>-</v>
      </c>
      <c r="Z188" s="4"/>
      <c r="AA188" s="11" t="str">
        <f>IFERROR(INDEX(ShipPartShape!$A:$A,MATCH(Z188,ShipPartShape!$B:$B,0)),"-")</f>
        <v>-</v>
      </c>
      <c r="AB188" s="4"/>
      <c r="AC188" s="11" t="str">
        <f>IFERROR(INDEX(ShipPartShape!$A:$A,MATCH(AB188,ShipPartShape!$B:$B,0)),"-")</f>
        <v>-</v>
      </c>
      <c r="AD188" s="4"/>
      <c r="AE188" s="11" t="str">
        <f>IFERROR(INDEX(ShipPartShape!$A:$A,MATCH(AD188,ShipPartShape!$B:$B,0)),"-")</f>
        <v>-</v>
      </c>
      <c r="AF188" s="4"/>
      <c r="AG188" s="11" t="str">
        <f>IFERROR(INDEX(ShipPartShape!$A:$A,MATCH(AF188,ShipPartShape!$B:$B,0)),"-")</f>
        <v>-</v>
      </c>
      <c r="AH188" s="4"/>
      <c r="AI188" s="11" t="str">
        <f>IFERROR(INDEX(ShipPartShape!$A:$A,MATCH(AH188,ShipPartShape!$B:$B,0)),"-")</f>
        <v>-</v>
      </c>
      <c r="AJ188" s="11" t="s">
        <v>0</v>
      </c>
      <c r="AK188" s="11" t="s">
        <v>0</v>
      </c>
      <c r="AL188" s="11" t="s">
        <v>0</v>
      </c>
      <c r="AM188" s="11" t="s">
        <v>0</v>
      </c>
      <c r="AN188" s="11" t="s">
        <v>0</v>
      </c>
      <c r="AO188" s="11" t="s">
        <v>0</v>
      </c>
      <c r="AP188" s="11" t="s">
        <v>0</v>
      </c>
      <c r="AQ188" s="11" t="s">
        <v>0</v>
      </c>
      <c r="AR188" s="11" t="s">
        <v>0</v>
      </c>
      <c r="AS188" s="11" t="s">
        <v>0</v>
      </c>
      <c r="AT188" s="11" t="s">
        <v>0</v>
      </c>
      <c r="AU188" s="11" t="s">
        <v>545</v>
      </c>
      <c r="AV188" s="11" t="s">
        <v>0</v>
      </c>
      <c r="AW188" s="11">
        <v>47600005</v>
      </c>
      <c r="AX188" s="11" t="s">
        <v>0</v>
      </c>
    </row>
    <row r="189" spans="1:50" ht="15">
      <c r="A189" s="10">
        <f t="shared" si="2"/>
        <v>45000179</v>
      </c>
      <c r="B189" s="24" t="s">
        <v>1915</v>
      </c>
      <c r="C189" s="11" t="s">
        <v>1840</v>
      </c>
      <c r="D189" s="4" t="s">
        <v>1915</v>
      </c>
      <c r="E189" s="11">
        <v>700</v>
      </c>
      <c r="F189" s="11">
        <v>100</v>
      </c>
      <c r="G189" s="11" t="s">
        <v>0</v>
      </c>
      <c r="H189" s="11" t="s">
        <v>545</v>
      </c>
      <c r="I189" s="11">
        <f>IFERROR(INDEX(ShipPartShape!$A:$A,MATCH(D189,ShipPartShape!$B:$B,0)),"-")</f>
        <v>46000167</v>
      </c>
      <c r="J189" s="4" t="s">
        <v>1215</v>
      </c>
      <c r="K189" s="11">
        <f>IFERROR(INDEX(ShipPartShape!$A:$A,MATCH(J189,ShipPartShape!$B:$B,0)),"-")</f>
        <v>46700013</v>
      </c>
      <c r="L189" s="4" t="s">
        <v>69</v>
      </c>
      <c r="M189" s="11">
        <f>IFERROR(INDEX(ShipPartShape!$A:$A,MATCH(L189,ShipPartShape!$B:$B,0)),"-")</f>
        <v>46300001</v>
      </c>
      <c r="N189" s="4"/>
      <c r="O189" s="11" t="str">
        <f>IFERROR(INDEX(ShipPartShape!$A:$A,MATCH(N189,ShipPartShape!$B:$B,0)),"-")</f>
        <v>-</v>
      </c>
      <c r="P189" s="4"/>
      <c r="Q189" s="11" t="str">
        <f>IFERROR(INDEX(ShipPartShape!$A:$A,MATCH(P189,ShipPartShape!$B:$B,0)),"-")</f>
        <v>-</v>
      </c>
      <c r="R189" s="4"/>
      <c r="S189" s="11" t="str">
        <f>IFERROR(INDEX(ShipPartShape!$A:$A,MATCH(R189,ShipPartShape!$B:$B,0)),"-")</f>
        <v>-</v>
      </c>
      <c r="T189" s="4"/>
      <c r="U189" s="11" t="str">
        <f>IFERROR(INDEX(ShipPartShape!$A:$A,MATCH(T189,ShipPartShape!$B:$B,0)),"-")</f>
        <v>-</v>
      </c>
      <c r="V189" s="4"/>
      <c r="W189" s="11" t="str">
        <f>IFERROR(INDEX(ShipPartShape!$A:$A,MATCH(V189,ShipPartShape!$B:$B,0)),"-")</f>
        <v>-</v>
      </c>
      <c r="X189" s="4"/>
      <c r="Y189" s="11" t="str">
        <f>IFERROR(INDEX(ShipPartShape!$A:$A,MATCH(X189,ShipPartShape!$B:$B,0)),"-")</f>
        <v>-</v>
      </c>
      <c r="Z189" s="4"/>
      <c r="AA189" s="11" t="str">
        <f>IFERROR(INDEX(ShipPartShape!$A:$A,MATCH(Z189,ShipPartShape!$B:$B,0)),"-")</f>
        <v>-</v>
      </c>
      <c r="AB189" s="4"/>
      <c r="AC189" s="11" t="str">
        <f>IFERROR(INDEX(ShipPartShape!$A:$A,MATCH(AB189,ShipPartShape!$B:$B,0)),"-")</f>
        <v>-</v>
      </c>
      <c r="AD189" s="4"/>
      <c r="AE189" s="11" t="str">
        <f>IFERROR(INDEX(ShipPartShape!$A:$A,MATCH(AD189,ShipPartShape!$B:$B,0)),"-")</f>
        <v>-</v>
      </c>
      <c r="AF189" s="4"/>
      <c r="AG189" s="11" t="str">
        <f>IFERROR(INDEX(ShipPartShape!$A:$A,MATCH(AF189,ShipPartShape!$B:$B,0)),"-")</f>
        <v>-</v>
      </c>
      <c r="AH189" s="4"/>
      <c r="AI189" s="11" t="str">
        <f>IFERROR(INDEX(ShipPartShape!$A:$A,MATCH(AH189,ShipPartShape!$B:$B,0)),"-")</f>
        <v>-</v>
      </c>
      <c r="AJ189" s="11" t="s">
        <v>0</v>
      </c>
      <c r="AK189" s="11" t="s">
        <v>0</v>
      </c>
      <c r="AL189" s="11" t="s">
        <v>0</v>
      </c>
      <c r="AM189" s="11" t="s">
        <v>0</v>
      </c>
      <c r="AN189" s="11" t="s">
        <v>0</v>
      </c>
      <c r="AO189" s="11" t="s">
        <v>0</v>
      </c>
      <c r="AP189" s="11" t="s">
        <v>0</v>
      </c>
      <c r="AQ189" s="11" t="s">
        <v>0</v>
      </c>
      <c r="AR189" s="11" t="s">
        <v>0</v>
      </c>
      <c r="AS189" s="11" t="s">
        <v>0</v>
      </c>
      <c r="AT189" s="11" t="s">
        <v>0</v>
      </c>
      <c r="AU189" s="11" t="s">
        <v>545</v>
      </c>
      <c r="AV189" s="11" t="s">
        <v>0</v>
      </c>
      <c r="AW189" s="11">
        <v>47600005</v>
      </c>
      <c r="AX189" s="11" t="s">
        <v>0</v>
      </c>
    </row>
    <row r="190" spans="1:50" ht="15">
      <c r="A190" s="10">
        <f t="shared" si="2"/>
        <v>45000180</v>
      </c>
      <c r="B190" s="24" t="s">
        <v>1916</v>
      </c>
      <c r="C190" s="11" t="s">
        <v>1395</v>
      </c>
      <c r="D190" s="4" t="s">
        <v>1916</v>
      </c>
      <c r="E190" s="11">
        <v>700</v>
      </c>
      <c r="F190" s="11">
        <v>100</v>
      </c>
      <c r="G190" s="11" t="s">
        <v>0</v>
      </c>
      <c r="H190" s="11" t="s">
        <v>545</v>
      </c>
      <c r="I190" s="11">
        <f>IFERROR(INDEX(ShipPartShape!$A:$A,MATCH(D190,ShipPartShape!$B:$B,0)),"-")</f>
        <v>46000168</v>
      </c>
      <c r="J190" s="4" t="s">
        <v>1215</v>
      </c>
      <c r="K190" s="11">
        <f>IFERROR(INDEX(ShipPartShape!$A:$A,MATCH(J190,ShipPartShape!$B:$B,0)),"-")</f>
        <v>46700013</v>
      </c>
      <c r="L190" s="4" t="s">
        <v>1398</v>
      </c>
      <c r="M190" s="11">
        <f>IFERROR(INDEX(ShipPartShape!$A:$A,MATCH(L190,ShipPartShape!$B:$B,0)),"-")</f>
        <v>46300002</v>
      </c>
      <c r="N190" s="4" t="s">
        <v>1397</v>
      </c>
      <c r="O190" s="11">
        <f>IFERROR(INDEX(ShipPartShape!$A:$A,MATCH(N190,ShipPartShape!$B:$B,0)),"-")</f>
        <v>46500015</v>
      </c>
      <c r="P190" s="4"/>
      <c r="Q190" s="11" t="str">
        <f>IFERROR(INDEX(ShipPartShape!$A:$A,MATCH(P190,ShipPartShape!$B:$B,0)),"-")</f>
        <v>-</v>
      </c>
      <c r="R190" s="4"/>
      <c r="S190" s="11" t="str">
        <f>IFERROR(INDEX(ShipPartShape!$A:$A,MATCH(R190,ShipPartShape!$B:$B,0)),"-")</f>
        <v>-</v>
      </c>
      <c r="T190" s="4"/>
      <c r="U190" s="11" t="str">
        <f>IFERROR(INDEX(ShipPartShape!$A:$A,MATCH(T190,ShipPartShape!$B:$B,0)),"-")</f>
        <v>-</v>
      </c>
      <c r="V190" s="4"/>
      <c r="W190" s="11" t="str">
        <f>IFERROR(INDEX(ShipPartShape!$A:$A,MATCH(V190,ShipPartShape!$B:$B,0)),"-")</f>
        <v>-</v>
      </c>
      <c r="X190" s="4"/>
      <c r="Y190" s="11" t="str">
        <f>IFERROR(INDEX(ShipPartShape!$A:$A,MATCH(X190,ShipPartShape!$B:$B,0)),"-")</f>
        <v>-</v>
      </c>
      <c r="Z190" s="4"/>
      <c r="AA190" s="11" t="str">
        <f>IFERROR(INDEX(ShipPartShape!$A:$A,MATCH(Z190,ShipPartShape!$B:$B,0)),"-")</f>
        <v>-</v>
      </c>
      <c r="AB190" s="4"/>
      <c r="AC190" s="11" t="str">
        <f>IFERROR(INDEX(ShipPartShape!$A:$A,MATCH(AB190,ShipPartShape!$B:$B,0)),"-")</f>
        <v>-</v>
      </c>
      <c r="AD190" s="4"/>
      <c r="AE190" s="11" t="str">
        <f>IFERROR(INDEX(ShipPartShape!$A:$A,MATCH(AD190,ShipPartShape!$B:$B,0)),"-")</f>
        <v>-</v>
      </c>
      <c r="AF190" s="4"/>
      <c r="AG190" s="11" t="str">
        <f>IFERROR(INDEX(ShipPartShape!$A:$A,MATCH(AF190,ShipPartShape!$B:$B,0)),"-")</f>
        <v>-</v>
      </c>
      <c r="AH190" s="4"/>
      <c r="AI190" s="11" t="str">
        <f>IFERROR(INDEX(ShipPartShape!$A:$A,MATCH(AH190,ShipPartShape!$B:$B,0)),"-")</f>
        <v>-</v>
      </c>
      <c r="AJ190" s="11" t="s">
        <v>0</v>
      </c>
      <c r="AK190" s="11" t="s">
        <v>0</v>
      </c>
      <c r="AL190" s="11" t="s">
        <v>0</v>
      </c>
      <c r="AM190" s="11" t="s">
        <v>0</v>
      </c>
      <c r="AN190" s="11" t="s">
        <v>0</v>
      </c>
      <c r="AO190" s="11" t="s">
        <v>0</v>
      </c>
      <c r="AP190" s="11" t="s">
        <v>0</v>
      </c>
      <c r="AQ190" s="11" t="s">
        <v>0</v>
      </c>
      <c r="AR190" s="11" t="s">
        <v>0</v>
      </c>
      <c r="AS190" s="11" t="s">
        <v>0</v>
      </c>
      <c r="AT190" s="11" t="s">
        <v>0</v>
      </c>
      <c r="AU190" s="11" t="s">
        <v>545</v>
      </c>
      <c r="AV190" s="11" t="s">
        <v>0</v>
      </c>
      <c r="AW190" s="11">
        <v>47600005</v>
      </c>
      <c r="AX190" s="11" t="s">
        <v>0</v>
      </c>
    </row>
    <row r="191" spans="1:50" ht="15">
      <c r="A191" s="10">
        <f t="shared" si="2"/>
        <v>45000181</v>
      </c>
      <c r="B191" s="24" t="s">
        <v>1917</v>
      </c>
      <c r="C191" s="11" t="s">
        <v>830</v>
      </c>
      <c r="D191" s="4" t="s">
        <v>1917</v>
      </c>
      <c r="E191" s="11">
        <v>700</v>
      </c>
      <c r="F191" s="11">
        <v>100</v>
      </c>
      <c r="G191" s="11" t="s">
        <v>0</v>
      </c>
      <c r="H191" s="11" t="s">
        <v>545</v>
      </c>
      <c r="I191" s="11">
        <f>IFERROR(INDEX(ShipPartShape!$A:$A,MATCH(D191,ShipPartShape!$B:$B,0)),"-")</f>
        <v>46000169</v>
      </c>
      <c r="J191" s="4" t="s">
        <v>1215</v>
      </c>
      <c r="K191" s="11">
        <f>IFERROR(INDEX(ShipPartShape!$A:$A,MATCH(J191,ShipPartShape!$B:$B,0)),"-")</f>
        <v>46700013</v>
      </c>
      <c r="L191" s="4" t="s">
        <v>69</v>
      </c>
      <c r="M191" s="11">
        <f>IFERROR(INDEX(ShipPartShape!$A:$A,MATCH(L191,ShipPartShape!$B:$B,0)),"-")</f>
        <v>46300001</v>
      </c>
      <c r="N191" s="4"/>
      <c r="O191" s="11" t="str">
        <f>IFERROR(INDEX(ShipPartShape!$A:$A,MATCH(N191,ShipPartShape!$B:$B,0)),"-")</f>
        <v>-</v>
      </c>
      <c r="P191" s="4"/>
      <c r="Q191" s="11" t="str">
        <f>IFERROR(INDEX(ShipPartShape!$A:$A,MATCH(P191,ShipPartShape!$B:$B,0)),"-")</f>
        <v>-</v>
      </c>
      <c r="R191" s="4"/>
      <c r="S191" s="11" t="str">
        <f>IFERROR(INDEX(ShipPartShape!$A:$A,MATCH(R191,ShipPartShape!$B:$B,0)),"-")</f>
        <v>-</v>
      </c>
      <c r="T191" s="4" t="s">
        <v>601</v>
      </c>
      <c r="U191" s="11">
        <f>IFERROR(INDEX(ShipPartShape!$A:$A,MATCH(T191,ShipPartShape!$B:$B,0)),"-")</f>
        <v>46600001</v>
      </c>
      <c r="V191" s="4" t="s">
        <v>604</v>
      </c>
      <c r="W191" s="11">
        <f>IFERROR(INDEX(ShipPartShape!$A:$A,MATCH(V191,ShipPartShape!$B:$B,0)),"-")</f>
        <v>46600005</v>
      </c>
      <c r="X191" s="4" t="s">
        <v>603</v>
      </c>
      <c r="Y191" s="11">
        <f>IFERROR(INDEX(ShipPartShape!$A:$A,MATCH(X191,ShipPartShape!$B:$B,0)),"-")</f>
        <v>46600007</v>
      </c>
      <c r="Z191" s="4"/>
      <c r="AA191" s="11" t="str">
        <f>IFERROR(INDEX(ShipPartShape!$A:$A,MATCH(Z191,ShipPartShape!$B:$B,0)),"-")</f>
        <v>-</v>
      </c>
      <c r="AB191" s="4"/>
      <c r="AC191" s="11" t="str">
        <f>IFERROR(INDEX(ShipPartShape!$A:$A,MATCH(AB191,ShipPartShape!$B:$B,0)),"-")</f>
        <v>-</v>
      </c>
      <c r="AD191" s="4"/>
      <c r="AE191" s="11" t="str">
        <f>IFERROR(INDEX(ShipPartShape!$A:$A,MATCH(AD191,ShipPartShape!$B:$B,0)),"-")</f>
        <v>-</v>
      </c>
      <c r="AF191" s="4"/>
      <c r="AG191" s="11" t="str">
        <f>IFERROR(INDEX(ShipPartShape!$A:$A,MATCH(AF191,ShipPartShape!$B:$B,0)),"-")</f>
        <v>-</v>
      </c>
      <c r="AH191" s="4"/>
      <c r="AI191" s="11" t="str">
        <f>IFERROR(INDEX(ShipPartShape!$A:$A,MATCH(AH191,ShipPartShape!$B:$B,0)),"-")</f>
        <v>-</v>
      </c>
      <c r="AJ191" s="11" t="s">
        <v>0</v>
      </c>
      <c r="AK191" s="11" t="s">
        <v>0</v>
      </c>
      <c r="AL191" s="11" t="s">
        <v>0</v>
      </c>
      <c r="AM191" s="11" t="s">
        <v>0</v>
      </c>
      <c r="AN191" s="11" t="s">
        <v>0</v>
      </c>
      <c r="AO191" s="11" t="s">
        <v>0</v>
      </c>
      <c r="AP191" s="11" t="s">
        <v>0</v>
      </c>
      <c r="AQ191" s="11" t="s">
        <v>0</v>
      </c>
      <c r="AR191" s="11" t="s">
        <v>0</v>
      </c>
      <c r="AS191" s="11" t="s">
        <v>0</v>
      </c>
      <c r="AT191" s="11" t="s">
        <v>0</v>
      </c>
      <c r="AU191" s="11" t="s">
        <v>545</v>
      </c>
      <c r="AV191" s="11" t="s">
        <v>0</v>
      </c>
      <c r="AW191" s="11">
        <v>47600005</v>
      </c>
      <c r="AX191" s="11" t="s">
        <v>0</v>
      </c>
    </row>
    <row r="192" spans="1:50" ht="15">
      <c r="A192" s="10">
        <f t="shared" si="2"/>
        <v>45000182</v>
      </c>
      <c r="B192" s="24" t="s">
        <v>1918</v>
      </c>
      <c r="C192" s="11" t="s">
        <v>1922</v>
      </c>
      <c r="D192" s="4" t="s">
        <v>1918</v>
      </c>
      <c r="E192" s="11">
        <v>700</v>
      </c>
      <c r="F192" s="11">
        <v>100</v>
      </c>
      <c r="G192" s="11" t="s">
        <v>0</v>
      </c>
      <c r="H192" s="11" t="s">
        <v>545</v>
      </c>
      <c r="I192" s="11">
        <f>IFERROR(INDEX(ShipPartShape!$A:$A,MATCH(D192,ShipPartShape!$B:$B,0)),"-")</f>
        <v>46000170</v>
      </c>
      <c r="J192" s="4" t="s">
        <v>1215</v>
      </c>
      <c r="K192" s="11">
        <f>IFERROR(INDEX(ShipPartShape!$A:$A,MATCH(J192,ShipPartShape!$B:$B,0)),"-")</f>
        <v>46700013</v>
      </c>
      <c r="L192" s="4"/>
      <c r="M192" s="11" t="str">
        <f>IFERROR(INDEX(ShipPartShape!$A:$A,MATCH(L192,ShipPartShape!$B:$B,0)),"-")</f>
        <v>-</v>
      </c>
      <c r="N192" s="4"/>
      <c r="O192" s="11" t="str">
        <f>IFERROR(INDEX(ShipPartShape!$A:$A,MATCH(N192,ShipPartShape!$B:$B,0)),"-")</f>
        <v>-</v>
      </c>
      <c r="P192" s="4"/>
      <c r="Q192" s="11" t="str">
        <f>IFERROR(INDEX(ShipPartShape!$A:$A,MATCH(P192,ShipPartShape!$B:$B,0)),"-")</f>
        <v>-</v>
      </c>
      <c r="R192" s="4"/>
      <c r="S192" s="11" t="str">
        <f>IFERROR(INDEX(ShipPartShape!$A:$A,MATCH(R192,ShipPartShape!$B:$B,0)),"-")</f>
        <v>-</v>
      </c>
      <c r="T192" s="4" t="s">
        <v>604</v>
      </c>
      <c r="U192" s="11">
        <f>IFERROR(INDEX(ShipPartShape!$A:$A,MATCH(T192,ShipPartShape!$B:$B,0)),"-")</f>
        <v>46600005</v>
      </c>
      <c r="V192" s="4" t="s">
        <v>603</v>
      </c>
      <c r="W192" s="11">
        <f>IFERROR(INDEX(ShipPartShape!$A:$A,MATCH(V192,ShipPartShape!$B:$B,0)),"-")</f>
        <v>46600007</v>
      </c>
      <c r="X192" s="4" t="s">
        <v>609</v>
      </c>
      <c r="Y192" s="11">
        <f>IFERROR(INDEX(ShipPartShape!$A:$A,MATCH(X192,ShipPartShape!$B:$B,0)),"-")</f>
        <v>46600011</v>
      </c>
      <c r="Z192" s="4" t="s">
        <v>605</v>
      </c>
      <c r="AA192" s="11">
        <f>IFERROR(INDEX(ShipPartShape!$A:$A,MATCH(Z192,ShipPartShape!$B:$B,0)),"-")</f>
        <v>46600009</v>
      </c>
      <c r="AB192" s="4"/>
      <c r="AC192" s="11" t="str">
        <f>IFERROR(INDEX(ShipPartShape!$A:$A,MATCH(AB192,ShipPartShape!$B:$B,0)),"-")</f>
        <v>-</v>
      </c>
      <c r="AD192" s="4"/>
      <c r="AE192" s="11" t="str">
        <f>IFERROR(INDEX(ShipPartShape!$A:$A,MATCH(AD192,ShipPartShape!$B:$B,0)),"-")</f>
        <v>-</v>
      </c>
      <c r="AF192" s="4"/>
      <c r="AG192" s="11" t="str">
        <f>IFERROR(INDEX(ShipPartShape!$A:$A,MATCH(AF192,ShipPartShape!$B:$B,0)),"-")</f>
        <v>-</v>
      </c>
      <c r="AH192" s="4"/>
      <c r="AI192" s="11" t="str">
        <f>IFERROR(INDEX(ShipPartShape!$A:$A,MATCH(AH192,ShipPartShape!$B:$B,0)),"-")</f>
        <v>-</v>
      </c>
      <c r="AJ192" s="11" t="s">
        <v>0</v>
      </c>
      <c r="AK192" s="11" t="s">
        <v>0</v>
      </c>
      <c r="AL192" s="11" t="s">
        <v>0</v>
      </c>
      <c r="AM192" s="11" t="s">
        <v>0</v>
      </c>
      <c r="AN192" s="11" t="s">
        <v>0</v>
      </c>
      <c r="AO192" s="11" t="s">
        <v>0</v>
      </c>
      <c r="AP192" s="11" t="s">
        <v>0</v>
      </c>
      <c r="AQ192" s="11" t="s">
        <v>0</v>
      </c>
      <c r="AR192" s="11" t="s">
        <v>0</v>
      </c>
      <c r="AS192" s="11" t="s">
        <v>0</v>
      </c>
      <c r="AT192" s="11" t="s">
        <v>0</v>
      </c>
      <c r="AU192" s="11" t="s">
        <v>545</v>
      </c>
      <c r="AV192" s="11" t="s">
        <v>0</v>
      </c>
      <c r="AW192" s="11">
        <v>47600005</v>
      </c>
      <c r="AX192" s="11" t="s">
        <v>0</v>
      </c>
    </row>
    <row r="193" spans="1:50" ht="15">
      <c r="A193" s="10">
        <f t="shared" si="2"/>
        <v>45000183</v>
      </c>
      <c r="B193" s="24" t="s">
        <v>1919</v>
      </c>
      <c r="C193" s="11" t="s">
        <v>1923</v>
      </c>
      <c r="D193" s="4" t="s">
        <v>1919</v>
      </c>
      <c r="E193" s="11">
        <v>700</v>
      </c>
      <c r="F193" s="11">
        <v>100</v>
      </c>
      <c r="G193" s="11" t="s">
        <v>0</v>
      </c>
      <c r="H193" s="11" t="s">
        <v>545</v>
      </c>
      <c r="I193" s="11">
        <f>IFERROR(INDEX(ShipPartShape!$A:$A,MATCH(D193,ShipPartShape!$B:$B,0)),"-")</f>
        <v>46000171</v>
      </c>
      <c r="J193" s="4" t="s">
        <v>1257</v>
      </c>
      <c r="K193" s="11">
        <f>IFERROR(INDEX(ShipPartShape!$A:$A,MATCH(J193,ShipPartShape!$B:$B,0)),"-")</f>
        <v>46700012</v>
      </c>
      <c r="L193" s="4"/>
      <c r="M193" s="11" t="str">
        <f>IFERROR(INDEX(ShipPartShape!$A:$A,MATCH(L193,ShipPartShape!$B:$B,0)),"-")</f>
        <v>-</v>
      </c>
      <c r="N193" s="4"/>
      <c r="O193" s="11" t="str">
        <f>IFERROR(INDEX(ShipPartShape!$A:$A,MATCH(N193,ShipPartShape!$B:$B,0)),"-")</f>
        <v>-</v>
      </c>
      <c r="P193" s="4"/>
      <c r="Q193" s="11" t="str">
        <f>IFERROR(INDEX(ShipPartShape!$A:$A,MATCH(P193,ShipPartShape!$B:$B,0)),"-")</f>
        <v>-</v>
      </c>
      <c r="R193" s="4"/>
      <c r="S193" s="11" t="str">
        <f>IFERROR(INDEX(ShipPartShape!$A:$A,MATCH(R193,ShipPartShape!$B:$B,0)),"-")</f>
        <v>-</v>
      </c>
      <c r="T193" s="4" t="s">
        <v>604</v>
      </c>
      <c r="U193" s="11">
        <f>IFERROR(INDEX(ShipPartShape!$A:$A,MATCH(T193,ShipPartShape!$B:$B,0)),"-")</f>
        <v>46600005</v>
      </c>
      <c r="V193" s="4" t="s">
        <v>611</v>
      </c>
      <c r="W193" s="11">
        <f>IFERROR(INDEX(ShipPartShape!$A:$A,MATCH(V193,ShipPartShape!$B:$B,0)),"-")</f>
        <v>46600010</v>
      </c>
      <c r="X193" s="4"/>
      <c r="Y193" s="11" t="str">
        <f>IFERROR(INDEX(ShipPartShape!$A:$A,MATCH(X193,ShipPartShape!$B:$B,0)),"-")</f>
        <v>-</v>
      </c>
      <c r="Z193" s="4"/>
      <c r="AA193" s="11" t="str">
        <f>IFERROR(INDEX(ShipPartShape!$A:$A,MATCH(Z193,ShipPartShape!$B:$B,0)),"-")</f>
        <v>-</v>
      </c>
      <c r="AB193" s="4"/>
      <c r="AC193" s="11" t="str">
        <f>IFERROR(INDEX(ShipPartShape!$A:$A,MATCH(AB193,ShipPartShape!$B:$B,0)),"-")</f>
        <v>-</v>
      </c>
      <c r="AD193" s="4"/>
      <c r="AE193" s="11" t="str">
        <f>IFERROR(INDEX(ShipPartShape!$A:$A,MATCH(AD193,ShipPartShape!$B:$B,0)),"-")</f>
        <v>-</v>
      </c>
      <c r="AF193" s="4"/>
      <c r="AG193" s="11" t="str">
        <f>IFERROR(INDEX(ShipPartShape!$A:$A,MATCH(AF193,ShipPartShape!$B:$B,0)),"-")</f>
        <v>-</v>
      </c>
      <c r="AH193" s="4"/>
      <c r="AI193" s="11" t="str">
        <f>IFERROR(INDEX(ShipPartShape!$A:$A,MATCH(AH193,ShipPartShape!$B:$B,0)),"-")</f>
        <v>-</v>
      </c>
      <c r="AJ193" s="11" t="s">
        <v>0</v>
      </c>
      <c r="AK193" s="11" t="s">
        <v>0</v>
      </c>
      <c r="AL193" s="11" t="s">
        <v>0</v>
      </c>
      <c r="AM193" s="11" t="s">
        <v>0</v>
      </c>
      <c r="AN193" s="11" t="s">
        <v>0</v>
      </c>
      <c r="AO193" s="11" t="s">
        <v>0</v>
      </c>
      <c r="AP193" s="11" t="s">
        <v>0</v>
      </c>
      <c r="AQ193" s="11" t="s">
        <v>0</v>
      </c>
      <c r="AR193" s="11" t="s">
        <v>0</v>
      </c>
      <c r="AS193" s="11" t="s">
        <v>0</v>
      </c>
      <c r="AT193" s="11" t="s">
        <v>0</v>
      </c>
      <c r="AU193" s="11" t="s">
        <v>545</v>
      </c>
      <c r="AV193" s="11" t="s">
        <v>0</v>
      </c>
      <c r="AW193" s="11">
        <v>47600005</v>
      </c>
      <c r="AX193" s="11" t="s">
        <v>0</v>
      </c>
    </row>
    <row r="194" spans="1:50" ht="15">
      <c r="A194" s="10">
        <f t="shared" si="2"/>
        <v>45000184</v>
      </c>
      <c r="B194" s="24" t="s">
        <v>1920</v>
      </c>
      <c r="C194" s="11" t="s">
        <v>1133</v>
      </c>
      <c r="D194" s="4" t="s">
        <v>1920</v>
      </c>
      <c r="E194" s="11">
        <v>700</v>
      </c>
      <c r="F194" s="11">
        <v>100</v>
      </c>
      <c r="G194" s="11" t="s">
        <v>0</v>
      </c>
      <c r="H194" s="11" t="s">
        <v>545</v>
      </c>
      <c r="I194" s="11">
        <f>IFERROR(INDEX(ShipPartShape!$A:$A,MATCH(D194,ShipPartShape!$B:$B,0)),"-")</f>
        <v>46000172</v>
      </c>
      <c r="J194" s="4" t="s">
        <v>1256</v>
      </c>
      <c r="K194" s="11">
        <f>IFERROR(INDEX(ShipPartShape!$A:$A,MATCH(J194,ShipPartShape!$B:$B,0)),"-")</f>
        <v>46700015</v>
      </c>
      <c r="L194" s="4" t="s">
        <v>1126</v>
      </c>
      <c r="M194" s="11">
        <f>IFERROR(INDEX(ShipPartShape!$A:$A,MATCH(L194,ShipPartShape!$B:$B,0)),"-")</f>
        <v>46500011</v>
      </c>
      <c r="N194" s="4"/>
      <c r="O194" s="11" t="str">
        <f>IFERROR(INDEX(ShipPartShape!$A:$A,MATCH(N194,ShipPartShape!$B:$B,0)),"-")</f>
        <v>-</v>
      </c>
      <c r="P194" s="4"/>
      <c r="Q194" s="11" t="str">
        <f>IFERROR(INDEX(ShipPartShape!$A:$A,MATCH(P194,ShipPartShape!$B:$B,0)),"-")</f>
        <v>-</v>
      </c>
      <c r="R194" s="4"/>
      <c r="S194" s="11" t="str">
        <f>IFERROR(INDEX(ShipPartShape!$A:$A,MATCH(R194,ShipPartShape!$B:$B,0)),"-")</f>
        <v>-</v>
      </c>
      <c r="T194" s="4"/>
      <c r="U194" s="11" t="str">
        <f>IFERROR(INDEX(ShipPartShape!$A:$A,MATCH(T194,ShipPartShape!$B:$B,0)),"-")</f>
        <v>-</v>
      </c>
      <c r="V194" s="4" t="s">
        <v>601</v>
      </c>
      <c r="W194" s="11">
        <f>IFERROR(INDEX(ShipPartShape!$A:$A,MATCH(V194,ShipPartShape!$B:$B,0)),"-")</f>
        <v>46600001</v>
      </c>
      <c r="X194" s="4" t="s">
        <v>604</v>
      </c>
      <c r="Y194" s="11">
        <f>IFERROR(INDEX(ShipPartShape!$A:$A,MATCH(X194,ShipPartShape!$B:$B,0)),"-")</f>
        <v>46600005</v>
      </c>
      <c r="Z194" s="4" t="s">
        <v>610</v>
      </c>
      <c r="AA194" s="11">
        <f>IFERROR(INDEX(ShipPartShape!$A:$A,MATCH(Z194,ShipPartShape!$B:$B,0)),"-")</f>
        <v>46600006</v>
      </c>
      <c r="AB194" s="4"/>
      <c r="AC194" s="11" t="str">
        <f>IFERROR(INDEX(ShipPartShape!$A:$A,MATCH(AB194,ShipPartShape!$B:$B,0)),"-")</f>
        <v>-</v>
      </c>
      <c r="AD194" s="4"/>
      <c r="AE194" s="11" t="str">
        <f>IFERROR(INDEX(ShipPartShape!$A:$A,MATCH(AD194,ShipPartShape!$B:$B,0)),"-")</f>
        <v>-</v>
      </c>
      <c r="AF194" s="4"/>
      <c r="AG194" s="11" t="str">
        <f>IFERROR(INDEX(ShipPartShape!$A:$A,MATCH(AF194,ShipPartShape!$B:$B,0)),"-")</f>
        <v>-</v>
      </c>
      <c r="AH194" s="4"/>
      <c r="AI194" s="11" t="str">
        <f>IFERROR(INDEX(ShipPartShape!$A:$A,MATCH(AH194,ShipPartShape!$B:$B,0)),"-")</f>
        <v>-</v>
      </c>
      <c r="AJ194" s="11" t="s">
        <v>0</v>
      </c>
      <c r="AK194" s="11" t="s">
        <v>0</v>
      </c>
      <c r="AL194" s="11" t="s">
        <v>0</v>
      </c>
      <c r="AM194" s="11" t="s">
        <v>0</v>
      </c>
      <c r="AN194" s="11" t="s">
        <v>0</v>
      </c>
      <c r="AO194" s="11" t="s">
        <v>0</v>
      </c>
      <c r="AP194" s="11" t="s">
        <v>0</v>
      </c>
      <c r="AQ194" s="11" t="s">
        <v>0</v>
      </c>
      <c r="AR194" s="11" t="s">
        <v>0</v>
      </c>
      <c r="AS194" s="11" t="s">
        <v>0</v>
      </c>
      <c r="AT194" s="11" t="s">
        <v>0</v>
      </c>
      <c r="AU194" s="11" t="s">
        <v>545</v>
      </c>
      <c r="AV194" s="11" t="s">
        <v>0</v>
      </c>
      <c r="AW194" s="11">
        <v>47600005</v>
      </c>
      <c r="AX194" s="11" t="s">
        <v>0</v>
      </c>
    </row>
    <row r="195" spans="1:50" ht="15">
      <c r="A195" s="10">
        <f t="shared" si="2"/>
        <v>45000185</v>
      </c>
      <c r="B195" s="24" t="s">
        <v>1925</v>
      </c>
      <c r="C195" s="11" t="s">
        <v>1586</v>
      </c>
      <c r="D195" s="4" t="s">
        <v>1925</v>
      </c>
      <c r="E195" s="11">
        <v>600</v>
      </c>
      <c r="F195" s="11">
        <v>100</v>
      </c>
      <c r="G195" s="11" t="s">
        <v>0</v>
      </c>
      <c r="H195" s="11" t="s">
        <v>545</v>
      </c>
      <c r="I195" s="11">
        <f>IFERROR(INDEX(ShipPartShape!$A:$A,MATCH(D195,ShipPartShape!$B:$B,0)),"-")</f>
        <v>46000173</v>
      </c>
      <c r="J195" s="4" t="s">
        <v>1217</v>
      </c>
      <c r="K195" s="11">
        <f>IFERROR(INDEX(ShipPartShape!$A:$A,MATCH(J195,ShipPartShape!$B:$B,0)),"-")</f>
        <v>46700016</v>
      </c>
      <c r="L195" s="4" t="s">
        <v>1413</v>
      </c>
      <c r="M195" s="11">
        <f>IFERROR(INDEX(ShipPartShape!$A:$A,MATCH(L195,ShipPartShape!$B:$B,0)),"-")</f>
        <v>46300003</v>
      </c>
      <c r="N195" s="4" t="s">
        <v>1584</v>
      </c>
      <c r="O195" s="11">
        <f>IFERROR(INDEX(ShipPartShape!$A:$A,MATCH(N195,ShipPartShape!$B:$B,0)),"-")</f>
        <v>46500026</v>
      </c>
      <c r="P195" s="4"/>
      <c r="Q195" s="11" t="str">
        <f>IFERROR(INDEX(ShipPartShape!$A:$A,MATCH(P195,ShipPartShape!$B:$B,0)),"-")</f>
        <v>-</v>
      </c>
      <c r="R195" s="4"/>
      <c r="S195" s="11" t="str">
        <f>IFERROR(INDEX(ShipPartShape!$A:$A,MATCH(R195,ShipPartShape!$B:$B,0)),"-")</f>
        <v>-</v>
      </c>
      <c r="T195" s="4"/>
      <c r="U195" s="11" t="str">
        <f>IFERROR(INDEX(ShipPartShape!$A:$A,MATCH(T195,ShipPartShape!$B:$B,0)),"-")</f>
        <v>-</v>
      </c>
      <c r="V195" s="4"/>
      <c r="W195" s="11" t="str">
        <f>IFERROR(INDEX(ShipPartShape!$A:$A,MATCH(V195,ShipPartShape!$B:$B,0)),"-")</f>
        <v>-</v>
      </c>
      <c r="X195" s="4"/>
      <c r="Y195" s="11" t="str">
        <f>IFERROR(INDEX(ShipPartShape!$A:$A,MATCH(X195,ShipPartShape!$B:$B,0)),"-")</f>
        <v>-</v>
      </c>
      <c r="Z195" s="4"/>
      <c r="AA195" s="11" t="str">
        <f>IFERROR(INDEX(ShipPartShape!$A:$A,MATCH(Z195,ShipPartShape!$B:$B,0)),"-")</f>
        <v>-</v>
      </c>
      <c r="AB195" s="4"/>
      <c r="AC195" s="11" t="str">
        <f>IFERROR(INDEX(ShipPartShape!$A:$A,MATCH(AB195,ShipPartShape!$B:$B,0)),"-")</f>
        <v>-</v>
      </c>
      <c r="AD195" s="4"/>
      <c r="AE195" s="11" t="str">
        <f>IFERROR(INDEX(ShipPartShape!$A:$A,MATCH(AD195,ShipPartShape!$B:$B,0)),"-")</f>
        <v>-</v>
      </c>
      <c r="AF195" s="4"/>
      <c r="AG195" s="11" t="str">
        <f>IFERROR(INDEX(ShipPartShape!$A:$A,MATCH(AF195,ShipPartShape!$B:$B,0)),"-")</f>
        <v>-</v>
      </c>
      <c r="AH195" s="4"/>
      <c r="AI195" s="11" t="str">
        <f>IFERROR(INDEX(ShipPartShape!$A:$A,MATCH(AH195,ShipPartShape!$B:$B,0)),"-")</f>
        <v>-</v>
      </c>
      <c r="AJ195" s="11" t="s">
        <v>0</v>
      </c>
      <c r="AK195" s="11" t="s">
        <v>0</v>
      </c>
      <c r="AL195" s="11" t="s">
        <v>0</v>
      </c>
      <c r="AM195" s="11" t="s">
        <v>0</v>
      </c>
      <c r="AN195" s="11" t="s">
        <v>0</v>
      </c>
      <c r="AO195" s="11" t="s">
        <v>0</v>
      </c>
      <c r="AP195" s="11" t="s">
        <v>0</v>
      </c>
      <c r="AQ195" s="11" t="s">
        <v>0</v>
      </c>
      <c r="AR195" s="11" t="s">
        <v>0</v>
      </c>
      <c r="AS195" s="11" t="s">
        <v>0</v>
      </c>
      <c r="AT195" s="11" t="s">
        <v>0</v>
      </c>
      <c r="AU195" s="11" t="s">
        <v>545</v>
      </c>
      <c r="AV195" s="11" t="s">
        <v>0</v>
      </c>
      <c r="AW195" s="11">
        <v>47600005</v>
      </c>
      <c r="AX195" s="11" t="s">
        <v>0</v>
      </c>
    </row>
    <row r="196" spans="1:50" ht="15">
      <c r="A196" s="10">
        <f t="shared" si="2"/>
        <v>45000186</v>
      </c>
      <c r="B196" s="24" t="s">
        <v>1921</v>
      </c>
      <c r="C196" s="11" t="s">
        <v>1924</v>
      </c>
      <c r="D196" s="4" t="s">
        <v>1921</v>
      </c>
      <c r="E196" s="11">
        <v>500</v>
      </c>
      <c r="F196" s="11">
        <v>200</v>
      </c>
      <c r="G196" s="11" t="s">
        <v>0</v>
      </c>
      <c r="H196" s="11" t="s">
        <v>545</v>
      </c>
      <c r="I196" s="11">
        <f>IFERROR(INDEX(ShipPartShape!$A:$A,MATCH(D196,ShipPartShape!$B:$B,0)),"-")</f>
        <v>46000174</v>
      </c>
      <c r="J196" s="4" t="s">
        <v>165</v>
      </c>
      <c r="K196" s="11">
        <f>IFERROR(INDEX(ShipPartShape!$A:$A,MATCH(J196,ShipPartShape!$B:$B,0)),"-")</f>
        <v>46700002</v>
      </c>
      <c r="L196" s="4" t="s">
        <v>158</v>
      </c>
      <c r="M196" s="11">
        <f>IFERROR(INDEX(ShipPartShape!$A:$A,MATCH(L196,ShipPartShape!$B:$B,0)),"-")</f>
        <v>46550001</v>
      </c>
      <c r="N196" s="4" t="s">
        <v>69</v>
      </c>
      <c r="O196" s="11">
        <f>IFERROR(INDEX(ShipPartShape!$A:$A,MATCH(N196,ShipPartShape!$B:$B,0)),"-")</f>
        <v>46300001</v>
      </c>
      <c r="P196" s="4"/>
      <c r="Q196" s="11" t="str">
        <f>IFERROR(INDEX(ShipPartShape!$A:$A,MATCH(P196,ShipPartShape!$B:$B,0)),"-")</f>
        <v>-</v>
      </c>
      <c r="R196" s="4"/>
      <c r="S196" s="11" t="str">
        <f>IFERROR(INDEX(ShipPartShape!$A:$A,MATCH(R196,ShipPartShape!$B:$B,0)),"-")</f>
        <v>-</v>
      </c>
      <c r="T196" s="4"/>
      <c r="U196" s="11" t="str">
        <f>IFERROR(INDEX(ShipPartShape!$A:$A,MATCH(T196,ShipPartShape!$B:$B,0)),"-")</f>
        <v>-</v>
      </c>
      <c r="V196" s="4"/>
      <c r="W196" s="11" t="str">
        <f>IFERROR(INDEX(ShipPartShape!$A:$A,MATCH(V196,ShipPartShape!$B:$B,0)),"-")</f>
        <v>-</v>
      </c>
      <c r="X196" s="4"/>
      <c r="Y196" s="11" t="str">
        <f>IFERROR(INDEX(ShipPartShape!$A:$A,MATCH(X196,ShipPartShape!$B:$B,0)),"-")</f>
        <v>-</v>
      </c>
      <c r="Z196" s="4"/>
      <c r="AA196" s="11" t="str">
        <f>IFERROR(INDEX(ShipPartShape!$A:$A,MATCH(Z196,ShipPartShape!$B:$B,0)),"-")</f>
        <v>-</v>
      </c>
      <c r="AB196" s="4"/>
      <c r="AC196" s="11" t="str">
        <f>IFERROR(INDEX(ShipPartShape!$A:$A,MATCH(AB196,ShipPartShape!$B:$B,0)),"-")</f>
        <v>-</v>
      </c>
      <c r="AD196" s="4"/>
      <c r="AE196" s="11" t="str">
        <f>IFERROR(INDEX(ShipPartShape!$A:$A,MATCH(AD196,ShipPartShape!$B:$B,0)),"-")</f>
        <v>-</v>
      </c>
      <c r="AF196" s="4"/>
      <c r="AG196" s="11" t="str">
        <f>IFERROR(INDEX(ShipPartShape!$A:$A,MATCH(AF196,ShipPartShape!$B:$B,0)),"-")</f>
        <v>-</v>
      </c>
      <c r="AH196" s="4"/>
      <c r="AI196" s="11" t="str">
        <f>IFERROR(INDEX(ShipPartShape!$A:$A,MATCH(AH196,ShipPartShape!$B:$B,0)),"-")</f>
        <v>-</v>
      </c>
      <c r="AJ196" s="11" t="s">
        <v>0</v>
      </c>
      <c r="AK196" s="11" t="s">
        <v>0</v>
      </c>
      <c r="AL196" s="11" t="s">
        <v>0</v>
      </c>
      <c r="AM196" s="11" t="s">
        <v>0</v>
      </c>
      <c r="AN196" s="11" t="s">
        <v>0</v>
      </c>
      <c r="AO196" s="11" t="s">
        <v>0</v>
      </c>
      <c r="AP196" s="11" t="s">
        <v>0</v>
      </c>
      <c r="AQ196" s="11" t="s">
        <v>0</v>
      </c>
      <c r="AR196" s="11" t="s">
        <v>0</v>
      </c>
      <c r="AS196" s="11" t="s">
        <v>0</v>
      </c>
      <c r="AT196" s="11" t="s">
        <v>0</v>
      </c>
      <c r="AU196" s="11" t="s">
        <v>545</v>
      </c>
      <c r="AV196" s="11" t="s">
        <v>0</v>
      </c>
      <c r="AW196" s="11">
        <v>47600005</v>
      </c>
      <c r="AX196" s="11" t="s">
        <v>0</v>
      </c>
    </row>
    <row r="197" spans="1:50" ht="15">
      <c r="A197" s="10">
        <f t="shared" si="2"/>
        <v>45000187</v>
      </c>
      <c r="B197" s="22" t="s">
        <v>1950</v>
      </c>
      <c r="C197" s="11" t="s">
        <v>1949</v>
      </c>
      <c r="D197" s="4" t="s">
        <v>1946</v>
      </c>
      <c r="E197" s="11">
        <v>700</v>
      </c>
      <c r="F197" s="11">
        <v>150</v>
      </c>
      <c r="G197" s="11">
        <v>20</v>
      </c>
      <c r="H197" s="11">
        <v>-40</v>
      </c>
      <c r="I197" s="11">
        <f>IFERROR(INDEX(ShipPartShape!$A:$A,MATCH(D197,ShipPartShape!$B:$B,0)),"-")</f>
        <v>46000175</v>
      </c>
      <c r="J197" s="4" t="s">
        <v>1215</v>
      </c>
      <c r="K197" s="11">
        <f>IFERROR(INDEX(ShipPartShape!$A:$A,MATCH(J197,ShipPartShape!$B:$B,0)),"-")</f>
        <v>46700013</v>
      </c>
      <c r="L197" s="4" t="s">
        <v>69</v>
      </c>
      <c r="M197" s="11">
        <f>IFERROR(INDEX(ShipPartShape!$A:$A,MATCH(L197,ShipPartShape!$B:$B,0)),"-")</f>
        <v>46300001</v>
      </c>
      <c r="N197" s="4"/>
      <c r="O197" s="11" t="str">
        <f>IFERROR(INDEX(ShipPartShape!$A:$A,MATCH(N197,ShipPartShape!$B:$B,0)),"-")</f>
        <v>-</v>
      </c>
      <c r="P197" s="4"/>
      <c r="Q197" s="11" t="str">
        <f>IFERROR(INDEX(ShipPartShape!$A:$A,MATCH(P197,ShipPartShape!$B:$B,0)),"-")</f>
        <v>-</v>
      </c>
      <c r="R197" s="4"/>
      <c r="S197" s="11" t="str">
        <f>IFERROR(INDEX(ShipPartShape!$A:$A,MATCH(R197,ShipPartShape!$B:$B,0)),"-")</f>
        <v>-</v>
      </c>
      <c r="T197" s="4" t="s">
        <v>602</v>
      </c>
      <c r="U197" s="11">
        <f>IFERROR(INDEX(ShipPartShape!$A:$A,MATCH(T197,ShipPartShape!$B:$B,0)),"-")</f>
        <v>46600002</v>
      </c>
      <c r="V197" s="4" t="s">
        <v>610</v>
      </c>
      <c r="W197" s="11">
        <f>IFERROR(INDEX(ShipPartShape!$A:$A,MATCH(V197,ShipPartShape!$B:$B,0)),"-")</f>
        <v>46600006</v>
      </c>
      <c r="X197" s="4" t="s">
        <v>611</v>
      </c>
      <c r="Y197" s="11">
        <f>IFERROR(INDEX(ShipPartShape!$A:$A,MATCH(X197,ShipPartShape!$B:$B,0)),"-")</f>
        <v>46600010</v>
      </c>
      <c r="Z197" s="4" t="s">
        <v>609</v>
      </c>
      <c r="AA197" s="11">
        <f>IFERROR(INDEX(ShipPartShape!$A:$A,MATCH(Z197,ShipPartShape!$B:$B,0)),"-")</f>
        <v>46600011</v>
      </c>
      <c r="AB197" s="4" t="s">
        <v>604</v>
      </c>
      <c r="AC197" s="11">
        <f>IFERROR(INDEX(ShipPartShape!$A:$A,MATCH(AB197,ShipPartShape!$B:$B,0)),"-")</f>
        <v>46600005</v>
      </c>
      <c r="AD197" s="4"/>
      <c r="AE197" s="11" t="str">
        <f>IFERROR(INDEX(ShipPartShape!$A:$A,MATCH(AD197,ShipPartShape!$B:$B,0)),"-")</f>
        <v>-</v>
      </c>
      <c r="AF197" s="4"/>
      <c r="AG197" s="11" t="str">
        <f>IFERROR(INDEX(ShipPartShape!$A:$A,MATCH(AF197,ShipPartShape!$B:$B,0)),"-")</f>
        <v>-</v>
      </c>
      <c r="AH197" s="4"/>
      <c r="AI197" s="11" t="str">
        <f>IFERROR(INDEX(ShipPartShape!$A:$A,MATCH(AH197,ShipPartShape!$B:$B,0)),"-")</f>
        <v>-</v>
      </c>
      <c r="AJ197" s="11" t="s">
        <v>0</v>
      </c>
      <c r="AK197" s="11" t="s">
        <v>0</v>
      </c>
      <c r="AL197" s="11" t="s">
        <v>0</v>
      </c>
      <c r="AM197" s="11" t="s">
        <v>0</v>
      </c>
      <c r="AN197" s="11" t="s">
        <v>0</v>
      </c>
      <c r="AO197" s="11" t="s">
        <v>0</v>
      </c>
      <c r="AP197" s="11" t="s">
        <v>0</v>
      </c>
      <c r="AQ197" s="11" t="s">
        <v>0</v>
      </c>
      <c r="AR197" s="11" t="s">
        <v>0</v>
      </c>
      <c r="AS197" s="11" t="s">
        <v>0</v>
      </c>
      <c r="AT197" s="11" t="s">
        <v>0</v>
      </c>
      <c r="AU197" s="11">
        <v>47600018</v>
      </c>
      <c r="AV197" s="11" t="s">
        <v>0</v>
      </c>
      <c r="AW197" s="11" t="s">
        <v>0</v>
      </c>
      <c r="AX197" s="11" t="s">
        <v>0</v>
      </c>
    </row>
    <row r="198" spans="1:50" ht="15">
      <c r="A198" s="10">
        <f t="shared" si="2"/>
        <v>45000188</v>
      </c>
      <c r="B198" s="22" t="s">
        <v>1954</v>
      </c>
      <c r="C198" s="11" t="s">
        <v>1955</v>
      </c>
      <c r="D198" s="4" t="s">
        <v>1951</v>
      </c>
      <c r="E198" s="11">
        <v>700</v>
      </c>
      <c r="F198" s="11">
        <v>150</v>
      </c>
      <c r="G198" s="11">
        <v>20</v>
      </c>
      <c r="H198" s="11">
        <v>-40</v>
      </c>
      <c r="I198" s="11">
        <f>IFERROR(INDEX(ShipPartShape!$A:$A,MATCH(D198,ShipPartShape!$B:$B,0)),"-")</f>
        <v>46000176</v>
      </c>
      <c r="J198" s="4" t="s">
        <v>1213</v>
      </c>
      <c r="K198" s="11">
        <f>IFERROR(INDEX(ShipPartShape!$A:$A,MATCH(J198,ShipPartShape!$B:$B,0)),"-")</f>
        <v>46700010</v>
      </c>
      <c r="L198" s="4" t="s">
        <v>69</v>
      </c>
      <c r="M198" s="11">
        <f>IFERROR(INDEX(ShipPartShape!$A:$A,MATCH(L198,ShipPartShape!$B:$B,0)),"-")</f>
        <v>46300001</v>
      </c>
      <c r="N198" s="4"/>
      <c r="O198" s="11" t="str">
        <f>IFERROR(INDEX(ShipPartShape!$A:$A,MATCH(N198,ShipPartShape!$B:$B,0)),"-")</f>
        <v>-</v>
      </c>
      <c r="P198" s="4"/>
      <c r="Q198" s="11" t="str">
        <f>IFERROR(INDEX(ShipPartShape!$A:$A,MATCH(P198,ShipPartShape!$B:$B,0)),"-")</f>
        <v>-</v>
      </c>
      <c r="R198" s="4"/>
      <c r="S198" s="11" t="str">
        <f>IFERROR(INDEX(ShipPartShape!$A:$A,MATCH(R198,ShipPartShape!$B:$B,0)),"-")</f>
        <v>-</v>
      </c>
      <c r="T198" s="4" t="s">
        <v>602</v>
      </c>
      <c r="U198" s="11">
        <f>IFERROR(INDEX(ShipPartShape!$A:$A,MATCH(T198,ShipPartShape!$B:$B,0)),"-")</f>
        <v>46600002</v>
      </c>
      <c r="V198" s="4" t="s">
        <v>606</v>
      </c>
      <c r="W198" s="11">
        <f>IFERROR(INDEX(ShipPartShape!$A:$A,MATCH(V198,ShipPartShape!$B:$B,0)),"-")</f>
        <v>46600003</v>
      </c>
      <c r="X198" s="4" t="s">
        <v>604</v>
      </c>
      <c r="Y198" s="11">
        <f>IFERROR(INDEX(ShipPartShape!$A:$A,MATCH(X198,ShipPartShape!$B:$B,0)),"-")</f>
        <v>46600005</v>
      </c>
      <c r="Z198" s="4" t="s">
        <v>603</v>
      </c>
      <c r="AA198" s="11">
        <f>IFERROR(INDEX(ShipPartShape!$A:$A,MATCH(Z198,ShipPartShape!$B:$B,0)),"-")</f>
        <v>46600007</v>
      </c>
      <c r="AB198" s="4" t="s">
        <v>611</v>
      </c>
      <c r="AC198" s="11">
        <f>IFERROR(INDEX(ShipPartShape!$A:$A,MATCH(AB198,ShipPartShape!$B:$B,0)),"-")</f>
        <v>46600010</v>
      </c>
      <c r="AD198" s="4"/>
      <c r="AE198" s="11" t="str">
        <f>IFERROR(INDEX(ShipPartShape!$A:$A,MATCH(AD198,ShipPartShape!$B:$B,0)),"-")</f>
        <v>-</v>
      </c>
      <c r="AF198" s="4"/>
      <c r="AG198" s="11" t="str">
        <f>IFERROR(INDEX(ShipPartShape!$A:$A,MATCH(AF198,ShipPartShape!$B:$B,0)),"-")</f>
        <v>-</v>
      </c>
      <c r="AH198" s="4"/>
      <c r="AI198" s="11" t="str">
        <f>IFERROR(INDEX(ShipPartShape!$A:$A,MATCH(AH198,ShipPartShape!$B:$B,0)),"-")</f>
        <v>-</v>
      </c>
      <c r="AJ198" s="11" t="s">
        <v>0</v>
      </c>
      <c r="AK198" s="11" t="s">
        <v>0</v>
      </c>
      <c r="AL198" s="11" t="s">
        <v>0</v>
      </c>
      <c r="AM198" s="11" t="s">
        <v>0</v>
      </c>
      <c r="AN198" s="11" t="s">
        <v>0</v>
      </c>
      <c r="AO198" s="11" t="s">
        <v>0</v>
      </c>
      <c r="AP198" s="11" t="s">
        <v>0</v>
      </c>
      <c r="AQ198" s="11" t="s">
        <v>0</v>
      </c>
      <c r="AR198" s="11" t="s">
        <v>0</v>
      </c>
      <c r="AS198" s="11" t="s">
        <v>0</v>
      </c>
      <c r="AT198" s="11" t="s">
        <v>0</v>
      </c>
      <c r="AU198" s="11">
        <v>47600018</v>
      </c>
      <c r="AV198" s="11" t="s">
        <v>0</v>
      </c>
      <c r="AW198" s="11" t="s">
        <v>0</v>
      </c>
      <c r="AX198" s="11" t="s">
        <v>0</v>
      </c>
    </row>
    <row r="199" spans="1:50" ht="15">
      <c r="A199" s="10">
        <f t="shared" si="2"/>
        <v>45000189</v>
      </c>
      <c r="B199" s="22" t="s">
        <v>1959</v>
      </c>
      <c r="C199" s="11" t="s">
        <v>1960</v>
      </c>
      <c r="D199" s="4" t="s">
        <v>1956</v>
      </c>
      <c r="E199" s="11">
        <v>700</v>
      </c>
      <c r="F199" s="11">
        <v>150</v>
      </c>
      <c r="G199" s="11">
        <v>20</v>
      </c>
      <c r="H199" s="11">
        <v>-40</v>
      </c>
      <c r="I199" s="11">
        <f>IFERROR(INDEX(ShipPartShape!$A:$A,MATCH(D199,ShipPartShape!$B:$B,0)),"-")</f>
        <v>46000177</v>
      </c>
      <c r="J199" s="4" t="s">
        <v>1257</v>
      </c>
      <c r="K199" s="11">
        <f>IFERROR(INDEX(ShipPartShape!$A:$A,MATCH(J199,ShipPartShape!$B:$B,0)),"-")</f>
        <v>46700012</v>
      </c>
      <c r="L199" s="4" t="s">
        <v>69</v>
      </c>
      <c r="M199" s="11">
        <f>IFERROR(INDEX(ShipPartShape!$A:$A,MATCH(L199,ShipPartShape!$B:$B,0)),"-")</f>
        <v>46300001</v>
      </c>
      <c r="N199" s="4"/>
      <c r="O199" s="11" t="str">
        <f>IFERROR(INDEX(ShipPartShape!$A:$A,MATCH(N199,ShipPartShape!$B:$B,0)),"-")</f>
        <v>-</v>
      </c>
      <c r="P199" s="4"/>
      <c r="Q199" s="11" t="str">
        <f>IFERROR(INDEX(ShipPartShape!$A:$A,MATCH(P199,ShipPartShape!$B:$B,0)),"-")</f>
        <v>-</v>
      </c>
      <c r="R199" s="4"/>
      <c r="S199" s="11" t="str">
        <f>IFERROR(INDEX(ShipPartShape!$A:$A,MATCH(R199,ShipPartShape!$B:$B,0)),"-")</f>
        <v>-</v>
      </c>
      <c r="T199" s="4" t="s">
        <v>601</v>
      </c>
      <c r="U199" s="11">
        <f>IFERROR(INDEX(ShipPartShape!$A:$A,MATCH(T199,ShipPartShape!$B:$B,0)),"-")</f>
        <v>46600001</v>
      </c>
      <c r="V199" s="4" t="s">
        <v>602</v>
      </c>
      <c r="W199" s="11">
        <f>IFERROR(INDEX(ShipPartShape!$A:$A,MATCH(V199,ShipPartShape!$B:$B,0)),"-")</f>
        <v>46600002</v>
      </c>
      <c r="X199" s="4" t="s">
        <v>608</v>
      </c>
      <c r="Y199" s="11">
        <f>IFERROR(INDEX(ShipPartShape!$A:$A,MATCH(X199,ShipPartShape!$B:$B,0)),"-")</f>
        <v>46600004</v>
      </c>
      <c r="Z199" s="4" t="s">
        <v>603</v>
      </c>
      <c r="AA199" s="11">
        <f>IFERROR(INDEX(ShipPartShape!$A:$A,MATCH(Z199,ShipPartShape!$B:$B,0)),"-")</f>
        <v>46600007</v>
      </c>
      <c r="AB199" s="4" t="s">
        <v>606</v>
      </c>
      <c r="AC199" s="11">
        <f>IFERROR(INDEX(ShipPartShape!$A:$A,MATCH(AB199,ShipPartShape!$B:$B,0)),"-")</f>
        <v>46600003</v>
      </c>
      <c r="AD199" s="4" t="s">
        <v>609</v>
      </c>
      <c r="AE199" s="11">
        <f>IFERROR(INDEX(ShipPartShape!$A:$A,MATCH(AD199,ShipPartShape!$B:$B,0)),"-")</f>
        <v>46600011</v>
      </c>
      <c r="AF199" s="4"/>
      <c r="AG199" s="11" t="str">
        <f>IFERROR(INDEX(ShipPartShape!$A:$A,MATCH(AF199,ShipPartShape!$B:$B,0)),"-")</f>
        <v>-</v>
      </c>
      <c r="AH199" s="4"/>
      <c r="AI199" s="11" t="str">
        <f>IFERROR(INDEX(ShipPartShape!$A:$A,MATCH(AH199,ShipPartShape!$B:$B,0)),"-")</f>
        <v>-</v>
      </c>
      <c r="AJ199" s="11" t="s">
        <v>0</v>
      </c>
      <c r="AK199" s="11" t="s">
        <v>0</v>
      </c>
      <c r="AL199" s="11" t="s">
        <v>0</v>
      </c>
      <c r="AM199" s="11" t="s">
        <v>0</v>
      </c>
      <c r="AN199" s="11" t="s">
        <v>0</v>
      </c>
      <c r="AO199" s="11" t="s">
        <v>0</v>
      </c>
      <c r="AP199" s="11" t="s">
        <v>0</v>
      </c>
      <c r="AQ199" s="11" t="s">
        <v>0</v>
      </c>
      <c r="AR199" s="11" t="s">
        <v>0</v>
      </c>
      <c r="AS199" s="11" t="s">
        <v>0</v>
      </c>
      <c r="AT199" s="11" t="s">
        <v>0</v>
      </c>
      <c r="AU199" s="11">
        <v>47600018</v>
      </c>
      <c r="AV199" s="11" t="s">
        <v>0</v>
      </c>
      <c r="AW199" s="11" t="s">
        <v>0</v>
      </c>
      <c r="AX199" s="11" t="s">
        <v>0</v>
      </c>
    </row>
    <row r="200" spans="1:50" ht="15">
      <c r="A200" s="10">
        <f t="shared" si="2"/>
        <v>45000190</v>
      </c>
      <c r="B200" s="22" t="s">
        <v>1964</v>
      </c>
      <c r="C200" s="11" t="s">
        <v>1965</v>
      </c>
      <c r="D200" s="4" t="s">
        <v>1961</v>
      </c>
      <c r="E200" s="11">
        <v>700</v>
      </c>
      <c r="F200" s="11">
        <v>150</v>
      </c>
      <c r="G200" s="11">
        <v>20</v>
      </c>
      <c r="H200" s="11">
        <v>-40</v>
      </c>
      <c r="I200" s="11">
        <f>IFERROR(INDEX(ShipPartShape!$A:$A,MATCH(D200,ShipPartShape!$B:$B,0)),"-")</f>
        <v>46000178</v>
      </c>
      <c r="J200" s="4" t="s">
        <v>1215</v>
      </c>
      <c r="K200" s="11">
        <f>IFERROR(INDEX(ShipPartShape!$A:$A,MATCH(J200,ShipPartShape!$B:$B,0)),"-")</f>
        <v>46700013</v>
      </c>
      <c r="L200" s="4"/>
      <c r="M200" s="11" t="str">
        <f>IFERROR(INDEX(ShipPartShape!$A:$A,MATCH(L200,ShipPartShape!$B:$B,0)),"-")</f>
        <v>-</v>
      </c>
      <c r="N200" s="4"/>
      <c r="O200" s="11" t="str">
        <f>IFERROR(INDEX(ShipPartShape!$A:$A,MATCH(N200,ShipPartShape!$B:$B,0)),"-")</f>
        <v>-</v>
      </c>
      <c r="P200" s="4"/>
      <c r="Q200" s="11" t="str">
        <f>IFERROR(INDEX(ShipPartShape!$A:$A,MATCH(P200,ShipPartShape!$B:$B,0)),"-")</f>
        <v>-</v>
      </c>
      <c r="R200" s="4"/>
      <c r="S200" s="11" t="str">
        <f>IFERROR(INDEX(ShipPartShape!$A:$A,MATCH(R200,ShipPartShape!$B:$B,0)),"-")</f>
        <v>-</v>
      </c>
      <c r="T200" s="4" t="s">
        <v>601</v>
      </c>
      <c r="U200" s="11">
        <f>IFERROR(INDEX(ShipPartShape!$A:$A,MATCH(T200,ShipPartShape!$B:$B,0)),"-")</f>
        <v>46600001</v>
      </c>
      <c r="V200" s="4" t="s">
        <v>604</v>
      </c>
      <c r="W200" s="11">
        <f>IFERROR(INDEX(ShipPartShape!$A:$A,MATCH(V200,ShipPartShape!$B:$B,0)),"-")</f>
        <v>46600005</v>
      </c>
      <c r="X200" s="4" t="s">
        <v>603</v>
      </c>
      <c r="Y200" s="11">
        <f>IFERROR(INDEX(ShipPartShape!$A:$A,MATCH(X200,ShipPartShape!$B:$B,0)),"-")</f>
        <v>46600007</v>
      </c>
      <c r="Z200" s="4"/>
      <c r="AA200" s="11" t="str">
        <f>IFERROR(INDEX(ShipPartShape!$A:$A,MATCH(Z200,ShipPartShape!$B:$B,0)),"-")</f>
        <v>-</v>
      </c>
      <c r="AB200" s="4"/>
      <c r="AC200" s="11" t="str">
        <f>IFERROR(INDEX(ShipPartShape!$A:$A,MATCH(AB200,ShipPartShape!$B:$B,0)),"-")</f>
        <v>-</v>
      </c>
      <c r="AD200" s="4"/>
      <c r="AE200" s="11" t="str">
        <f>IFERROR(INDEX(ShipPartShape!$A:$A,MATCH(AD200,ShipPartShape!$B:$B,0)),"-")</f>
        <v>-</v>
      </c>
      <c r="AF200" s="4"/>
      <c r="AG200" s="11" t="str">
        <f>IFERROR(INDEX(ShipPartShape!$A:$A,MATCH(AF200,ShipPartShape!$B:$B,0)),"-")</f>
        <v>-</v>
      </c>
      <c r="AH200" s="4"/>
      <c r="AI200" s="11" t="str">
        <f>IFERROR(INDEX(ShipPartShape!$A:$A,MATCH(AH200,ShipPartShape!$B:$B,0)),"-")</f>
        <v>-</v>
      </c>
      <c r="AJ200" s="11" t="s">
        <v>0</v>
      </c>
      <c r="AK200" s="11" t="s">
        <v>0</v>
      </c>
      <c r="AL200" s="11" t="s">
        <v>0</v>
      </c>
      <c r="AM200" s="11" t="s">
        <v>0</v>
      </c>
      <c r="AN200" s="11" t="s">
        <v>0</v>
      </c>
      <c r="AO200" s="11" t="s">
        <v>0</v>
      </c>
      <c r="AP200" s="11" t="s">
        <v>0</v>
      </c>
      <c r="AQ200" s="11" t="s">
        <v>0</v>
      </c>
      <c r="AR200" s="11" t="s">
        <v>0</v>
      </c>
      <c r="AS200" s="11" t="s">
        <v>0</v>
      </c>
      <c r="AT200" s="11" t="s">
        <v>0</v>
      </c>
      <c r="AU200" s="11">
        <v>47600018</v>
      </c>
      <c r="AV200" s="11" t="s">
        <v>0</v>
      </c>
      <c r="AW200" s="11" t="s">
        <v>0</v>
      </c>
      <c r="AX200" s="11" t="s">
        <v>0</v>
      </c>
    </row>
    <row r="201" spans="1:50" ht="15">
      <c r="A201" s="10">
        <f t="shared" si="2"/>
        <v>45000191</v>
      </c>
      <c r="B201" s="22" t="s">
        <v>1966</v>
      </c>
      <c r="C201" s="11" t="s">
        <v>1971</v>
      </c>
      <c r="D201" s="4" t="s">
        <v>1972</v>
      </c>
      <c r="E201" s="11">
        <v>700</v>
      </c>
      <c r="F201" s="11">
        <v>150</v>
      </c>
      <c r="G201" s="11">
        <v>20</v>
      </c>
      <c r="H201" s="11">
        <v>-40</v>
      </c>
      <c r="I201" s="11">
        <f>IFERROR(INDEX(ShipPartShape!$A:$A,MATCH(D201,ShipPartShape!$B:$B,0)),"-")</f>
        <v>46000179</v>
      </c>
      <c r="J201" s="4" t="s">
        <v>1256</v>
      </c>
      <c r="K201" s="11">
        <f>IFERROR(INDEX(ShipPartShape!$A:$A,MATCH(J201,ShipPartShape!$B:$B,0)),"-")</f>
        <v>46700015</v>
      </c>
      <c r="L201" s="4"/>
      <c r="M201" s="11" t="str">
        <f>IFERROR(INDEX(ShipPartShape!$A:$A,MATCH(L201,ShipPartShape!$B:$B,0)),"-")</f>
        <v>-</v>
      </c>
      <c r="N201" s="4" t="s">
        <v>1968</v>
      </c>
      <c r="O201" s="11">
        <f>IFERROR(INDEX(ShipPartShape!$A:$A,MATCH(N201,ShipPartShape!$B:$B,0)),"-")</f>
        <v>46500030</v>
      </c>
      <c r="P201" s="4"/>
      <c r="Q201" s="11" t="str">
        <f>IFERROR(INDEX(ShipPartShape!$A:$A,MATCH(P201,ShipPartShape!$B:$B,0)),"-")</f>
        <v>-</v>
      </c>
      <c r="R201" s="4"/>
      <c r="S201" s="11" t="str">
        <f>IFERROR(INDEX(ShipPartShape!$A:$A,MATCH(R201,ShipPartShape!$B:$B,0)),"-")</f>
        <v>-</v>
      </c>
      <c r="T201" s="4"/>
      <c r="U201" s="11" t="str">
        <f>IFERROR(INDEX(ShipPartShape!$A:$A,MATCH(T201,ShipPartShape!$B:$B,0)),"-")</f>
        <v>-</v>
      </c>
      <c r="V201" s="4"/>
      <c r="W201" s="11" t="str">
        <f>IFERROR(INDEX(ShipPartShape!$A:$A,MATCH(V201,ShipPartShape!$B:$B,0)),"-")</f>
        <v>-</v>
      </c>
      <c r="X201" s="4"/>
      <c r="Y201" s="11" t="str">
        <f>IFERROR(INDEX(ShipPartShape!$A:$A,MATCH(X201,ShipPartShape!$B:$B,0)),"-")</f>
        <v>-</v>
      </c>
      <c r="Z201" s="4"/>
      <c r="AA201" s="11" t="str">
        <f>IFERROR(INDEX(ShipPartShape!$A:$A,MATCH(Z201,ShipPartShape!$B:$B,0)),"-")</f>
        <v>-</v>
      </c>
      <c r="AB201" s="4"/>
      <c r="AC201" s="11" t="str">
        <f>IFERROR(INDEX(ShipPartShape!$A:$A,MATCH(AB201,ShipPartShape!$B:$B,0)),"-")</f>
        <v>-</v>
      </c>
      <c r="AD201" s="4"/>
      <c r="AE201" s="11" t="str">
        <f>IFERROR(INDEX(ShipPartShape!$A:$A,MATCH(AD201,ShipPartShape!$B:$B,0)),"-")</f>
        <v>-</v>
      </c>
      <c r="AF201" s="4"/>
      <c r="AG201" s="11" t="str">
        <f>IFERROR(INDEX(ShipPartShape!$A:$A,MATCH(AF201,ShipPartShape!$B:$B,0)),"-")</f>
        <v>-</v>
      </c>
      <c r="AH201" s="4"/>
      <c r="AI201" s="11" t="str">
        <f>IFERROR(INDEX(ShipPartShape!$A:$A,MATCH(AH201,ShipPartShape!$B:$B,0)),"-")</f>
        <v>-</v>
      </c>
      <c r="AJ201" s="11" t="s">
        <v>0</v>
      </c>
      <c r="AK201" s="11" t="s">
        <v>0</v>
      </c>
      <c r="AL201" s="11" t="s">
        <v>0</v>
      </c>
      <c r="AM201" s="11" t="s">
        <v>0</v>
      </c>
      <c r="AN201" s="11" t="s">
        <v>0</v>
      </c>
      <c r="AO201" s="11" t="s">
        <v>0</v>
      </c>
      <c r="AP201" s="11" t="s">
        <v>0</v>
      </c>
      <c r="AQ201" s="11" t="s">
        <v>0</v>
      </c>
      <c r="AR201" s="11" t="s">
        <v>0</v>
      </c>
      <c r="AS201" s="11" t="s">
        <v>0</v>
      </c>
      <c r="AT201" s="11" t="s">
        <v>0</v>
      </c>
      <c r="AU201" s="11">
        <v>47600018</v>
      </c>
      <c r="AV201" s="11" t="s">
        <v>0</v>
      </c>
      <c r="AW201" s="11" t="s">
        <v>0</v>
      </c>
      <c r="AX201" s="11" t="s">
        <v>0</v>
      </c>
    </row>
    <row r="202" spans="1:50" ht="15">
      <c r="A202" s="10">
        <f t="shared" si="2"/>
        <v>45000192</v>
      </c>
      <c r="B202" s="22" t="s">
        <v>1977</v>
      </c>
      <c r="C202" s="11" t="s">
        <v>1978</v>
      </c>
      <c r="D202" s="4" t="s">
        <v>1974</v>
      </c>
      <c r="E202" s="11">
        <v>700</v>
      </c>
      <c r="F202" s="11">
        <v>150</v>
      </c>
      <c r="G202" s="11">
        <v>20</v>
      </c>
      <c r="H202" s="11">
        <v>-40</v>
      </c>
      <c r="I202" s="11">
        <f>IFERROR(INDEX(ShipPartShape!$A:$A,MATCH(D202,ShipPartShape!$B:$B,0)),"-")</f>
        <v>46000180</v>
      </c>
      <c r="J202" s="4" t="s">
        <v>1215</v>
      </c>
      <c r="K202" s="11">
        <f>IFERROR(INDEX(ShipPartShape!$A:$A,MATCH(J202,ShipPartShape!$B:$B,0)),"-")</f>
        <v>46700013</v>
      </c>
      <c r="L202" s="4" t="s">
        <v>69</v>
      </c>
      <c r="M202" s="11">
        <f>IFERROR(INDEX(ShipPartShape!$A:$A,MATCH(L202,ShipPartShape!$B:$B,0)),"-")</f>
        <v>46300001</v>
      </c>
      <c r="N202" s="4"/>
      <c r="O202" s="11" t="str">
        <f>IFERROR(INDEX(ShipPartShape!$A:$A,MATCH(N202,ShipPartShape!$B:$B,0)),"-")</f>
        <v>-</v>
      </c>
      <c r="P202" s="4"/>
      <c r="Q202" s="11" t="str">
        <f>IFERROR(INDEX(ShipPartShape!$A:$A,MATCH(P202,ShipPartShape!$B:$B,0)),"-")</f>
        <v>-</v>
      </c>
      <c r="R202" s="4"/>
      <c r="S202" s="11" t="str">
        <f>IFERROR(INDEX(ShipPartShape!$A:$A,MATCH(R202,ShipPartShape!$B:$B,0)),"-")</f>
        <v>-</v>
      </c>
      <c r="T202" s="4" t="s">
        <v>608</v>
      </c>
      <c r="U202" s="11">
        <f>IFERROR(INDEX(ShipPartShape!$A:$A,MATCH(T202,ShipPartShape!$B:$B,0)),"-")</f>
        <v>46600004</v>
      </c>
      <c r="V202" s="4" t="s">
        <v>604</v>
      </c>
      <c r="W202" s="11">
        <f>IFERROR(INDEX(ShipPartShape!$A:$A,MATCH(V202,ShipPartShape!$B:$B,0)),"-")</f>
        <v>46600005</v>
      </c>
      <c r="X202" s="4" t="s">
        <v>607</v>
      </c>
      <c r="Y202" s="11">
        <f>IFERROR(INDEX(ShipPartShape!$A:$A,MATCH(X202,ShipPartShape!$B:$B,0)),"-")</f>
        <v>46600008</v>
      </c>
      <c r="Z202" s="4" t="s">
        <v>611</v>
      </c>
      <c r="AA202" s="11">
        <f>IFERROR(INDEX(ShipPartShape!$A:$A,MATCH(Z202,ShipPartShape!$B:$B,0)),"-")</f>
        <v>46600010</v>
      </c>
      <c r="AB202" s="4" t="s">
        <v>609</v>
      </c>
      <c r="AC202" s="11">
        <f>IFERROR(INDEX(ShipPartShape!$A:$A,MATCH(AB202,ShipPartShape!$B:$B,0)),"-")</f>
        <v>46600011</v>
      </c>
      <c r="AD202" s="4"/>
      <c r="AE202" s="11" t="str">
        <f>IFERROR(INDEX(ShipPartShape!$A:$A,MATCH(AD202,ShipPartShape!$B:$B,0)),"-")</f>
        <v>-</v>
      </c>
      <c r="AF202" s="4"/>
      <c r="AG202" s="11" t="str">
        <f>IFERROR(INDEX(ShipPartShape!$A:$A,MATCH(AF202,ShipPartShape!$B:$B,0)),"-")</f>
        <v>-</v>
      </c>
      <c r="AH202" s="4"/>
      <c r="AI202" s="11" t="str">
        <f>IFERROR(INDEX(ShipPartShape!$A:$A,MATCH(AH202,ShipPartShape!$B:$B,0)),"-")</f>
        <v>-</v>
      </c>
      <c r="AJ202" s="11" t="s">
        <v>0</v>
      </c>
      <c r="AK202" s="11" t="s">
        <v>0</v>
      </c>
      <c r="AL202" s="11" t="s">
        <v>0</v>
      </c>
      <c r="AM202" s="11" t="s">
        <v>0</v>
      </c>
      <c r="AN202" s="11" t="s">
        <v>0</v>
      </c>
      <c r="AO202" s="11" t="s">
        <v>0</v>
      </c>
      <c r="AP202" s="11" t="s">
        <v>0</v>
      </c>
      <c r="AQ202" s="11" t="s">
        <v>0</v>
      </c>
      <c r="AR202" s="11" t="s">
        <v>0</v>
      </c>
      <c r="AS202" s="11" t="s">
        <v>0</v>
      </c>
      <c r="AT202" s="11" t="s">
        <v>0</v>
      </c>
      <c r="AU202" s="11">
        <v>47600018</v>
      </c>
      <c r="AV202" s="11" t="s">
        <v>0</v>
      </c>
      <c r="AW202" s="11" t="s">
        <v>0</v>
      </c>
      <c r="AX202" s="11" t="s">
        <v>0</v>
      </c>
    </row>
    <row r="203" spans="1:50" ht="15">
      <c r="A203" s="10">
        <f t="shared" si="2"/>
        <v>45000193</v>
      </c>
      <c r="B203" s="22" t="s">
        <v>1982</v>
      </c>
      <c r="C203" s="11" t="s">
        <v>1983</v>
      </c>
      <c r="D203" s="4" t="s">
        <v>1979</v>
      </c>
      <c r="E203" s="11">
        <v>700</v>
      </c>
      <c r="F203" s="11">
        <v>150</v>
      </c>
      <c r="G203" s="11">
        <v>20</v>
      </c>
      <c r="H203" s="11">
        <v>-40</v>
      </c>
      <c r="I203" s="11">
        <f>IFERROR(INDEX(ShipPartShape!$A:$A,MATCH(D203,ShipPartShape!$B:$B,0)),"-")</f>
        <v>46000181</v>
      </c>
      <c r="J203" s="4" t="s">
        <v>1257</v>
      </c>
      <c r="K203" s="11">
        <f>IFERROR(INDEX(ShipPartShape!$A:$A,MATCH(J203,ShipPartShape!$B:$B,0)),"-")</f>
        <v>46700012</v>
      </c>
      <c r="L203" s="4"/>
      <c r="M203" s="11" t="str">
        <f>IFERROR(INDEX(ShipPartShape!$A:$A,MATCH(L203,ShipPartShape!$B:$B,0)),"-")</f>
        <v>-</v>
      </c>
      <c r="N203" s="4"/>
      <c r="O203" s="11" t="str">
        <f>IFERROR(INDEX(ShipPartShape!$A:$A,MATCH(N203,ShipPartShape!$B:$B,0)),"-")</f>
        <v>-</v>
      </c>
      <c r="P203" s="4"/>
      <c r="Q203" s="11" t="str">
        <f>IFERROR(INDEX(ShipPartShape!$A:$A,MATCH(P203,ShipPartShape!$B:$B,0)),"-")</f>
        <v>-</v>
      </c>
      <c r="R203" s="4"/>
      <c r="S203" s="11" t="str">
        <f>IFERROR(INDEX(ShipPartShape!$A:$A,MATCH(R203,ShipPartShape!$B:$B,0)),"-")</f>
        <v>-</v>
      </c>
      <c r="T203" s="4" t="s">
        <v>602</v>
      </c>
      <c r="U203" s="11">
        <f>IFERROR(INDEX(ShipPartShape!$A:$A,MATCH(T203,ShipPartShape!$B:$B,0)),"-")</f>
        <v>46600002</v>
      </c>
      <c r="V203" s="4" t="s">
        <v>604</v>
      </c>
      <c r="W203" s="11">
        <f>IFERROR(INDEX(ShipPartShape!$A:$A,MATCH(V203,ShipPartShape!$B:$B,0)),"-")</f>
        <v>46600005</v>
      </c>
      <c r="X203" s="4" t="s">
        <v>611</v>
      </c>
      <c r="Y203" s="11">
        <f>IFERROR(INDEX(ShipPartShape!$A:$A,MATCH(X203,ShipPartShape!$B:$B,0)),"-")</f>
        <v>46600010</v>
      </c>
      <c r="Z203" s="4"/>
      <c r="AA203" s="11" t="str">
        <f>IFERROR(INDEX(ShipPartShape!$A:$A,MATCH(Z203,ShipPartShape!$B:$B,0)),"-")</f>
        <v>-</v>
      </c>
      <c r="AB203" s="4"/>
      <c r="AC203" s="11" t="str">
        <f>IFERROR(INDEX(ShipPartShape!$A:$A,MATCH(AB203,ShipPartShape!$B:$B,0)),"-")</f>
        <v>-</v>
      </c>
      <c r="AD203" s="4"/>
      <c r="AE203" s="11" t="str">
        <f>IFERROR(INDEX(ShipPartShape!$A:$A,MATCH(AD203,ShipPartShape!$B:$B,0)),"-")</f>
        <v>-</v>
      </c>
      <c r="AF203" s="4"/>
      <c r="AG203" s="11" t="str">
        <f>IFERROR(INDEX(ShipPartShape!$A:$A,MATCH(AF203,ShipPartShape!$B:$B,0)),"-")</f>
        <v>-</v>
      </c>
      <c r="AH203" s="4"/>
      <c r="AI203" s="11" t="str">
        <f>IFERROR(INDEX(ShipPartShape!$A:$A,MATCH(AH203,ShipPartShape!$B:$B,0)),"-")</f>
        <v>-</v>
      </c>
      <c r="AJ203" s="11" t="s">
        <v>0</v>
      </c>
      <c r="AK203" s="11" t="s">
        <v>0</v>
      </c>
      <c r="AL203" s="11" t="s">
        <v>0</v>
      </c>
      <c r="AM203" s="11" t="s">
        <v>0</v>
      </c>
      <c r="AN203" s="11" t="s">
        <v>0</v>
      </c>
      <c r="AO203" s="11" t="s">
        <v>0</v>
      </c>
      <c r="AP203" s="11" t="s">
        <v>0</v>
      </c>
      <c r="AQ203" s="11" t="s">
        <v>0</v>
      </c>
      <c r="AR203" s="11" t="s">
        <v>0</v>
      </c>
      <c r="AS203" s="11" t="s">
        <v>0</v>
      </c>
      <c r="AT203" s="11" t="s">
        <v>0</v>
      </c>
      <c r="AU203" s="11">
        <v>47600018</v>
      </c>
      <c r="AV203" s="11" t="s">
        <v>0</v>
      </c>
      <c r="AW203" s="11" t="s">
        <v>0</v>
      </c>
      <c r="AX203" s="11" t="s">
        <v>0</v>
      </c>
    </row>
    <row r="204" spans="1:50" ht="15">
      <c r="A204" s="10">
        <f t="shared" ref="A204:A241" si="3">A203+1</f>
        <v>45000194</v>
      </c>
      <c r="B204" s="22" t="s">
        <v>1990</v>
      </c>
      <c r="C204" s="11" t="s">
        <v>1991</v>
      </c>
      <c r="D204" s="4" t="s">
        <v>1984</v>
      </c>
      <c r="E204" s="11">
        <v>700</v>
      </c>
      <c r="F204" s="11">
        <v>150</v>
      </c>
      <c r="G204" s="11">
        <v>20</v>
      </c>
      <c r="H204" s="11">
        <v>-40</v>
      </c>
      <c r="I204" s="11">
        <f>IFERROR(INDEX(ShipPartShape!$A:$A,MATCH(D204,ShipPartShape!$B:$B,0)),"-")</f>
        <v>46000182</v>
      </c>
      <c r="J204" s="4" t="s">
        <v>1255</v>
      </c>
      <c r="K204" s="11">
        <f>IFERROR(INDEX(ShipPartShape!$A:$A,MATCH(J204,ShipPartShape!$B:$B,0)),"-")</f>
        <v>46700009</v>
      </c>
      <c r="L204" s="4" t="s">
        <v>69</v>
      </c>
      <c r="M204" s="11">
        <f>IFERROR(INDEX(ShipPartShape!$A:$A,MATCH(L204,ShipPartShape!$B:$B,0)),"-")</f>
        <v>46300001</v>
      </c>
      <c r="N204" s="4" t="s">
        <v>1987</v>
      </c>
      <c r="O204" s="11">
        <f>IFERROR(INDEX(ShipPartShape!$A:$A,MATCH(N204,ShipPartShape!$B:$B,0)),"-")</f>
        <v>46500031</v>
      </c>
      <c r="P204" s="4"/>
      <c r="Q204" s="11" t="str">
        <f>IFERROR(INDEX(ShipPartShape!$A:$A,MATCH(P204,ShipPartShape!$B:$B,0)),"-")</f>
        <v>-</v>
      </c>
      <c r="R204" s="4"/>
      <c r="S204" s="11" t="str">
        <f>IFERROR(INDEX(ShipPartShape!$A:$A,MATCH(R204,ShipPartShape!$B:$B,0)),"-")</f>
        <v>-</v>
      </c>
      <c r="T204" s="4"/>
      <c r="U204" s="11" t="str">
        <f>IFERROR(INDEX(ShipPartShape!$A:$A,MATCH(T204,ShipPartShape!$B:$B,0)),"-")</f>
        <v>-</v>
      </c>
      <c r="V204" s="4" t="s">
        <v>602</v>
      </c>
      <c r="W204" s="11">
        <f>IFERROR(INDEX(ShipPartShape!$A:$A,MATCH(V204,ShipPartShape!$B:$B,0)),"-")</f>
        <v>46600002</v>
      </c>
      <c r="X204" s="4" t="s">
        <v>606</v>
      </c>
      <c r="Y204" s="11">
        <f>IFERROR(INDEX(ShipPartShape!$A:$A,MATCH(X204,ShipPartShape!$B:$B,0)),"-")</f>
        <v>46600003</v>
      </c>
      <c r="Z204" s="4" t="s">
        <v>604</v>
      </c>
      <c r="AA204" s="11">
        <f>IFERROR(INDEX(ShipPartShape!$A:$A,MATCH(Z204,ShipPartShape!$B:$B,0)),"-")</f>
        <v>46600005</v>
      </c>
      <c r="AB204" s="4" t="s">
        <v>603</v>
      </c>
      <c r="AC204" s="11">
        <f>IFERROR(INDEX(ShipPartShape!$A:$A,MATCH(AB204,ShipPartShape!$B:$B,0)),"-")</f>
        <v>46600007</v>
      </c>
      <c r="AD204" s="4"/>
      <c r="AE204" s="11" t="str">
        <f>IFERROR(INDEX(ShipPartShape!$A:$A,MATCH(AD204,ShipPartShape!$B:$B,0)),"-")</f>
        <v>-</v>
      </c>
      <c r="AF204" s="4"/>
      <c r="AG204" s="11" t="str">
        <f>IFERROR(INDEX(ShipPartShape!$A:$A,MATCH(AF204,ShipPartShape!$B:$B,0)),"-")</f>
        <v>-</v>
      </c>
      <c r="AH204" s="4"/>
      <c r="AI204" s="11" t="str">
        <f>IFERROR(INDEX(ShipPartShape!$A:$A,MATCH(AH204,ShipPartShape!$B:$B,0)),"-")</f>
        <v>-</v>
      </c>
      <c r="AJ204" s="11" t="s">
        <v>0</v>
      </c>
      <c r="AK204" s="11" t="s">
        <v>0</v>
      </c>
      <c r="AL204" s="11" t="s">
        <v>0</v>
      </c>
      <c r="AM204" s="11" t="s">
        <v>0</v>
      </c>
      <c r="AN204" s="11" t="s">
        <v>0</v>
      </c>
      <c r="AO204" s="11" t="s">
        <v>0</v>
      </c>
      <c r="AP204" s="11" t="s">
        <v>0</v>
      </c>
      <c r="AQ204" s="11" t="s">
        <v>0</v>
      </c>
      <c r="AR204" s="11" t="s">
        <v>0</v>
      </c>
      <c r="AS204" s="11" t="s">
        <v>0</v>
      </c>
      <c r="AT204" s="11" t="s">
        <v>0</v>
      </c>
      <c r="AU204" s="11">
        <v>47600018</v>
      </c>
      <c r="AV204" s="11" t="s">
        <v>0</v>
      </c>
      <c r="AW204" s="11" t="s">
        <v>0</v>
      </c>
      <c r="AX204" s="11" t="s">
        <v>0</v>
      </c>
    </row>
    <row r="205" spans="1:50" ht="15">
      <c r="A205" s="10">
        <f t="shared" si="3"/>
        <v>45000195</v>
      </c>
      <c r="B205" s="22" t="s">
        <v>1999</v>
      </c>
      <c r="C205" s="11" t="s">
        <v>2000</v>
      </c>
      <c r="D205" s="4" t="s">
        <v>1996</v>
      </c>
      <c r="E205" s="11">
        <v>700</v>
      </c>
      <c r="F205" s="11">
        <v>150</v>
      </c>
      <c r="G205" s="11">
        <v>20</v>
      </c>
      <c r="H205" s="11">
        <v>-40</v>
      </c>
      <c r="I205" s="11">
        <f>IFERROR(INDEX(ShipPartShape!$A:$A,MATCH(D205,ShipPartShape!$B:$B,0)),"-")</f>
        <v>46000183</v>
      </c>
      <c r="J205" s="4" t="s">
        <v>1255</v>
      </c>
      <c r="K205" s="11">
        <f>IFERROR(INDEX(ShipPartShape!$A:$A,MATCH(J205,ShipPartShape!$B:$B,0)),"-")</f>
        <v>46700009</v>
      </c>
      <c r="L205" s="4" t="s">
        <v>69</v>
      </c>
      <c r="M205" s="11">
        <f>IFERROR(INDEX(ShipPartShape!$A:$A,MATCH(L205,ShipPartShape!$B:$B,0)),"-")</f>
        <v>46300001</v>
      </c>
      <c r="N205" s="4"/>
      <c r="O205" s="11" t="str">
        <f>IFERROR(INDEX(ShipPartShape!$A:$A,MATCH(N205,ShipPartShape!$B:$B,0)),"-")</f>
        <v>-</v>
      </c>
      <c r="P205" s="4"/>
      <c r="Q205" s="11" t="str">
        <f>IFERROR(INDEX(ShipPartShape!$A:$A,MATCH(P205,ShipPartShape!$B:$B,0)),"-")</f>
        <v>-</v>
      </c>
      <c r="R205" s="4"/>
      <c r="S205" s="11" t="str">
        <f>IFERROR(INDEX(ShipPartShape!$A:$A,MATCH(R205,ShipPartShape!$B:$B,0)),"-")</f>
        <v>-</v>
      </c>
      <c r="T205" s="4" t="s">
        <v>606</v>
      </c>
      <c r="U205" s="11">
        <f>IFERROR(INDEX(ShipPartShape!$A:$A,MATCH(T205,ShipPartShape!$B:$B,0)),"-")</f>
        <v>46600003</v>
      </c>
      <c r="V205" s="4" t="s">
        <v>608</v>
      </c>
      <c r="W205" s="11">
        <f>IFERROR(INDEX(ShipPartShape!$A:$A,MATCH(V205,ShipPartShape!$B:$B,0)),"-")</f>
        <v>46600004</v>
      </c>
      <c r="X205" s="4" t="s">
        <v>605</v>
      </c>
      <c r="Y205" s="11">
        <f>IFERROR(INDEX(ShipPartShape!$A:$A,MATCH(X205,ShipPartShape!$B:$B,0)),"-")</f>
        <v>46600009</v>
      </c>
      <c r="Z205" s="4"/>
      <c r="AA205" s="11" t="str">
        <f>IFERROR(INDEX(ShipPartShape!$A:$A,MATCH(Z205,ShipPartShape!$B:$B,0)),"-")</f>
        <v>-</v>
      </c>
      <c r="AB205" s="4"/>
      <c r="AC205" s="11" t="str">
        <f>IFERROR(INDEX(ShipPartShape!$A:$A,MATCH(AB205,ShipPartShape!$B:$B,0)),"-")</f>
        <v>-</v>
      </c>
      <c r="AD205" s="4"/>
      <c r="AE205" s="11" t="str">
        <f>IFERROR(INDEX(ShipPartShape!$A:$A,MATCH(AD205,ShipPartShape!$B:$B,0)),"-")</f>
        <v>-</v>
      </c>
      <c r="AF205" s="4"/>
      <c r="AG205" s="11" t="str">
        <f>IFERROR(INDEX(ShipPartShape!$A:$A,MATCH(AF205,ShipPartShape!$B:$B,0)),"-")</f>
        <v>-</v>
      </c>
      <c r="AH205" s="4"/>
      <c r="AI205" s="11" t="str">
        <f>IFERROR(INDEX(ShipPartShape!$A:$A,MATCH(AH205,ShipPartShape!$B:$B,0)),"-")</f>
        <v>-</v>
      </c>
      <c r="AJ205" s="11" t="s">
        <v>0</v>
      </c>
      <c r="AK205" s="11" t="s">
        <v>0</v>
      </c>
      <c r="AL205" s="11" t="s">
        <v>0</v>
      </c>
      <c r="AM205" s="11" t="s">
        <v>0</v>
      </c>
      <c r="AN205" s="11" t="s">
        <v>0</v>
      </c>
      <c r="AO205" s="11" t="s">
        <v>0</v>
      </c>
      <c r="AP205" s="11" t="s">
        <v>0</v>
      </c>
      <c r="AQ205" s="11" t="s">
        <v>0</v>
      </c>
      <c r="AR205" s="11" t="s">
        <v>0</v>
      </c>
      <c r="AS205" s="11" t="s">
        <v>0</v>
      </c>
      <c r="AT205" s="11" t="s">
        <v>0</v>
      </c>
      <c r="AU205" s="11">
        <v>47600017</v>
      </c>
      <c r="AV205" s="11" t="s">
        <v>0</v>
      </c>
      <c r="AW205" s="11" t="s">
        <v>0</v>
      </c>
      <c r="AX205" s="11" t="s">
        <v>0</v>
      </c>
    </row>
    <row r="206" spans="1:50" ht="15">
      <c r="A206" s="10">
        <f t="shared" si="3"/>
        <v>45000196</v>
      </c>
      <c r="B206" s="22" t="s">
        <v>2042</v>
      </c>
      <c r="C206" s="11" t="s">
        <v>2043</v>
      </c>
      <c r="D206" s="4" t="s">
        <v>2039</v>
      </c>
      <c r="E206" s="11">
        <v>700</v>
      </c>
      <c r="F206" s="11">
        <v>150</v>
      </c>
      <c r="G206" s="11">
        <v>20</v>
      </c>
      <c r="H206" s="11">
        <v>-40</v>
      </c>
      <c r="I206" s="11">
        <f>IFERROR(INDEX(ShipPartShape!$A:$A,MATCH(D206,ShipPartShape!$B:$B,0)),"-")</f>
        <v>46000184</v>
      </c>
      <c r="J206" s="4" t="s">
        <v>1213</v>
      </c>
      <c r="K206" s="11">
        <f>IFERROR(INDEX(ShipPartShape!$A:$A,MATCH(J206,ShipPartShape!$B:$B,0)),"-")</f>
        <v>46700010</v>
      </c>
      <c r="L206" s="4" t="s">
        <v>69</v>
      </c>
      <c r="M206" s="11">
        <f>IFERROR(INDEX(ShipPartShape!$A:$A,MATCH(L206,ShipPartShape!$B:$B,0)),"-")</f>
        <v>46300001</v>
      </c>
      <c r="N206" s="4"/>
      <c r="O206" s="11" t="str">
        <f>IFERROR(INDEX(ShipPartShape!$A:$A,MATCH(N206,ShipPartShape!$B:$B,0)),"-")</f>
        <v>-</v>
      </c>
      <c r="P206" s="4"/>
      <c r="Q206" s="11" t="str">
        <f>IFERROR(INDEX(ShipPartShape!$A:$A,MATCH(P206,ShipPartShape!$B:$B,0)),"-")</f>
        <v>-</v>
      </c>
      <c r="R206" s="4"/>
      <c r="S206" s="11" t="str">
        <f>IFERROR(INDEX(ShipPartShape!$A:$A,MATCH(R206,ShipPartShape!$B:$B,0)),"-")</f>
        <v>-</v>
      </c>
      <c r="T206" s="4"/>
      <c r="U206" s="11" t="str">
        <f>IFERROR(INDEX(ShipPartShape!$A:$A,MATCH(T206,ShipPartShape!$B:$B,0)),"-")</f>
        <v>-</v>
      </c>
      <c r="V206" s="4"/>
      <c r="W206" s="11" t="str">
        <f>IFERROR(INDEX(ShipPartShape!$A:$A,MATCH(V206,ShipPartShape!$B:$B,0)),"-")</f>
        <v>-</v>
      </c>
      <c r="X206" s="4"/>
      <c r="Y206" s="11" t="str">
        <f>IFERROR(INDEX(ShipPartShape!$A:$A,MATCH(X206,ShipPartShape!$B:$B,0)),"-")</f>
        <v>-</v>
      </c>
      <c r="Z206" s="4"/>
      <c r="AA206" s="11" t="str">
        <f>IFERROR(INDEX(ShipPartShape!$A:$A,MATCH(Z206,ShipPartShape!$B:$B,0)),"-")</f>
        <v>-</v>
      </c>
      <c r="AB206" s="4"/>
      <c r="AC206" s="11" t="str">
        <f>IFERROR(INDEX(ShipPartShape!$A:$A,MATCH(AB206,ShipPartShape!$B:$B,0)),"-")</f>
        <v>-</v>
      </c>
      <c r="AD206" s="4"/>
      <c r="AE206" s="11" t="str">
        <f>IFERROR(INDEX(ShipPartShape!$A:$A,MATCH(AD206,ShipPartShape!$B:$B,0)),"-")</f>
        <v>-</v>
      </c>
      <c r="AF206" s="4"/>
      <c r="AG206" s="11" t="str">
        <f>IFERROR(INDEX(ShipPartShape!$A:$A,MATCH(AF206,ShipPartShape!$B:$B,0)),"-")</f>
        <v>-</v>
      </c>
      <c r="AH206" s="4"/>
      <c r="AI206" s="11" t="str">
        <f>IFERROR(INDEX(ShipPartShape!$A:$A,MATCH(AH206,ShipPartShape!$B:$B,0)),"-")</f>
        <v>-</v>
      </c>
      <c r="AJ206" s="11" t="s">
        <v>0</v>
      </c>
      <c r="AK206" s="11" t="s">
        <v>0</v>
      </c>
      <c r="AL206" s="11" t="s">
        <v>0</v>
      </c>
      <c r="AM206" s="11" t="s">
        <v>0</v>
      </c>
      <c r="AN206" s="11" t="s">
        <v>0</v>
      </c>
      <c r="AO206" s="11" t="s">
        <v>0</v>
      </c>
      <c r="AP206" s="11" t="s">
        <v>0</v>
      </c>
      <c r="AQ206" s="11" t="s">
        <v>0</v>
      </c>
      <c r="AR206" s="11" t="s">
        <v>0</v>
      </c>
      <c r="AS206" s="11" t="s">
        <v>0</v>
      </c>
      <c r="AT206" s="11" t="s">
        <v>0</v>
      </c>
      <c r="AU206" s="11">
        <v>47600018</v>
      </c>
      <c r="AV206" s="11" t="s">
        <v>0</v>
      </c>
      <c r="AW206" s="11" t="s">
        <v>0</v>
      </c>
      <c r="AX206" s="11" t="s">
        <v>0</v>
      </c>
    </row>
    <row r="207" spans="1:50" ht="15">
      <c r="A207" s="10">
        <f t="shared" si="3"/>
        <v>45000197</v>
      </c>
      <c r="B207" s="22" t="s">
        <v>2103</v>
      </c>
      <c r="C207" s="11" t="s">
        <v>2104</v>
      </c>
      <c r="D207" s="4" t="s">
        <v>2100</v>
      </c>
      <c r="E207" s="11">
        <v>700</v>
      </c>
      <c r="F207" s="11">
        <v>150</v>
      </c>
      <c r="G207" s="11">
        <v>20</v>
      </c>
      <c r="H207" s="11">
        <v>-40</v>
      </c>
      <c r="I207" s="11">
        <f>IFERROR(INDEX(ShipPartShape!$A:$A,MATCH(D207,ShipPartShape!$B:$B,0)),"-")</f>
        <v>46000185</v>
      </c>
      <c r="J207" s="4" t="s">
        <v>1215</v>
      </c>
      <c r="K207" s="11">
        <f>IFERROR(INDEX(ShipPartShape!$A:$A,MATCH(J207,ShipPartShape!$B:$B,0)),"-")</f>
        <v>46700013</v>
      </c>
      <c r="L207" s="4"/>
      <c r="M207" s="11" t="str">
        <f>IFERROR(INDEX(ShipPartShape!$A:$A,MATCH(L207,ShipPartShape!$B:$B,0)),"-")</f>
        <v>-</v>
      </c>
      <c r="N207" s="4"/>
      <c r="O207" s="11" t="str">
        <f>IFERROR(INDEX(ShipPartShape!$A:$A,MATCH(N207,ShipPartShape!$B:$B,0)),"-")</f>
        <v>-</v>
      </c>
      <c r="P207" s="4"/>
      <c r="Q207" s="11" t="str">
        <f>IFERROR(INDEX(ShipPartShape!$A:$A,MATCH(P207,ShipPartShape!$B:$B,0)),"-")</f>
        <v>-</v>
      </c>
      <c r="R207" s="4"/>
      <c r="S207" s="11" t="str">
        <f>IFERROR(INDEX(ShipPartShape!$A:$A,MATCH(R207,ShipPartShape!$B:$B,0)),"-")</f>
        <v>-</v>
      </c>
      <c r="T207" s="4" t="s">
        <v>601</v>
      </c>
      <c r="U207" s="11">
        <f>IFERROR(INDEX(ShipPartShape!$A:$A,MATCH(T207,ShipPartShape!$B:$B,0)),"-")</f>
        <v>46600001</v>
      </c>
      <c r="V207" s="4" t="s">
        <v>604</v>
      </c>
      <c r="W207" s="11">
        <f>IFERROR(INDEX(ShipPartShape!$A:$A,MATCH(V207,ShipPartShape!$B:$B,0)),"-")</f>
        <v>46600005</v>
      </c>
      <c r="X207" s="4" t="s">
        <v>605</v>
      </c>
      <c r="Y207" s="11">
        <f>IFERROR(INDEX(ShipPartShape!$A:$A,MATCH(X207,ShipPartShape!$B:$B,0)),"-")</f>
        <v>46600009</v>
      </c>
      <c r="Z207" s="4" t="s">
        <v>611</v>
      </c>
      <c r="AA207" s="11">
        <f>IFERROR(INDEX(ShipPartShape!$A:$A,MATCH(Z207,ShipPartShape!$B:$B,0)),"-")</f>
        <v>46600010</v>
      </c>
      <c r="AB207" s="4"/>
      <c r="AC207" s="11" t="str">
        <f>IFERROR(INDEX(ShipPartShape!$A:$A,MATCH(AB207,ShipPartShape!$B:$B,0)),"-")</f>
        <v>-</v>
      </c>
      <c r="AD207" s="4"/>
      <c r="AE207" s="11" t="str">
        <f>IFERROR(INDEX(ShipPartShape!$A:$A,MATCH(AD207,ShipPartShape!$B:$B,0)),"-")</f>
        <v>-</v>
      </c>
      <c r="AF207" s="4"/>
      <c r="AG207" s="11" t="str">
        <f>IFERROR(INDEX(ShipPartShape!$A:$A,MATCH(AF207,ShipPartShape!$B:$B,0)),"-")</f>
        <v>-</v>
      </c>
      <c r="AH207" s="4"/>
      <c r="AI207" s="11" t="str">
        <f>IFERROR(INDEX(ShipPartShape!$A:$A,MATCH(AH207,ShipPartShape!$B:$B,0)),"-")</f>
        <v>-</v>
      </c>
      <c r="AJ207" s="11" t="s">
        <v>0</v>
      </c>
      <c r="AK207" s="11" t="s">
        <v>0</v>
      </c>
      <c r="AL207" s="11" t="s">
        <v>0</v>
      </c>
      <c r="AM207" s="11" t="s">
        <v>0</v>
      </c>
      <c r="AN207" s="11" t="s">
        <v>0</v>
      </c>
      <c r="AO207" s="11" t="s">
        <v>0</v>
      </c>
      <c r="AP207" s="11" t="s">
        <v>0</v>
      </c>
      <c r="AQ207" s="11" t="s">
        <v>0</v>
      </c>
      <c r="AR207" s="11" t="s">
        <v>0</v>
      </c>
      <c r="AS207" s="11" t="s">
        <v>0</v>
      </c>
      <c r="AT207" s="11" t="s">
        <v>0</v>
      </c>
      <c r="AU207" s="11">
        <v>47600018</v>
      </c>
      <c r="AV207" s="11" t="s">
        <v>0</v>
      </c>
      <c r="AW207" s="11" t="s">
        <v>0</v>
      </c>
      <c r="AX207" s="11" t="s">
        <v>0</v>
      </c>
    </row>
    <row r="208" spans="1:50" ht="15">
      <c r="A208" s="10">
        <f t="shared" si="3"/>
        <v>45000198</v>
      </c>
      <c r="B208" s="22" t="s">
        <v>2108</v>
      </c>
      <c r="C208" s="11" t="s">
        <v>2109</v>
      </c>
      <c r="D208" s="4" t="s">
        <v>2106</v>
      </c>
      <c r="E208" s="11">
        <v>700</v>
      </c>
      <c r="F208" s="11">
        <v>150</v>
      </c>
      <c r="G208" s="11">
        <v>20</v>
      </c>
      <c r="H208" s="11">
        <v>-40</v>
      </c>
      <c r="I208" s="11">
        <f>IFERROR(INDEX(ShipPartShape!$A:$A,MATCH(D208,ShipPartShape!$B:$B,0)),"-")</f>
        <v>46000186</v>
      </c>
      <c r="J208" s="4" t="s">
        <v>1215</v>
      </c>
      <c r="K208" s="11">
        <f>IFERROR(INDEX(ShipPartShape!$A:$A,MATCH(J208,ShipPartShape!$B:$B,0)),"-")</f>
        <v>46700013</v>
      </c>
      <c r="L208" s="4"/>
      <c r="M208" s="11" t="str">
        <f>IFERROR(INDEX(ShipPartShape!$A:$A,MATCH(L208,ShipPartShape!$B:$B,0)),"-")</f>
        <v>-</v>
      </c>
      <c r="N208" s="4"/>
      <c r="O208" s="11" t="str">
        <f>IFERROR(INDEX(ShipPartShape!$A:$A,MATCH(N208,ShipPartShape!$B:$B,0)),"-")</f>
        <v>-</v>
      </c>
      <c r="P208" s="4"/>
      <c r="Q208" s="11" t="str">
        <f>IFERROR(INDEX(ShipPartShape!$A:$A,MATCH(P208,ShipPartShape!$B:$B,0)),"-")</f>
        <v>-</v>
      </c>
      <c r="R208" s="4"/>
      <c r="S208" s="11" t="str">
        <f>IFERROR(INDEX(ShipPartShape!$A:$A,MATCH(R208,ShipPartShape!$B:$B,0)),"-")</f>
        <v>-</v>
      </c>
      <c r="T208" s="4" t="s">
        <v>601</v>
      </c>
      <c r="U208" s="11">
        <f>IFERROR(INDEX(ShipPartShape!$A:$A,MATCH(T208,ShipPartShape!$B:$B,0)),"-")</f>
        <v>46600001</v>
      </c>
      <c r="V208" s="4" t="s">
        <v>602</v>
      </c>
      <c r="W208" s="11">
        <f>IFERROR(INDEX(ShipPartShape!$A:$A,MATCH(V208,ShipPartShape!$B:$B,0)),"-")</f>
        <v>46600002</v>
      </c>
      <c r="X208" s="4" t="s">
        <v>606</v>
      </c>
      <c r="Y208" s="11">
        <f>IFERROR(INDEX(ShipPartShape!$A:$A,MATCH(X208,ShipPartShape!$B:$B,0)),"-")</f>
        <v>46600003</v>
      </c>
      <c r="Z208" s="4" t="s">
        <v>603</v>
      </c>
      <c r="AA208" s="11">
        <f>IFERROR(INDEX(ShipPartShape!$A:$A,MATCH(Z208,ShipPartShape!$B:$B,0)),"-")</f>
        <v>46600007</v>
      </c>
      <c r="AB208" s="4" t="s">
        <v>605</v>
      </c>
      <c r="AC208" s="11">
        <f>IFERROR(INDEX(ShipPartShape!$A:$A,MATCH(AB208,ShipPartShape!$B:$B,0)),"-")</f>
        <v>46600009</v>
      </c>
      <c r="AD208" s="4"/>
      <c r="AE208" s="11" t="str">
        <f>IFERROR(INDEX(ShipPartShape!$A:$A,MATCH(AD208,ShipPartShape!$B:$B,0)),"-")</f>
        <v>-</v>
      </c>
      <c r="AF208" s="4"/>
      <c r="AG208" s="11" t="str">
        <f>IFERROR(INDEX(ShipPartShape!$A:$A,MATCH(AF208,ShipPartShape!$B:$B,0)),"-")</f>
        <v>-</v>
      </c>
      <c r="AH208" s="4"/>
      <c r="AI208" s="11" t="str">
        <f>IFERROR(INDEX(ShipPartShape!$A:$A,MATCH(AH208,ShipPartShape!$B:$B,0)),"-")</f>
        <v>-</v>
      </c>
      <c r="AJ208" s="11" t="s">
        <v>0</v>
      </c>
      <c r="AK208" s="11" t="s">
        <v>0</v>
      </c>
      <c r="AL208" s="11" t="s">
        <v>0</v>
      </c>
      <c r="AM208" s="11" t="s">
        <v>0</v>
      </c>
      <c r="AN208" s="11" t="s">
        <v>0</v>
      </c>
      <c r="AO208" s="11" t="s">
        <v>0</v>
      </c>
      <c r="AP208" s="11" t="s">
        <v>0</v>
      </c>
      <c r="AQ208" s="11" t="s">
        <v>0</v>
      </c>
      <c r="AR208" s="11" t="s">
        <v>0</v>
      </c>
      <c r="AS208" s="11" t="s">
        <v>0</v>
      </c>
      <c r="AT208" s="11" t="s">
        <v>0</v>
      </c>
      <c r="AU208" s="11">
        <v>47600018</v>
      </c>
      <c r="AV208" s="11" t="s">
        <v>0</v>
      </c>
      <c r="AW208" s="11" t="s">
        <v>0</v>
      </c>
      <c r="AX208" s="11" t="s">
        <v>0</v>
      </c>
    </row>
    <row r="209" spans="1:50" ht="15">
      <c r="A209" s="10">
        <f t="shared" si="3"/>
        <v>45000199</v>
      </c>
      <c r="B209" s="22" t="s">
        <v>2113</v>
      </c>
      <c r="C209" s="11" t="s">
        <v>2114</v>
      </c>
      <c r="D209" s="4" t="s">
        <v>2110</v>
      </c>
      <c r="E209" s="11">
        <v>700</v>
      </c>
      <c r="F209" s="11">
        <v>150</v>
      </c>
      <c r="G209" s="11">
        <v>20</v>
      </c>
      <c r="H209" s="11">
        <v>-40</v>
      </c>
      <c r="I209" s="11">
        <f>IFERROR(INDEX(ShipPartShape!$A:$A,MATCH(D209,ShipPartShape!$B:$B,0)),"-")</f>
        <v>46000187</v>
      </c>
      <c r="J209" s="4" t="s">
        <v>1258</v>
      </c>
      <c r="K209" s="11">
        <f>IFERROR(INDEX(ShipPartShape!$A:$A,MATCH(J209,ShipPartShape!$B:$B,0)),"-")</f>
        <v>46700004</v>
      </c>
      <c r="L209" s="4" t="s">
        <v>69</v>
      </c>
      <c r="M209" s="11">
        <f>IFERROR(INDEX(ShipPartShape!$A:$A,MATCH(L209,ShipPartShape!$B:$B,0)),"-")</f>
        <v>46300001</v>
      </c>
      <c r="N209" s="4" t="s">
        <v>3372</v>
      </c>
      <c r="O209" s="11">
        <f>IFERROR(INDEX(ShipPartShape!$A:$A,MATCH(N209,ShipPartShape!$B:$B,0)),"-")</f>
        <v>46500055</v>
      </c>
      <c r="P209" s="4"/>
      <c r="Q209" s="11" t="str">
        <f>IFERROR(INDEX(ShipPartShape!$A:$A,MATCH(P209,ShipPartShape!$B:$B,0)),"-")</f>
        <v>-</v>
      </c>
      <c r="R209" s="4"/>
      <c r="S209" s="11" t="str">
        <f>IFERROR(INDEX(ShipPartShape!$A:$A,MATCH(R209,ShipPartShape!$B:$B,0)),"-")</f>
        <v>-</v>
      </c>
      <c r="T209" s="4"/>
      <c r="U209" s="11" t="str">
        <f>IFERROR(INDEX(ShipPartShape!$A:$A,MATCH(T209,ShipPartShape!$B:$B,0)),"-")</f>
        <v>-</v>
      </c>
      <c r="V209" s="4"/>
      <c r="W209" s="11" t="str">
        <f>IFERROR(INDEX(ShipPartShape!$A:$A,MATCH(V209,ShipPartShape!$B:$B,0)),"-")</f>
        <v>-</v>
      </c>
      <c r="X209" s="4"/>
      <c r="Y209" s="11" t="str">
        <f>IFERROR(INDEX(ShipPartShape!$A:$A,MATCH(X209,ShipPartShape!$B:$B,0)),"-")</f>
        <v>-</v>
      </c>
      <c r="Z209" s="4"/>
      <c r="AA209" s="11" t="str">
        <f>IFERROR(INDEX(ShipPartShape!$A:$A,MATCH(Z209,ShipPartShape!$B:$B,0)),"-")</f>
        <v>-</v>
      </c>
      <c r="AB209" s="4"/>
      <c r="AC209" s="11" t="str">
        <f>IFERROR(INDEX(ShipPartShape!$A:$A,MATCH(AB209,ShipPartShape!$B:$B,0)),"-")</f>
        <v>-</v>
      </c>
      <c r="AD209" s="4"/>
      <c r="AE209" s="11" t="str">
        <f>IFERROR(INDEX(ShipPartShape!$A:$A,MATCH(AD209,ShipPartShape!$B:$B,0)),"-")</f>
        <v>-</v>
      </c>
      <c r="AF209" s="4"/>
      <c r="AG209" s="11" t="str">
        <f>IFERROR(INDEX(ShipPartShape!$A:$A,MATCH(AF209,ShipPartShape!$B:$B,0)),"-")</f>
        <v>-</v>
      </c>
      <c r="AH209" s="4"/>
      <c r="AI209" s="11" t="str">
        <f>IFERROR(INDEX(ShipPartShape!$A:$A,MATCH(AH209,ShipPartShape!$B:$B,0)),"-")</f>
        <v>-</v>
      </c>
      <c r="AJ209" s="11" t="s">
        <v>0</v>
      </c>
      <c r="AK209" s="11" t="s">
        <v>0</v>
      </c>
      <c r="AL209" s="11" t="s">
        <v>0</v>
      </c>
      <c r="AM209" s="11" t="s">
        <v>0</v>
      </c>
      <c r="AN209" s="11" t="s">
        <v>0</v>
      </c>
      <c r="AO209" s="11" t="s">
        <v>0</v>
      </c>
      <c r="AP209" s="11" t="s">
        <v>0</v>
      </c>
      <c r="AQ209" s="11" t="s">
        <v>0</v>
      </c>
      <c r="AR209" s="11" t="s">
        <v>0</v>
      </c>
      <c r="AS209" s="11" t="s">
        <v>0</v>
      </c>
      <c r="AT209" s="11" t="s">
        <v>0</v>
      </c>
      <c r="AU209" s="11">
        <v>47600018</v>
      </c>
      <c r="AV209" s="11" t="s">
        <v>0</v>
      </c>
      <c r="AW209" s="11" t="s">
        <v>0</v>
      </c>
      <c r="AX209" s="11" t="s">
        <v>0</v>
      </c>
    </row>
    <row r="210" spans="1:50" ht="15">
      <c r="A210" s="10">
        <f t="shared" si="3"/>
        <v>45000200</v>
      </c>
      <c r="B210" s="23" t="s">
        <v>2120</v>
      </c>
      <c r="C210" s="11" t="s">
        <v>1871</v>
      </c>
      <c r="D210" s="4" t="s">
        <v>2119</v>
      </c>
      <c r="E210" s="11">
        <v>700</v>
      </c>
      <c r="F210" s="11">
        <v>100</v>
      </c>
      <c r="G210" s="11">
        <v>20</v>
      </c>
      <c r="H210" s="11">
        <v>-40</v>
      </c>
      <c r="I210" s="11">
        <f>IFERROR(INDEX(ShipPartShape!$A:$A,MATCH(D210,ShipPartShape!$B:$B,0)),"-")</f>
        <v>46000188</v>
      </c>
      <c r="J210" s="4" t="s">
        <v>1215</v>
      </c>
      <c r="K210" s="11">
        <f>IFERROR(INDEX(ShipPartShape!$A:$A,MATCH(J210,ShipPartShape!$B:$B,0)),"-")</f>
        <v>46700013</v>
      </c>
      <c r="L210" s="4" t="s">
        <v>2117</v>
      </c>
      <c r="M210" s="11">
        <f>IFERROR(INDEX(ShipPartShape!$A:$A,MATCH(L210,ShipPartShape!$B:$B,0)),"-")</f>
        <v>46300003</v>
      </c>
      <c r="N210" s="4" t="s">
        <v>1749</v>
      </c>
      <c r="O210" s="11">
        <f>IFERROR(INDEX(ShipPartShape!$A:$A,MATCH(N210,ShipPartShape!$B:$B,0)),"-")</f>
        <v>46100094</v>
      </c>
      <c r="P210" s="4" t="s">
        <v>2116</v>
      </c>
      <c r="Q210" s="11">
        <f>IFERROR(INDEX(ShipPartShape!$A:$A,MATCH(P210,ShipPartShape!$B:$B,0)),"-")</f>
        <v>46200032</v>
      </c>
      <c r="R210" s="4" t="s">
        <v>2118</v>
      </c>
      <c r="S210" s="11">
        <f>IFERROR(INDEX(ShipPartShape!$A:$A,MATCH(R210,ShipPartShape!$B:$B,0)),"-")</f>
        <v>46400005</v>
      </c>
      <c r="T210" s="4" t="s">
        <v>601</v>
      </c>
      <c r="U210" s="11">
        <f>IFERROR(INDEX(ShipPartShape!$A:$A,MATCH(T210,ShipPartShape!$B:$B,0)),"-")</f>
        <v>46600001</v>
      </c>
      <c r="V210" s="4" t="s">
        <v>608</v>
      </c>
      <c r="W210" s="11">
        <f>IFERROR(INDEX(ShipPartShape!$A:$A,MATCH(V210,ShipPartShape!$B:$B,0)),"-")</f>
        <v>46600004</v>
      </c>
      <c r="X210" s="4" t="s">
        <v>604</v>
      </c>
      <c r="Y210" s="11">
        <f>IFERROR(INDEX(ShipPartShape!$A:$A,MATCH(X210,ShipPartShape!$B:$B,0)),"-")</f>
        <v>46600005</v>
      </c>
      <c r="Z210" s="4" t="s">
        <v>610</v>
      </c>
      <c r="AA210" s="11">
        <f>IFERROR(INDEX(ShipPartShape!$A:$A,MATCH(Z210,ShipPartShape!$B:$B,0)),"-")</f>
        <v>46600006</v>
      </c>
      <c r="AB210" s="4" t="s">
        <v>605</v>
      </c>
      <c r="AC210" s="11">
        <f>IFERROR(INDEX(ShipPartShape!$A:$A,MATCH(AB210,ShipPartShape!$B:$B,0)),"-")</f>
        <v>46600009</v>
      </c>
      <c r="AD210" s="4"/>
      <c r="AE210" s="11" t="str">
        <f>IFERROR(INDEX(ShipPartShape!$A:$A,MATCH(AD210,ShipPartShape!$B:$B,0)),"-")</f>
        <v>-</v>
      </c>
      <c r="AF210" s="4"/>
      <c r="AG210" s="11" t="str">
        <f>IFERROR(INDEX(ShipPartShape!$A:$A,MATCH(AF210,ShipPartShape!$B:$B,0)),"-")</f>
        <v>-</v>
      </c>
      <c r="AH210" s="4"/>
      <c r="AI210" s="11" t="str">
        <f>IFERROR(INDEX(ShipPartShape!$A:$A,MATCH(AH210,ShipPartShape!$B:$B,0)),"-")</f>
        <v>-</v>
      </c>
      <c r="AJ210" s="11" t="s">
        <v>0</v>
      </c>
      <c r="AK210" s="11" t="s">
        <v>0</v>
      </c>
      <c r="AL210" s="11" t="s">
        <v>0</v>
      </c>
      <c r="AM210" s="11" t="s">
        <v>0</v>
      </c>
      <c r="AN210" s="11" t="s">
        <v>0</v>
      </c>
      <c r="AO210" s="11" t="s">
        <v>0</v>
      </c>
      <c r="AP210" s="11" t="s">
        <v>0</v>
      </c>
      <c r="AQ210" s="11" t="s">
        <v>0</v>
      </c>
      <c r="AR210" s="11" t="s">
        <v>0</v>
      </c>
      <c r="AS210" s="11" t="s">
        <v>0</v>
      </c>
      <c r="AT210" s="11" t="s">
        <v>0</v>
      </c>
      <c r="AU210" s="11">
        <v>47600017</v>
      </c>
      <c r="AV210" s="11" t="s">
        <v>0</v>
      </c>
      <c r="AW210" s="11" t="s">
        <v>0</v>
      </c>
      <c r="AX210" s="11" t="s">
        <v>0</v>
      </c>
    </row>
    <row r="211" spans="1:50" ht="15">
      <c r="A211" s="10">
        <f t="shared" si="3"/>
        <v>45000201</v>
      </c>
      <c r="B211" s="24" t="s">
        <v>2124</v>
      </c>
      <c r="C211" s="11" t="s">
        <v>2122</v>
      </c>
      <c r="D211" s="4" t="s">
        <v>2123</v>
      </c>
      <c r="E211" s="11">
        <v>700</v>
      </c>
      <c r="F211" s="11">
        <v>100</v>
      </c>
      <c r="G211" s="11" t="s">
        <v>0</v>
      </c>
      <c r="H211" s="11" t="s">
        <v>545</v>
      </c>
      <c r="I211" s="11">
        <f>IFERROR(INDEX(ShipPartShape!$A:$A,MATCH(D211,ShipPartShape!$B:$B,0)),"-")</f>
        <v>46000189</v>
      </c>
      <c r="J211" s="4" t="s">
        <v>70</v>
      </c>
      <c r="K211" s="11">
        <f>IFERROR(INDEX(ShipPartShape!$A:$A,MATCH(J211,ShipPartShape!$B:$B,0)),"-")</f>
        <v>46700001</v>
      </c>
      <c r="L211" s="4" t="s">
        <v>369</v>
      </c>
      <c r="M211" s="11">
        <f>IFERROR(INDEX(ShipPartShape!$A:$A,MATCH(L211,ShipPartShape!$B:$B,0)),"-")</f>
        <v>46200005</v>
      </c>
      <c r="N211" s="4" t="s">
        <v>2121</v>
      </c>
      <c r="O211" s="11">
        <f>IFERROR(INDEX(ShipPartShape!$A:$A,MATCH(N211,ShipPartShape!$B:$B,0)),"-")</f>
        <v>46100005</v>
      </c>
      <c r="P211" s="4"/>
      <c r="Q211" s="11" t="str">
        <f>IFERROR(INDEX(ShipPartShape!$A:$A,MATCH(P211,ShipPartShape!$B:$B,0)),"-")</f>
        <v>-</v>
      </c>
      <c r="R211" s="4"/>
      <c r="S211" s="11" t="str">
        <f>IFERROR(INDEX(ShipPartShape!$A:$A,MATCH(R211,ShipPartShape!$B:$B,0)),"-")</f>
        <v>-</v>
      </c>
      <c r="T211" s="4"/>
      <c r="U211" s="11" t="str">
        <f>IFERROR(INDEX(ShipPartShape!$A:$A,MATCH(T211,ShipPartShape!$B:$B,0)),"-")</f>
        <v>-</v>
      </c>
      <c r="V211" s="4"/>
      <c r="W211" s="11" t="str">
        <f>IFERROR(INDEX(ShipPartShape!$A:$A,MATCH(V211,ShipPartShape!$B:$B,0)),"-")</f>
        <v>-</v>
      </c>
      <c r="X211" s="4"/>
      <c r="Y211" s="11" t="str">
        <f>IFERROR(INDEX(ShipPartShape!$A:$A,MATCH(X211,ShipPartShape!$B:$B,0)),"-")</f>
        <v>-</v>
      </c>
      <c r="Z211" s="4"/>
      <c r="AA211" s="11" t="str">
        <f>IFERROR(INDEX(ShipPartShape!$A:$A,MATCH(Z211,ShipPartShape!$B:$B,0)),"-")</f>
        <v>-</v>
      </c>
      <c r="AB211" s="4"/>
      <c r="AC211" s="11" t="str">
        <f>IFERROR(INDEX(ShipPartShape!$A:$A,MATCH(AB211,ShipPartShape!$B:$B,0)),"-")</f>
        <v>-</v>
      </c>
      <c r="AD211" s="4"/>
      <c r="AE211" s="11" t="str">
        <f>IFERROR(INDEX(ShipPartShape!$A:$A,MATCH(AD211,ShipPartShape!$B:$B,0)),"-")</f>
        <v>-</v>
      </c>
      <c r="AF211" s="4"/>
      <c r="AG211" s="11" t="str">
        <f>IFERROR(INDEX(ShipPartShape!$A:$A,MATCH(AF211,ShipPartShape!$B:$B,0)),"-")</f>
        <v>-</v>
      </c>
      <c r="AH211" s="4"/>
      <c r="AI211" s="11" t="str">
        <f>IFERROR(INDEX(ShipPartShape!$A:$A,MATCH(AH211,ShipPartShape!$B:$B,0)),"-")</f>
        <v>-</v>
      </c>
      <c r="AJ211" s="11" t="s">
        <v>0</v>
      </c>
      <c r="AK211" s="11" t="s">
        <v>0</v>
      </c>
      <c r="AL211" s="11" t="s">
        <v>0</v>
      </c>
      <c r="AM211" s="11" t="s">
        <v>0</v>
      </c>
      <c r="AN211" s="11" t="s">
        <v>0</v>
      </c>
      <c r="AO211" s="11" t="s">
        <v>0</v>
      </c>
      <c r="AP211" s="11" t="s">
        <v>0</v>
      </c>
      <c r="AQ211" s="11" t="s">
        <v>0</v>
      </c>
      <c r="AR211" s="11" t="s">
        <v>0</v>
      </c>
      <c r="AS211" s="11" t="s">
        <v>0</v>
      </c>
      <c r="AT211" s="11" t="s">
        <v>0</v>
      </c>
      <c r="AU211" s="11" t="s">
        <v>545</v>
      </c>
      <c r="AV211" s="11" t="s">
        <v>0</v>
      </c>
      <c r="AW211" s="11">
        <v>47600005</v>
      </c>
      <c r="AX211" s="11" t="s">
        <v>0</v>
      </c>
    </row>
    <row r="212" spans="1:50" ht="15">
      <c r="A212" s="10">
        <f t="shared" si="3"/>
        <v>45000202</v>
      </c>
      <c r="B212" s="24" t="s">
        <v>2128</v>
      </c>
      <c r="C212" s="11" t="s">
        <v>2130</v>
      </c>
      <c r="D212" s="4" t="s">
        <v>2132</v>
      </c>
      <c r="E212" s="11">
        <v>700</v>
      </c>
      <c r="F212" s="11">
        <v>100</v>
      </c>
      <c r="G212" s="11" t="s">
        <v>0</v>
      </c>
      <c r="H212" s="11" t="s">
        <v>545</v>
      </c>
      <c r="I212" s="11">
        <f>IFERROR(INDEX(ShipPartShape!$A:$A,MATCH(D212,ShipPartShape!$B:$B,0)),"-")</f>
        <v>46000190</v>
      </c>
      <c r="J212" s="4" t="s">
        <v>70</v>
      </c>
      <c r="K212" s="11">
        <f>IFERROR(INDEX(ShipPartShape!$A:$A,MATCH(J212,ShipPartShape!$B:$B,0)),"-")</f>
        <v>46700001</v>
      </c>
      <c r="L212" s="4" t="s">
        <v>69</v>
      </c>
      <c r="M212" s="11">
        <f>IFERROR(INDEX(ShipPartShape!$A:$A,MATCH(L212,ShipPartShape!$B:$B,0)),"-")</f>
        <v>46300001</v>
      </c>
      <c r="N212" s="4" t="s">
        <v>370</v>
      </c>
      <c r="O212" s="11">
        <f>IFERROR(INDEX(ShipPartShape!$A:$A,MATCH(N212,ShipPartShape!$B:$B,0)),"-")</f>
        <v>46200003</v>
      </c>
      <c r="P212" s="4" t="s">
        <v>782</v>
      </c>
      <c r="Q212" s="11" t="str">
        <f>IFERROR(INDEX(ShipPartShape!$A:$A,MATCH(P212,ShipPartShape!$B:$B,0)),"-")</f>
        <v>-</v>
      </c>
      <c r="R212" s="4"/>
      <c r="S212" s="11" t="str">
        <f>IFERROR(INDEX(ShipPartShape!$A:$A,MATCH(R212,ShipPartShape!$B:$B,0)),"-")</f>
        <v>-</v>
      </c>
      <c r="T212" s="4"/>
      <c r="U212" s="11" t="str">
        <f>IFERROR(INDEX(ShipPartShape!$A:$A,MATCH(T212,ShipPartShape!$B:$B,0)),"-")</f>
        <v>-</v>
      </c>
      <c r="V212" s="4"/>
      <c r="W212" s="11" t="str">
        <f>IFERROR(INDEX(ShipPartShape!$A:$A,MATCH(V212,ShipPartShape!$B:$B,0)),"-")</f>
        <v>-</v>
      </c>
      <c r="X212" s="4"/>
      <c r="Y212" s="11" t="str">
        <f>IFERROR(INDEX(ShipPartShape!$A:$A,MATCH(X212,ShipPartShape!$B:$B,0)),"-")</f>
        <v>-</v>
      </c>
      <c r="Z212" s="4"/>
      <c r="AA212" s="11" t="str">
        <f>IFERROR(INDEX(ShipPartShape!$A:$A,MATCH(Z212,ShipPartShape!$B:$B,0)),"-")</f>
        <v>-</v>
      </c>
      <c r="AB212" s="4"/>
      <c r="AC212" s="11" t="str">
        <f>IFERROR(INDEX(ShipPartShape!$A:$A,MATCH(AB212,ShipPartShape!$B:$B,0)),"-")</f>
        <v>-</v>
      </c>
      <c r="AD212" s="4"/>
      <c r="AE212" s="11" t="str">
        <f>IFERROR(INDEX(ShipPartShape!$A:$A,MATCH(AD212,ShipPartShape!$B:$B,0)),"-")</f>
        <v>-</v>
      </c>
      <c r="AF212" s="4"/>
      <c r="AG212" s="11" t="str">
        <f>IFERROR(INDEX(ShipPartShape!$A:$A,MATCH(AF212,ShipPartShape!$B:$B,0)),"-")</f>
        <v>-</v>
      </c>
      <c r="AH212" s="4"/>
      <c r="AI212" s="11" t="str">
        <f>IFERROR(INDEX(ShipPartShape!$A:$A,MATCH(AH212,ShipPartShape!$B:$B,0)),"-")</f>
        <v>-</v>
      </c>
      <c r="AJ212" s="11" t="s">
        <v>0</v>
      </c>
      <c r="AK212" s="11" t="s">
        <v>0</v>
      </c>
      <c r="AL212" s="11" t="s">
        <v>0</v>
      </c>
      <c r="AM212" s="11" t="s">
        <v>0</v>
      </c>
      <c r="AN212" s="11" t="s">
        <v>0</v>
      </c>
      <c r="AO212" s="11" t="s">
        <v>0</v>
      </c>
      <c r="AP212" s="11" t="s">
        <v>0</v>
      </c>
      <c r="AQ212" s="11" t="s">
        <v>0</v>
      </c>
      <c r="AR212" s="11" t="s">
        <v>0</v>
      </c>
      <c r="AS212" s="11" t="s">
        <v>0</v>
      </c>
      <c r="AT212" s="11" t="s">
        <v>0</v>
      </c>
      <c r="AU212" s="11" t="s">
        <v>545</v>
      </c>
      <c r="AV212" s="11" t="s">
        <v>0</v>
      </c>
      <c r="AW212" s="11">
        <v>47600005</v>
      </c>
      <c r="AX212" s="11" t="s">
        <v>0</v>
      </c>
    </row>
    <row r="213" spans="1:50" ht="15">
      <c r="A213" s="10">
        <f t="shared" si="3"/>
        <v>45000203</v>
      </c>
      <c r="B213" s="24" t="s">
        <v>2129</v>
      </c>
      <c r="C213" s="11" t="s">
        <v>2131</v>
      </c>
      <c r="D213" s="4" t="s">
        <v>2133</v>
      </c>
      <c r="E213" s="11">
        <v>700</v>
      </c>
      <c r="F213" s="11">
        <v>100</v>
      </c>
      <c r="G213" s="11" t="s">
        <v>0</v>
      </c>
      <c r="H213" s="11" t="s">
        <v>545</v>
      </c>
      <c r="I213" s="11">
        <f>IFERROR(INDEX(ShipPartShape!$A:$A,MATCH(D213,ShipPartShape!$B:$B,0)),"-")</f>
        <v>46000191</v>
      </c>
      <c r="J213" s="4" t="s">
        <v>70</v>
      </c>
      <c r="K213" s="11">
        <f>IFERROR(INDEX(ShipPartShape!$A:$A,MATCH(J213,ShipPartShape!$B:$B,0)),"-")</f>
        <v>46700001</v>
      </c>
      <c r="L213" s="4" t="s">
        <v>69</v>
      </c>
      <c r="M213" s="11">
        <f>IFERROR(INDEX(ShipPartShape!$A:$A,MATCH(L213,ShipPartShape!$B:$B,0)),"-")</f>
        <v>46300001</v>
      </c>
      <c r="N213" s="4" t="s">
        <v>370</v>
      </c>
      <c r="O213" s="11">
        <f>IFERROR(INDEX(ShipPartShape!$A:$A,MATCH(N213,ShipPartShape!$B:$B,0)),"-")</f>
        <v>46200003</v>
      </c>
      <c r="P213" s="4" t="s">
        <v>782</v>
      </c>
      <c r="Q213" s="11" t="str">
        <f>IFERROR(INDEX(ShipPartShape!$A:$A,MATCH(P213,ShipPartShape!$B:$B,0)),"-")</f>
        <v>-</v>
      </c>
      <c r="R213" s="4"/>
      <c r="S213" s="11" t="str">
        <f>IFERROR(INDEX(ShipPartShape!$A:$A,MATCH(R213,ShipPartShape!$B:$B,0)),"-")</f>
        <v>-</v>
      </c>
      <c r="T213" s="4"/>
      <c r="U213" s="11" t="str">
        <f>IFERROR(INDEX(ShipPartShape!$A:$A,MATCH(T213,ShipPartShape!$B:$B,0)),"-")</f>
        <v>-</v>
      </c>
      <c r="V213" s="4"/>
      <c r="W213" s="11" t="str">
        <f>IFERROR(INDEX(ShipPartShape!$A:$A,MATCH(V213,ShipPartShape!$B:$B,0)),"-")</f>
        <v>-</v>
      </c>
      <c r="X213" s="4"/>
      <c r="Y213" s="11" t="str">
        <f>IFERROR(INDEX(ShipPartShape!$A:$A,MATCH(X213,ShipPartShape!$B:$B,0)),"-")</f>
        <v>-</v>
      </c>
      <c r="Z213" s="4"/>
      <c r="AA213" s="11" t="str">
        <f>IFERROR(INDEX(ShipPartShape!$A:$A,MATCH(Z213,ShipPartShape!$B:$B,0)),"-")</f>
        <v>-</v>
      </c>
      <c r="AB213" s="4"/>
      <c r="AC213" s="11" t="str">
        <f>IFERROR(INDEX(ShipPartShape!$A:$A,MATCH(AB213,ShipPartShape!$B:$B,0)),"-")</f>
        <v>-</v>
      </c>
      <c r="AD213" s="4"/>
      <c r="AE213" s="11" t="str">
        <f>IFERROR(INDEX(ShipPartShape!$A:$A,MATCH(AD213,ShipPartShape!$B:$B,0)),"-")</f>
        <v>-</v>
      </c>
      <c r="AF213" s="4"/>
      <c r="AG213" s="11" t="str">
        <f>IFERROR(INDEX(ShipPartShape!$A:$A,MATCH(AF213,ShipPartShape!$B:$B,0)),"-")</f>
        <v>-</v>
      </c>
      <c r="AH213" s="4"/>
      <c r="AI213" s="11" t="str">
        <f>IFERROR(INDEX(ShipPartShape!$A:$A,MATCH(AH213,ShipPartShape!$B:$B,0)),"-")</f>
        <v>-</v>
      </c>
      <c r="AJ213" s="11" t="s">
        <v>0</v>
      </c>
      <c r="AK213" s="11" t="s">
        <v>0</v>
      </c>
      <c r="AL213" s="11" t="s">
        <v>0</v>
      </c>
      <c r="AM213" s="11" t="s">
        <v>0</v>
      </c>
      <c r="AN213" s="11" t="s">
        <v>0</v>
      </c>
      <c r="AO213" s="11" t="s">
        <v>0</v>
      </c>
      <c r="AP213" s="11" t="s">
        <v>0</v>
      </c>
      <c r="AQ213" s="11" t="s">
        <v>0</v>
      </c>
      <c r="AR213" s="11" t="s">
        <v>0</v>
      </c>
      <c r="AS213" s="11" t="s">
        <v>0</v>
      </c>
      <c r="AT213" s="11" t="s">
        <v>0</v>
      </c>
      <c r="AU213" s="11" t="s">
        <v>545</v>
      </c>
      <c r="AV213" s="11" t="s">
        <v>0</v>
      </c>
      <c r="AW213" s="11">
        <v>47600005</v>
      </c>
      <c r="AX213" s="11" t="s">
        <v>0</v>
      </c>
    </row>
    <row r="214" spans="1:50" ht="15">
      <c r="A214" s="10">
        <f t="shared" si="3"/>
        <v>45000204</v>
      </c>
      <c r="B214" s="22" t="s">
        <v>2137</v>
      </c>
      <c r="C214" s="11" t="s">
        <v>2138</v>
      </c>
      <c r="D214" s="4" t="s">
        <v>2134</v>
      </c>
      <c r="E214" s="11">
        <v>700</v>
      </c>
      <c r="F214" s="11">
        <v>100</v>
      </c>
      <c r="G214" s="11" t="s">
        <v>0</v>
      </c>
      <c r="H214" s="11" t="s">
        <v>545</v>
      </c>
      <c r="I214" s="11">
        <f>IFERROR(INDEX(ShipPartShape!$A:$A,MATCH(D214,ShipPartShape!$B:$B,0)),"-")</f>
        <v>46000192</v>
      </c>
      <c r="J214" s="4" t="s">
        <v>2704</v>
      </c>
      <c r="K214" s="11">
        <f>IFERROR(INDEX(ShipPartShape!$A:$A,MATCH(J214,ShipPartShape!$B:$B,0)),"-")</f>
        <v>46800002</v>
      </c>
      <c r="L214" s="4"/>
      <c r="M214" s="11" t="str">
        <f>IFERROR(INDEX(ShipPartShape!$A:$A,MATCH(L214,ShipPartShape!$B:$B,0)),"-")</f>
        <v>-</v>
      </c>
      <c r="N214" s="4"/>
      <c r="O214" s="11" t="str">
        <f>IFERROR(INDEX(ShipPartShape!$A:$A,MATCH(N214,ShipPartShape!$B:$B,0)),"-")</f>
        <v>-</v>
      </c>
      <c r="P214" s="4"/>
      <c r="Q214" s="11" t="str">
        <f>IFERROR(INDEX(ShipPartShape!$A:$A,MATCH(P214,ShipPartShape!$B:$B,0)),"-")</f>
        <v>-</v>
      </c>
      <c r="R214" s="4"/>
      <c r="S214" s="11" t="str">
        <f>IFERROR(INDEX(ShipPartShape!$A:$A,MATCH(R214,ShipPartShape!$B:$B,0)),"-")</f>
        <v>-</v>
      </c>
      <c r="T214" s="4"/>
      <c r="U214" s="11" t="str">
        <f>IFERROR(INDEX(ShipPartShape!$A:$A,MATCH(T214,ShipPartShape!$B:$B,0)),"-")</f>
        <v>-</v>
      </c>
      <c r="V214" s="4"/>
      <c r="W214" s="11" t="str">
        <f>IFERROR(INDEX(ShipPartShape!$A:$A,MATCH(V214,ShipPartShape!$B:$B,0)),"-")</f>
        <v>-</v>
      </c>
      <c r="X214" s="4"/>
      <c r="Y214" s="11" t="str">
        <f>IFERROR(INDEX(ShipPartShape!$A:$A,MATCH(X214,ShipPartShape!$B:$B,0)),"-")</f>
        <v>-</v>
      </c>
      <c r="Z214" s="4"/>
      <c r="AA214" s="11" t="str">
        <f>IFERROR(INDEX(ShipPartShape!$A:$A,MATCH(Z214,ShipPartShape!$B:$B,0)),"-")</f>
        <v>-</v>
      </c>
      <c r="AB214" s="4"/>
      <c r="AC214" s="11" t="str">
        <f>IFERROR(INDEX(ShipPartShape!$A:$A,MATCH(AB214,ShipPartShape!$B:$B,0)),"-")</f>
        <v>-</v>
      </c>
      <c r="AD214" s="4"/>
      <c r="AE214" s="11" t="str">
        <f>IFERROR(INDEX(ShipPartShape!$A:$A,MATCH(AD214,ShipPartShape!$B:$B,0)),"-")</f>
        <v>-</v>
      </c>
      <c r="AF214" s="4"/>
      <c r="AG214" s="11" t="str">
        <f>IFERROR(INDEX(ShipPartShape!$A:$A,MATCH(AF214,ShipPartShape!$B:$B,0)),"-")</f>
        <v>-</v>
      </c>
      <c r="AH214" s="4"/>
      <c r="AI214" s="11" t="str">
        <f>IFERROR(INDEX(ShipPartShape!$A:$A,MATCH(AH214,ShipPartShape!$B:$B,0)),"-")</f>
        <v>-</v>
      </c>
      <c r="AJ214" s="11" t="s">
        <v>0</v>
      </c>
      <c r="AK214" s="11" t="s">
        <v>0</v>
      </c>
      <c r="AL214" s="11" t="s">
        <v>0</v>
      </c>
      <c r="AM214" s="11" t="s">
        <v>0</v>
      </c>
      <c r="AN214" s="11" t="s">
        <v>0</v>
      </c>
      <c r="AO214" s="11" t="s">
        <v>0</v>
      </c>
      <c r="AP214" s="11" t="s">
        <v>0</v>
      </c>
      <c r="AQ214" s="11" t="s">
        <v>0</v>
      </c>
      <c r="AR214" s="11" t="s">
        <v>0</v>
      </c>
      <c r="AS214" s="11" t="s">
        <v>0</v>
      </c>
      <c r="AT214" s="11" t="s">
        <v>0</v>
      </c>
      <c r="AU214" s="11" t="s">
        <v>545</v>
      </c>
      <c r="AV214" s="11" t="s">
        <v>0</v>
      </c>
      <c r="AW214" s="11" t="s">
        <v>0</v>
      </c>
      <c r="AX214" s="11" t="s">
        <v>0</v>
      </c>
    </row>
    <row r="215" spans="1:50" ht="15">
      <c r="A215" s="10">
        <f t="shared" si="3"/>
        <v>45000205</v>
      </c>
      <c r="B215" s="22" t="s">
        <v>2822</v>
      </c>
      <c r="C215" s="11" t="s">
        <v>2145</v>
      </c>
      <c r="D215" s="4" t="s">
        <v>2139</v>
      </c>
      <c r="E215" s="11">
        <v>600</v>
      </c>
      <c r="F215" s="11">
        <v>150</v>
      </c>
      <c r="G215" s="11">
        <v>20</v>
      </c>
      <c r="H215" s="11">
        <v>-40</v>
      </c>
      <c r="I215" s="11">
        <f>IFERROR(INDEX(ShipPartShape!$A:$A,MATCH(D215,ShipPartShape!$B:$B,0)),"-")</f>
        <v>46000193</v>
      </c>
      <c r="J215" s="4" t="s">
        <v>1255</v>
      </c>
      <c r="K215" s="11">
        <f>IFERROR(INDEX(ShipPartShape!$A:$A,MATCH(J215,ShipPartShape!$B:$B,0)),"-")</f>
        <v>46700009</v>
      </c>
      <c r="L215" s="4" t="s">
        <v>2117</v>
      </c>
      <c r="M215" s="11">
        <f>IFERROR(INDEX(ShipPartShape!$A:$A,MATCH(L215,ShipPartShape!$B:$B,0)),"-")</f>
        <v>46300003</v>
      </c>
      <c r="N215" s="4" t="s">
        <v>2142</v>
      </c>
      <c r="O215" s="11">
        <f>IFERROR(INDEX(ShipPartShape!$A:$A,MATCH(N215,ShipPartShape!$B:$B,0)),"-")</f>
        <v>46500032</v>
      </c>
      <c r="P215" s="4"/>
      <c r="Q215" s="11" t="str">
        <f>IFERROR(INDEX(ShipPartShape!$A:$A,MATCH(P215,ShipPartShape!$B:$B,0)),"-")</f>
        <v>-</v>
      </c>
      <c r="R215" s="4"/>
      <c r="S215" s="11" t="str">
        <f>IFERROR(INDEX(ShipPartShape!$A:$A,MATCH(R215,ShipPartShape!$B:$B,0)),"-")</f>
        <v>-</v>
      </c>
      <c r="T215" s="4"/>
      <c r="U215" s="11" t="str">
        <f>IFERROR(INDEX(ShipPartShape!$A:$A,MATCH(T215,ShipPartShape!$B:$B,0)),"-")</f>
        <v>-</v>
      </c>
      <c r="V215" s="4"/>
      <c r="W215" s="11" t="str">
        <f>IFERROR(INDEX(ShipPartShape!$A:$A,MATCH(V215,ShipPartShape!$B:$B,0)),"-")</f>
        <v>-</v>
      </c>
      <c r="X215" s="4"/>
      <c r="Y215" s="11" t="str">
        <f>IFERROR(INDEX(ShipPartShape!$A:$A,MATCH(X215,ShipPartShape!$B:$B,0)),"-")</f>
        <v>-</v>
      </c>
      <c r="Z215" s="4"/>
      <c r="AA215" s="11" t="str">
        <f>IFERROR(INDEX(ShipPartShape!$A:$A,MATCH(Z215,ShipPartShape!$B:$B,0)),"-")</f>
        <v>-</v>
      </c>
      <c r="AB215" s="4"/>
      <c r="AC215" s="11" t="str">
        <f>IFERROR(INDEX(ShipPartShape!$A:$A,MATCH(AB215,ShipPartShape!$B:$B,0)),"-")</f>
        <v>-</v>
      </c>
      <c r="AD215" s="4"/>
      <c r="AE215" s="11" t="str">
        <f>IFERROR(INDEX(ShipPartShape!$A:$A,MATCH(AD215,ShipPartShape!$B:$B,0)),"-")</f>
        <v>-</v>
      </c>
      <c r="AF215" s="4"/>
      <c r="AG215" s="11" t="str">
        <f>IFERROR(INDEX(ShipPartShape!$A:$A,MATCH(AF215,ShipPartShape!$B:$B,0)),"-")</f>
        <v>-</v>
      </c>
      <c r="AH215" s="4"/>
      <c r="AI215" s="11" t="str">
        <f>IFERROR(INDEX(ShipPartShape!$A:$A,MATCH(AH215,ShipPartShape!$B:$B,0)),"-")</f>
        <v>-</v>
      </c>
      <c r="AJ215" s="11" t="s">
        <v>0</v>
      </c>
      <c r="AK215" s="11" t="s">
        <v>0</v>
      </c>
      <c r="AL215" s="11" t="s">
        <v>0</v>
      </c>
      <c r="AM215" s="11" t="s">
        <v>0</v>
      </c>
      <c r="AN215" s="11" t="s">
        <v>0</v>
      </c>
      <c r="AO215" s="11" t="s">
        <v>0</v>
      </c>
      <c r="AP215" s="11" t="s">
        <v>0</v>
      </c>
      <c r="AQ215" s="11" t="s">
        <v>0</v>
      </c>
      <c r="AR215" s="11" t="s">
        <v>0</v>
      </c>
      <c r="AS215" s="11" t="s">
        <v>0</v>
      </c>
      <c r="AT215" s="11" t="s">
        <v>0</v>
      </c>
      <c r="AU215" s="11" t="s">
        <v>545</v>
      </c>
      <c r="AV215" s="11" t="s">
        <v>0</v>
      </c>
      <c r="AW215" s="11" t="s">
        <v>0</v>
      </c>
      <c r="AX215" s="11" t="s">
        <v>0</v>
      </c>
    </row>
    <row r="216" spans="1:50" ht="15">
      <c r="A216" s="10">
        <f t="shared" si="3"/>
        <v>45000206</v>
      </c>
      <c r="B216" s="22" t="s">
        <v>2149</v>
      </c>
      <c r="C216" s="11" t="s">
        <v>2150</v>
      </c>
      <c r="D216" s="4" t="s">
        <v>2146</v>
      </c>
      <c r="E216" s="11">
        <v>700</v>
      </c>
      <c r="F216" s="11">
        <v>100</v>
      </c>
      <c r="G216" s="11" t="s">
        <v>0</v>
      </c>
      <c r="H216" s="11" t="s">
        <v>0</v>
      </c>
      <c r="I216" s="11">
        <f>IFERROR(INDEX(ShipPartShape!$A:$A,MATCH(D216,ShipPartShape!$B:$B,0)),"-")</f>
        <v>46000194</v>
      </c>
      <c r="J216" s="4" t="s">
        <v>2704</v>
      </c>
      <c r="K216" s="11">
        <f>IFERROR(INDEX(ShipPartShape!$A:$A,MATCH(J216,ShipPartShape!$B:$B,0)),"-")</f>
        <v>46800002</v>
      </c>
      <c r="L216" s="4"/>
      <c r="M216" s="11" t="str">
        <f>IFERROR(INDEX(ShipPartShape!$A:$A,MATCH(L216,ShipPartShape!$B:$B,0)),"-")</f>
        <v>-</v>
      </c>
      <c r="N216" s="4"/>
      <c r="O216" s="11" t="str">
        <f>IFERROR(INDEX(ShipPartShape!$A:$A,MATCH(N216,ShipPartShape!$B:$B,0)),"-")</f>
        <v>-</v>
      </c>
      <c r="P216" s="4"/>
      <c r="Q216" s="11" t="str">
        <f>IFERROR(INDEX(ShipPartShape!$A:$A,MATCH(P216,ShipPartShape!$B:$B,0)),"-")</f>
        <v>-</v>
      </c>
      <c r="R216" s="4"/>
      <c r="S216" s="11" t="str">
        <f>IFERROR(INDEX(ShipPartShape!$A:$A,MATCH(R216,ShipPartShape!$B:$B,0)),"-")</f>
        <v>-</v>
      </c>
      <c r="T216" s="4"/>
      <c r="U216" s="11" t="str">
        <f>IFERROR(INDEX(ShipPartShape!$A:$A,MATCH(T216,ShipPartShape!$B:$B,0)),"-")</f>
        <v>-</v>
      </c>
      <c r="V216" s="4"/>
      <c r="W216" s="11" t="str">
        <f>IFERROR(INDEX(ShipPartShape!$A:$A,MATCH(V216,ShipPartShape!$B:$B,0)),"-")</f>
        <v>-</v>
      </c>
      <c r="X216" s="4"/>
      <c r="Y216" s="11" t="str">
        <f>IFERROR(INDEX(ShipPartShape!$A:$A,MATCH(X216,ShipPartShape!$B:$B,0)),"-")</f>
        <v>-</v>
      </c>
      <c r="Z216" s="4"/>
      <c r="AA216" s="11" t="str">
        <f>IFERROR(INDEX(ShipPartShape!$A:$A,MATCH(Z216,ShipPartShape!$B:$B,0)),"-")</f>
        <v>-</v>
      </c>
      <c r="AB216" s="4"/>
      <c r="AC216" s="11" t="str">
        <f>IFERROR(INDEX(ShipPartShape!$A:$A,MATCH(AB216,ShipPartShape!$B:$B,0)),"-")</f>
        <v>-</v>
      </c>
      <c r="AD216" s="4"/>
      <c r="AE216" s="11" t="str">
        <f>IFERROR(INDEX(ShipPartShape!$A:$A,MATCH(AD216,ShipPartShape!$B:$B,0)),"-")</f>
        <v>-</v>
      </c>
      <c r="AF216" s="4"/>
      <c r="AG216" s="11" t="str">
        <f>IFERROR(INDEX(ShipPartShape!$A:$A,MATCH(AF216,ShipPartShape!$B:$B,0)),"-")</f>
        <v>-</v>
      </c>
      <c r="AH216" s="4"/>
      <c r="AI216" s="11" t="str">
        <f>IFERROR(INDEX(ShipPartShape!$A:$A,MATCH(AH216,ShipPartShape!$B:$B,0)),"-")</f>
        <v>-</v>
      </c>
      <c r="AJ216" s="11" t="s">
        <v>0</v>
      </c>
      <c r="AK216" s="11" t="s">
        <v>0</v>
      </c>
      <c r="AL216" s="11" t="s">
        <v>0</v>
      </c>
      <c r="AM216" s="11" t="s">
        <v>0</v>
      </c>
      <c r="AN216" s="11" t="s">
        <v>0</v>
      </c>
      <c r="AO216" s="11" t="s">
        <v>0</v>
      </c>
      <c r="AP216" s="11" t="s">
        <v>0</v>
      </c>
      <c r="AQ216" s="11" t="s">
        <v>0</v>
      </c>
      <c r="AR216" s="11" t="s">
        <v>0</v>
      </c>
      <c r="AS216" s="11" t="s">
        <v>0</v>
      </c>
      <c r="AT216" s="11" t="s">
        <v>0</v>
      </c>
      <c r="AU216" s="11" t="s">
        <v>545</v>
      </c>
      <c r="AV216" s="11" t="s">
        <v>0</v>
      </c>
      <c r="AW216" s="11" t="s">
        <v>0</v>
      </c>
      <c r="AX216" s="11" t="s">
        <v>0</v>
      </c>
    </row>
    <row r="217" spans="1:50" ht="15">
      <c r="A217" s="10">
        <f t="shared" si="3"/>
        <v>45000207</v>
      </c>
      <c r="B217" s="22" t="s">
        <v>2324</v>
      </c>
      <c r="C217" s="11" t="s">
        <v>2323</v>
      </c>
      <c r="D217" s="4" t="s">
        <v>2325</v>
      </c>
      <c r="E217" s="11">
        <v>600</v>
      </c>
      <c r="F217" s="11">
        <v>100</v>
      </c>
      <c r="G217" s="11">
        <v>20</v>
      </c>
      <c r="H217" s="11">
        <v>-20</v>
      </c>
      <c r="I217" s="11">
        <f>IFERROR(INDEX(ShipPartShape!$A:$A,MATCH(D217,ShipPartShape!$B:$B,0)),"-")</f>
        <v>46000195</v>
      </c>
      <c r="J217" s="4" t="s">
        <v>1216</v>
      </c>
      <c r="K217" s="11">
        <f>IFERROR(INDEX(ShipPartShape!$A:$A,MATCH(J217,ShipPartShape!$B:$B,0)),"-")</f>
        <v>46700014</v>
      </c>
      <c r="L217" s="4"/>
      <c r="M217" s="11" t="str">
        <f>IFERROR(INDEX(ShipPartShape!$A:$A,MATCH(L217,ShipPartShape!$B:$B,0)),"-")</f>
        <v>-</v>
      </c>
      <c r="N217" s="4"/>
      <c r="O217" s="11" t="str">
        <f>IFERROR(INDEX(ShipPartShape!$A:$A,MATCH(N217,ShipPartShape!$B:$B,0)),"-")</f>
        <v>-</v>
      </c>
      <c r="P217" s="4"/>
      <c r="Q217" s="11" t="str">
        <f>IFERROR(INDEX(ShipPartShape!$A:$A,MATCH(P217,ShipPartShape!$B:$B,0)),"-")</f>
        <v>-</v>
      </c>
      <c r="R217" s="4"/>
      <c r="S217" s="11" t="str">
        <f>IFERROR(INDEX(ShipPartShape!$A:$A,MATCH(R217,ShipPartShape!$B:$B,0)),"-")</f>
        <v>-</v>
      </c>
      <c r="T217" s="4" t="s">
        <v>601</v>
      </c>
      <c r="U217" s="11">
        <f>IFERROR(INDEX(ShipPartShape!$A:$A,MATCH(T217,ShipPartShape!$B:$B,0)),"-")</f>
        <v>46600001</v>
      </c>
      <c r="V217" s="4" t="s">
        <v>602</v>
      </c>
      <c r="W217" s="11">
        <f>IFERROR(INDEX(ShipPartShape!$A:$A,MATCH(V217,ShipPartShape!$B:$B,0)),"-")</f>
        <v>46600002</v>
      </c>
      <c r="X217" s="4" t="s">
        <v>604</v>
      </c>
      <c r="Y217" s="11">
        <f>IFERROR(INDEX(ShipPartShape!$A:$A,MATCH(X217,ShipPartShape!$B:$B,0)),"-")</f>
        <v>46600005</v>
      </c>
      <c r="Z217" s="4" t="s">
        <v>607</v>
      </c>
      <c r="AA217" s="11">
        <f>IFERROR(INDEX(ShipPartShape!$A:$A,MATCH(Z217,ShipPartShape!$B:$B,0)),"-")</f>
        <v>46600008</v>
      </c>
      <c r="AB217" s="4"/>
      <c r="AC217" s="11" t="str">
        <f>IFERROR(INDEX(ShipPartShape!$A:$A,MATCH(AB217,ShipPartShape!$B:$B,0)),"-")</f>
        <v>-</v>
      </c>
      <c r="AD217" s="4"/>
      <c r="AE217" s="11" t="str">
        <f>IFERROR(INDEX(ShipPartShape!$A:$A,MATCH(AD217,ShipPartShape!$B:$B,0)),"-")</f>
        <v>-</v>
      </c>
      <c r="AF217" s="4"/>
      <c r="AG217" s="11" t="str">
        <f>IFERROR(INDEX(ShipPartShape!$A:$A,MATCH(AF217,ShipPartShape!$B:$B,0)),"-")</f>
        <v>-</v>
      </c>
      <c r="AH217" s="4"/>
      <c r="AI217" s="11" t="str">
        <f>IFERROR(INDEX(ShipPartShape!$A:$A,MATCH(AH217,ShipPartShape!$B:$B,0)),"-")</f>
        <v>-</v>
      </c>
      <c r="AJ217" s="11" t="s">
        <v>0</v>
      </c>
      <c r="AK217" s="11" t="s">
        <v>0</v>
      </c>
      <c r="AL217" s="11" t="s">
        <v>0</v>
      </c>
      <c r="AM217" s="11" t="s">
        <v>0</v>
      </c>
      <c r="AN217" s="11" t="s">
        <v>0</v>
      </c>
      <c r="AO217" s="11" t="s">
        <v>0</v>
      </c>
      <c r="AP217" s="11" t="s">
        <v>0</v>
      </c>
      <c r="AQ217" s="11" t="s">
        <v>0</v>
      </c>
      <c r="AR217" s="11" t="s">
        <v>0</v>
      </c>
      <c r="AS217" s="11" t="s">
        <v>0</v>
      </c>
      <c r="AT217" s="11" t="s">
        <v>0</v>
      </c>
      <c r="AU217" s="11">
        <v>47600015</v>
      </c>
      <c r="AV217" s="11" t="s">
        <v>0</v>
      </c>
      <c r="AW217" s="11" t="s">
        <v>0</v>
      </c>
      <c r="AX217" s="11" t="s">
        <v>0</v>
      </c>
    </row>
    <row r="218" spans="1:50" ht="15">
      <c r="A218" s="10">
        <f t="shared" si="3"/>
        <v>45000208</v>
      </c>
      <c r="B218" s="22" t="s">
        <v>2416</v>
      </c>
      <c r="C218" s="11" t="s">
        <v>2332</v>
      </c>
      <c r="D218" s="4" t="s">
        <v>2329</v>
      </c>
      <c r="E218" s="11">
        <v>700</v>
      </c>
      <c r="F218" s="11">
        <v>100</v>
      </c>
      <c r="G218" s="11">
        <v>20</v>
      </c>
      <c r="H218" s="11">
        <v>-40</v>
      </c>
      <c r="I218" s="11">
        <f>IFERROR(INDEX(ShipPartShape!$A:$A,MATCH(D218,ShipPartShape!$B:$B,0)),"-")</f>
        <v>46000196</v>
      </c>
      <c r="J218" s="4" t="s">
        <v>1392</v>
      </c>
      <c r="K218" s="11">
        <f>IFERROR(INDEX(ShipPartShape!$A:$A,MATCH(J218,ShipPartShape!$B:$B,0)),"-")</f>
        <v>46700007</v>
      </c>
      <c r="L218" s="4"/>
      <c r="M218" s="11" t="str">
        <f>IFERROR(INDEX(ShipPartShape!$A:$A,MATCH(L218,ShipPartShape!$B:$B,0)),"-")</f>
        <v>-</v>
      </c>
      <c r="N218" s="4"/>
      <c r="O218" s="11" t="str">
        <f>IFERROR(INDEX(ShipPartShape!$A:$A,MATCH(N218,ShipPartShape!$B:$B,0)),"-")</f>
        <v>-</v>
      </c>
      <c r="P218" s="4"/>
      <c r="Q218" s="11" t="str">
        <f>IFERROR(INDEX(ShipPartShape!$A:$A,MATCH(P218,ShipPartShape!$B:$B,0)),"-")</f>
        <v>-</v>
      </c>
      <c r="R218" s="4"/>
      <c r="S218" s="11" t="str">
        <f>IFERROR(INDEX(ShipPartShape!$A:$A,MATCH(R218,ShipPartShape!$B:$B,0)),"-")</f>
        <v>-</v>
      </c>
      <c r="T218" s="4" t="s">
        <v>601</v>
      </c>
      <c r="U218" s="11">
        <f>IFERROR(INDEX(ShipPartShape!$A:$A,MATCH(T218,ShipPartShape!$B:$B,0)),"-")</f>
        <v>46600001</v>
      </c>
      <c r="V218" s="4" t="s">
        <v>608</v>
      </c>
      <c r="W218" s="11">
        <f>IFERROR(INDEX(ShipPartShape!$A:$A,MATCH(V218,ShipPartShape!$B:$B,0)),"-")</f>
        <v>46600004</v>
      </c>
      <c r="X218" s="4" t="s">
        <v>605</v>
      </c>
      <c r="Y218" s="11">
        <f>IFERROR(INDEX(ShipPartShape!$A:$A,MATCH(X218,ShipPartShape!$B:$B,0)),"-")</f>
        <v>46600009</v>
      </c>
      <c r="Z218" s="4"/>
      <c r="AA218" s="11" t="str">
        <f>IFERROR(INDEX(ShipPartShape!$A:$A,MATCH(Z218,ShipPartShape!$B:$B,0)),"-")</f>
        <v>-</v>
      </c>
      <c r="AB218" s="4"/>
      <c r="AC218" s="11" t="str">
        <f>IFERROR(INDEX(ShipPartShape!$A:$A,MATCH(AB218,ShipPartShape!$B:$B,0)),"-")</f>
        <v>-</v>
      </c>
      <c r="AD218" s="4"/>
      <c r="AE218" s="11" t="str">
        <f>IFERROR(INDEX(ShipPartShape!$A:$A,MATCH(AD218,ShipPartShape!$B:$B,0)),"-")</f>
        <v>-</v>
      </c>
      <c r="AF218" s="4"/>
      <c r="AG218" s="11" t="str">
        <f>IFERROR(INDEX(ShipPartShape!$A:$A,MATCH(AF218,ShipPartShape!$B:$B,0)),"-")</f>
        <v>-</v>
      </c>
      <c r="AH218" s="4"/>
      <c r="AI218" s="11" t="str">
        <f>IFERROR(INDEX(ShipPartShape!$A:$A,MATCH(AH218,ShipPartShape!$B:$B,0)),"-")</f>
        <v>-</v>
      </c>
      <c r="AJ218" s="11" t="s">
        <v>0</v>
      </c>
      <c r="AK218" s="11" t="s">
        <v>0</v>
      </c>
      <c r="AL218" s="11" t="s">
        <v>0</v>
      </c>
      <c r="AM218" s="11" t="s">
        <v>0</v>
      </c>
      <c r="AN218" s="11" t="s">
        <v>0</v>
      </c>
      <c r="AO218" s="11" t="s">
        <v>0</v>
      </c>
      <c r="AP218" s="11" t="s">
        <v>0</v>
      </c>
      <c r="AQ218" s="11" t="s">
        <v>0</v>
      </c>
      <c r="AR218" s="11" t="s">
        <v>0</v>
      </c>
      <c r="AS218" s="11" t="s">
        <v>0</v>
      </c>
      <c r="AT218" s="11" t="s">
        <v>0</v>
      </c>
      <c r="AU218" s="11">
        <v>47600018</v>
      </c>
      <c r="AV218" s="11" t="s">
        <v>0</v>
      </c>
      <c r="AW218" s="11" t="s">
        <v>0</v>
      </c>
      <c r="AX218" s="11" t="s">
        <v>0</v>
      </c>
    </row>
    <row r="219" spans="1:50" ht="15">
      <c r="A219" s="10">
        <f t="shared" si="3"/>
        <v>45000209</v>
      </c>
      <c r="B219" s="22" t="s">
        <v>2348</v>
      </c>
      <c r="C219" s="11" t="s">
        <v>2349</v>
      </c>
      <c r="D219" s="4" t="s">
        <v>2345</v>
      </c>
      <c r="E219" s="11">
        <v>700</v>
      </c>
      <c r="F219" s="11">
        <v>150</v>
      </c>
      <c r="G219" s="11">
        <v>20</v>
      </c>
      <c r="H219" s="11">
        <v>-40</v>
      </c>
      <c r="I219" s="11">
        <f>IFERROR(INDEX(ShipPartShape!$A:$A,MATCH(D219,ShipPartShape!$B:$B,0)),"-")</f>
        <v>46000197</v>
      </c>
      <c r="J219" s="4" t="s">
        <v>1255</v>
      </c>
      <c r="K219" s="11">
        <f>IFERROR(INDEX(ShipPartShape!$A:$A,MATCH(J219,ShipPartShape!$B:$B,0)),"-")</f>
        <v>46700009</v>
      </c>
      <c r="L219" s="4" t="s">
        <v>69</v>
      </c>
      <c r="M219" s="11">
        <f>IFERROR(INDEX(ShipPartShape!$A:$A,MATCH(L219,ShipPartShape!$B:$B,0)),"-")</f>
        <v>46300001</v>
      </c>
      <c r="N219" s="4"/>
      <c r="O219" s="11" t="str">
        <f>IFERROR(INDEX(ShipPartShape!$A:$A,MATCH(N219,ShipPartShape!$B:$B,0)),"-")</f>
        <v>-</v>
      </c>
      <c r="P219" s="4"/>
      <c r="Q219" s="11" t="str">
        <f>IFERROR(INDEX(ShipPartShape!$A:$A,MATCH(P219,ShipPartShape!$B:$B,0)),"-")</f>
        <v>-</v>
      </c>
      <c r="R219" s="4"/>
      <c r="S219" s="11" t="str">
        <f>IFERROR(INDEX(ShipPartShape!$A:$A,MATCH(R219,ShipPartShape!$B:$B,0)),"-")</f>
        <v>-</v>
      </c>
      <c r="T219" s="4" t="s">
        <v>602</v>
      </c>
      <c r="U219" s="11">
        <f>IFERROR(INDEX(ShipPartShape!$A:$A,MATCH(T219,ShipPartShape!$B:$B,0)),"-")</f>
        <v>46600002</v>
      </c>
      <c r="V219" s="4" t="s">
        <v>608</v>
      </c>
      <c r="W219" s="11">
        <f>IFERROR(INDEX(ShipPartShape!$A:$A,MATCH(V219,ShipPartShape!$B:$B,0)),"-")</f>
        <v>46600004</v>
      </c>
      <c r="X219" s="4" t="s">
        <v>603</v>
      </c>
      <c r="Y219" s="11">
        <f>IFERROR(INDEX(ShipPartShape!$A:$A,MATCH(X219,ShipPartShape!$B:$B,0)),"-")</f>
        <v>46600007</v>
      </c>
      <c r="Z219" s="4"/>
      <c r="AA219" s="11" t="str">
        <f>IFERROR(INDEX(ShipPartShape!$A:$A,MATCH(Z219,ShipPartShape!$B:$B,0)),"-")</f>
        <v>-</v>
      </c>
      <c r="AB219" s="4"/>
      <c r="AC219" s="11" t="str">
        <f>IFERROR(INDEX(ShipPartShape!$A:$A,MATCH(AB219,ShipPartShape!$B:$B,0)),"-")</f>
        <v>-</v>
      </c>
      <c r="AD219" s="4"/>
      <c r="AE219" s="11" t="str">
        <f>IFERROR(INDEX(ShipPartShape!$A:$A,MATCH(AD219,ShipPartShape!$B:$B,0)),"-")</f>
        <v>-</v>
      </c>
      <c r="AF219" s="4"/>
      <c r="AG219" s="11" t="str">
        <f>IFERROR(INDEX(ShipPartShape!$A:$A,MATCH(AF219,ShipPartShape!$B:$B,0)),"-")</f>
        <v>-</v>
      </c>
      <c r="AH219" s="4"/>
      <c r="AI219" s="11" t="str">
        <f>IFERROR(INDEX(ShipPartShape!$A:$A,MATCH(AH219,ShipPartShape!$B:$B,0)),"-")</f>
        <v>-</v>
      </c>
      <c r="AJ219" s="11" t="s">
        <v>0</v>
      </c>
      <c r="AK219" s="11" t="s">
        <v>0</v>
      </c>
      <c r="AL219" s="11" t="s">
        <v>0</v>
      </c>
      <c r="AM219" s="11" t="s">
        <v>0</v>
      </c>
      <c r="AN219" s="11" t="s">
        <v>0</v>
      </c>
      <c r="AO219" s="11" t="s">
        <v>0</v>
      </c>
      <c r="AP219" s="11" t="s">
        <v>0</v>
      </c>
      <c r="AQ219" s="11" t="s">
        <v>0</v>
      </c>
      <c r="AR219" s="11" t="s">
        <v>0</v>
      </c>
      <c r="AS219" s="11" t="s">
        <v>0</v>
      </c>
      <c r="AT219" s="11" t="s">
        <v>0</v>
      </c>
      <c r="AU219" s="11">
        <v>47600018</v>
      </c>
      <c r="AV219" s="11" t="s">
        <v>0</v>
      </c>
      <c r="AW219" s="11" t="s">
        <v>0</v>
      </c>
      <c r="AX219" s="11" t="s">
        <v>0</v>
      </c>
    </row>
    <row r="220" spans="1:50" ht="15">
      <c r="A220" s="10">
        <f t="shared" si="3"/>
        <v>45000210</v>
      </c>
      <c r="B220" s="22" t="s">
        <v>2353</v>
      </c>
      <c r="C220" s="11" t="s">
        <v>2354</v>
      </c>
      <c r="D220" s="4" t="s">
        <v>2350</v>
      </c>
      <c r="E220" s="11">
        <v>700</v>
      </c>
      <c r="F220" s="11">
        <v>150</v>
      </c>
      <c r="G220" s="11">
        <v>20</v>
      </c>
      <c r="H220" s="11">
        <v>-40</v>
      </c>
      <c r="I220" s="11">
        <f>IFERROR(INDEX(ShipPartShape!$A:$A,MATCH(D220,ShipPartShape!$B:$B,0)),"-")</f>
        <v>46000198</v>
      </c>
      <c r="J220" s="4" t="s">
        <v>1212</v>
      </c>
      <c r="K220" s="11">
        <f>IFERROR(INDEX(ShipPartShape!$A:$A,MATCH(J220,ShipPartShape!$B:$B,0)),"-")</f>
        <v>46700005</v>
      </c>
      <c r="L220" s="4" t="s">
        <v>69</v>
      </c>
      <c r="M220" s="11">
        <f>IFERROR(INDEX(ShipPartShape!$A:$A,MATCH(L220,ShipPartShape!$B:$B,0)),"-")</f>
        <v>46300001</v>
      </c>
      <c r="N220" s="4"/>
      <c r="O220" s="11" t="str">
        <f>IFERROR(INDEX(ShipPartShape!$A:$A,MATCH(N220,ShipPartShape!$B:$B,0)),"-")</f>
        <v>-</v>
      </c>
      <c r="P220" s="4"/>
      <c r="Q220" s="11" t="str">
        <f>IFERROR(INDEX(ShipPartShape!$A:$A,MATCH(P220,ShipPartShape!$B:$B,0)),"-")</f>
        <v>-</v>
      </c>
      <c r="R220" s="4"/>
      <c r="S220" s="11" t="str">
        <f>IFERROR(INDEX(ShipPartShape!$A:$A,MATCH(R220,ShipPartShape!$B:$B,0)),"-")</f>
        <v>-</v>
      </c>
      <c r="T220" s="4"/>
      <c r="U220" s="11" t="str">
        <f>IFERROR(INDEX(ShipPartShape!$A:$A,MATCH(T220,ShipPartShape!$B:$B,0)),"-")</f>
        <v>-</v>
      </c>
      <c r="V220" s="4"/>
      <c r="W220" s="11" t="str">
        <f>IFERROR(INDEX(ShipPartShape!$A:$A,MATCH(V220,ShipPartShape!$B:$B,0)),"-")</f>
        <v>-</v>
      </c>
      <c r="X220" s="4"/>
      <c r="Y220" s="11" t="str">
        <f>IFERROR(INDEX(ShipPartShape!$A:$A,MATCH(X220,ShipPartShape!$B:$B,0)),"-")</f>
        <v>-</v>
      </c>
      <c r="Z220" s="4"/>
      <c r="AA220" s="11" t="str">
        <f>IFERROR(INDEX(ShipPartShape!$A:$A,MATCH(Z220,ShipPartShape!$B:$B,0)),"-")</f>
        <v>-</v>
      </c>
      <c r="AB220" s="4"/>
      <c r="AC220" s="11" t="str">
        <f>IFERROR(INDEX(ShipPartShape!$A:$A,MATCH(AB220,ShipPartShape!$B:$B,0)),"-")</f>
        <v>-</v>
      </c>
      <c r="AD220" s="4"/>
      <c r="AE220" s="11" t="str">
        <f>IFERROR(INDEX(ShipPartShape!$A:$A,MATCH(AD220,ShipPartShape!$B:$B,0)),"-")</f>
        <v>-</v>
      </c>
      <c r="AF220" s="4"/>
      <c r="AG220" s="11" t="str">
        <f>IFERROR(INDEX(ShipPartShape!$A:$A,MATCH(AF220,ShipPartShape!$B:$B,0)),"-")</f>
        <v>-</v>
      </c>
      <c r="AH220" s="4"/>
      <c r="AI220" s="11" t="str">
        <f>IFERROR(INDEX(ShipPartShape!$A:$A,MATCH(AH220,ShipPartShape!$B:$B,0)),"-")</f>
        <v>-</v>
      </c>
      <c r="AJ220" s="11" t="s">
        <v>0</v>
      </c>
      <c r="AK220" s="11" t="s">
        <v>0</v>
      </c>
      <c r="AL220" s="11" t="s">
        <v>0</v>
      </c>
      <c r="AM220" s="11" t="s">
        <v>0</v>
      </c>
      <c r="AN220" s="11" t="s">
        <v>0</v>
      </c>
      <c r="AO220" s="11" t="s">
        <v>0</v>
      </c>
      <c r="AP220" s="11" t="s">
        <v>0</v>
      </c>
      <c r="AQ220" s="11" t="s">
        <v>0</v>
      </c>
      <c r="AR220" s="11" t="s">
        <v>0</v>
      </c>
      <c r="AS220" s="11" t="s">
        <v>0</v>
      </c>
      <c r="AT220" s="11" t="s">
        <v>0</v>
      </c>
      <c r="AU220" s="11">
        <v>47600018</v>
      </c>
      <c r="AV220" s="11" t="s">
        <v>0</v>
      </c>
      <c r="AW220" s="11" t="s">
        <v>0</v>
      </c>
      <c r="AX220" s="11" t="s">
        <v>0</v>
      </c>
    </row>
    <row r="221" spans="1:50" ht="15">
      <c r="A221" s="10">
        <f t="shared" si="3"/>
        <v>45000211</v>
      </c>
      <c r="B221" s="22" t="s">
        <v>2358</v>
      </c>
      <c r="C221" s="11" t="s">
        <v>2359</v>
      </c>
      <c r="D221" s="4" t="s">
        <v>2355</v>
      </c>
      <c r="E221" s="11">
        <v>700</v>
      </c>
      <c r="F221" s="11">
        <v>150</v>
      </c>
      <c r="G221" s="11">
        <v>20</v>
      </c>
      <c r="H221" s="11">
        <v>-40</v>
      </c>
      <c r="I221" s="11">
        <f>IFERROR(INDEX(ShipPartShape!$A:$A,MATCH(D221,ShipPartShape!$B:$B,0)),"-")</f>
        <v>46000199</v>
      </c>
      <c r="J221" s="4" t="s">
        <v>1212</v>
      </c>
      <c r="K221" s="11">
        <f>IFERROR(INDEX(ShipPartShape!$A:$A,MATCH(J221,ShipPartShape!$B:$B,0)),"-")</f>
        <v>46700005</v>
      </c>
      <c r="L221" s="4"/>
      <c r="M221" s="11" t="str">
        <f>IFERROR(INDEX(ShipPartShape!$A:$A,MATCH(L221,ShipPartShape!$B:$B,0)),"-")</f>
        <v>-</v>
      </c>
      <c r="N221" s="4" t="s">
        <v>2360</v>
      </c>
      <c r="O221" s="11">
        <f>IFERROR(INDEX(ShipPartShape!$A:$A,MATCH(N221,ShipPartShape!$B:$B,0)),"-")</f>
        <v>46500033</v>
      </c>
      <c r="P221" s="4"/>
      <c r="Q221" s="11" t="str">
        <f>IFERROR(INDEX(ShipPartShape!$A:$A,MATCH(P221,ShipPartShape!$B:$B,0)),"-")</f>
        <v>-</v>
      </c>
      <c r="R221" s="4"/>
      <c r="S221" s="11" t="str">
        <f>IFERROR(INDEX(ShipPartShape!$A:$A,MATCH(R221,ShipPartShape!$B:$B,0)),"-")</f>
        <v>-</v>
      </c>
      <c r="T221" s="4"/>
      <c r="U221" s="11" t="str">
        <f>IFERROR(INDEX(ShipPartShape!$A:$A,MATCH(T221,ShipPartShape!$B:$B,0)),"-")</f>
        <v>-</v>
      </c>
      <c r="V221" s="4"/>
      <c r="W221" s="11" t="str">
        <f>IFERROR(INDEX(ShipPartShape!$A:$A,MATCH(V221,ShipPartShape!$B:$B,0)),"-")</f>
        <v>-</v>
      </c>
      <c r="X221" s="4"/>
      <c r="Y221" s="11" t="str">
        <f>IFERROR(INDEX(ShipPartShape!$A:$A,MATCH(X221,ShipPartShape!$B:$B,0)),"-")</f>
        <v>-</v>
      </c>
      <c r="Z221" s="4"/>
      <c r="AA221" s="11" t="str">
        <f>IFERROR(INDEX(ShipPartShape!$A:$A,MATCH(Z221,ShipPartShape!$B:$B,0)),"-")</f>
        <v>-</v>
      </c>
      <c r="AB221" s="4"/>
      <c r="AC221" s="11" t="str">
        <f>IFERROR(INDEX(ShipPartShape!$A:$A,MATCH(AB221,ShipPartShape!$B:$B,0)),"-")</f>
        <v>-</v>
      </c>
      <c r="AD221" s="4"/>
      <c r="AE221" s="11" t="str">
        <f>IFERROR(INDEX(ShipPartShape!$A:$A,MATCH(AD221,ShipPartShape!$B:$B,0)),"-")</f>
        <v>-</v>
      </c>
      <c r="AF221" s="4"/>
      <c r="AG221" s="11" t="str">
        <f>IFERROR(INDEX(ShipPartShape!$A:$A,MATCH(AF221,ShipPartShape!$B:$B,0)),"-")</f>
        <v>-</v>
      </c>
      <c r="AH221" s="4"/>
      <c r="AI221" s="11" t="str">
        <f>IFERROR(INDEX(ShipPartShape!$A:$A,MATCH(AH221,ShipPartShape!$B:$B,0)),"-")</f>
        <v>-</v>
      </c>
      <c r="AJ221" s="11" t="s">
        <v>0</v>
      </c>
      <c r="AK221" s="11" t="s">
        <v>0</v>
      </c>
      <c r="AL221" s="11" t="s">
        <v>0</v>
      </c>
      <c r="AM221" s="11" t="s">
        <v>0</v>
      </c>
      <c r="AN221" s="11" t="s">
        <v>0</v>
      </c>
      <c r="AO221" s="11" t="s">
        <v>0</v>
      </c>
      <c r="AP221" s="11" t="s">
        <v>0</v>
      </c>
      <c r="AQ221" s="11" t="s">
        <v>0</v>
      </c>
      <c r="AR221" s="11" t="s">
        <v>0</v>
      </c>
      <c r="AS221" s="11" t="s">
        <v>0</v>
      </c>
      <c r="AT221" s="11" t="s">
        <v>0</v>
      </c>
      <c r="AU221" s="11">
        <v>47600018</v>
      </c>
      <c r="AV221" s="11" t="s">
        <v>0</v>
      </c>
      <c r="AW221" s="11" t="s">
        <v>0</v>
      </c>
      <c r="AX221" s="11" t="s">
        <v>0</v>
      </c>
    </row>
    <row r="222" spans="1:50" ht="15">
      <c r="A222" s="10">
        <f t="shared" si="3"/>
        <v>45000212</v>
      </c>
      <c r="B222" s="22" t="s">
        <v>2363</v>
      </c>
      <c r="C222" s="11" t="s">
        <v>2368</v>
      </c>
      <c r="D222" s="4" t="s">
        <v>2369</v>
      </c>
      <c r="E222" s="11">
        <v>700</v>
      </c>
      <c r="F222" s="11">
        <v>150</v>
      </c>
      <c r="G222" s="11">
        <v>20</v>
      </c>
      <c r="H222" s="11">
        <v>-40</v>
      </c>
      <c r="I222" s="11">
        <f>IFERROR(INDEX(ShipPartShape!$A:$A,MATCH(D222,ShipPartShape!$B:$B,0)),"-")</f>
        <v>46000200</v>
      </c>
      <c r="J222" s="4" t="s">
        <v>1212</v>
      </c>
      <c r="K222" s="11">
        <f>IFERROR(INDEX(ShipPartShape!$A:$A,MATCH(J222,ShipPartShape!$B:$B,0)),"-")</f>
        <v>46700005</v>
      </c>
      <c r="L222" s="4" t="s">
        <v>69</v>
      </c>
      <c r="M222" s="11">
        <f>IFERROR(INDEX(ShipPartShape!$A:$A,MATCH(L222,ShipPartShape!$B:$B,0)),"-")</f>
        <v>46300001</v>
      </c>
      <c r="N222" s="4" t="s">
        <v>2365</v>
      </c>
      <c r="O222" s="11">
        <f>IFERROR(INDEX(ShipPartShape!$A:$A,MATCH(N222,ShipPartShape!$B:$B,0)),"-")</f>
        <v>46500034</v>
      </c>
      <c r="P222" s="4"/>
      <c r="Q222" s="11" t="str">
        <f>IFERROR(INDEX(ShipPartShape!$A:$A,MATCH(P222,ShipPartShape!$B:$B,0)),"-")</f>
        <v>-</v>
      </c>
      <c r="R222" s="4"/>
      <c r="S222" s="11" t="str">
        <f>IFERROR(INDEX(ShipPartShape!$A:$A,MATCH(R222,ShipPartShape!$B:$B,0)),"-")</f>
        <v>-</v>
      </c>
      <c r="T222" s="4"/>
      <c r="U222" s="11" t="str">
        <f>IFERROR(INDEX(ShipPartShape!$A:$A,MATCH(T222,ShipPartShape!$B:$B,0)),"-")</f>
        <v>-</v>
      </c>
      <c r="V222" s="4" t="s">
        <v>601</v>
      </c>
      <c r="W222" s="11">
        <f>IFERROR(INDEX(ShipPartShape!$A:$A,MATCH(V222,ShipPartShape!$B:$B,0)),"-")</f>
        <v>46600001</v>
      </c>
      <c r="X222" s="4" t="s">
        <v>602</v>
      </c>
      <c r="Y222" s="11">
        <f>IFERROR(INDEX(ShipPartShape!$A:$A,MATCH(X222,ShipPartShape!$B:$B,0)),"-")</f>
        <v>46600002</v>
      </c>
      <c r="Z222" s="4" t="s">
        <v>609</v>
      </c>
      <c r="AA222" s="11">
        <f>IFERROR(INDEX(ShipPartShape!$A:$A,MATCH(Z222,ShipPartShape!$B:$B,0)),"-")</f>
        <v>46600011</v>
      </c>
      <c r="AB222" s="4"/>
      <c r="AC222" s="11" t="str">
        <f>IFERROR(INDEX(ShipPartShape!$A:$A,MATCH(AB222,ShipPartShape!$B:$B,0)),"-")</f>
        <v>-</v>
      </c>
      <c r="AD222" s="4"/>
      <c r="AE222" s="11" t="str">
        <f>IFERROR(INDEX(ShipPartShape!$A:$A,MATCH(AD222,ShipPartShape!$B:$B,0)),"-")</f>
        <v>-</v>
      </c>
      <c r="AF222" s="4"/>
      <c r="AG222" s="11" t="str">
        <f>IFERROR(INDEX(ShipPartShape!$A:$A,MATCH(AF222,ShipPartShape!$B:$B,0)),"-")</f>
        <v>-</v>
      </c>
      <c r="AH222" s="4"/>
      <c r="AI222" s="11" t="str">
        <f>IFERROR(INDEX(ShipPartShape!$A:$A,MATCH(AH222,ShipPartShape!$B:$B,0)),"-")</f>
        <v>-</v>
      </c>
      <c r="AJ222" s="11" t="s">
        <v>0</v>
      </c>
      <c r="AK222" s="11" t="s">
        <v>0</v>
      </c>
      <c r="AL222" s="11" t="s">
        <v>0</v>
      </c>
      <c r="AM222" s="11" t="s">
        <v>0</v>
      </c>
      <c r="AN222" s="11" t="s">
        <v>0</v>
      </c>
      <c r="AO222" s="11" t="s">
        <v>0</v>
      </c>
      <c r="AP222" s="11" t="s">
        <v>0</v>
      </c>
      <c r="AQ222" s="11" t="s">
        <v>0</v>
      </c>
      <c r="AR222" s="11" t="s">
        <v>0</v>
      </c>
      <c r="AS222" s="11" t="s">
        <v>0</v>
      </c>
      <c r="AT222" s="11" t="s">
        <v>0</v>
      </c>
      <c r="AU222" s="11">
        <v>47600018</v>
      </c>
      <c r="AV222" s="11" t="s">
        <v>0</v>
      </c>
      <c r="AW222" s="11" t="s">
        <v>0</v>
      </c>
      <c r="AX222" s="11" t="s">
        <v>0</v>
      </c>
    </row>
    <row r="223" spans="1:50" ht="15">
      <c r="A223" s="10">
        <f t="shared" si="3"/>
        <v>45000213</v>
      </c>
      <c r="B223" s="22" t="s">
        <v>2372</v>
      </c>
      <c r="C223" s="11" t="s">
        <v>2375</v>
      </c>
      <c r="D223" s="4" t="s">
        <v>2373</v>
      </c>
      <c r="E223" s="11">
        <v>700</v>
      </c>
      <c r="F223" s="11">
        <v>150</v>
      </c>
      <c r="G223" s="11">
        <v>20</v>
      </c>
      <c r="H223" s="11">
        <v>-40</v>
      </c>
      <c r="I223" s="11">
        <f>IFERROR(INDEX(ShipPartShape!$A:$A,MATCH(D223,ShipPartShape!$B:$B,0)),"-")</f>
        <v>46000201</v>
      </c>
      <c r="J223" s="4" t="s">
        <v>1392</v>
      </c>
      <c r="K223" s="11">
        <f>IFERROR(INDEX(ShipPartShape!$A:$A,MATCH(J223,ShipPartShape!$B:$B,0)),"-")</f>
        <v>46700007</v>
      </c>
      <c r="L223" s="4" t="s">
        <v>69</v>
      </c>
      <c r="M223" s="11">
        <f>IFERROR(INDEX(ShipPartShape!$A:$A,MATCH(L223,ShipPartShape!$B:$B,0)),"-")</f>
        <v>46300001</v>
      </c>
      <c r="N223" s="4"/>
      <c r="O223" s="11" t="str">
        <f>IFERROR(INDEX(ShipPartShape!$A:$A,MATCH(N223,ShipPartShape!$B:$B,0)),"-")</f>
        <v>-</v>
      </c>
      <c r="P223" s="4"/>
      <c r="Q223" s="11" t="str">
        <f>IFERROR(INDEX(ShipPartShape!$A:$A,MATCH(P223,ShipPartShape!$B:$B,0)),"-")</f>
        <v>-</v>
      </c>
      <c r="R223" s="4"/>
      <c r="S223" s="11" t="str">
        <f>IFERROR(INDEX(ShipPartShape!$A:$A,MATCH(R223,ShipPartShape!$B:$B,0)),"-")</f>
        <v>-</v>
      </c>
      <c r="T223" s="4"/>
      <c r="U223" s="11" t="str">
        <f>IFERROR(INDEX(ShipPartShape!$A:$A,MATCH(T223,ShipPartShape!$B:$B,0)),"-")</f>
        <v>-</v>
      </c>
      <c r="V223" s="4"/>
      <c r="W223" s="11" t="str">
        <f>IFERROR(INDEX(ShipPartShape!$A:$A,MATCH(V223,ShipPartShape!$B:$B,0)),"-")</f>
        <v>-</v>
      </c>
      <c r="X223" s="4"/>
      <c r="Y223" s="11" t="str">
        <f>IFERROR(INDEX(ShipPartShape!$A:$A,MATCH(X223,ShipPartShape!$B:$B,0)),"-")</f>
        <v>-</v>
      </c>
      <c r="Z223" s="4"/>
      <c r="AA223" s="11" t="str">
        <f>IFERROR(INDEX(ShipPartShape!$A:$A,MATCH(Z223,ShipPartShape!$B:$B,0)),"-")</f>
        <v>-</v>
      </c>
      <c r="AB223" s="4"/>
      <c r="AC223" s="11" t="str">
        <f>IFERROR(INDEX(ShipPartShape!$A:$A,MATCH(AB223,ShipPartShape!$B:$B,0)),"-")</f>
        <v>-</v>
      </c>
      <c r="AD223" s="4"/>
      <c r="AE223" s="11" t="str">
        <f>IFERROR(INDEX(ShipPartShape!$A:$A,MATCH(AD223,ShipPartShape!$B:$B,0)),"-")</f>
        <v>-</v>
      </c>
      <c r="AF223" s="4"/>
      <c r="AG223" s="11" t="str">
        <f>IFERROR(INDEX(ShipPartShape!$A:$A,MATCH(AF223,ShipPartShape!$B:$B,0)),"-")</f>
        <v>-</v>
      </c>
      <c r="AH223" s="4"/>
      <c r="AI223" s="11" t="str">
        <f>IFERROR(INDEX(ShipPartShape!$A:$A,MATCH(AH223,ShipPartShape!$B:$B,0)),"-")</f>
        <v>-</v>
      </c>
      <c r="AJ223" s="11" t="s">
        <v>0</v>
      </c>
      <c r="AK223" s="11" t="s">
        <v>0</v>
      </c>
      <c r="AL223" s="11" t="s">
        <v>0</v>
      </c>
      <c r="AM223" s="11" t="s">
        <v>0</v>
      </c>
      <c r="AN223" s="11" t="s">
        <v>0</v>
      </c>
      <c r="AO223" s="11" t="s">
        <v>0</v>
      </c>
      <c r="AP223" s="11" t="s">
        <v>0</v>
      </c>
      <c r="AQ223" s="11" t="s">
        <v>0</v>
      </c>
      <c r="AR223" s="11" t="s">
        <v>0</v>
      </c>
      <c r="AS223" s="11" t="s">
        <v>0</v>
      </c>
      <c r="AT223" s="11" t="s">
        <v>0</v>
      </c>
      <c r="AU223" s="11">
        <v>47600018</v>
      </c>
      <c r="AV223" s="11" t="s">
        <v>0</v>
      </c>
      <c r="AW223" s="11" t="s">
        <v>0</v>
      </c>
      <c r="AX223" s="11" t="s">
        <v>0</v>
      </c>
    </row>
    <row r="224" spans="1:50" ht="15">
      <c r="A224" s="10">
        <f t="shared" si="3"/>
        <v>45000214</v>
      </c>
      <c r="B224" s="22" t="s">
        <v>2379</v>
      </c>
      <c r="C224" s="11" t="s">
        <v>2380</v>
      </c>
      <c r="D224" s="4" t="s">
        <v>2376</v>
      </c>
      <c r="E224" s="11">
        <v>700</v>
      </c>
      <c r="F224" s="11">
        <v>150</v>
      </c>
      <c r="G224" s="11">
        <v>20</v>
      </c>
      <c r="H224" s="11">
        <v>-40</v>
      </c>
      <c r="I224" s="11">
        <f>IFERROR(INDEX(ShipPartShape!$A:$A,MATCH(D224,ShipPartShape!$B:$B,0)),"-")</f>
        <v>46000202</v>
      </c>
      <c r="J224" s="4" t="s">
        <v>1374</v>
      </c>
      <c r="K224" s="11">
        <f>IFERROR(INDEX(ShipPartShape!$A:$A,MATCH(J224,ShipPartShape!$B:$B,0)),"-")</f>
        <v>46700008</v>
      </c>
      <c r="L224" s="4"/>
      <c r="M224" s="11" t="str">
        <f>IFERROR(INDEX(ShipPartShape!$A:$A,MATCH(L224,ShipPartShape!$B:$B,0)),"-")</f>
        <v>-</v>
      </c>
      <c r="N224" s="4"/>
      <c r="O224" s="11" t="str">
        <f>IFERROR(INDEX(ShipPartShape!$A:$A,MATCH(N224,ShipPartShape!$B:$B,0)),"-")</f>
        <v>-</v>
      </c>
      <c r="P224" s="4"/>
      <c r="Q224" s="11" t="str">
        <f>IFERROR(INDEX(ShipPartShape!$A:$A,MATCH(P224,ShipPartShape!$B:$B,0)),"-")</f>
        <v>-</v>
      </c>
      <c r="R224" s="4"/>
      <c r="S224" s="11" t="str">
        <f>IFERROR(INDEX(ShipPartShape!$A:$A,MATCH(R224,ShipPartShape!$B:$B,0)),"-")</f>
        <v>-</v>
      </c>
      <c r="T224" s="4" t="s">
        <v>601</v>
      </c>
      <c r="U224" s="11">
        <f>IFERROR(INDEX(ShipPartShape!$A:$A,MATCH(T224,ShipPartShape!$B:$B,0)),"-")</f>
        <v>46600001</v>
      </c>
      <c r="V224" s="4" t="s">
        <v>602</v>
      </c>
      <c r="W224" s="11">
        <f>IFERROR(INDEX(ShipPartShape!$A:$A,MATCH(V224,ShipPartShape!$B:$B,0)),"-")</f>
        <v>46600002</v>
      </c>
      <c r="X224" s="4"/>
      <c r="Y224" s="11" t="str">
        <f>IFERROR(INDEX(ShipPartShape!$A:$A,MATCH(X224,ShipPartShape!$B:$B,0)),"-")</f>
        <v>-</v>
      </c>
      <c r="Z224" s="4"/>
      <c r="AA224" s="11" t="str">
        <f>IFERROR(INDEX(ShipPartShape!$A:$A,MATCH(Z224,ShipPartShape!$B:$B,0)),"-")</f>
        <v>-</v>
      </c>
      <c r="AB224" s="4"/>
      <c r="AC224" s="11" t="str">
        <f>IFERROR(INDEX(ShipPartShape!$A:$A,MATCH(AB224,ShipPartShape!$B:$B,0)),"-")</f>
        <v>-</v>
      </c>
      <c r="AD224" s="4"/>
      <c r="AE224" s="11" t="str">
        <f>IFERROR(INDEX(ShipPartShape!$A:$A,MATCH(AD224,ShipPartShape!$B:$B,0)),"-")</f>
        <v>-</v>
      </c>
      <c r="AF224" s="4"/>
      <c r="AG224" s="11" t="str">
        <f>IFERROR(INDEX(ShipPartShape!$A:$A,MATCH(AF224,ShipPartShape!$B:$B,0)),"-")</f>
        <v>-</v>
      </c>
      <c r="AH224" s="4"/>
      <c r="AI224" s="11" t="str">
        <f>IFERROR(INDEX(ShipPartShape!$A:$A,MATCH(AH224,ShipPartShape!$B:$B,0)),"-")</f>
        <v>-</v>
      </c>
      <c r="AJ224" s="11" t="s">
        <v>0</v>
      </c>
      <c r="AK224" s="11" t="s">
        <v>0</v>
      </c>
      <c r="AL224" s="11" t="s">
        <v>0</v>
      </c>
      <c r="AM224" s="11" t="s">
        <v>0</v>
      </c>
      <c r="AN224" s="11" t="s">
        <v>0</v>
      </c>
      <c r="AO224" s="11" t="s">
        <v>0</v>
      </c>
      <c r="AP224" s="11" t="s">
        <v>0</v>
      </c>
      <c r="AQ224" s="11" t="s">
        <v>0</v>
      </c>
      <c r="AR224" s="11" t="s">
        <v>0</v>
      </c>
      <c r="AS224" s="11" t="s">
        <v>0</v>
      </c>
      <c r="AT224" s="11" t="s">
        <v>0</v>
      </c>
      <c r="AU224" s="11">
        <v>47600018</v>
      </c>
      <c r="AV224" s="11" t="s">
        <v>0</v>
      </c>
      <c r="AW224" s="11" t="s">
        <v>0</v>
      </c>
      <c r="AX224" s="11" t="s">
        <v>0</v>
      </c>
    </row>
    <row r="225" spans="1:50" ht="15">
      <c r="A225" s="10">
        <f t="shared" si="3"/>
        <v>45000215</v>
      </c>
      <c r="B225" s="22" t="s">
        <v>2390</v>
      </c>
      <c r="C225" s="11" t="s">
        <v>2391</v>
      </c>
      <c r="D225" s="4" t="s">
        <v>2384</v>
      </c>
      <c r="E225" s="11">
        <v>700</v>
      </c>
      <c r="F225" s="11">
        <v>150</v>
      </c>
      <c r="G225" s="11">
        <v>20</v>
      </c>
      <c r="H225" s="11">
        <v>-40</v>
      </c>
      <c r="I225" s="11">
        <f>IFERROR(INDEX(ShipPartShape!$A:$A,MATCH(D225,ShipPartShape!$B:$B,0)),"-")</f>
        <v>46000203</v>
      </c>
      <c r="J225" s="4" t="s">
        <v>1212</v>
      </c>
      <c r="K225" s="11">
        <f>IFERROR(INDEX(ShipPartShape!$A:$A,MATCH(J225,ShipPartShape!$B:$B,0)),"-")</f>
        <v>46700005</v>
      </c>
      <c r="L225" s="4" t="s">
        <v>69</v>
      </c>
      <c r="M225" s="11">
        <f>IFERROR(INDEX(ShipPartShape!$A:$A,MATCH(L225,ShipPartShape!$B:$B,0)),"-")</f>
        <v>46300001</v>
      </c>
      <c r="N225" s="4" t="s">
        <v>2387</v>
      </c>
      <c r="O225" s="11">
        <f>IFERROR(INDEX(ShipPartShape!$A:$A,MATCH(N225,ShipPartShape!$B:$B,0)),"-")</f>
        <v>46500035</v>
      </c>
      <c r="P225" s="4"/>
      <c r="Q225" s="11" t="str">
        <f>IFERROR(INDEX(ShipPartShape!$A:$A,MATCH(P225,ShipPartShape!$B:$B,0)),"-")</f>
        <v>-</v>
      </c>
      <c r="R225" s="4"/>
      <c r="S225" s="11" t="str">
        <f>IFERROR(INDEX(ShipPartShape!$A:$A,MATCH(R225,ShipPartShape!$B:$B,0)),"-")</f>
        <v>-</v>
      </c>
      <c r="T225" s="4"/>
      <c r="U225" s="11" t="str">
        <f>IFERROR(INDEX(ShipPartShape!$A:$A,MATCH(T225,ShipPartShape!$B:$B,0)),"-")</f>
        <v>-</v>
      </c>
      <c r="V225" s="4" t="s">
        <v>602</v>
      </c>
      <c r="W225" s="11">
        <f>IFERROR(INDEX(ShipPartShape!$A:$A,MATCH(V225,ShipPartShape!$B:$B,0)),"-")</f>
        <v>46600002</v>
      </c>
      <c r="X225" s="4" t="s">
        <v>604</v>
      </c>
      <c r="Y225" s="11">
        <f>IFERROR(INDEX(ShipPartShape!$A:$A,MATCH(X225,ShipPartShape!$B:$B,0)),"-")</f>
        <v>46600005</v>
      </c>
      <c r="Z225" s="4" t="s">
        <v>611</v>
      </c>
      <c r="AA225" s="11">
        <f>IFERROR(INDEX(ShipPartShape!$A:$A,MATCH(Z225,ShipPartShape!$B:$B,0)),"-")</f>
        <v>46600010</v>
      </c>
      <c r="AB225" s="4"/>
      <c r="AC225" s="11" t="str">
        <f>IFERROR(INDEX(ShipPartShape!$A:$A,MATCH(AB225,ShipPartShape!$B:$B,0)),"-")</f>
        <v>-</v>
      </c>
      <c r="AD225" s="4"/>
      <c r="AE225" s="11" t="str">
        <f>IFERROR(INDEX(ShipPartShape!$A:$A,MATCH(AD225,ShipPartShape!$B:$B,0)),"-")</f>
        <v>-</v>
      </c>
      <c r="AF225" s="4"/>
      <c r="AG225" s="11" t="str">
        <f>IFERROR(INDEX(ShipPartShape!$A:$A,MATCH(AF225,ShipPartShape!$B:$B,0)),"-")</f>
        <v>-</v>
      </c>
      <c r="AH225" s="4"/>
      <c r="AI225" s="11" t="str">
        <f>IFERROR(INDEX(ShipPartShape!$A:$A,MATCH(AH225,ShipPartShape!$B:$B,0)),"-")</f>
        <v>-</v>
      </c>
      <c r="AJ225" s="11" t="s">
        <v>0</v>
      </c>
      <c r="AK225" s="11" t="s">
        <v>0</v>
      </c>
      <c r="AL225" s="11" t="s">
        <v>0</v>
      </c>
      <c r="AM225" s="11" t="s">
        <v>0</v>
      </c>
      <c r="AN225" s="11" t="s">
        <v>0</v>
      </c>
      <c r="AO225" s="11" t="s">
        <v>0</v>
      </c>
      <c r="AP225" s="11" t="s">
        <v>0</v>
      </c>
      <c r="AQ225" s="11" t="s">
        <v>0</v>
      </c>
      <c r="AR225" s="11" t="s">
        <v>0</v>
      </c>
      <c r="AS225" s="11" t="s">
        <v>0</v>
      </c>
      <c r="AT225" s="11" t="s">
        <v>0</v>
      </c>
      <c r="AU225" s="11">
        <v>47600018</v>
      </c>
      <c r="AV225" s="11" t="s">
        <v>0</v>
      </c>
      <c r="AW225" s="11" t="s">
        <v>0</v>
      </c>
      <c r="AX225" s="11" t="s">
        <v>0</v>
      </c>
    </row>
    <row r="226" spans="1:50" ht="15">
      <c r="A226" s="10">
        <f t="shared" si="3"/>
        <v>45000216</v>
      </c>
      <c r="B226" s="22" t="s">
        <v>2395</v>
      </c>
      <c r="C226" s="11" t="s">
        <v>2396</v>
      </c>
      <c r="D226" s="4" t="s">
        <v>2392</v>
      </c>
      <c r="E226" s="11">
        <v>700</v>
      </c>
      <c r="F226" s="11">
        <v>150</v>
      </c>
      <c r="G226" s="11">
        <v>20</v>
      </c>
      <c r="H226" s="11">
        <v>-40</v>
      </c>
      <c r="I226" s="11">
        <f>IFERROR(INDEX(ShipPartShape!$A:$A,MATCH(D226,ShipPartShape!$B:$B,0)),"-")</f>
        <v>46000204</v>
      </c>
      <c r="J226" s="4" t="s">
        <v>1212</v>
      </c>
      <c r="K226" s="11">
        <f>IFERROR(INDEX(ShipPartShape!$A:$A,MATCH(J226,ShipPartShape!$B:$B,0)),"-")</f>
        <v>46700005</v>
      </c>
      <c r="L226" s="4" t="s">
        <v>69</v>
      </c>
      <c r="M226" s="11">
        <f>IFERROR(INDEX(ShipPartShape!$A:$A,MATCH(L226,ShipPartShape!$B:$B,0)),"-")</f>
        <v>46300001</v>
      </c>
      <c r="N226" s="4" t="s">
        <v>2397</v>
      </c>
      <c r="O226" s="11">
        <f>IFERROR(INDEX(ShipPartShape!$A:$A,MATCH(N226,ShipPartShape!$B:$B,0)),"-")</f>
        <v>46500036</v>
      </c>
      <c r="P226" s="4"/>
      <c r="Q226" s="11" t="str">
        <f>IFERROR(INDEX(ShipPartShape!$A:$A,MATCH(P226,ShipPartShape!$B:$B,0)),"-")</f>
        <v>-</v>
      </c>
      <c r="R226" s="4"/>
      <c r="S226" s="11" t="str">
        <f>IFERROR(INDEX(ShipPartShape!$A:$A,MATCH(R226,ShipPartShape!$B:$B,0)),"-")</f>
        <v>-</v>
      </c>
      <c r="T226" s="4" t="s">
        <v>602</v>
      </c>
      <c r="U226" s="11">
        <f>IFERROR(INDEX(ShipPartShape!$A:$A,MATCH(T226,ShipPartShape!$B:$B,0)),"-")</f>
        <v>46600002</v>
      </c>
      <c r="V226" s="4" t="s">
        <v>608</v>
      </c>
      <c r="W226" s="11">
        <f>IFERROR(INDEX(ShipPartShape!$A:$A,MATCH(V226,ShipPartShape!$B:$B,0)),"-")</f>
        <v>46600004</v>
      </c>
      <c r="X226" s="4"/>
      <c r="Y226" s="11" t="str">
        <f>IFERROR(INDEX(ShipPartShape!$A:$A,MATCH(X226,ShipPartShape!$B:$B,0)),"-")</f>
        <v>-</v>
      </c>
      <c r="Z226" s="4"/>
      <c r="AA226" s="11" t="str">
        <f>IFERROR(INDEX(ShipPartShape!$A:$A,MATCH(Z226,ShipPartShape!$B:$B,0)),"-")</f>
        <v>-</v>
      </c>
      <c r="AB226" s="4"/>
      <c r="AC226" s="11" t="str">
        <f>IFERROR(INDEX(ShipPartShape!$A:$A,MATCH(AB226,ShipPartShape!$B:$B,0)),"-")</f>
        <v>-</v>
      </c>
      <c r="AD226" s="4"/>
      <c r="AE226" s="11" t="str">
        <f>IFERROR(INDEX(ShipPartShape!$A:$A,MATCH(AD226,ShipPartShape!$B:$B,0)),"-")</f>
        <v>-</v>
      </c>
      <c r="AF226" s="4"/>
      <c r="AG226" s="11" t="str">
        <f>IFERROR(INDEX(ShipPartShape!$A:$A,MATCH(AF226,ShipPartShape!$B:$B,0)),"-")</f>
        <v>-</v>
      </c>
      <c r="AH226" s="4"/>
      <c r="AI226" s="11" t="str">
        <f>IFERROR(INDEX(ShipPartShape!$A:$A,MATCH(AH226,ShipPartShape!$B:$B,0)),"-")</f>
        <v>-</v>
      </c>
      <c r="AJ226" s="11" t="s">
        <v>0</v>
      </c>
      <c r="AK226" s="11" t="s">
        <v>0</v>
      </c>
      <c r="AL226" s="11" t="s">
        <v>0</v>
      </c>
      <c r="AM226" s="11" t="s">
        <v>0</v>
      </c>
      <c r="AN226" s="11" t="s">
        <v>0</v>
      </c>
      <c r="AO226" s="11" t="s">
        <v>0</v>
      </c>
      <c r="AP226" s="11" t="s">
        <v>0</v>
      </c>
      <c r="AQ226" s="11" t="s">
        <v>0</v>
      </c>
      <c r="AR226" s="11" t="s">
        <v>0</v>
      </c>
      <c r="AS226" s="11" t="s">
        <v>0</v>
      </c>
      <c r="AT226" s="11" t="s">
        <v>0</v>
      </c>
      <c r="AU226" s="11">
        <v>47600018</v>
      </c>
      <c r="AV226" s="11" t="s">
        <v>0</v>
      </c>
      <c r="AW226" s="11" t="s">
        <v>0</v>
      </c>
      <c r="AX226" s="11" t="s">
        <v>0</v>
      </c>
    </row>
    <row r="227" spans="1:50" ht="15">
      <c r="A227" s="10">
        <f t="shared" si="3"/>
        <v>45000217</v>
      </c>
      <c r="B227" s="22" t="s">
        <v>2404</v>
      </c>
      <c r="C227" s="11" t="s">
        <v>2405</v>
      </c>
      <c r="D227" s="4" t="s">
        <v>2400</v>
      </c>
      <c r="E227" s="11">
        <v>700</v>
      </c>
      <c r="F227" s="11">
        <v>150</v>
      </c>
      <c r="G227" s="11">
        <v>20</v>
      </c>
      <c r="H227" s="11">
        <v>-40</v>
      </c>
      <c r="I227" s="11">
        <f>IFERROR(INDEX(ShipPartShape!$A:$A,MATCH(D227,ShipPartShape!$B:$B,0)),"-")</f>
        <v>46000205</v>
      </c>
      <c r="J227" s="4" t="s">
        <v>1212</v>
      </c>
      <c r="K227" s="11">
        <f>IFERROR(INDEX(ShipPartShape!$A:$A,MATCH(J227,ShipPartShape!$B:$B,0)),"-")</f>
        <v>46700005</v>
      </c>
      <c r="L227" s="4" t="s">
        <v>69</v>
      </c>
      <c r="M227" s="11">
        <f>IFERROR(INDEX(ShipPartShape!$A:$A,MATCH(L227,ShipPartShape!$B:$B,0)),"-")</f>
        <v>46300001</v>
      </c>
      <c r="N227" s="4" t="s">
        <v>2406</v>
      </c>
      <c r="O227" s="11">
        <f>IFERROR(INDEX(ShipPartShape!$A:$A,MATCH(N227,ShipPartShape!$B:$B,0)),"-")</f>
        <v>46500037</v>
      </c>
      <c r="P227" s="4"/>
      <c r="Q227" s="11" t="str">
        <f>IFERROR(INDEX(ShipPartShape!$A:$A,MATCH(P227,ShipPartShape!$B:$B,0)),"-")</f>
        <v>-</v>
      </c>
      <c r="R227" s="4"/>
      <c r="S227" s="11" t="str">
        <f>IFERROR(INDEX(ShipPartShape!$A:$A,MATCH(R227,ShipPartShape!$B:$B,0)),"-")</f>
        <v>-</v>
      </c>
      <c r="T227" s="4"/>
      <c r="U227" s="11" t="str">
        <f>IFERROR(INDEX(ShipPartShape!$A:$A,MATCH(T227,ShipPartShape!$B:$B,0)),"-")</f>
        <v>-</v>
      </c>
      <c r="V227" s="4" t="s">
        <v>604</v>
      </c>
      <c r="W227" s="11">
        <f>IFERROR(INDEX(ShipPartShape!$A:$A,MATCH(V227,ShipPartShape!$B:$B,0)),"-")</f>
        <v>46600005</v>
      </c>
      <c r="X227" s="4" t="s">
        <v>603</v>
      </c>
      <c r="Y227" s="11">
        <f>IFERROR(INDEX(ShipPartShape!$A:$A,MATCH(X227,ShipPartShape!$B:$B,0)),"-")</f>
        <v>46600007</v>
      </c>
      <c r="Z227" s="4"/>
      <c r="AA227" s="11" t="str">
        <f>IFERROR(INDEX(ShipPartShape!$A:$A,MATCH(Z227,ShipPartShape!$B:$B,0)),"-")</f>
        <v>-</v>
      </c>
      <c r="AB227" s="4"/>
      <c r="AC227" s="11" t="str">
        <f>IFERROR(INDEX(ShipPartShape!$A:$A,MATCH(AB227,ShipPartShape!$B:$B,0)),"-")</f>
        <v>-</v>
      </c>
      <c r="AD227" s="4"/>
      <c r="AE227" s="11" t="str">
        <f>IFERROR(INDEX(ShipPartShape!$A:$A,MATCH(AD227,ShipPartShape!$B:$B,0)),"-")</f>
        <v>-</v>
      </c>
      <c r="AF227" s="4"/>
      <c r="AG227" s="11" t="str">
        <f>IFERROR(INDEX(ShipPartShape!$A:$A,MATCH(AF227,ShipPartShape!$B:$B,0)),"-")</f>
        <v>-</v>
      </c>
      <c r="AH227" s="4"/>
      <c r="AI227" s="11" t="str">
        <f>IFERROR(INDEX(ShipPartShape!$A:$A,MATCH(AH227,ShipPartShape!$B:$B,0)),"-")</f>
        <v>-</v>
      </c>
      <c r="AJ227" s="11" t="s">
        <v>0</v>
      </c>
      <c r="AK227" s="11" t="s">
        <v>0</v>
      </c>
      <c r="AL227" s="11" t="s">
        <v>0</v>
      </c>
      <c r="AM227" s="11" t="s">
        <v>0</v>
      </c>
      <c r="AN227" s="11" t="s">
        <v>0</v>
      </c>
      <c r="AO227" s="11" t="s">
        <v>0</v>
      </c>
      <c r="AP227" s="11" t="s">
        <v>0</v>
      </c>
      <c r="AQ227" s="11" t="s">
        <v>0</v>
      </c>
      <c r="AR227" s="11" t="s">
        <v>0</v>
      </c>
      <c r="AS227" s="11" t="s">
        <v>0</v>
      </c>
      <c r="AT227" s="11" t="s">
        <v>0</v>
      </c>
      <c r="AU227" s="11">
        <v>47600018</v>
      </c>
      <c r="AV227" s="11" t="s">
        <v>0</v>
      </c>
      <c r="AW227" s="11" t="s">
        <v>0</v>
      </c>
      <c r="AX227" s="11" t="s">
        <v>0</v>
      </c>
    </row>
    <row r="228" spans="1:50" ht="15">
      <c r="A228" s="10">
        <f t="shared" si="3"/>
        <v>45000218</v>
      </c>
      <c r="B228" s="22" t="s">
        <v>2411</v>
      </c>
      <c r="C228" s="11" t="s">
        <v>2412</v>
      </c>
      <c r="D228" s="4" t="s">
        <v>2408</v>
      </c>
      <c r="E228" s="11">
        <v>700</v>
      </c>
      <c r="F228" s="11">
        <v>150</v>
      </c>
      <c r="G228" s="11">
        <v>20</v>
      </c>
      <c r="H228" s="11">
        <v>-40</v>
      </c>
      <c r="I228" s="11">
        <f>IFERROR(INDEX(ShipPartShape!$A:$A,MATCH(D228,ShipPartShape!$B:$B,0)),"-")</f>
        <v>46000206</v>
      </c>
      <c r="J228" s="4" t="s">
        <v>1213</v>
      </c>
      <c r="K228" s="11">
        <f>IFERROR(INDEX(ShipPartShape!$A:$A,MATCH(J228,ShipPartShape!$B:$B,0)),"-")</f>
        <v>46700010</v>
      </c>
      <c r="L228" s="4" t="s">
        <v>69</v>
      </c>
      <c r="M228" s="11">
        <f>IFERROR(INDEX(ShipPartShape!$A:$A,MATCH(L228,ShipPartShape!$B:$B,0)),"-")</f>
        <v>46300001</v>
      </c>
      <c r="N228" s="4"/>
      <c r="O228" s="11" t="str">
        <f>IFERROR(INDEX(ShipPartShape!$A:$A,MATCH(N228,ShipPartShape!$B:$B,0)),"-")</f>
        <v>-</v>
      </c>
      <c r="P228" s="4"/>
      <c r="Q228" s="11" t="str">
        <f>IFERROR(INDEX(ShipPartShape!$A:$A,MATCH(P228,ShipPartShape!$B:$B,0)),"-")</f>
        <v>-</v>
      </c>
      <c r="R228" s="4"/>
      <c r="S228" s="11" t="str">
        <f>IFERROR(INDEX(ShipPartShape!$A:$A,MATCH(R228,ShipPartShape!$B:$B,0)),"-")</f>
        <v>-</v>
      </c>
      <c r="T228" s="4" t="s">
        <v>606</v>
      </c>
      <c r="U228" s="11">
        <f>IFERROR(INDEX(ShipPartShape!$A:$A,MATCH(T228,ShipPartShape!$B:$B,0)),"-")</f>
        <v>46600003</v>
      </c>
      <c r="V228" s="4" t="s">
        <v>603</v>
      </c>
      <c r="W228" s="11">
        <f>IFERROR(INDEX(ShipPartShape!$A:$A,MATCH(V228,ShipPartShape!$B:$B,0)),"-")</f>
        <v>46600007</v>
      </c>
      <c r="X228" s="4" t="s">
        <v>611</v>
      </c>
      <c r="Y228" s="11">
        <f>IFERROR(INDEX(ShipPartShape!$A:$A,MATCH(X228,ShipPartShape!$B:$B,0)),"-")</f>
        <v>46600010</v>
      </c>
      <c r="Z228" s="4"/>
      <c r="AA228" s="11" t="str">
        <f>IFERROR(INDEX(ShipPartShape!$A:$A,MATCH(Z228,ShipPartShape!$B:$B,0)),"-")</f>
        <v>-</v>
      </c>
      <c r="AB228" s="4"/>
      <c r="AC228" s="11" t="str">
        <f>IFERROR(INDEX(ShipPartShape!$A:$A,MATCH(AB228,ShipPartShape!$B:$B,0)),"-")</f>
        <v>-</v>
      </c>
      <c r="AD228" s="4"/>
      <c r="AE228" s="11" t="str">
        <f>IFERROR(INDEX(ShipPartShape!$A:$A,MATCH(AD228,ShipPartShape!$B:$B,0)),"-")</f>
        <v>-</v>
      </c>
      <c r="AF228" s="4"/>
      <c r="AG228" s="11" t="str">
        <f>IFERROR(INDEX(ShipPartShape!$A:$A,MATCH(AF228,ShipPartShape!$B:$B,0)),"-")</f>
        <v>-</v>
      </c>
      <c r="AH228" s="4"/>
      <c r="AI228" s="11" t="str">
        <f>IFERROR(INDEX(ShipPartShape!$A:$A,MATCH(AH228,ShipPartShape!$B:$B,0)),"-")</f>
        <v>-</v>
      </c>
      <c r="AJ228" s="11" t="s">
        <v>0</v>
      </c>
      <c r="AK228" s="11" t="s">
        <v>0</v>
      </c>
      <c r="AL228" s="11" t="s">
        <v>0</v>
      </c>
      <c r="AM228" s="11" t="s">
        <v>0</v>
      </c>
      <c r="AN228" s="11" t="s">
        <v>0</v>
      </c>
      <c r="AO228" s="11" t="s">
        <v>0</v>
      </c>
      <c r="AP228" s="11" t="s">
        <v>0</v>
      </c>
      <c r="AQ228" s="11" t="s">
        <v>0</v>
      </c>
      <c r="AR228" s="11" t="s">
        <v>0</v>
      </c>
      <c r="AS228" s="11" t="s">
        <v>0</v>
      </c>
      <c r="AT228" s="11" t="s">
        <v>0</v>
      </c>
      <c r="AU228" s="11">
        <v>47600018</v>
      </c>
      <c r="AV228" s="11" t="s">
        <v>0</v>
      </c>
      <c r="AW228" s="11" t="s">
        <v>0</v>
      </c>
      <c r="AX228" s="11" t="s">
        <v>0</v>
      </c>
    </row>
    <row r="229" spans="1:50" ht="15">
      <c r="A229" s="10">
        <f t="shared" si="3"/>
        <v>45000219</v>
      </c>
      <c r="B229" s="22" t="s">
        <v>2423</v>
      </c>
      <c r="C229" s="11" t="s">
        <v>2424</v>
      </c>
      <c r="D229" s="4" t="s">
        <v>2417</v>
      </c>
      <c r="E229" s="11">
        <v>700</v>
      </c>
      <c r="F229" s="11">
        <v>150</v>
      </c>
      <c r="G229" s="11">
        <v>20</v>
      </c>
      <c r="H229" s="11">
        <v>-40</v>
      </c>
      <c r="I229" s="11">
        <f>IFERROR(INDEX(ShipPartShape!$A:$A,MATCH(D229,ShipPartShape!$B:$B,0)),"-")</f>
        <v>46000207</v>
      </c>
      <c r="J229" s="4" t="s">
        <v>1255</v>
      </c>
      <c r="K229" s="11">
        <f>IFERROR(INDEX(ShipPartShape!$A:$A,MATCH(J229,ShipPartShape!$B:$B,0)),"-")</f>
        <v>46700009</v>
      </c>
      <c r="L229" s="4" t="s">
        <v>69</v>
      </c>
      <c r="M229" s="11">
        <f>IFERROR(INDEX(ShipPartShape!$A:$A,MATCH(L229,ShipPartShape!$B:$B,0)),"-")</f>
        <v>46300001</v>
      </c>
      <c r="N229" s="4" t="s">
        <v>2420</v>
      </c>
      <c r="O229" s="11">
        <f>IFERROR(INDEX(ShipPartShape!$A:$A,MATCH(N229,ShipPartShape!$B:$B,0)),"-")</f>
        <v>46500038</v>
      </c>
      <c r="P229" s="4"/>
      <c r="Q229" s="11" t="str">
        <f>IFERROR(INDEX(ShipPartShape!$A:$A,MATCH(P229,ShipPartShape!$B:$B,0)),"-")</f>
        <v>-</v>
      </c>
      <c r="R229" s="4"/>
      <c r="S229" s="11" t="str">
        <f>IFERROR(INDEX(ShipPartShape!$A:$A,MATCH(R229,ShipPartShape!$B:$B,0)),"-")</f>
        <v>-</v>
      </c>
      <c r="T229" s="4"/>
      <c r="U229" s="11" t="str">
        <f>IFERROR(INDEX(ShipPartShape!$A:$A,MATCH(T229,ShipPartShape!$B:$B,0)),"-")</f>
        <v>-</v>
      </c>
      <c r="V229" s="4"/>
      <c r="W229" s="11" t="str">
        <f>IFERROR(INDEX(ShipPartShape!$A:$A,MATCH(V229,ShipPartShape!$B:$B,0)),"-")</f>
        <v>-</v>
      </c>
      <c r="X229" s="4"/>
      <c r="Y229" s="11" t="str">
        <f>IFERROR(INDEX(ShipPartShape!$A:$A,MATCH(X229,ShipPartShape!$B:$B,0)),"-")</f>
        <v>-</v>
      </c>
      <c r="Z229" s="4"/>
      <c r="AA229" s="11" t="str">
        <f>IFERROR(INDEX(ShipPartShape!$A:$A,MATCH(Z229,ShipPartShape!$B:$B,0)),"-")</f>
        <v>-</v>
      </c>
      <c r="AB229" s="4"/>
      <c r="AC229" s="11" t="str">
        <f>IFERROR(INDEX(ShipPartShape!$A:$A,MATCH(AB229,ShipPartShape!$B:$B,0)),"-")</f>
        <v>-</v>
      </c>
      <c r="AD229" s="4"/>
      <c r="AE229" s="11" t="str">
        <f>IFERROR(INDEX(ShipPartShape!$A:$A,MATCH(AD229,ShipPartShape!$B:$B,0)),"-")</f>
        <v>-</v>
      </c>
      <c r="AF229" s="4"/>
      <c r="AG229" s="11" t="str">
        <f>IFERROR(INDEX(ShipPartShape!$A:$A,MATCH(AF229,ShipPartShape!$B:$B,0)),"-")</f>
        <v>-</v>
      </c>
      <c r="AH229" s="4"/>
      <c r="AI229" s="11" t="str">
        <f>IFERROR(INDEX(ShipPartShape!$A:$A,MATCH(AH229,ShipPartShape!$B:$B,0)),"-")</f>
        <v>-</v>
      </c>
      <c r="AJ229" s="11" t="s">
        <v>0</v>
      </c>
      <c r="AK229" s="11" t="s">
        <v>0</v>
      </c>
      <c r="AL229" s="11" t="s">
        <v>0</v>
      </c>
      <c r="AM229" s="11" t="s">
        <v>0</v>
      </c>
      <c r="AN229" s="11" t="s">
        <v>0</v>
      </c>
      <c r="AO229" s="11" t="s">
        <v>0</v>
      </c>
      <c r="AP229" s="11" t="s">
        <v>0</v>
      </c>
      <c r="AQ229" s="11" t="s">
        <v>0</v>
      </c>
      <c r="AR229" s="11" t="s">
        <v>0</v>
      </c>
      <c r="AS229" s="11" t="s">
        <v>0</v>
      </c>
      <c r="AT229" s="11" t="s">
        <v>0</v>
      </c>
      <c r="AU229" s="11">
        <v>47600018</v>
      </c>
      <c r="AV229" s="11" t="s">
        <v>0</v>
      </c>
      <c r="AW229" s="11" t="s">
        <v>0</v>
      </c>
      <c r="AX229" s="11" t="s">
        <v>0</v>
      </c>
    </row>
    <row r="230" spans="1:50" ht="15">
      <c r="A230" s="10">
        <f t="shared" si="3"/>
        <v>45000220</v>
      </c>
      <c r="B230" s="22" t="s">
        <v>2605</v>
      </c>
      <c r="C230" s="11" t="s">
        <v>2604</v>
      </c>
      <c r="D230" s="4" t="s">
        <v>168</v>
      </c>
      <c r="E230" s="11">
        <v>600</v>
      </c>
      <c r="F230" s="11">
        <v>100</v>
      </c>
      <c r="G230" s="11">
        <v>20</v>
      </c>
      <c r="H230" s="11">
        <v>-20</v>
      </c>
      <c r="I230" s="11">
        <f>IFERROR(INDEX(ShipPartShape!$A:$A,MATCH(D230,ShipPartShape!$B:$B,0)),"-")</f>
        <v>46000008</v>
      </c>
      <c r="J230" s="4" t="s">
        <v>70</v>
      </c>
      <c r="K230" s="11">
        <f>IFERROR(INDEX(ShipPartShape!$A:$A,MATCH(J230,ShipPartShape!$B:$B,0)),"-")</f>
        <v>46700001</v>
      </c>
      <c r="L230" s="4" t="s">
        <v>69</v>
      </c>
      <c r="M230" s="11">
        <f>IFERROR(INDEX(ShipPartShape!$A:$A,MATCH(L230,ShipPartShape!$B:$B,0)),"-")</f>
        <v>46300001</v>
      </c>
      <c r="N230" s="4"/>
      <c r="O230" s="11" t="str">
        <f>IFERROR(INDEX(ShipPartShape!$A:$A,MATCH(N230,ShipPartShape!$B:$B,0)),"-")</f>
        <v>-</v>
      </c>
      <c r="P230" s="4"/>
      <c r="Q230" s="11" t="str">
        <f>IFERROR(INDEX(ShipPartShape!$A:$A,MATCH(P230,ShipPartShape!$B:$B,0)),"-")</f>
        <v>-</v>
      </c>
      <c r="R230" s="4"/>
      <c r="S230" s="11" t="str">
        <f>IFERROR(INDEX(ShipPartShape!$A:$A,MATCH(R230,ShipPartShape!$B:$B,0)),"-")</f>
        <v>-</v>
      </c>
      <c r="T230" s="4" t="s">
        <v>602</v>
      </c>
      <c r="U230" s="11">
        <f>IFERROR(INDEX(ShipPartShape!$A:$A,MATCH(T230,ShipPartShape!$B:$B,0)),"-")</f>
        <v>46600002</v>
      </c>
      <c r="V230" s="4" t="s">
        <v>605</v>
      </c>
      <c r="W230" s="11">
        <f>IFERROR(INDEX(ShipPartShape!$A:$A,MATCH(V230,ShipPartShape!$B:$B,0)),"-")</f>
        <v>46600009</v>
      </c>
      <c r="X230" s="4" t="s">
        <v>606</v>
      </c>
      <c r="Y230" s="11">
        <f>IFERROR(INDEX(ShipPartShape!$A:$A,MATCH(X230,ShipPartShape!$B:$B,0)),"-")</f>
        <v>46600003</v>
      </c>
      <c r="Z230" s="4" t="s">
        <v>603</v>
      </c>
      <c r="AA230" s="11">
        <f>IFERROR(INDEX(ShipPartShape!$A:$A,MATCH(Z230,ShipPartShape!$B:$B,0)),"-")</f>
        <v>46600007</v>
      </c>
      <c r="AB230" s="4"/>
      <c r="AC230" s="11" t="str">
        <f>IFERROR(INDEX(ShipPartShape!$A:$A,MATCH(AB230,ShipPartShape!$B:$B,0)),"-")</f>
        <v>-</v>
      </c>
      <c r="AD230" s="4"/>
      <c r="AE230" s="11" t="str">
        <f>IFERROR(INDEX(ShipPartShape!$A:$A,MATCH(AD230,ShipPartShape!$B:$B,0)),"-")</f>
        <v>-</v>
      </c>
      <c r="AF230" s="4"/>
      <c r="AG230" s="11" t="str">
        <f>IFERROR(INDEX(ShipPartShape!$A:$A,MATCH(AF230,ShipPartShape!$B:$B,0)),"-")</f>
        <v>-</v>
      </c>
      <c r="AH230" s="4"/>
      <c r="AI230" s="11" t="str">
        <f>IFERROR(INDEX(ShipPartShape!$A:$A,MATCH(AH230,ShipPartShape!$B:$B,0)),"-")</f>
        <v>-</v>
      </c>
      <c r="AJ230" s="11" t="s">
        <v>0</v>
      </c>
      <c r="AK230" s="11" t="s">
        <v>0</v>
      </c>
      <c r="AL230" s="11" t="s">
        <v>0</v>
      </c>
      <c r="AM230" s="11" t="s">
        <v>0</v>
      </c>
      <c r="AN230" s="11" t="s">
        <v>0</v>
      </c>
      <c r="AO230" s="11" t="s">
        <v>0</v>
      </c>
      <c r="AP230" s="11" t="s">
        <v>0</v>
      </c>
      <c r="AQ230" s="11" t="s">
        <v>0</v>
      </c>
      <c r="AR230" s="11" t="s">
        <v>0</v>
      </c>
      <c r="AS230" s="11" t="s">
        <v>0</v>
      </c>
      <c r="AT230" s="11" t="s">
        <v>0</v>
      </c>
      <c r="AU230" s="11">
        <v>47600014</v>
      </c>
      <c r="AV230" s="11" t="s">
        <v>0</v>
      </c>
      <c r="AW230" s="11" t="s">
        <v>0</v>
      </c>
      <c r="AX230" s="11" t="s">
        <v>0</v>
      </c>
    </row>
    <row r="231" spans="1:50" ht="15">
      <c r="A231" s="10">
        <f t="shared" si="3"/>
        <v>45000221</v>
      </c>
      <c r="B231" s="22" t="s">
        <v>2632</v>
      </c>
      <c r="C231" s="11" t="s">
        <v>2633</v>
      </c>
      <c r="D231" s="4" t="s">
        <v>2630</v>
      </c>
      <c r="E231" s="11">
        <v>700</v>
      </c>
      <c r="F231" s="11">
        <v>150</v>
      </c>
      <c r="G231" s="11">
        <v>20</v>
      </c>
      <c r="H231" s="11">
        <v>-40</v>
      </c>
      <c r="I231" s="11">
        <f>IFERROR(INDEX(ShipPartShape!$A:$A,MATCH(D231,ShipPartShape!$B:$B,0)),"-")</f>
        <v>46000208</v>
      </c>
      <c r="J231" s="4" t="s">
        <v>1255</v>
      </c>
      <c r="K231" s="11">
        <f>IFERROR(INDEX(ShipPartShape!$A:$A,MATCH(J231,ShipPartShape!$B:$B,0)),"-")</f>
        <v>46700009</v>
      </c>
      <c r="L231" s="4" t="s">
        <v>69</v>
      </c>
      <c r="M231" s="11">
        <f>IFERROR(INDEX(ShipPartShape!$A:$A,MATCH(L231,ShipPartShape!$B:$B,0)),"-")</f>
        <v>46300001</v>
      </c>
      <c r="N231" s="4"/>
      <c r="O231" s="11" t="str">
        <f>IFERROR(INDEX(ShipPartShape!$A:$A,MATCH(N231,ShipPartShape!$B:$B,0)),"-")</f>
        <v>-</v>
      </c>
      <c r="P231" s="4"/>
      <c r="Q231" s="11" t="str">
        <f>IFERROR(INDEX(ShipPartShape!$A:$A,MATCH(P231,ShipPartShape!$B:$B,0)),"-")</f>
        <v>-</v>
      </c>
      <c r="R231" s="4"/>
      <c r="S231" s="11" t="str">
        <f>IFERROR(INDEX(ShipPartShape!$A:$A,MATCH(R231,ShipPartShape!$B:$B,0)),"-")</f>
        <v>-</v>
      </c>
      <c r="T231" s="4" t="s">
        <v>609</v>
      </c>
      <c r="U231" s="11">
        <f>IFERROR(INDEX(ShipPartShape!$A:$A,MATCH(T231,ShipPartShape!$B:$B,0)),"-")</f>
        <v>46600011</v>
      </c>
      <c r="V231" s="4" t="s">
        <v>603</v>
      </c>
      <c r="W231" s="11">
        <f>IFERROR(INDEX(ShipPartShape!$A:$A,MATCH(V231,ShipPartShape!$B:$B,0)),"-")</f>
        <v>46600007</v>
      </c>
      <c r="X231" s="4"/>
      <c r="Y231" s="11" t="str">
        <f>IFERROR(INDEX(ShipPartShape!$A:$A,MATCH(X231,ShipPartShape!$B:$B,0)),"-")</f>
        <v>-</v>
      </c>
      <c r="Z231" s="4"/>
      <c r="AA231" s="11" t="str">
        <f>IFERROR(INDEX(ShipPartShape!$A:$A,MATCH(Z231,ShipPartShape!$B:$B,0)),"-")</f>
        <v>-</v>
      </c>
      <c r="AB231" s="4"/>
      <c r="AC231" s="11" t="str">
        <f>IFERROR(INDEX(ShipPartShape!$A:$A,MATCH(AB231,ShipPartShape!$B:$B,0)),"-")</f>
        <v>-</v>
      </c>
      <c r="AD231" s="4"/>
      <c r="AE231" s="11" t="str">
        <f>IFERROR(INDEX(ShipPartShape!$A:$A,MATCH(AD231,ShipPartShape!$B:$B,0)),"-")</f>
        <v>-</v>
      </c>
      <c r="AF231" s="4"/>
      <c r="AG231" s="11" t="str">
        <f>IFERROR(INDEX(ShipPartShape!$A:$A,MATCH(AF231,ShipPartShape!$B:$B,0)),"-")</f>
        <v>-</v>
      </c>
      <c r="AH231" s="4"/>
      <c r="AI231" s="11" t="str">
        <f>IFERROR(INDEX(ShipPartShape!$A:$A,MATCH(AH231,ShipPartShape!$B:$B,0)),"-")</f>
        <v>-</v>
      </c>
      <c r="AJ231" s="11" t="s">
        <v>0</v>
      </c>
      <c r="AK231" s="11" t="s">
        <v>0</v>
      </c>
      <c r="AL231" s="11" t="s">
        <v>0</v>
      </c>
      <c r="AM231" s="11" t="s">
        <v>0</v>
      </c>
      <c r="AN231" s="11" t="s">
        <v>0</v>
      </c>
      <c r="AO231" s="11" t="s">
        <v>0</v>
      </c>
      <c r="AP231" s="11" t="s">
        <v>0</v>
      </c>
      <c r="AQ231" s="11" t="s">
        <v>0</v>
      </c>
      <c r="AR231" s="11" t="s">
        <v>0</v>
      </c>
      <c r="AS231" s="11" t="s">
        <v>0</v>
      </c>
      <c r="AT231" s="11" t="s">
        <v>0</v>
      </c>
      <c r="AU231" s="11">
        <v>47600018</v>
      </c>
      <c r="AV231" s="11" t="s">
        <v>0</v>
      </c>
      <c r="AW231" s="11" t="s">
        <v>0</v>
      </c>
      <c r="AX231" s="11" t="s">
        <v>0</v>
      </c>
    </row>
    <row r="232" spans="1:50" ht="15">
      <c r="A232" s="10">
        <f t="shared" si="3"/>
        <v>45000222</v>
      </c>
      <c r="B232" s="22" t="s">
        <v>2658</v>
      </c>
      <c r="C232" s="11" t="s">
        <v>2657</v>
      </c>
      <c r="D232" s="4" t="s">
        <v>2654</v>
      </c>
      <c r="E232" s="11">
        <v>700</v>
      </c>
      <c r="F232" s="11">
        <v>150</v>
      </c>
      <c r="G232" s="11">
        <v>20</v>
      </c>
      <c r="H232" s="11">
        <v>-40</v>
      </c>
      <c r="I232" s="11">
        <f>IFERROR(INDEX(ShipPartShape!$A:$A,MATCH(D232,ShipPartShape!$B:$B,0)),"-")</f>
        <v>46000209</v>
      </c>
      <c r="J232" s="4" t="s">
        <v>1257</v>
      </c>
      <c r="K232" s="11">
        <f>IFERROR(INDEX(ShipPartShape!$A:$A,MATCH(J232,ShipPartShape!$B:$B,0)),"-")</f>
        <v>46700012</v>
      </c>
      <c r="L232" s="4" t="s">
        <v>69</v>
      </c>
      <c r="M232" s="11">
        <f>IFERROR(INDEX(ShipPartShape!$A:$A,MATCH(L232,ShipPartShape!$B:$B,0)),"-")</f>
        <v>46300001</v>
      </c>
      <c r="N232" s="4"/>
      <c r="O232" s="11" t="str">
        <f>IFERROR(INDEX(ShipPartShape!$A:$A,MATCH(N232,ShipPartShape!$B:$B,0)),"-")</f>
        <v>-</v>
      </c>
      <c r="P232" s="4"/>
      <c r="Q232" s="11" t="str">
        <f>IFERROR(INDEX(ShipPartShape!$A:$A,MATCH(P232,ShipPartShape!$B:$B,0)),"-")</f>
        <v>-</v>
      </c>
      <c r="R232" s="4"/>
      <c r="S232" s="11" t="str">
        <f>IFERROR(INDEX(ShipPartShape!$A:$A,MATCH(R232,ShipPartShape!$B:$B,0)),"-")</f>
        <v>-</v>
      </c>
      <c r="T232" s="4" t="s">
        <v>601</v>
      </c>
      <c r="U232" s="11">
        <f>IFERROR(INDEX(ShipPartShape!$A:$A,MATCH(T232,ShipPartShape!$B:$B,0)),"-")</f>
        <v>46600001</v>
      </c>
      <c r="V232" s="4" t="s">
        <v>604</v>
      </c>
      <c r="W232" s="11">
        <f>IFERROR(INDEX(ShipPartShape!$A:$A,MATCH(V232,ShipPartShape!$B:$B,0)),"-")</f>
        <v>46600005</v>
      </c>
      <c r="X232" s="4" t="s">
        <v>609</v>
      </c>
      <c r="Y232" s="11">
        <f>IFERROR(INDEX(ShipPartShape!$A:$A,MATCH(X232,ShipPartShape!$B:$B,0)),"-")</f>
        <v>46600011</v>
      </c>
      <c r="Z232" s="4"/>
      <c r="AA232" s="11" t="str">
        <f>IFERROR(INDEX(ShipPartShape!$A:$A,MATCH(Z232,ShipPartShape!$B:$B,0)),"-")</f>
        <v>-</v>
      </c>
      <c r="AB232" s="4"/>
      <c r="AC232" s="11" t="str">
        <f>IFERROR(INDEX(ShipPartShape!$A:$A,MATCH(AB232,ShipPartShape!$B:$B,0)),"-")</f>
        <v>-</v>
      </c>
      <c r="AD232" s="4"/>
      <c r="AE232" s="11" t="str">
        <f>IFERROR(INDEX(ShipPartShape!$A:$A,MATCH(AD232,ShipPartShape!$B:$B,0)),"-")</f>
        <v>-</v>
      </c>
      <c r="AF232" s="4"/>
      <c r="AG232" s="11" t="str">
        <f>IFERROR(INDEX(ShipPartShape!$A:$A,MATCH(AF232,ShipPartShape!$B:$B,0)),"-")</f>
        <v>-</v>
      </c>
      <c r="AH232" s="4"/>
      <c r="AI232" s="11" t="str">
        <f>IFERROR(INDEX(ShipPartShape!$A:$A,MATCH(AH232,ShipPartShape!$B:$B,0)),"-")</f>
        <v>-</v>
      </c>
      <c r="AJ232" s="11" t="s">
        <v>0</v>
      </c>
      <c r="AK232" s="11" t="s">
        <v>0</v>
      </c>
      <c r="AL232" s="11" t="s">
        <v>0</v>
      </c>
      <c r="AM232" s="11" t="s">
        <v>0</v>
      </c>
      <c r="AN232" s="11" t="s">
        <v>0</v>
      </c>
      <c r="AO232" s="11" t="s">
        <v>0</v>
      </c>
      <c r="AP232" s="11" t="s">
        <v>0</v>
      </c>
      <c r="AQ232" s="11" t="s">
        <v>0</v>
      </c>
      <c r="AR232" s="11" t="s">
        <v>0</v>
      </c>
      <c r="AS232" s="11" t="s">
        <v>0</v>
      </c>
      <c r="AT232" s="11" t="s">
        <v>0</v>
      </c>
      <c r="AU232" s="11">
        <v>47600018</v>
      </c>
      <c r="AV232" s="11" t="s">
        <v>0</v>
      </c>
      <c r="AW232" s="11" t="s">
        <v>0</v>
      </c>
      <c r="AX232" s="11" t="s">
        <v>0</v>
      </c>
    </row>
    <row r="233" spans="1:50" ht="15">
      <c r="A233" s="10">
        <f t="shared" si="3"/>
        <v>45000223</v>
      </c>
      <c r="B233" s="207" t="s">
        <v>2700</v>
      </c>
      <c r="C233" s="11" t="s">
        <v>1411</v>
      </c>
      <c r="D233" s="4" t="s">
        <v>1412</v>
      </c>
      <c r="E233" s="11">
        <v>600</v>
      </c>
      <c r="F233" s="11">
        <v>100</v>
      </c>
      <c r="G233" s="11">
        <v>20</v>
      </c>
      <c r="H233" s="11">
        <v>-20</v>
      </c>
      <c r="I233" s="11">
        <f>IFERROR(INDEX(ShipPartShape!$A:$A,MATCH(D233,ShipPartShape!$B:$B,0)),"-")</f>
        <v>46000105</v>
      </c>
      <c r="J233" s="4" t="s">
        <v>1215</v>
      </c>
      <c r="K233" s="11">
        <f>IFERROR(INDEX(ShipPartShape!$A:$A,MATCH(J233,ShipPartShape!$B:$B,0)),"-")</f>
        <v>46700013</v>
      </c>
      <c r="L233" s="4" t="s">
        <v>1413</v>
      </c>
      <c r="M233" s="11">
        <f>IFERROR(INDEX(ShipPartShape!$A:$A,MATCH(L233,ShipPartShape!$B:$B,0)),"-")</f>
        <v>46300003</v>
      </c>
      <c r="N233" s="4" t="s">
        <v>2692</v>
      </c>
      <c r="O233" s="11">
        <f>IFERROR(INDEX(ShipPartShape!$A:$A,MATCH(N233,ShipPartShape!$B:$B,0)),"-")</f>
        <v>46800001</v>
      </c>
      <c r="P233" s="4"/>
      <c r="Q233" s="11" t="str">
        <f>IFERROR(INDEX(ShipPartShape!$A:$A,MATCH(P233,ShipPartShape!$B:$B,0)),"-")</f>
        <v>-</v>
      </c>
      <c r="R233" s="4"/>
      <c r="S233" s="11" t="str">
        <f>IFERROR(INDEX(ShipPartShape!$A:$A,MATCH(R233,ShipPartShape!$B:$B,0)),"-")</f>
        <v>-</v>
      </c>
      <c r="T233" s="4"/>
      <c r="U233" s="11" t="str">
        <f>IFERROR(INDEX(ShipPartShape!$A:$A,MATCH(T233,ShipPartShape!$B:$B,0)),"-")</f>
        <v>-</v>
      </c>
      <c r="V233" s="4" t="s">
        <v>602</v>
      </c>
      <c r="W233" s="11">
        <f>IFERROR(INDEX(ShipPartShape!$A:$A,MATCH(V233,ShipPartShape!$B:$B,0)),"-")</f>
        <v>46600002</v>
      </c>
      <c r="X233" s="4" t="s">
        <v>604</v>
      </c>
      <c r="Y233" s="11">
        <f>IFERROR(INDEX(ShipPartShape!$A:$A,MATCH(X233,ShipPartShape!$B:$B,0)),"-")</f>
        <v>46600005</v>
      </c>
      <c r="Z233" s="4" t="s">
        <v>603</v>
      </c>
      <c r="AA233" s="11">
        <f>IFERROR(INDEX(ShipPartShape!$A:$A,MATCH(Z233,ShipPartShape!$B:$B,0)),"-")</f>
        <v>46600007</v>
      </c>
      <c r="AB233" s="4" t="s">
        <v>611</v>
      </c>
      <c r="AC233" s="11">
        <f>IFERROR(INDEX(ShipPartShape!$A:$A,MATCH(AB233,ShipPartShape!$B:$B,0)),"-")</f>
        <v>46600010</v>
      </c>
      <c r="AD233" s="4"/>
      <c r="AE233" s="11" t="str">
        <f>IFERROR(INDEX(ShipPartShape!$A:$A,MATCH(AD233,ShipPartShape!$B:$B,0)),"-")</f>
        <v>-</v>
      </c>
      <c r="AF233" s="4"/>
      <c r="AG233" s="11" t="str">
        <f>IFERROR(INDEX(ShipPartShape!$A:$A,MATCH(AF233,ShipPartShape!$B:$B,0)),"-")</f>
        <v>-</v>
      </c>
      <c r="AH233" s="4"/>
      <c r="AI233" s="11" t="str">
        <f>IFERROR(INDEX(ShipPartShape!$A:$A,MATCH(AH233,ShipPartShape!$B:$B,0)),"-")</f>
        <v>-</v>
      </c>
      <c r="AJ233" s="11" t="s">
        <v>0</v>
      </c>
      <c r="AK233" s="11" t="s">
        <v>0</v>
      </c>
      <c r="AL233" s="11" t="s">
        <v>0</v>
      </c>
      <c r="AM233" s="11" t="s">
        <v>0</v>
      </c>
      <c r="AN233" s="11" t="s">
        <v>0</v>
      </c>
      <c r="AO233" s="11" t="s">
        <v>0</v>
      </c>
      <c r="AP233" s="11" t="s">
        <v>0</v>
      </c>
      <c r="AQ233" s="11" t="s">
        <v>0</v>
      </c>
      <c r="AR233" s="11" t="s">
        <v>0</v>
      </c>
      <c r="AS233" s="11" t="s">
        <v>0</v>
      </c>
      <c r="AT233" s="11" t="s">
        <v>0</v>
      </c>
      <c r="AU233" s="11">
        <v>47600014</v>
      </c>
      <c r="AV233" s="11" t="s">
        <v>0</v>
      </c>
      <c r="AW233" s="11" t="s">
        <v>0</v>
      </c>
      <c r="AX233" s="11" t="s">
        <v>0</v>
      </c>
    </row>
    <row r="234" spans="1:50" ht="15">
      <c r="A234" s="10">
        <f t="shared" si="3"/>
        <v>45000224</v>
      </c>
      <c r="B234" s="207" t="s">
        <v>2697</v>
      </c>
      <c r="C234" s="11" t="s">
        <v>2604</v>
      </c>
      <c r="D234" s="4" t="s">
        <v>168</v>
      </c>
      <c r="E234" s="11">
        <v>600</v>
      </c>
      <c r="F234" s="11">
        <v>100</v>
      </c>
      <c r="G234" s="11">
        <v>20</v>
      </c>
      <c r="H234" s="11">
        <v>-20</v>
      </c>
      <c r="I234" s="11">
        <f>IFERROR(INDEX(ShipPartShape!$A:$A,MATCH(D234,ShipPartShape!$B:$B,0)),"-")</f>
        <v>46000008</v>
      </c>
      <c r="J234" s="4" t="s">
        <v>70</v>
      </c>
      <c r="K234" s="11">
        <f>IFERROR(INDEX(ShipPartShape!$A:$A,MATCH(J234,ShipPartShape!$B:$B,0)),"-")</f>
        <v>46700001</v>
      </c>
      <c r="L234" s="4" t="s">
        <v>69</v>
      </c>
      <c r="M234" s="11">
        <f>IFERROR(INDEX(ShipPartShape!$A:$A,MATCH(L234,ShipPartShape!$B:$B,0)),"-")</f>
        <v>46300001</v>
      </c>
      <c r="N234" s="4" t="s">
        <v>2692</v>
      </c>
      <c r="O234" s="11">
        <f>IFERROR(INDEX(ShipPartShape!$A:$A,MATCH(N234,ShipPartShape!$B:$B,0)),"-")</f>
        <v>46800001</v>
      </c>
      <c r="P234" s="4"/>
      <c r="Q234" s="11" t="str">
        <f>IFERROR(INDEX(ShipPartShape!$A:$A,MATCH(P234,ShipPartShape!$B:$B,0)),"-")</f>
        <v>-</v>
      </c>
      <c r="R234" s="4"/>
      <c r="S234" s="11" t="str">
        <f>IFERROR(INDEX(ShipPartShape!$A:$A,MATCH(R234,ShipPartShape!$B:$B,0)),"-")</f>
        <v>-</v>
      </c>
      <c r="T234" s="4" t="s">
        <v>602</v>
      </c>
      <c r="U234" s="11">
        <f>IFERROR(INDEX(ShipPartShape!$A:$A,MATCH(T234,ShipPartShape!$B:$B,0)),"-")</f>
        <v>46600002</v>
      </c>
      <c r="V234" s="4" t="s">
        <v>605</v>
      </c>
      <c r="W234" s="11">
        <f>IFERROR(INDEX(ShipPartShape!$A:$A,MATCH(V234,ShipPartShape!$B:$B,0)),"-")</f>
        <v>46600009</v>
      </c>
      <c r="X234" s="4" t="s">
        <v>606</v>
      </c>
      <c r="Y234" s="11">
        <f>IFERROR(INDEX(ShipPartShape!$A:$A,MATCH(X234,ShipPartShape!$B:$B,0)),"-")</f>
        <v>46600003</v>
      </c>
      <c r="Z234" s="4" t="s">
        <v>603</v>
      </c>
      <c r="AA234" s="11">
        <f>IFERROR(INDEX(ShipPartShape!$A:$A,MATCH(Z234,ShipPartShape!$B:$B,0)),"-")</f>
        <v>46600007</v>
      </c>
      <c r="AB234" s="4"/>
      <c r="AC234" s="11" t="str">
        <f>IFERROR(INDEX(ShipPartShape!$A:$A,MATCH(AB234,ShipPartShape!$B:$B,0)),"-")</f>
        <v>-</v>
      </c>
      <c r="AD234" s="4"/>
      <c r="AE234" s="11" t="str">
        <f>IFERROR(INDEX(ShipPartShape!$A:$A,MATCH(AD234,ShipPartShape!$B:$B,0)),"-")</f>
        <v>-</v>
      </c>
      <c r="AF234" s="4"/>
      <c r="AG234" s="11" t="str">
        <f>IFERROR(INDEX(ShipPartShape!$A:$A,MATCH(AF234,ShipPartShape!$B:$B,0)),"-")</f>
        <v>-</v>
      </c>
      <c r="AH234" s="4"/>
      <c r="AI234" s="11" t="str">
        <f>IFERROR(INDEX(ShipPartShape!$A:$A,MATCH(AH234,ShipPartShape!$B:$B,0)),"-")</f>
        <v>-</v>
      </c>
      <c r="AJ234" s="11" t="s">
        <v>0</v>
      </c>
      <c r="AK234" s="11" t="s">
        <v>0</v>
      </c>
      <c r="AL234" s="11" t="s">
        <v>0</v>
      </c>
      <c r="AM234" s="11" t="s">
        <v>0</v>
      </c>
      <c r="AN234" s="11" t="s">
        <v>0</v>
      </c>
      <c r="AO234" s="11" t="s">
        <v>0</v>
      </c>
      <c r="AP234" s="11" t="s">
        <v>0</v>
      </c>
      <c r="AQ234" s="11" t="s">
        <v>0</v>
      </c>
      <c r="AR234" s="11" t="s">
        <v>0</v>
      </c>
      <c r="AS234" s="11" t="s">
        <v>0</v>
      </c>
      <c r="AT234" s="11" t="s">
        <v>0</v>
      </c>
      <c r="AU234" s="11">
        <v>47600014</v>
      </c>
      <c r="AV234" s="11" t="s">
        <v>0</v>
      </c>
      <c r="AW234" s="11" t="s">
        <v>0</v>
      </c>
      <c r="AX234" s="11" t="s">
        <v>0</v>
      </c>
    </row>
    <row r="235" spans="1:50" ht="15">
      <c r="A235" s="10">
        <f t="shared" si="3"/>
        <v>45000225</v>
      </c>
      <c r="B235" s="207" t="s">
        <v>2698</v>
      </c>
      <c r="C235" s="11" t="s">
        <v>2323</v>
      </c>
      <c r="D235" s="4" t="s">
        <v>2325</v>
      </c>
      <c r="E235" s="11">
        <v>600</v>
      </c>
      <c r="F235" s="11">
        <v>100</v>
      </c>
      <c r="G235" s="11">
        <v>20</v>
      </c>
      <c r="H235" s="11">
        <v>-20</v>
      </c>
      <c r="I235" s="11">
        <f>IFERROR(INDEX(ShipPartShape!$A:$A,MATCH(D235,ShipPartShape!$B:$B,0)),"-")</f>
        <v>46000195</v>
      </c>
      <c r="J235" s="4" t="s">
        <v>1216</v>
      </c>
      <c r="K235" s="11">
        <f>IFERROR(INDEX(ShipPartShape!$A:$A,MATCH(J235,ShipPartShape!$B:$B,0)),"-")</f>
        <v>46700014</v>
      </c>
      <c r="L235" s="4"/>
      <c r="M235" s="11" t="str">
        <f>IFERROR(INDEX(ShipPartShape!$A:$A,MATCH(L235,ShipPartShape!$B:$B,0)),"-")</f>
        <v>-</v>
      </c>
      <c r="N235" s="4" t="s">
        <v>2692</v>
      </c>
      <c r="O235" s="11">
        <f>IFERROR(INDEX(ShipPartShape!$A:$A,MATCH(N235,ShipPartShape!$B:$B,0)),"-")</f>
        <v>46800001</v>
      </c>
      <c r="P235" s="4"/>
      <c r="Q235" s="11" t="str">
        <f>IFERROR(INDEX(ShipPartShape!$A:$A,MATCH(P235,ShipPartShape!$B:$B,0)),"-")</f>
        <v>-</v>
      </c>
      <c r="R235" s="4"/>
      <c r="S235" s="11" t="str">
        <f>IFERROR(INDEX(ShipPartShape!$A:$A,MATCH(R235,ShipPartShape!$B:$B,0)),"-")</f>
        <v>-</v>
      </c>
      <c r="T235" s="4" t="s">
        <v>601</v>
      </c>
      <c r="U235" s="11">
        <f>IFERROR(INDEX(ShipPartShape!$A:$A,MATCH(T235,ShipPartShape!$B:$B,0)),"-")</f>
        <v>46600001</v>
      </c>
      <c r="V235" s="4" t="s">
        <v>602</v>
      </c>
      <c r="W235" s="11">
        <f>IFERROR(INDEX(ShipPartShape!$A:$A,MATCH(V235,ShipPartShape!$B:$B,0)),"-")</f>
        <v>46600002</v>
      </c>
      <c r="X235" s="4" t="s">
        <v>604</v>
      </c>
      <c r="Y235" s="11">
        <f>IFERROR(INDEX(ShipPartShape!$A:$A,MATCH(X235,ShipPartShape!$B:$B,0)),"-")</f>
        <v>46600005</v>
      </c>
      <c r="Z235" s="4" t="s">
        <v>607</v>
      </c>
      <c r="AA235" s="11">
        <f>IFERROR(INDEX(ShipPartShape!$A:$A,MATCH(Z235,ShipPartShape!$B:$B,0)),"-")</f>
        <v>46600008</v>
      </c>
      <c r="AB235" s="4"/>
      <c r="AC235" s="11" t="str">
        <f>IFERROR(INDEX(ShipPartShape!$A:$A,MATCH(AB235,ShipPartShape!$B:$B,0)),"-")</f>
        <v>-</v>
      </c>
      <c r="AD235" s="4"/>
      <c r="AE235" s="11" t="str">
        <f>IFERROR(INDEX(ShipPartShape!$A:$A,MATCH(AD235,ShipPartShape!$B:$B,0)),"-")</f>
        <v>-</v>
      </c>
      <c r="AF235" s="4"/>
      <c r="AG235" s="11" t="str">
        <f>IFERROR(INDEX(ShipPartShape!$A:$A,MATCH(AF235,ShipPartShape!$B:$B,0)),"-")</f>
        <v>-</v>
      </c>
      <c r="AH235" s="4"/>
      <c r="AI235" s="11" t="str">
        <f>IFERROR(INDEX(ShipPartShape!$A:$A,MATCH(AH235,ShipPartShape!$B:$B,0)),"-")</f>
        <v>-</v>
      </c>
      <c r="AJ235" s="11" t="s">
        <v>0</v>
      </c>
      <c r="AK235" s="11" t="s">
        <v>0</v>
      </c>
      <c r="AL235" s="11" t="s">
        <v>0</v>
      </c>
      <c r="AM235" s="11" t="s">
        <v>0</v>
      </c>
      <c r="AN235" s="11" t="s">
        <v>0</v>
      </c>
      <c r="AO235" s="11" t="s">
        <v>0</v>
      </c>
      <c r="AP235" s="11" t="s">
        <v>0</v>
      </c>
      <c r="AQ235" s="11" t="s">
        <v>0</v>
      </c>
      <c r="AR235" s="11" t="s">
        <v>0</v>
      </c>
      <c r="AS235" s="11" t="s">
        <v>0</v>
      </c>
      <c r="AT235" s="11" t="s">
        <v>0</v>
      </c>
      <c r="AU235" s="11">
        <v>47600015</v>
      </c>
      <c r="AV235" s="11" t="s">
        <v>0</v>
      </c>
      <c r="AW235" s="11" t="s">
        <v>0</v>
      </c>
      <c r="AX235" s="11" t="s">
        <v>0</v>
      </c>
    </row>
    <row r="236" spans="1:50" ht="15">
      <c r="A236" s="10">
        <f t="shared" si="3"/>
        <v>45000226</v>
      </c>
      <c r="B236" s="207" t="s">
        <v>2699</v>
      </c>
      <c r="C236" s="11" t="s">
        <v>1566</v>
      </c>
      <c r="D236" s="4" t="s">
        <v>1567</v>
      </c>
      <c r="E236" s="11">
        <v>600</v>
      </c>
      <c r="F236" s="11">
        <v>100</v>
      </c>
      <c r="G236" s="11">
        <v>10</v>
      </c>
      <c r="H236" s="11">
        <v>-40</v>
      </c>
      <c r="I236" s="11">
        <f>IFERROR(INDEX(ShipPartShape!$A:$A,MATCH(D236,ShipPartShape!$B:$B,0)),"-")</f>
        <v>46000142</v>
      </c>
      <c r="J236" s="4" t="s">
        <v>1374</v>
      </c>
      <c r="K236" s="11">
        <f>IFERROR(INDEX(ShipPartShape!$A:$A,MATCH(J236,ShipPartShape!$B:$B,0)),"-")</f>
        <v>46700008</v>
      </c>
      <c r="L236" s="4" t="s">
        <v>1398</v>
      </c>
      <c r="M236" s="11">
        <f>IFERROR(INDEX(ShipPartShape!$A:$A,MATCH(L236,ShipPartShape!$B:$B,0)),"-")</f>
        <v>46300002</v>
      </c>
      <c r="N236" s="4" t="s">
        <v>2692</v>
      </c>
      <c r="O236" s="11">
        <f>IFERROR(INDEX(ShipPartShape!$A:$A,MATCH(N236,ShipPartShape!$B:$B,0)),"-")</f>
        <v>46800001</v>
      </c>
      <c r="P236" s="4"/>
      <c r="Q236" s="11" t="str">
        <f>IFERROR(INDEX(ShipPartShape!$A:$A,MATCH(P236,ShipPartShape!$B:$B,0)),"-")</f>
        <v>-</v>
      </c>
      <c r="R236" s="4"/>
      <c r="S236" s="11" t="str">
        <f>IFERROR(INDEX(ShipPartShape!$A:$A,MATCH(R236,ShipPartShape!$B:$B,0)),"-")</f>
        <v>-</v>
      </c>
      <c r="T236" s="4"/>
      <c r="U236" s="11" t="str">
        <f>IFERROR(INDEX(ShipPartShape!$A:$A,MATCH(T236,ShipPartShape!$B:$B,0)),"-")</f>
        <v>-</v>
      </c>
      <c r="V236" s="4"/>
      <c r="W236" s="11" t="str">
        <f>IFERROR(INDEX(ShipPartShape!$A:$A,MATCH(V236,ShipPartShape!$B:$B,0)),"-")</f>
        <v>-</v>
      </c>
      <c r="X236" s="4"/>
      <c r="Y236" s="11" t="str">
        <f>IFERROR(INDEX(ShipPartShape!$A:$A,MATCH(X236,ShipPartShape!$B:$B,0)),"-")</f>
        <v>-</v>
      </c>
      <c r="Z236" s="4"/>
      <c r="AA236" s="11" t="str">
        <f>IFERROR(INDEX(ShipPartShape!$A:$A,MATCH(Z236,ShipPartShape!$B:$B,0)),"-")</f>
        <v>-</v>
      </c>
      <c r="AB236" s="4"/>
      <c r="AC236" s="11" t="str">
        <f>IFERROR(INDEX(ShipPartShape!$A:$A,MATCH(AB236,ShipPartShape!$B:$B,0)),"-")</f>
        <v>-</v>
      </c>
      <c r="AD236" s="4"/>
      <c r="AE236" s="11" t="str">
        <f>IFERROR(INDEX(ShipPartShape!$A:$A,MATCH(AD236,ShipPartShape!$B:$B,0)),"-")</f>
        <v>-</v>
      </c>
      <c r="AF236" s="4"/>
      <c r="AG236" s="11" t="str">
        <f>IFERROR(INDEX(ShipPartShape!$A:$A,MATCH(AF236,ShipPartShape!$B:$B,0)),"-")</f>
        <v>-</v>
      </c>
      <c r="AH236" s="4"/>
      <c r="AI236" s="11" t="str">
        <f>IFERROR(INDEX(ShipPartShape!$A:$A,MATCH(AH236,ShipPartShape!$B:$B,0)),"-")</f>
        <v>-</v>
      </c>
      <c r="AJ236" s="11" t="s">
        <v>0</v>
      </c>
      <c r="AK236" s="11" t="s">
        <v>0</v>
      </c>
      <c r="AL236" s="11" t="s">
        <v>0</v>
      </c>
      <c r="AM236" s="11" t="s">
        <v>0</v>
      </c>
      <c r="AN236" s="11" t="s">
        <v>0</v>
      </c>
      <c r="AO236" s="11" t="s">
        <v>0</v>
      </c>
      <c r="AP236" s="11" t="s">
        <v>0</v>
      </c>
      <c r="AQ236" s="11" t="s">
        <v>0</v>
      </c>
      <c r="AR236" s="11" t="s">
        <v>0</v>
      </c>
      <c r="AS236" s="11" t="s">
        <v>0</v>
      </c>
      <c r="AT236" s="11" t="s">
        <v>0</v>
      </c>
      <c r="AU236" s="11">
        <v>47600015</v>
      </c>
      <c r="AV236" s="11" t="s">
        <v>0</v>
      </c>
      <c r="AW236" s="11" t="s">
        <v>0</v>
      </c>
      <c r="AX236" s="11" t="s">
        <v>0</v>
      </c>
    </row>
    <row r="237" spans="1:50" ht="15">
      <c r="A237" s="10">
        <f t="shared" si="3"/>
        <v>45000227</v>
      </c>
      <c r="B237" s="22" t="s">
        <v>2714</v>
      </c>
      <c r="C237" s="11" t="s">
        <v>2717</v>
      </c>
      <c r="D237" s="4" t="s">
        <v>2715</v>
      </c>
      <c r="E237" s="11">
        <v>700</v>
      </c>
      <c r="F237" s="11">
        <v>100</v>
      </c>
      <c r="G237" s="11">
        <v>20</v>
      </c>
      <c r="H237" s="11">
        <v>-40</v>
      </c>
      <c r="I237" s="11">
        <f>IFERROR(INDEX(ShipPartShape!$A:$A,MATCH(D237,ShipPartShape!$B:$B,0)),"-")</f>
        <v>46000210</v>
      </c>
      <c r="J237" s="4" t="s">
        <v>1255</v>
      </c>
      <c r="K237" s="11">
        <f>IFERROR(INDEX(ShipPartShape!$A:$A,MATCH(J237,ShipPartShape!$B:$B,0)),"-")</f>
        <v>46700009</v>
      </c>
      <c r="L237" s="4"/>
      <c r="M237" s="11" t="str">
        <f>IFERROR(INDEX(ShipPartShape!$A:$A,MATCH(L237,ShipPartShape!$B:$B,0)),"-")</f>
        <v>-</v>
      </c>
      <c r="N237" s="4"/>
      <c r="O237" s="11" t="str">
        <f>IFERROR(INDEX(ShipPartShape!$A:$A,MATCH(N237,ShipPartShape!$B:$B,0)),"-")</f>
        <v>-</v>
      </c>
      <c r="P237" s="4"/>
      <c r="Q237" s="11" t="str">
        <f>IFERROR(INDEX(ShipPartShape!$A:$A,MATCH(P237,ShipPartShape!$B:$B,0)),"-")</f>
        <v>-</v>
      </c>
      <c r="R237" s="4"/>
      <c r="S237" s="11" t="str">
        <f>IFERROR(INDEX(ShipPartShape!$A:$A,MATCH(R237,ShipPartShape!$B:$B,0)),"-")</f>
        <v>-</v>
      </c>
      <c r="T237" s="4" t="s">
        <v>605</v>
      </c>
      <c r="U237" s="11">
        <f>IFERROR(INDEX(ShipPartShape!$A:$A,MATCH(T237,ShipPartShape!$B:$B,0)),"-")</f>
        <v>46600009</v>
      </c>
      <c r="V237" s="4" t="s">
        <v>603</v>
      </c>
      <c r="W237" s="11">
        <f>IFERROR(INDEX(ShipPartShape!$A:$A,MATCH(V237,ShipPartShape!$B:$B,0)),"-")</f>
        <v>46600007</v>
      </c>
      <c r="X237" s="4"/>
      <c r="Y237" s="11" t="str">
        <f>IFERROR(INDEX(ShipPartShape!$A:$A,MATCH(X237,ShipPartShape!$B:$B,0)),"-")</f>
        <v>-</v>
      </c>
      <c r="Z237" s="4"/>
      <c r="AA237" s="11" t="str">
        <f>IFERROR(INDEX(ShipPartShape!$A:$A,MATCH(Z237,ShipPartShape!$B:$B,0)),"-")</f>
        <v>-</v>
      </c>
      <c r="AB237" s="4"/>
      <c r="AC237" s="11" t="str">
        <f>IFERROR(INDEX(ShipPartShape!$A:$A,MATCH(AB237,ShipPartShape!$B:$B,0)),"-")</f>
        <v>-</v>
      </c>
      <c r="AD237" s="4"/>
      <c r="AE237" s="11" t="str">
        <f>IFERROR(INDEX(ShipPartShape!$A:$A,MATCH(AD237,ShipPartShape!$B:$B,0)),"-")</f>
        <v>-</v>
      </c>
      <c r="AF237" s="4"/>
      <c r="AG237" s="11" t="str">
        <f>IFERROR(INDEX(ShipPartShape!$A:$A,MATCH(AF237,ShipPartShape!$B:$B,0)),"-")</f>
        <v>-</v>
      </c>
      <c r="AH237" s="4"/>
      <c r="AI237" s="11" t="str">
        <f>IFERROR(INDEX(ShipPartShape!$A:$A,MATCH(AH237,ShipPartShape!$B:$B,0)),"-")</f>
        <v>-</v>
      </c>
      <c r="AJ237" s="11" t="s">
        <v>0</v>
      </c>
      <c r="AK237" s="11" t="s">
        <v>0</v>
      </c>
      <c r="AL237" s="11" t="s">
        <v>0</v>
      </c>
      <c r="AM237" s="11" t="s">
        <v>0</v>
      </c>
      <c r="AN237" s="11" t="s">
        <v>0</v>
      </c>
      <c r="AO237" s="11" t="s">
        <v>0</v>
      </c>
      <c r="AP237" s="11" t="s">
        <v>0</v>
      </c>
      <c r="AQ237" s="11" t="s">
        <v>0</v>
      </c>
      <c r="AR237" s="11" t="s">
        <v>0</v>
      </c>
      <c r="AS237" s="11" t="s">
        <v>0</v>
      </c>
      <c r="AT237" s="11" t="s">
        <v>0</v>
      </c>
      <c r="AU237" s="11">
        <v>47600016</v>
      </c>
      <c r="AV237" s="11" t="s">
        <v>0</v>
      </c>
      <c r="AW237" s="11" t="s">
        <v>0</v>
      </c>
      <c r="AX237" s="11" t="s">
        <v>0</v>
      </c>
    </row>
    <row r="238" spans="1:50" ht="15">
      <c r="A238" s="10">
        <f t="shared" si="3"/>
        <v>45000228</v>
      </c>
      <c r="B238" s="208" t="s">
        <v>2721</v>
      </c>
      <c r="C238" s="11" t="s">
        <v>2722</v>
      </c>
      <c r="D238" s="4" t="s">
        <v>2718</v>
      </c>
      <c r="E238" s="11">
        <v>700</v>
      </c>
      <c r="F238" s="11">
        <v>100</v>
      </c>
      <c r="G238" s="11">
        <v>20</v>
      </c>
      <c r="H238" s="11">
        <v>-40</v>
      </c>
      <c r="I238" s="11">
        <f>IFERROR(INDEX(ShipPartShape!$A:$A,MATCH(D238,ShipPartShape!$B:$B,0)),"-")</f>
        <v>46000211</v>
      </c>
      <c r="J238" s="4"/>
      <c r="K238" s="11" t="str">
        <f>IFERROR(INDEX(ShipPartShape!$A:$A,MATCH(J238,ShipPartShape!$B:$B,0)),"-")</f>
        <v>-</v>
      </c>
      <c r="L238" s="4"/>
      <c r="M238" s="11" t="str">
        <f>IFERROR(INDEX(ShipPartShape!$A:$A,MATCH(L238,ShipPartShape!$B:$B,0)),"-")</f>
        <v>-</v>
      </c>
      <c r="N238" s="4"/>
      <c r="O238" s="11" t="str">
        <f>IFERROR(INDEX(ShipPartShape!$A:$A,MATCH(N238,ShipPartShape!$B:$B,0)),"-")</f>
        <v>-</v>
      </c>
      <c r="P238" s="4"/>
      <c r="Q238" s="11" t="str">
        <f>IFERROR(INDEX(ShipPartShape!$A:$A,MATCH(P238,ShipPartShape!$B:$B,0)),"-")</f>
        <v>-</v>
      </c>
      <c r="R238" s="4"/>
      <c r="S238" s="11" t="str">
        <f>IFERROR(INDEX(ShipPartShape!$A:$A,MATCH(R238,ShipPartShape!$B:$B,0)),"-")</f>
        <v>-</v>
      </c>
      <c r="T238" s="4"/>
      <c r="U238" s="11" t="str">
        <f>IFERROR(INDEX(ShipPartShape!$A:$A,MATCH(T238,ShipPartShape!$B:$B,0)),"-")</f>
        <v>-</v>
      </c>
      <c r="V238" s="4"/>
      <c r="W238" s="11" t="str">
        <f>IFERROR(INDEX(ShipPartShape!$A:$A,MATCH(V238,ShipPartShape!$B:$B,0)),"-")</f>
        <v>-</v>
      </c>
      <c r="X238" s="4"/>
      <c r="Y238" s="11" t="str">
        <f>IFERROR(INDEX(ShipPartShape!$A:$A,MATCH(X238,ShipPartShape!$B:$B,0)),"-")</f>
        <v>-</v>
      </c>
      <c r="Z238" s="4"/>
      <c r="AA238" s="11" t="str">
        <f>IFERROR(INDEX(ShipPartShape!$A:$A,MATCH(Z238,ShipPartShape!$B:$B,0)),"-")</f>
        <v>-</v>
      </c>
      <c r="AB238" s="4"/>
      <c r="AC238" s="11" t="str">
        <f>IFERROR(INDEX(ShipPartShape!$A:$A,MATCH(AB238,ShipPartShape!$B:$B,0)),"-")</f>
        <v>-</v>
      </c>
      <c r="AD238" s="4"/>
      <c r="AE238" s="11" t="str">
        <f>IFERROR(INDEX(ShipPartShape!$A:$A,MATCH(AD238,ShipPartShape!$B:$B,0)),"-")</f>
        <v>-</v>
      </c>
      <c r="AF238" s="4"/>
      <c r="AG238" s="11" t="str">
        <f>IFERROR(INDEX(ShipPartShape!$A:$A,MATCH(AF238,ShipPartShape!$B:$B,0)),"-")</f>
        <v>-</v>
      </c>
      <c r="AH238" s="4"/>
      <c r="AI238" s="11" t="str">
        <f>IFERROR(INDEX(ShipPartShape!$A:$A,MATCH(AH238,ShipPartShape!$B:$B,0)),"-")</f>
        <v>-</v>
      </c>
      <c r="AJ238" s="11" t="s">
        <v>0</v>
      </c>
      <c r="AK238" s="11" t="s">
        <v>0</v>
      </c>
      <c r="AL238" s="11" t="s">
        <v>0</v>
      </c>
      <c r="AM238" s="11" t="s">
        <v>0</v>
      </c>
      <c r="AN238" s="11" t="s">
        <v>0</v>
      </c>
      <c r="AO238" s="11" t="s">
        <v>0</v>
      </c>
      <c r="AP238" s="11" t="s">
        <v>0</v>
      </c>
      <c r="AQ238" s="11" t="s">
        <v>0</v>
      </c>
      <c r="AR238" s="11" t="s">
        <v>0</v>
      </c>
      <c r="AS238" s="11" t="s">
        <v>0</v>
      </c>
      <c r="AT238" s="11" t="s">
        <v>0</v>
      </c>
      <c r="AU238" s="11">
        <v>47600018</v>
      </c>
      <c r="AV238" s="11" t="s">
        <v>0</v>
      </c>
      <c r="AW238" s="11" t="s">
        <v>0</v>
      </c>
      <c r="AX238" s="11" t="s">
        <v>0</v>
      </c>
    </row>
    <row r="239" spans="1:50" ht="15">
      <c r="A239" s="10">
        <f t="shared" si="3"/>
        <v>45000229</v>
      </c>
      <c r="B239" s="22" t="s">
        <v>2735</v>
      </c>
      <c r="C239" s="11" t="s">
        <v>2761</v>
      </c>
      <c r="D239" s="4" t="s">
        <v>2733</v>
      </c>
      <c r="E239" s="11">
        <v>700</v>
      </c>
      <c r="F239" s="11">
        <v>150</v>
      </c>
      <c r="G239" s="11">
        <v>20</v>
      </c>
      <c r="H239" s="11">
        <v>-40</v>
      </c>
      <c r="I239" s="11">
        <f>IFERROR(INDEX(ShipPartShape!$A:$A,MATCH(D239,ShipPartShape!$B:$B,0)),"-")</f>
        <v>46000212</v>
      </c>
      <c r="J239" s="4" t="s">
        <v>1216</v>
      </c>
      <c r="K239" s="11">
        <f>IFERROR(INDEX(ShipPartShape!$A:$A,MATCH(J239,ShipPartShape!$B:$B,0)),"-")</f>
        <v>46700014</v>
      </c>
      <c r="L239" s="4"/>
      <c r="M239" s="11" t="str">
        <f>IFERROR(INDEX(ShipPartShape!$A:$A,MATCH(L239,ShipPartShape!$B:$B,0)),"-")</f>
        <v>-</v>
      </c>
      <c r="N239" s="4"/>
      <c r="O239" s="11" t="str">
        <f>IFERROR(INDEX(ShipPartShape!$A:$A,MATCH(N239,ShipPartShape!$B:$B,0)),"-")</f>
        <v>-</v>
      </c>
      <c r="P239" s="4"/>
      <c r="Q239" s="11" t="str">
        <f>IFERROR(INDEX(ShipPartShape!$A:$A,MATCH(P239,ShipPartShape!$B:$B,0)),"-")</f>
        <v>-</v>
      </c>
      <c r="R239" s="4"/>
      <c r="S239" s="11" t="str">
        <f>IFERROR(INDEX(ShipPartShape!$A:$A,MATCH(R239,ShipPartShape!$B:$B,0)),"-")</f>
        <v>-</v>
      </c>
      <c r="T239" s="4"/>
      <c r="U239" s="11" t="str">
        <f>IFERROR(INDEX(ShipPartShape!$A:$A,MATCH(T239,ShipPartShape!$B:$B,0)),"-")</f>
        <v>-</v>
      </c>
      <c r="V239" s="4"/>
      <c r="W239" s="11" t="str">
        <f>IFERROR(INDEX(ShipPartShape!$A:$A,MATCH(V239,ShipPartShape!$B:$B,0)),"-")</f>
        <v>-</v>
      </c>
      <c r="X239" s="4"/>
      <c r="Y239" s="11" t="str">
        <f>IFERROR(INDEX(ShipPartShape!$A:$A,MATCH(X239,ShipPartShape!$B:$B,0)),"-")</f>
        <v>-</v>
      </c>
      <c r="Z239" s="4"/>
      <c r="AA239" s="11" t="str">
        <f>IFERROR(INDEX(ShipPartShape!$A:$A,MATCH(Z239,ShipPartShape!$B:$B,0)),"-")</f>
        <v>-</v>
      </c>
      <c r="AB239" s="4"/>
      <c r="AC239" s="11" t="str">
        <f>IFERROR(INDEX(ShipPartShape!$A:$A,MATCH(AB239,ShipPartShape!$B:$B,0)),"-")</f>
        <v>-</v>
      </c>
      <c r="AD239" s="4"/>
      <c r="AE239" s="11" t="str">
        <f>IFERROR(INDEX(ShipPartShape!$A:$A,MATCH(AD239,ShipPartShape!$B:$B,0)),"-")</f>
        <v>-</v>
      </c>
      <c r="AF239" s="4"/>
      <c r="AG239" s="11" t="str">
        <f>IFERROR(INDEX(ShipPartShape!$A:$A,MATCH(AF239,ShipPartShape!$B:$B,0)),"-")</f>
        <v>-</v>
      </c>
      <c r="AH239" s="4"/>
      <c r="AI239" s="11" t="str">
        <f>IFERROR(INDEX(ShipPartShape!$A:$A,MATCH(AH239,ShipPartShape!$B:$B,0)),"-")</f>
        <v>-</v>
      </c>
      <c r="AJ239" s="11" t="s">
        <v>0</v>
      </c>
      <c r="AK239" s="11" t="s">
        <v>0</v>
      </c>
      <c r="AL239" s="11" t="s">
        <v>0</v>
      </c>
      <c r="AM239" s="11" t="s">
        <v>0</v>
      </c>
      <c r="AN239" s="11" t="s">
        <v>0</v>
      </c>
      <c r="AO239" s="11" t="s">
        <v>0</v>
      </c>
      <c r="AP239" s="11" t="s">
        <v>0</v>
      </c>
      <c r="AQ239" s="11" t="s">
        <v>0</v>
      </c>
      <c r="AR239" s="11" t="s">
        <v>0</v>
      </c>
      <c r="AS239" s="11" t="s">
        <v>0</v>
      </c>
      <c r="AT239" s="11" t="s">
        <v>0</v>
      </c>
      <c r="AU239" s="11">
        <v>47600018</v>
      </c>
      <c r="AV239" s="11" t="s">
        <v>0</v>
      </c>
      <c r="AW239" s="11" t="s">
        <v>0</v>
      </c>
      <c r="AX239" s="11" t="s">
        <v>0</v>
      </c>
    </row>
    <row r="240" spans="1:50" ht="15">
      <c r="A240" s="10">
        <f t="shared" si="3"/>
        <v>45000230</v>
      </c>
      <c r="B240" s="22" t="s">
        <v>2749</v>
      </c>
      <c r="C240" s="11" t="s">
        <v>2750</v>
      </c>
      <c r="D240" s="4" t="s">
        <v>2746</v>
      </c>
      <c r="E240" s="11">
        <v>700</v>
      </c>
      <c r="F240" s="11">
        <v>150</v>
      </c>
      <c r="G240" s="11">
        <v>10</v>
      </c>
      <c r="H240" s="11">
        <v>-40</v>
      </c>
      <c r="I240" s="11">
        <f>IFERROR(INDEX(ShipPartShape!$A:$A,MATCH(D240,ShipPartShape!$B:$B,0)),"-")</f>
        <v>46000213</v>
      </c>
      <c r="J240" s="4" t="s">
        <v>1215</v>
      </c>
      <c r="K240" s="11">
        <f>IFERROR(INDEX(ShipPartShape!$A:$A,MATCH(J240,ShipPartShape!$B:$B,0)),"-")</f>
        <v>46700013</v>
      </c>
      <c r="L240" s="4" t="s">
        <v>69</v>
      </c>
      <c r="M240" s="11">
        <f>IFERROR(INDEX(ShipPartShape!$A:$A,MATCH(L240,ShipPartShape!$B:$B,0)),"-")</f>
        <v>46300001</v>
      </c>
      <c r="N240" s="4"/>
      <c r="O240" s="11" t="str">
        <f>IFERROR(INDEX(ShipPartShape!$A:$A,MATCH(N240,ShipPartShape!$B:$B,0)),"-")</f>
        <v>-</v>
      </c>
      <c r="P240" s="4"/>
      <c r="Q240" s="11" t="str">
        <f>IFERROR(INDEX(ShipPartShape!$A:$A,MATCH(P240,ShipPartShape!$B:$B,0)),"-")</f>
        <v>-</v>
      </c>
      <c r="R240" s="4"/>
      <c r="S240" s="11" t="str">
        <f>IFERROR(INDEX(ShipPartShape!$A:$A,MATCH(R240,ShipPartShape!$B:$B,0)),"-")</f>
        <v>-</v>
      </c>
      <c r="T240" s="4" t="s">
        <v>602</v>
      </c>
      <c r="U240" s="11">
        <f>IFERROR(INDEX(ShipPartShape!$A:$A,MATCH(T240,ShipPartShape!$B:$B,0)),"-")</f>
        <v>46600002</v>
      </c>
      <c r="V240" s="4" t="s">
        <v>603</v>
      </c>
      <c r="W240" s="11">
        <f>IFERROR(INDEX(ShipPartShape!$A:$A,MATCH(V240,ShipPartShape!$B:$B,0)),"-")</f>
        <v>46600007</v>
      </c>
      <c r="X240" s="4" t="s">
        <v>607</v>
      </c>
      <c r="Y240" s="11">
        <f>IFERROR(INDEX(ShipPartShape!$A:$A,MATCH(X240,ShipPartShape!$B:$B,0)),"-")</f>
        <v>46600008</v>
      </c>
      <c r="Z240" s="4"/>
      <c r="AA240" s="11" t="str">
        <f>IFERROR(INDEX(ShipPartShape!$A:$A,MATCH(Z240,ShipPartShape!$B:$B,0)),"-")</f>
        <v>-</v>
      </c>
      <c r="AB240" s="4"/>
      <c r="AC240" s="11" t="str">
        <f>IFERROR(INDEX(ShipPartShape!$A:$A,MATCH(AB240,ShipPartShape!$B:$B,0)),"-")</f>
        <v>-</v>
      </c>
      <c r="AD240" s="4"/>
      <c r="AE240" s="11" t="str">
        <f>IFERROR(INDEX(ShipPartShape!$A:$A,MATCH(AD240,ShipPartShape!$B:$B,0)),"-")</f>
        <v>-</v>
      </c>
      <c r="AF240" s="4"/>
      <c r="AG240" s="11" t="str">
        <f>IFERROR(INDEX(ShipPartShape!$A:$A,MATCH(AF240,ShipPartShape!$B:$B,0)),"-")</f>
        <v>-</v>
      </c>
      <c r="AH240" s="4"/>
      <c r="AI240" s="11" t="str">
        <f>IFERROR(INDEX(ShipPartShape!$A:$A,MATCH(AH240,ShipPartShape!$B:$B,0)),"-")</f>
        <v>-</v>
      </c>
      <c r="AJ240" s="11" t="s">
        <v>0</v>
      </c>
      <c r="AK240" s="11" t="s">
        <v>0</v>
      </c>
      <c r="AL240" s="11" t="s">
        <v>0</v>
      </c>
      <c r="AM240" s="11" t="s">
        <v>0</v>
      </c>
      <c r="AN240" s="11" t="s">
        <v>0</v>
      </c>
      <c r="AO240" s="11" t="s">
        <v>0</v>
      </c>
      <c r="AP240" s="11" t="s">
        <v>0</v>
      </c>
      <c r="AQ240" s="11" t="s">
        <v>0</v>
      </c>
      <c r="AR240" s="11" t="s">
        <v>0</v>
      </c>
      <c r="AS240" s="11" t="s">
        <v>0</v>
      </c>
      <c r="AT240" s="11" t="s">
        <v>0</v>
      </c>
      <c r="AU240" s="11">
        <v>47600017</v>
      </c>
      <c r="AV240" s="11" t="s">
        <v>0</v>
      </c>
      <c r="AW240" s="11" t="s">
        <v>0</v>
      </c>
      <c r="AX240" s="11" t="s">
        <v>0</v>
      </c>
    </row>
    <row r="241" spans="1:50" ht="15">
      <c r="A241" s="10">
        <f t="shared" si="3"/>
        <v>45000231</v>
      </c>
      <c r="B241" s="22" t="s">
        <v>2754</v>
      </c>
      <c r="C241" s="11" t="s">
        <v>2755</v>
      </c>
      <c r="D241" s="4" t="s">
        <v>2751</v>
      </c>
      <c r="E241" s="11">
        <v>700</v>
      </c>
      <c r="F241" s="11">
        <v>150</v>
      </c>
      <c r="G241" s="11">
        <v>20</v>
      </c>
      <c r="H241" s="11">
        <v>-40</v>
      </c>
      <c r="I241" s="11">
        <f>IFERROR(INDEX(ShipPartShape!$A:$A,MATCH(D241,ShipPartShape!$B:$B,0)),"-")</f>
        <v>46000214</v>
      </c>
      <c r="J241" s="4" t="s">
        <v>1257</v>
      </c>
      <c r="K241" s="11">
        <f>IFERROR(INDEX(ShipPartShape!$A:$A,MATCH(J241,ShipPartShape!$B:$B,0)),"-")</f>
        <v>46700012</v>
      </c>
      <c r="L241" s="4"/>
      <c r="M241" s="11" t="str">
        <f>IFERROR(INDEX(ShipPartShape!$A:$A,MATCH(L241,ShipPartShape!$B:$B,0)),"-")</f>
        <v>-</v>
      </c>
      <c r="N241" s="4"/>
      <c r="O241" s="11" t="str">
        <f>IFERROR(INDEX(ShipPartShape!$A:$A,MATCH(N241,ShipPartShape!$B:$B,0)),"-")</f>
        <v>-</v>
      </c>
      <c r="P241" s="4"/>
      <c r="Q241" s="11" t="str">
        <f>IFERROR(INDEX(ShipPartShape!$A:$A,MATCH(P241,ShipPartShape!$B:$B,0)),"-")</f>
        <v>-</v>
      </c>
      <c r="R241" s="4"/>
      <c r="S241" s="11" t="str">
        <f>IFERROR(INDEX(ShipPartShape!$A:$A,MATCH(R241,ShipPartShape!$B:$B,0)),"-")</f>
        <v>-</v>
      </c>
      <c r="T241" s="4" t="s">
        <v>609</v>
      </c>
      <c r="U241" s="11">
        <f>IFERROR(INDEX(ShipPartShape!$A:$A,MATCH(T241,ShipPartShape!$B:$B,0)),"-")</f>
        <v>46600011</v>
      </c>
      <c r="V241" s="4"/>
      <c r="W241" s="11" t="str">
        <f>IFERROR(INDEX(ShipPartShape!$A:$A,MATCH(V241,ShipPartShape!$B:$B,0)),"-")</f>
        <v>-</v>
      </c>
      <c r="X241" s="4"/>
      <c r="Y241" s="11" t="str">
        <f>IFERROR(INDEX(ShipPartShape!$A:$A,MATCH(X241,ShipPartShape!$B:$B,0)),"-")</f>
        <v>-</v>
      </c>
      <c r="Z241" s="4"/>
      <c r="AA241" s="11" t="str">
        <f>IFERROR(INDEX(ShipPartShape!$A:$A,MATCH(Z241,ShipPartShape!$B:$B,0)),"-")</f>
        <v>-</v>
      </c>
      <c r="AB241" s="4"/>
      <c r="AC241" s="11" t="str">
        <f>IFERROR(INDEX(ShipPartShape!$A:$A,MATCH(AB241,ShipPartShape!$B:$B,0)),"-")</f>
        <v>-</v>
      </c>
      <c r="AD241" s="4"/>
      <c r="AE241" s="11" t="str">
        <f>IFERROR(INDEX(ShipPartShape!$A:$A,MATCH(AD241,ShipPartShape!$B:$B,0)),"-")</f>
        <v>-</v>
      </c>
      <c r="AF241" s="4"/>
      <c r="AG241" s="11" t="str">
        <f>IFERROR(INDEX(ShipPartShape!$A:$A,MATCH(AF241,ShipPartShape!$B:$B,0)),"-")</f>
        <v>-</v>
      </c>
      <c r="AH241" s="4"/>
      <c r="AI241" s="11" t="str">
        <f>IFERROR(INDEX(ShipPartShape!$A:$A,MATCH(AH241,ShipPartShape!$B:$B,0)),"-")</f>
        <v>-</v>
      </c>
      <c r="AJ241" s="11" t="s">
        <v>0</v>
      </c>
      <c r="AK241" s="11" t="s">
        <v>0</v>
      </c>
      <c r="AL241" s="11" t="s">
        <v>0</v>
      </c>
      <c r="AM241" s="11" t="s">
        <v>0</v>
      </c>
      <c r="AN241" s="11" t="s">
        <v>0</v>
      </c>
      <c r="AO241" s="11" t="s">
        <v>0</v>
      </c>
      <c r="AP241" s="11" t="s">
        <v>0</v>
      </c>
      <c r="AQ241" s="11" t="s">
        <v>0</v>
      </c>
      <c r="AR241" s="11" t="s">
        <v>0</v>
      </c>
      <c r="AS241" s="11" t="s">
        <v>0</v>
      </c>
      <c r="AT241" s="11" t="s">
        <v>0</v>
      </c>
      <c r="AU241" s="11">
        <v>47600018</v>
      </c>
      <c r="AV241" s="11" t="s">
        <v>0</v>
      </c>
      <c r="AW241" s="11" t="s">
        <v>0</v>
      </c>
      <c r="AX241" s="11" t="s">
        <v>0</v>
      </c>
    </row>
    <row r="242" spans="1:50" ht="15">
      <c r="A242" s="10">
        <f>A241+1</f>
        <v>45000232</v>
      </c>
      <c r="B242" s="22" t="s">
        <v>2759</v>
      </c>
      <c r="C242" s="11" t="s">
        <v>2760</v>
      </c>
      <c r="D242" s="4" t="s">
        <v>2756</v>
      </c>
      <c r="E242" s="11">
        <v>700</v>
      </c>
      <c r="F242" s="11">
        <v>150</v>
      </c>
      <c r="G242" s="11">
        <v>20</v>
      </c>
      <c r="H242" s="11">
        <v>-40</v>
      </c>
      <c r="I242" s="11">
        <f>IFERROR(INDEX(ShipPartShape!$A:$A,MATCH(D242,ShipPartShape!$B:$B,0)),"-")</f>
        <v>46000215</v>
      </c>
      <c r="J242" s="4" t="s">
        <v>1215</v>
      </c>
      <c r="K242" s="11">
        <f>IFERROR(INDEX(ShipPartShape!$A:$A,MATCH(J242,ShipPartShape!$B:$B,0)),"-")</f>
        <v>46700013</v>
      </c>
      <c r="L242" s="4"/>
      <c r="M242" s="11" t="str">
        <f>IFERROR(INDEX(ShipPartShape!$A:$A,MATCH(L242,ShipPartShape!$B:$B,0)),"-")</f>
        <v>-</v>
      </c>
      <c r="N242" s="4"/>
      <c r="O242" s="11" t="str">
        <f>IFERROR(INDEX(ShipPartShape!$A:$A,MATCH(N242,ShipPartShape!$B:$B,0)),"-")</f>
        <v>-</v>
      </c>
      <c r="P242" s="4"/>
      <c r="Q242" s="11" t="str">
        <f>IFERROR(INDEX(ShipPartShape!$A:$A,MATCH(P242,ShipPartShape!$B:$B,0)),"-")</f>
        <v>-</v>
      </c>
      <c r="R242" s="4"/>
      <c r="S242" s="11" t="str">
        <f>IFERROR(INDEX(ShipPartShape!$A:$A,MATCH(R242,ShipPartShape!$B:$B,0)),"-")</f>
        <v>-</v>
      </c>
      <c r="T242" s="4" t="s">
        <v>601</v>
      </c>
      <c r="U242" s="11">
        <f>IFERROR(INDEX(ShipPartShape!$A:$A,MATCH(T242,ShipPartShape!$B:$B,0)),"-")</f>
        <v>46600001</v>
      </c>
      <c r="V242" s="4" t="s">
        <v>606</v>
      </c>
      <c r="W242" s="11">
        <f>IFERROR(INDEX(ShipPartShape!$A:$A,MATCH(V242,ShipPartShape!$B:$B,0)),"-")</f>
        <v>46600003</v>
      </c>
      <c r="X242" s="4" t="s">
        <v>603</v>
      </c>
      <c r="Y242" s="11">
        <f>IFERROR(INDEX(ShipPartShape!$A:$A,MATCH(X242,ShipPartShape!$B:$B,0)),"-")</f>
        <v>46600007</v>
      </c>
      <c r="Z242" s="4" t="s">
        <v>609</v>
      </c>
      <c r="AA242" s="11">
        <f>IFERROR(INDEX(ShipPartShape!$A:$A,MATCH(Z242,ShipPartShape!$B:$B,0)),"-")</f>
        <v>46600011</v>
      </c>
      <c r="AB242" s="4"/>
      <c r="AC242" s="11" t="str">
        <f>IFERROR(INDEX(ShipPartShape!$A:$A,MATCH(AB242,ShipPartShape!$B:$B,0)),"-")</f>
        <v>-</v>
      </c>
      <c r="AD242" s="4"/>
      <c r="AE242" s="11" t="str">
        <f>IFERROR(INDEX(ShipPartShape!$A:$A,MATCH(AD242,ShipPartShape!$B:$B,0)),"-")</f>
        <v>-</v>
      </c>
      <c r="AF242" s="4"/>
      <c r="AG242" s="11" t="str">
        <f>IFERROR(INDEX(ShipPartShape!$A:$A,MATCH(AF242,ShipPartShape!$B:$B,0)),"-")</f>
        <v>-</v>
      </c>
      <c r="AH242" s="4"/>
      <c r="AI242" s="11" t="str">
        <f>IFERROR(INDEX(ShipPartShape!$A:$A,MATCH(AH242,ShipPartShape!$B:$B,0)),"-")</f>
        <v>-</v>
      </c>
      <c r="AJ242" s="11" t="s">
        <v>0</v>
      </c>
      <c r="AK242" s="11" t="s">
        <v>0</v>
      </c>
      <c r="AL242" s="11" t="s">
        <v>0</v>
      </c>
      <c r="AM242" s="11" t="s">
        <v>0</v>
      </c>
      <c r="AN242" s="11" t="s">
        <v>0</v>
      </c>
      <c r="AO242" s="11" t="s">
        <v>0</v>
      </c>
      <c r="AP242" s="11" t="s">
        <v>0</v>
      </c>
      <c r="AQ242" s="11" t="s">
        <v>0</v>
      </c>
      <c r="AR242" s="11" t="s">
        <v>0</v>
      </c>
      <c r="AS242" s="11" t="s">
        <v>0</v>
      </c>
      <c r="AT242" s="11" t="s">
        <v>0</v>
      </c>
      <c r="AU242" s="11">
        <v>47600018</v>
      </c>
      <c r="AV242" s="11" t="s">
        <v>0</v>
      </c>
      <c r="AW242" s="11" t="s">
        <v>0</v>
      </c>
      <c r="AX242" s="11" t="s">
        <v>0</v>
      </c>
    </row>
    <row r="243" spans="1:50" ht="15">
      <c r="A243" s="10">
        <f>A242+1</f>
        <v>45000233</v>
      </c>
      <c r="B243" s="22" t="s">
        <v>2779</v>
      </c>
      <c r="C243" s="11" t="s">
        <v>2780</v>
      </c>
      <c r="D243" s="4" t="s">
        <v>2776</v>
      </c>
      <c r="E243" s="11">
        <v>700</v>
      </c>
      <c r="F243" s="11">
        <v>150</v>
      </c>
      <c r="G243" s="11">
        <v>20</v>
      </c>
      <c r="H243" s="11">
        <v>-40</v>
      </c>
      <c r="I243" s="11">
        <f>IFERROR(INDEX(ShipPartShape!$A:$A,MATCH(D243,ShipPartShape!$B:$B,0)),"-")</f>
        <v>46000216</v>
      </c>
      <c r="J243" s="4" t="s">
        <v>1216</v>
      </c>
      <c r="K243" s="11">
        <f>IFERROR(INDEX(ShipPartShape!$A:$A,MATCH(J243,ShipPartShape!$B:$B,0)),"-")</f>
        <v>46700014</v>
      </c>
      <c r="L243" s="4" t="s">
        <v>69</v>
      </c>
      <c r="M243" s="11">
        <f>IFERROR(INDEX(ShipPartShape!$A:$A,MATCH(L243,ShipPartShape!$B:$B,0)),"-")</f>
        <v>46300001</v>
      </c>
      <c r="N243" s="4" t="s">
        <v>2773</v>
      </c>
      <c r="O243" s="11">
        <f>IFERROR(INDEX(ShipPartShape!$A:$A,MATCH(N243,ShipPartShape!$B:$B,0)),"-")</f>
        <v>46500039</v>
      </c>
      <c r="P243" s="4"/>
      <c r="Q243" s="11" t="str">
        <f>IFERROR(INDEX(ShipPartShape!$A:$A,MATCH(P243,ShipPartShape!$B:$B,0)),"-")</f>
        <v>-</v>
      </c>
      <c r="R243" s="4"/>
      <c r="S243" s="11" t="str">
        <f>IFERROR(INDEX(ShipPartShape!$A:$A,MATCH(R243,ShipPartShape!$B:$B,0)),"-")</f>
        <v>-</v>
      </c>
      <c r="T243" s="4"/>
      <c r="U243" s="11" t="str">
        <f>IFERROR(INDEX(ShipPartShape!$A:$A,MATCH(T243,ShipPartShape!$B:$B,0)),"-")</f>
        <v>-</v>
      </c>
      <c r="V243" s="4"/>
      <c r="W243" s="11" t="str">
        <f>IFERROR(INDEX(ShipPartShape!$A:$A,MATCH(V243,ShipPartShape!$B:$B,0)),"-")</f>
        <v>-</v>
      </c>
      <c r="X243" s="4"/>
      <c r="Y243" s="11" t="str">
        <f>IFERROR(INDEX(ShipPartShape!$A:$A,MATCH(X243,ShipPartShape!$B:$B,0)),"-")</f>
        <v>-</v>
      </c>
      <c r="Z243" s="4"/>
      <c r="AA243" s="11" t="str">
        <f>IFERROR(INDEX(ShipPartShape!$A:$A,MATCH(Z243,ShipPartShape!$B:$B,0)),"-")</f>
        <v>-</v>
      </c>
      <c r="AB243" s="4"/>
      <c r="AC243" s="11" t="str">
        <f>IFERROR(INDEX(ShipPartShape!$A:$A,MATCH(AB243,ShipPartShape!$B:$B,0)),"-")</f>
        <v>-</v>
      </c>
      <c r="AD243" s="4"/>
      <c r="AE243" s="11" t="str">
        <f>IFERROR(INDEX(ShipPartShape!$A:$A,MATCH(AD243,ShipPartShape!$B:$B,0)),"-")</f>
        <v>-</v>
      </c>
      <c r="AF243" s="4"/>
      <c r="AG243" s="11" t="str">
        <f>IFERROR(INDEX(ShipPartShape!$A:$A,MATCH(AF243,ShipPartShape!$B:$B,0)),"-")</f>
        <v>-</v>
      </c>
      <c r="AH243" s="4"/>
      <c r="AI243" s="11" t="str">
        <f>IFERROR(INDEX(ShipPartShape!$A:$A,MATCH(AH243,ShipPartShape!$B:$B,0)),"-")</f>
        <v>-</v>
      </c>
      <c r="AJ243" s="11" t="s">
        <v>0</v>
      </c>
      <c r="AK243" s="11" t="s">
        <v>0</v>
      </c>
      <c r="AL243" s="11" t="s">
        <v>0</v>
      </c>
      <c r="AM243" s="11" t="s">
        <v>0</v>
      </c>
      <c r="AN243" s="11" t="s">
        <v>0</v>
      </c>
      <c r="AO243" s="11" t="s">
        <v>0</v>
      </c>
      <c r="AP243" s="11" t="s">
        <v>0</v>
      </c>
      <c r="AQ243" s="11" t="s">
        <v>0</v>
      </c>
      <c r="AR243" s="11" t="s">
        <v>0</v>
      </c>
      <c r="AS243" s="11" t="s">
        <v>0</v>
      </c>
      <c r="AT243" s="11" t="s">
        <v>0</v>
      </c>
      <c r="AU243" s="11">
        <v>47600018</v>
      </c>
      <c r="AV243" s="11" t="s">
        <v>0</v>
      </c>
      <c r="AW243" s="11" t="s">
        <v>0</v>
      </c>
      <c r="AX243" s="11" t="s">
        <v>0</v>
      </c>
    </row>
    <row r="244" spans="1:50" ht="15">
      <c r="A244" s="10">
        <f t="shared" ref="A244:A313" si="4">A243+1</f>
        <v>45000234</v>
      </c>
      <c r="B244" s="22" t="s">
        <v>2787</v>
      </c>
      <c r="C244" s="11" t="s">
        <v>2780</v>
      </c>
      <c r="D244" s="4" t="s">
        <v>2783</v>
      </c>
      <c r="E244" s="11">
        <v>700</v>
      </c>
      <c r="F244" s="11">
        <v>150</v>
      </c>
      <c r="G244" s="11">
        <v>20</v>
      </c>
      <c r="H244" s="11">
        <v>-40</v>
      </c>
      <c r="I244" s="11">
        <f>IFERROR(INDEX(ShipPartShape!$A:$A,MATCH(D244,ShipPartShape!$B:$B,0)),"-")</f>
        <v>46000217</v>
      </c>
      <c r="J244" s="4" t="s">
        <v>1216</v>
      </c>
      <c r="K244" s="11">
        <f>IFERROR(INDEX(ShipPartShape!$A:$A,MATCH(J244,ShipPartShape!$B:$B,0)),"-")</f>
        <v>46700014</v>
      </c>
      <c r="L244" s="4" t="s">
        <v>69</v>
      </c>
      <c r="M244" s="11">
        <f>IFERROR(INDEX(ShipPartShape!$A:$A,MATCH(L244,ShipPartShape!$B:$B,0)),"-")</f>
        <v>46300001</v>
      </c>
      <c r="N244" s="4" t="s">
        <v>2785</v>
      </c>
      <c r="O244" s="11">
        <f>IFERROR(INDEX(ShipPartShape!$A:$A,MATCH(N244,ShipPartShape!$B:$B,0)),"-")</f>
        <v>46500040</v>
      </c>
      <c r="P244" s="4"/>
      <c r="Q244" s="11" t="str">
        <f>IFERROR(INDEX(ShipPartShape!$A:$A,MATCH(P244,ShipPartShape!$B:$B,0)),"-")</f>
        <v>-</v>
      </c>
      <c r="R244" s="4"/>
      <c r="S244" s="11" t="str">
        <f>IFERROR(INDEX(ShipPartShape!$A:$A,MATCH(R244,ShipPartShape!$B:$B,0)),"-")</f>
        <v>-</v>
      </c>
      <c r="T244" s="4"/>
      <c r="U244" s="11" t="str">
        <f>IFERROR(INDEX(ShipPartShape!$A:$A,MATCH(T244,ShipPartShape!$B:$B,0)),"-")</f>
        <v>-</v>
      </c>
      <c r="V244" s="4"/>
      <c r="W244" s="11" t="str">
        <f>IFERROR(INDEX(ShipPartShape!$A:$A,MATCH(V244,ShipPartShape!$B:$B,0)),"-")</f>
        <v>-</v>
      </c>
      <c r="X244" s="4"/>
      <c r="Y244" s="11" t="str">
        <f>IFERROR(INDEX(ShipPartShape!$A:$A,MATCH(X244,ShipPartShape!$B:$B,0)),"-")</f>
        <v>-</v>
      </c>
      <c r="Z244" s="4"/>
      <c r="AA244" s="11" t="str">
        <f>IFERROR(INDEX(ShipPartShape!$A:$A,MATCH(Z244,ShipPartShape!$B:$B,0)),"-")</f>
        <v>-</v>
      </c>
      <c r="AB244" s="4"/>
      <c r="AC244" s="11" t="str">
        <f>IFERROR(INDEX(ShipPartShape!$A:$A,MATCH(AB244,ShipPartShape!$B:$B,0)),"-")</f>
        <v>-</v>
      </c>
      <c r="AD244" s="4"/>
      <c r="AE244" s="11" t="str">
        <f>IFERROR(INDEX(ShipPartShape!$A:$A,MATCH(AD244,ShipPartShape!$B:$B,0)),"-")</f>
        <v>-</v>
      </c>
      <c r="AF244" s="4"/>
      <c r="AG244" s="11" t="str">
        <f>IFERROR(INDEX(ShipPartShape!$A:$A,MATCH(AF244,ShipPartShape!$B:$B,0)),"-")</f>
        <v>-</v>
      </c>
      <c r="AH244" s="4"/>
      <c r="AI244" s="11" t="str">
        <f>IFERROR(INDEX(ShipPartShape!$A:$A,MATCH(AH244,ShipPartShape!$B:$B,0)),"-")</f>
        <v>-</v>
      </c>
      <c r="AJ244" s="11" t="s">
        <v>0</v>
      </c>
      <c r="AK244" s="11" t="s">
        <v>0</v>
      </c>
      <c r="AL244" s="11" t="s">
        <v>0</v>
      </c>
      <c r="AM244" s="11" t="s">
        <v>0</v>
      </c>
      <c r="AN244" s="11" t="s">
        <v>0</v>
      </c>
      <c r="AO244" s="11" t="s">
        <v>0</v>
      </c>
      <c r="AP244" s="11" t="s">
        <v>0</v>
      </c>
      <c r="AQ244" s="11" t="s">
        <v>0</v>
      </c>
      <c r="AR244" s="11" t="s">
        <v>0</v>
      </c>
      <c r="AS244" s="11" t="s">
        <v>0</v>
      </c>
      <c r="AT244" s="11" t="s">
        <v>0</v>
      </c>
      <c r="AU244" s="11">
        <v>47600018</v>
      </c>
      <c r="AV244" s="11" t="s">
        <v>0</v>
      </c>
      <c r="AW244" s="11" t="s">
        <v>0</v>
      </c>
      <c r="AX244" s="11" t="s">
        <v>0</v>
      </c>
    </row>
    <row r="245" spans="1:50" ht="15">
      <c r="A245" s="10">
        <f t="shared" si="4"/>
        <v>45000235</v>
      </c>
      <c r="B245" s="22" t="s">
        <v>2796</v>
      </c>
      <c r="C245" s="11" t="s">
        <v>2818</v>
      </c>
      <c r="D245" s="4" t="s">
        <v>2800</v>
      </c>
      <c r="E245" s="11">
        <v>700</v>
      </c>
      <c r="F245" s="11">
        <v>150</v>
      </c>
      <c r="G245" s="11">
        <v>20</v>
      </c>
      <c r="H245" s="11">
        <v>-40</v>
      </c>
      <c r="I245" s="11">
        <f>IFERROR(INDEX(ShipPartShape!$A:$A,MATCH(D245,ShipPartShape!$B:$B,0)),"-")</f>
        <v>46000218</v>
      </c>
      <c r="J245" s="4" t="s">
        <v>1255</v>
      </c>
      <c r="K245" s="11">
        <f>IFERROR(INDEX(ShipPartShape!$A:$A,MATCH(J245,ShipPartShape!$B:$B,0)),"-")</f>
        <v>46700009</v>
      </c>
      <c r="L245" s="4" t="s">
        <v>69</v>
      </c>
      <c r="M245" s="11">
        <f>IFERROR(INDEX(ShipPartShape!$A:$A,MATCH(L245,ShipPartShape!$B:$B,0)),"-")</f>
        <v>46300001</v>
      </c>
      <c r="N245" s="4" t="s">
        <v>2812</v>
      </c>
      <c r="O245" s="11">
        <f>IFERROR(INDEX(ShipPartShape!$A:$A,MATCH(N245,ShipPartShape!$B:$B,0)),"-")</f>
        <v>46500041</v>
      </c>
      <c r="P245" s="4"/>
      <c r="Q245" s="11" t="str">
        <f>IFERROR(INDEX(ShipPartShape!$A:$A,MATCH(P245,ShipPartShape!$B:$B,0)),"-")</f>
        <v>-</v>
      </c>
      <c r="R245" s="4"/>
      <c r="S245" s="11" t="str">
        <f>IFERROR(INDEX(ShipPartShape!$A:$A,MATCH(R245,ShipPartShape!$B:$B,0)),"-")</f>
        <v>-</v>
      </c>
      <c r="T245" s="4"/>
      <c r="U245" s="11" t="str">
        <f>IFERROR(INDEX(ShipPartShape!$A:$A,MATCH(T245,ShipPartShape!$B:$B,0)),"-")</f>
        <v>-</v>
      </c>
      <c r="V245" s="4" t="s">
        <v>605</v>
      </c>
      <c r="W245" s="11">
        <f>IFERROR(INDEX(ShipPartShape!$A:$A,MATCH(V245,ShipPartShape!$B:$B,0)),"-")</f>
        <v>46600009</v>
      </c>
      <c r="X245" s="4" t="s">
        <v>611</v>
      </c>
      <c r="Y245" s="11">
        <f>IFERROR(INDEX(ShipPartShape!$A:$A,MATCH(X245,ShipPartShape!$B:$B,0)),"-")</f>
        <v>46600010</v>
      </c>
      <c r="Z245" s="4"/>
      <c r="AA245" s="11" t="str">
        <f>IFERROR(INDEX(ShipPartShape!$A:$A,MATCH(Z245,ShipPartShape!$B:$B,0)),"-")</f>
        <v>-</v>
      </c>
      <c r="AB245" s="4"/>
      <c r="AC245" s="11" t="str">
        <f>IFERROR(INDEX(ShipPartShape!$A:$A,MATCH(AB245,ShipPartShape!$B:$B,0)),"-")</f>
        <v>-</v>
      </c>
      <c r="AD245" s="4"/>
      <c r="AE245" s="11" t="str">
        <f>IFERROR(INDEX(ShipPartShape!$A:$A,MATCH(AD245,ShipPartShape!$B:$B,0)),"-")</f>
        <v>-</v>
      </c>
      <c r="AF245" s="4"/>
      <c r="AG245" s="11" t="str">
        <f>IFERROR(INDEX(ShipPartShape!$A:$A,MATCH(AF245,ShipPartShape!$B:$B,0)),"-")</f>
        <v>-</v>
      </c>
      <c r="AH245" s="4"/>
      <c r="AI245" s="11" t="str">
        <f>IFERROR(INDEX(ShipPartShape!$A:$A,MATCH(AH245,ShipPartShape!$B:$B,0)),"-")</f>
        <v>-</v>
      </c>
      <c r="AJ245" s="11" t="s">
        <v>0</v>
      </c>
      <c r="AK245" s="11" t="s">
        <v>0</v>
      </c>
      <c r="AL245" s="11" t="s">
        <v>0</v>
      </c>
      <c r="AM245" s="11" t="s">
        <v>0</v>
      </c>
      <c r="AN245" s="11" t="s">
        <v>0</v>
      </c>
      <c r="AO245" s="11" t="s">
        <v>0</v>
      </c>
      <c r="AP245" s="11" t="s">
        <v>0</v>
      </c>
      <c r="AQ245" s="11" t="s">
        <v>0</v>
      </c>
      <c r="AR245" s="11" t="s">
        <v>0</v>
      </c>
      <c r="AS245" s="11" t="s">
        <v>0</v>
      </c>
      <c r="AT245" s="11" t="s">
        <v>0</v>
      </c>
      <c r="AU245" s="11">
        <v>47600018</v>
      </c>
      <c r="AV245" s="11" t="s">
        <v>0</v>
      </c>
      <c r="AW245" s="11" t="s">
        <v>0</v>
      </c>
      <c r="AX245" s="11" t="s">
        <v>0</v>
      </c>
    </row>
    <row r="246" spans="1:50" ht="15">
      <c r="A246" s="10">
        <f t="shared" si="4"/>
        <v>45000236</v>
      </c>
      <c r="B246" s="22" t="s">
        <v>2797</v>
      </c>
      <c r="C246" s="11" t="s">
        <v>2819</v>
      </c>
      <c r="D246" s="4" t="s">
        <v>2802</v>
      </c>
      <c r="E246" s="11">
        <v>700</v>
      </c>
      <c r="F246" s="11">
        <v>150</v>
      </c>
      <c r="G246" s="11">
        <v>20</v>
      </c>
      <c r="H246" s="11">
        <v>-40</v>
      </c>
      <c r="I246" s="11">
        <f>IFERROR(INDEX(ShipPartShape!$A:$A,MATCH(D246,ShipPartShape!$B:$B,0)),"-")</f>
        <v>46000219</v>
      </c>
      <c r="J246" s="4" t="s">
        <v>1835</v>
      </c>
      <c r="K246" s="11">
        <f>IFERROR(INDEX(ShipPartShape!$A:$A,MATCH(J246,ShipPartShape!$B:$B,0)),"-")</f>
        <v>46700006</v>
      </c>
      <c r="L246" s="4" t="s">
        <v>69</v>
      </c>
      <c r="M246" s="11">
        <f>IFERROR(INDEX(ShipPartShape!$A:$A,MATCH(L246,ShipPartShape!$B:$B,0)),"-")</f>
        <v>46300001</v>
      </c>
      <c r="N246" s="4" t="s">
        <v>2814</v>
      </c>
      <c r="O246" s="11">
        <f>IFERROR(INDEX(ShipPartShape!$A:$A,MATCH(N246,ShipPartShape!$B:$B,0)),"-")</f>
        <v>46500042</v>
      </c>
      <c r="P246" s="4"/>
      <c r="Q246" s="11" t="str">
        <f>IFERROR(INDEX(ShipPartShape!$A:$A,MATCH(P246,ShipPartShape!$B:$B,0)),"-")</f>
        <v>-</v>
      </c>
      <c r="R246" s="4"/>
      <c r="S246" s="11" t="str">
        <f>IFERROR(INDEX(ShipPartShape!$A:$A,MATCH(R246,ShipPartShape!$B:$B,0)),"-")</f>
        <v>-</v>
      </c>
      <c r="T246" s="4"/>
      <c r="U246" s="11" t="str">
        <f>IFERROR(INDEX(ShipPartShape!$A:$A,MATCH(T246,ShipPartShape!$B:$B,0)),"-")</f>
        <v>-</v>
      </c>
      <c r="V246" s="4" t="s">
        <v>601</v>
      </c>
      <c r="W246" s="11">
        <f>IFERROR(INDEX(ShipPartShape!$A:$A,MATCH(V246,ShipPartShape!$B:$B,0)),"-")</f>
        <v>46600001</v>
      </c>
      <c r="X246" s="4" t="s">
        <v>602</v>
      </c>
      <c r="Y246" s="11">
        <f>IFERROR(INDEX(ShipPartShape!$A:$A,MATCH(X246,ShipPartShape!$B:$B,0)),"-")</f>
        <v>46600002</v>
      </c>
      <c r="Z246" s="4"/>
      <c r="AA246" s="11" t="str">
        <f>IFERROR(INDEX(ShipPartShape!$A:$A,MATCH(Z246,ShipPartShape!$B:$B,0)),"-")</f>
        <v>-</v>
      </c>
      <c r="AB246" s="4"/>
      <c r="AC246" s="11" t="str">
        <f>IFERROR(INDEX(ShipPartShape!$A:$A,MATCH(AB246,ShipPartShape!$B:$B,0)),"-")</f>
        <v>-</v>
      </c>
      <c r="AD246" s="4"/>
      <c r="AE246" s="11" t="str">
        <f>IFERROR(INDEX(ShipPartShape!$A:$A,MATCH(AD246,ShipPartShape!$B:$B,0)),"-")</f>
        <v>-</v>
      </c>
      <c r="AF246" s="4"/>
      <c r="AG246" s="11" t="str">
        <f>IFERROR(INDEX(ShipPartShape!$A:$A,MATCH(AF246,ShipPartShape!$B:$B,0)),"-")</f>
        <v>-</v>
      </c>
      <c r="AH246" s="4"/>
      <c r="AI246" s="11" t="str">
        <f>IFERROR(INDEX(ShipPartShape!$A:$A,MATCH(AH246,ShipPartShape!$B:$B,0)),"-")</f>
        <v>-</v>
      </c>
      <c r="AJ246" s="11" t="s">
        <v>0</v>
      </c>
      <c r="AK246" s="11" t="s">
        <v>0</v>
      </c>
      <c r="AL246" s="11" t="s">
        <v>0</v>
      </c>
      <c r="AM246" s="11" t="s">
        <v>0</v>
      </c>
      <c r="AN246" s="11" t="s">
        <v>0</v>
      </c>
      <c r="AO246" s="11" t="s">
        <v>0</v>
      </c>
      <c r="AP246" s="11" t="s">
        <v>0</v>
      </c>
      <c r="AQ246" s="11" t="s">
        <v>0</v>
      </c>
      <c r="AR246" s="11" t="s">
        <v>0</v>
      </c>
      <c r="AS246" s="11" t="s">
        <v>0</v>
      </c>
      <c r="AT246" s="11" t="s">
        <v>0</v>
      </c>
      <c r="AU246" s="11">
        <v>47600018</v>
      </c>
      <c r="AV246" s="11" t="s">
        <v>0</v>
      </c>
      <c r="AW246" s="11" t="s">
        <v>0</v>
      </c>
      <c r="AX246" s="11" t="s">
        <v>0</v>
      </c>
    </row>
    <row r="247" spans="1:50" ht="15">
      <c r="A247" s="10">
        <f t="shared" si="4"/>
        <v>45000237</v>
      </c>
      <c r="B247" s="22" t="s">
        <v>2798</v>
      </c>
      <c r="C247" s="11" t="s">
        <v>2820</v>
      </c>
      <c r="D247" s="4" t="s">
        <v>2804</v>
      </c>
      <c r="E247" s="11">
        <v>700</v>
      </c>
      <c r="F247" s="11">
        <v>150</v>
      </c>
      <c r="G247" s="11">
        <v>20</v>
      </c>
      <c r="H247" s="11">
        <v>-40</v>
      </c>
      <c r="I247" s="11">
        <f>IFERROR(INDEX(ShipPartShape!$A:$A,MATCH(D247,ShipPartShape!$B:$B,0)),"-")</f>
        <v>46000220</v>
      </c>
      <c r="J247" s="4" t="s">
        <v>1215</v>
      </c>
      <c r="K247" s="11">
        <f>IFERROR(INDEX(ShipPartShape!$A:$A,MATCH(J247,ShipPartShape!$B:$B,0)),"-")</f>
        <v>46700013</v>
      </c>
      <c r="L247" s="4"/>
      <c r="M247" s="11" t="str">
        <f>IFERROR(INDEX(ShipPartShape!$A:$A,MATCH(L247,ShipPartShape!$B:$B,0)),"-")</f>
        <v>-</v>
      </c>
      <c r="N247" s="4"/>
      <c r="O247" s="11" t="str">
        <f>IFERROR(INDEX(ShipPartShape!$A:$A,MATCH(N247,ShipPartShape!$B:$B,0)),"-")</f>
        <v>-</v>
      </c>
      <c r="P247" s="4"/>
      <c r="Q247" s="11" t="str">
        <f>IFERROR(INDEX(ShipPartShape!$A:$A,MATCH(P247,ShipPartShape!$B:$B,0)),"-")</f>
        <v>-</v>
      </c>
      <c r="R247" s="4"/>
      <c r="S247" s="11" t="str">
        <f>IFERROR(INDEX(ShipPartShape!$A:$A,MATCH(R247,ShipPartShape!$B:$B,0)),"-")</f>
        <v>-</v>
      </c>
      <c r="T247" s="4" t="s">
        <v>601</v>
      </c>
      <c r="U247" s="11">
        <f>IFERROR(INDEX(ShipPartShape!$A:$A,MATCH(T247,ShipPartShape!$B:$B,0)),"-")</f>
        <v>46600001</v>
      </c>
      <c r="V247" s="4" t="s">
        <v>602</v>
      </c>
      <c r="W247" s="11">
        <f>IFERROR(INDEX(ShipPartShape!$A:$A,MATCH(V247,ShipPartShape!$B:$B,0)),"-")</f>
        <v>46600002</v>
      </c>
      <c r="X247" s="4" t="s">
        <v>603</v>
      </c>
      <c r="Y247" s="11">
        <f>IFERROR(INDEX(ShipPartShape!$A:$A,MATCH(X247,ShipPartShape!$B:$B,0)),"-")</f>
        <v>46600007</v>
      </c>
      <c r="Z247" s="4" t="s">
        <v>611</v>
      </c>
      <c r="AA247" s="11">
        <f>IFERROR(INDEX(ShipPartShape!$A:$A,MATCH(Z247,ShipPartShape!$B:$B,0)),"-")</f>
        <v>46600010</v>
      </c>
      <c r="AB247" s="4" t="s">
        <v>609</v>
      </c>
      <c r="AC247" s="11">
        <f>IFERROR(INDEX(ShipPartShape!$A:$A,MATCH(AB247,ShipPartShape!$B:$B,0)),"-")</f>
        <v>46600011</v>
      </c>
      <c r="AD247" s="4"/>
      <c r="AE247" s="11" t="str">
        <f>IFERROR(INDEX(ShipPartShape!$A:$A,MATCH(AD247,ShipPartShape!$B:$B,0)),"-")</f>
        <v>-</v>
      </c>
      <c r="AF247" s="4"/>
      <c r="AG247" s="11" t="str">
        <f>IFERROR(INDEX(ShipPartShape!$A:$A,MATCH(AF247,ShipPartShape!$B:$B,0)),"-")</f>
        <v>-</v>
      </c>
      <c r="AH247" s="4"/>
      <c r="AI247" s="11" t="str">
        <f>IFERROR(INDEX(ShipPartShape!$A:$A,MATCH(AH247,ShipPartShape!$B:$B,0)),"-")</f>
        <v>-</v>
      </c>
      <c r="AJ247" s="11" t="s">
        <v>0</v>
      </c>
      <c r="AK247" s="11" t="s">
        <v>0</v>
      </c>
      <c r="AL247" s="11" t="s">
        <v>0</v>
      </c>
      <c r="AM247" s="11" t="s">
        <v>0</v>
      </c>
      <c r="AN247" s="11" t="s">
        <v>0</v>
      </c>
      <c r="AO247" s="11" t="s">
        <v>0</v>
      </c>
      <c r="AP247" s="11" t="s">
        <v>0</v>
      </c>
      <c r="AQ247" s="11" t="s">
        <v>0</v>
      </c>
      <c r="AR247" s="11" t="s">
        <v>0</v>
      </c>
      <c r="AS247" s="11" t="s">
        <v>0</v>
      </c>
      <c r="AT247" s="11" t="s">
        <v>0</v>
      </c>
      <c r="AU247" s="11">
        <v>47600018</v>
      </c>
      <c r="AV247" s="11" t="s">
        <v>0</v>
      </c>
      <c r="AW247" s="11" t="s">
        <v>0</v>
      </c>
      <c r="AX247" s="11" t="s">
        <v>0</v>
      </c>
    </row>
    <row r="248" spans="1:50" ht="15">
      <c r="A248" s="10">
        <f t="shared" si="4"/>
        <v>45000238</v>
      </c>
      <c r="B248" s="22" t="s">
        <v>2799</v>
      </c>
      <c r="C248" s="11" t="s">
        <v>2821</v>
      </c>
      <c r="D248" s="4" t="s">
        <v>2806</v>
      </c>
      <c r="E248" s="11">
        <v>700</v>
      </c>
      <c r="F248" s="11">
        <v>150</v>
      </c>
      <c r="G248" s="11">
        <v>20</v>
      </c>
      <c r="H248" s="11">
        <v>-40</v>
      </c>
      <c r="I248" s="11">
        <f>IFERROR(INDEX(ShipPartShape!$A:$A,MATCH(D248,ShipPartShape!$B:$B,0)),"-")</f>
        <v>46000221</v>
      </c>
      <c r="J248" s="4" t="s">
        <v>1257</v>
      </c>
      <c r="K248" s="11">
        <f>IFERROR(INDEX(ShipPartShape!$A:$A,MATCH(J248,ShipPartShape!$B:$B,0)),"-")</f>
        <v>46700012</v>
      </c>
      <c r="L248" s="4"/>
      <c r="M248" s="11" t="str">
        <f>IFERROR(INDEX(ShipPartShape!$A:$A,MATCH(L248,ShipPartShape!$B:$B,0)),"-")</f>
        <v>-</v>
      </c>
      <c r="N248" s="4"/>
      <c r="O248" s="11" t="str">
        <f>IFERROR(INDEX(ShipPartShape!$A:$A,MATCH(N248,ShipPartShape!$B:$B,0)),"-")</f>
        <v>-</v>
      </c>
      <c r="P248" s="4"/>
      <c r="Q248" s="11" t="str">
        <f>IFERROR(INDEX(ShipPartShape!$A:$A,MATCH(P248,ShipPartShape!$B:$B,0)),"-")</f>
        <v>-</v>
      </c>
      <c r="R248" s="4"/>
      <c r="S248" s="11" t="str">
        <f>IFERROR(INDEX(ShipPartShape!$A:$A,MATCH(R248,ShipPartShape!$B:$B,0)),"-")</f>
        <v>-</v>
      </c>
      <c r="T248" s="4" t="s">
        <v>603</v>
      </c>
      <c r="U248" s="11">
        <f>IFERROR(INDEX(ShipPartShape!$A:$A,MATCH(T248,ShipPartShape!$B:$B,0)),"-")</f>
        <v>46600007</v>
      </c>
      <c r="V248" s="4"/>
      <c r="W248" s="11" t="str">
        <f>IFERROR(INDEX(ShipPartShape!$A:$A,MATCH(V248,ShipPartShape!$B:$B,0)),"-")</f>
        <v>-</v>
      </c>
      <c r="X248" s="4"/>
      <c r="Y248" s="11" t="str">
        <f>IFERROR(INDEX(ShipPartShape!$A:$A,MATCH(X248,ShipPartShape!$B:$B,0)),"-")</f>
        <v>-</v>
      </c>
      <c r="Z248" s="4"/>
      <c r="AA248" s="11" t="str">
        <f>IFERROR(INDEX(ShipPartShape!$A:$A,MATCH(Z248,ShipPartShape!$B:$B,0)),"-")</f>
        <v>-</v>
      </c>
      <c r="AB248" s="4"/>
      <c r="AC248" s="11" t="str">
        <f>IFERROR(INDEX(ShipPartShape!$A:$A,MATCH(AB248,ShipPartShape!$B:$B,0)),"-")</f>
        <v>-</v>
      </c>
      <c r="AD248" s="4"/>
      <c r="AE248" s="11" t="str">
        <f>IFERROR(INDEX(ShipPartShape!$A:$A,MATCH(AD248,ShipPartShape!$B:$B,0)),"-")</f>
        <v>-</v>
      </c>
      <c r="AF248" s="4"/>
      <c r="AG248" s="11" t="str">
        <f>IFERROR(INDEX(ShipPartShape!$A:$A,MATCH(AF248,ShipPartShape!$B:$B,0)),"-")</f>
        <v>-</v>
      </c>
      <c r="AH248" s="4"/>
      <c r="AI248" s="11" t="str">
        <f>IFERROR(INDEX(ShipPartShape!$A:$A,MATCH(AH248,ShipPartShape!$B:$B,0)),"-")</f>
        <v>-</v>
      </c>
      <c r="AJ248" s="11" t="s">
        <v>0</v>
      </c>
      <c r="AK248" s="11" t="s">
        <v>0</v>
      </c>
      <c r="AL248" s="11" t="s">
        <v>0</v>
      </c>
      <c r="AM248" s="11" t="s">
        <v>0</v>
      </c>
      <c r="AN248" s="11" t="s">
        <v>0</v>
      </c>
      <c r="AO248" s="11" t="s">
        <v>0</v>
      </c>
      <c r="AP248" s="11" t="s">
        <v>0</v>
      </c>
      <c r="AQ248" s="11" t="s">
        <v>0</v>
      </c>
      <c r="AR248" s="11" t="s">
        <v>0</v>
      </c>
      <c r="AS248" s="11" t="s">
        <v>0</v>
      </c>
      <c r="AT248" s="11" t="s">
        <v>0</v>
      </c>
      <c r="AU248" s="11">
        <v>47600018</v>
      </c>
      <c r="AV248" s="11" t="s">
        <v>0</v>
      </c>
      <c r="AW248" s="11" t="s">
        <v>0</v>
      </c>
      <c r="AX248" s="11" t="s">
        <v>0</v>
      </c>
    </row>
    <row r="249" spans="1:50" ht="15">
      <c r="A249" s="10">
        <f t="shared" si="4"/>
        <v>45000239</v>
      </c>
      <c r="B249" s="22" t="s">
        <v>2829</v>
      </c>
      <c r="C249" s="11" t="s">
        <v>2834</v>
      </c>
      <c r="D249" s="4" t="s">
        <v>2835</v>
      </c>
      <c r="E249" s="11">
        <v>700</v>
      </c>
      <c r="F249" s="11">
        <v>150</v>
      </c>
      <c r="G249" s="11">
        <v>20</v>
      </c>
      <c r="H249" s="11">
        <v>-40</v>
      </c>
      <c r="I249" s="11">
        <f>IFERROR(INDEX(ShipPartShape!$A:$A,MATCH(D249,ShipPartShape!$B:$B,0)),"-")</f>
        <v>46000222</v>
      </c>
      <c r="J249" s="4"/>
      <c r="K249" s="11" t="str">
        <f>IFERROR(INDEX(ShipPartShape!$A:$A,MATCH(J249,ShipPartShape!$B:$B,0)),"-")</f>
        <v>-</v>
      </c>
      <c r="L249" s="4"/>
      <c r="M249" s="11" t="str">
        <f>IFERROR(INDEX(ShipPartShape!$A:$A,MATCH(L249,ShipPartShape!$B:$B,0)),"-")</f>
        <v>-</v>
      </c>
      <c r="N249" s="4"/>
      <c r="O249" s="11" t="str">
        <f>IFERROR(INDEX(ShipPartShape!$A:$A,MATCH(N249,ShipPartShape!$B:$B,0)),"-")</f>
        <v>-</v>
      </c>
      <c r="P249" s="4"/>
      <c r="Q249" s="11" t="str">
        <f>IFERROR(INDEX(ShipPartShape!$A:$A,MATCH(P249,ShipPartShape!$B:$B,0)),"-")</f>
        <v>-</v>
      </c>
      <c r="R249" s="4"/>
      <c r="S249" s="11" t="str">
        <f>IFERROR(INDEX(ShipPartShape!$A:$A,MATCH(R249,ShipPartShape!$B:$B,0)),"-")</f>
        <v>-</v>
      </c>
      <c r="T249" s="4"/>
      <c r="U249" s="11" t="str">
        <f>IFERROR(INDEX(ShipPartShape!$A:$A,MATCH(T249,ShipPartShape!$B:$B,0)),"-")</f>
        <v>-</v>
      </c>
      <c r="V249" s="4"/>
      <c r="W249" s="11" t="str">
        <f>IFERROR(INDEX(ShipPartShape!$A:$A,MATCH(V249,ShipPartShape!$B:$B,0)),"-")</f>
        <v>-</v>
      </c>
      <c r="X249" s="4"/>
      <c r="Y249" s="11" t="str">
        <f>IFERROR(INDEX(ShipPartShape!$A:$A,MATCH(X249,ShipPartShape!$B:$B,0)),"-")</f>
        <v>-</v>
      </c>
      <c r="Z249" s="4"/>
      <c r="AA249" s="11" t="str">
        <f>IFERROR(INDEX(ShipPartShape!$A:$A,MATCH(Z249,ShipPartShape!$B:$B,0)),"-")</f>
        <v>-</v>
      </c>
      <c r="AB249" s="4"/>
      <c r="AC249" s="11" t="str">
        <f>IFERROR(INDEX(ShipPartShape!$A:$A,MATCH(AB249,ShipPartShape!$B:$B,0)),"-")</f>
        <v>-</v>
      </c>
      <c r="AD249" s="4"/>
      <c r="AE249" s="11" t="str">
        <f>IFERROR(INDEX(ShipPartShape!$A:$A,MATCH(AD249,ShipPartShape!$B:$B,0)),"-")</f>
        <v>-</v>
      </c>
      <c r="AF249" s="4"/>
      <c r="AG249" s="11" t="str">
        <f>IFERROR(INDEX(ShipPartShape!$A:$A,MATCH(AF249,ShipPartShape!$B:$B,0)),"-")</f>
        <v>-</v>
      </c>
      <c r="AH249" s="4"/>
      <c r="AI249" s="11" t="str">
        <f>IFERROR(INDEX(ShipPartShape!$A:$A,MATCH(AH249,ShipPartShape!$B:$B,0)),"-")</f>
        <v>-</v>
      </c>
      <c r="AJ249" s="11" t="s">
        <v>0</v>
      </c>
      <c r="AK249" s="11" t="s">
        <v>0</v>
      </c>
      <c r="AL249" s="11" t="s">
        <v>0</v>
      </c>
      <c r="AM249" s="11" t="s">
        <v>0</v>
      </c>
      <c r="AN249" s="11" t="s">
        <v>0</v>
      </c>
      <c r="AO249" s="11" t="s">
        <v>0</v>
      </c>
      <c r="AP249" s="11" t="s">
        <v>0</v>
      </c>
      <c r="AQ249" s="11" t="s">
        <v>0</v>
      </c>
      <c r="AR249" s="11" t="s">
        <v>0</v>
      </c>
      <c r="AS249" s="11" t="s">
        <v>0</v>
      </c>
      <c r="AT249" s="11" t="s">
        <v>0</v>
      </c>
      <c r="AU249" s="11">
        <v>47600018</v>
      </c>
      <c r="AV249" s="11" t="s">
        <v>0</v>
      </c>
      <c r="AW249" s="11" t="s">
        <v>0</v>
      </c>
      <c r="AX249" s="11" t="s">
        <v>0</v>
      </c>
    </row>
    <row r="250" spans="1:50" ht="15">
      <c r="A250" s="10">
        <f t="shared" si="4"/>
        <v>45000240</v>
      </c>
      <c r="B250" s="22" t="s">
        <v>2830</v>
      </c>
      <c r="C250" s="11" t="s">
        <v>2832</v>
      </c>
      <c r="D250" s="4" t="s">
        <v>2837</v>
      </c>
      <c r="E250" s="11">
        <v>700</v>
      </c>
      <c r="F250" s="11">
        <v>150</v>
      </c>
      <c r="G250" s="11">
        <v>20</v>
      </c>
      <c r="H250" s="11">
        <v>-40</v>
      </c>
      <c r="I250" s="11">
        <f>IFERROR(INDEX(ShipPartShape!$A:$A,MATCH(D250,ShipPartShape!$B:$B,0)),"-")</f>
        <v>46000223</v>
      </c>
      <c r="J250" s="4" t="s">
        <v>2831</v>
      </c>
      <c r="K250" s="11">
        <f>IFERROR(INDEX(ShipPartShape!$A:$A,MATCH(J250,ShipPartShape!$B:$B,0)),"-")</f>
        <v>46700012</v>
      </c>
      <c r="L250" s="4" t="s">
        <v>69</v>
      </c>
      <c r="M250" s="11">
        <f>IFERROR(INDEX(ShipPartShape!$A:$A,MATCH(L250,ShipPartShape!$B:$B,0)),"-")</f>
        <v>46300001</v>
      </c>
      <c r="N250" s="4"/>
      <c r="O250" s="11" t="str">
        <f>IFERROR(INDEX(ShipPartShape!$A:$A,MATCH(N250,ShipPartShape!$B:$B,0)),"-")</f>
        <v>-</v>
      </c>
      <c r="P250" s="4"/>
      <c r="Q250" s="11" t="str">
        <f>IFERROR(INDEX(ShipPartShape!$A:$A,MATCH(P250,ShipPartShape!$B:$B,0)),"-")</f>
        <v>-</v>
      </c>
      <c r="R250" s="4"/>
      <c r="S250" s="11" t="str">
        <f>IFERROR(INDEX(ShipPartShape!$A:$A,MATCH(R250,ShipPartShape!$B:$B,0)),"-")</f>
        <v>-</v>
      </c>
      <c r="T250" s="4"/>
      <c r="U250" s="11" t="str">
        <f>IFERROR(INDEX(ShipPartShape!$A:$A,MATCH(T250,ShipPartShape!$B:$B,0)),"-")</f>
        <v>-</v>
      </c>
      <c r="V250" s="4"/>
      <c r="W250" s="11" t="str">
        <f>IFERROR(INDEX(ShipPartShape!$A:$A,MATCH(V250,ShipPartShape!$B:$B,0)),"-")</f>
        <v>-</v>
      </c>
      <c r="X250" s="4"/>
      <c r="Y250" s="11" t="str">
        <f>IFERROR(INDEX(ShipPartShape!$A:$A,MATCH(X250,ShipPartShape!$B:$B,0)),"-")</f>
        <v>-</v>
      </c>
      <c r="Z250" s="4"/>
      <c r="AA250" s="11" t="str">
        <f>IFERROR(INDEX(ShipPartShape!$A:$A,MATCH(Z250,ShipPartShape!$B:$B,0)),"-")</f>
        <v>-</v>
      </c>
      <c r="AB250" s="4"/>
      <c r="AC250" s="11" t="str">
        <f>IFERROR(INDEX(ShipPartShape!$A:$A,MATCH(AB250,ShipPartShape!$B:$B,0)),"-")</f>
        <v>-</v>
      </c>
      <c r="AD250" s="4"/>
      <c r="AE250" s="11" t="str">
        <f>IFERROR(INDEX(ShipPartShape!$A:$A,MATCH(AD250,ShipPartShape!$B:$B,0)),"-")</f>
        <v>-</v>
      </c>
      <c r="AF250" s="4"/>
      <c r="AG250" s="11" t="str">
        <f>IFERROR(INDEX(ShipPartShape!$A:$A,MATCH(AF250,ShipPartShape!$B:$B,0)),"-")</f>
        <v>-</v>
      </c>
      <c r="AH250" s="4"/>
      <c r="AI250" s="11" t="str">
        <f>IFERROR(INDEX(ShipPartShape!$A:$A,MATCH(AH250,ShipPartShape!$B:$B,0)),"-")</f>
        <v>-</v>
      </c>
      <c r="AJ250" s="11" t="s">
        <v>0</v>
      </c>
      <c r="AK250" s="11" t="s">
        <v>0</v>
      </c>
      <c r="AL250" s="11" t="s">
        <v>0</v>
      </c>
      <c r="AM250" s="11" t="s">
        <v>0</v>
      </c>
      <c r="AN250" s="11" t="s">
        <v>0</v>
      </c>
      <c r="AO250" s="11" t="s">
        <v>0</v>
      </c>
      <c r="AP250" s="11" t="s">
        <v>0</v>
      </c>
      <c r="AQ250" s="11" t="s">
        <v>0</v>
      </c>
      <c r="AR250" s="11" t="s">
        <v>0</v>
      </c>
      <c r="AS250" s="11" t="s">
        <v>0</v>
      </c>
      <c r="AT250" s="11" t="s">
        <v>0</v>
      </c>
      <c r="AU250" s="11">
        <v>47600018</v>
      </c>
      <c r="AV250" s="11" t="s">
        <v>0</v>
      </c>
      <c r="AW250" s="11" t="s">
        <v>0</v>
      </c>
      <c r="AX250" s="11" t="s">
        <v>0</v>
      </c>
    </row>
    <row r="251" spans="1:50" ht="15">
      <c r="A251" s="10">
        <f t="shared" si="4"/>
        <v>45000241</v>
      </c>
      <c r="B251" s="22" t="s">
        <v>2855</v>
      </c>
      <c r="C251" s="11" t="s">
        <v>2856</v>
      </c>
      <c r="D251" s="4" t="s">
        <v>2853</v>
      </c>
      <c r="E251" s="11">
        <v>700</v>
      </c>
      <c r="F251" s="11">
        <v>100</v>
      </c>
      <c r="G251" s="11" t="s">
        <v>0</v>
      </c>
      <c r="H251" s="11" t="s">
        <v>0</v>
      </c>
      <c r="I251" s="11">
        <f>IFERROR(INDEX(ShipPartShape!$A:$A,MATCH(D251,ShipPartShape!$B:$B,0)),"-")</f>
        <v>46000224</v>
      </c>
      <c r="J251" s="4" t="s">
        <v>2857</v>
      </c>
      <c r="K251" s="11">
        <f>IFERROR(INDEX(ShipPartShape!$A:$A,MATCH(J251,ShipPartShape!$B:$B,0)),"-")</f>
        <v>46800003</v>
      </c>
      <c r="L251" s="4"/>
      <c r="M251" s="11" t="str">
        <f>IFERROR(INDEX(ShipPartShape!$A:$A,MATCH(L251,ShipPartShape!$B:$B,0)),"-")</f>
        <v>-</v>
      </c>
      <c r="N251" s="4"/>
      <c r="O251" s="11" t="str">
        <f>IFERROR(INDEX(ShipPartShape!$A:$A,MATCH(N251,ShipPartShape!$B:$B,0)),"-")</f>
        <v>-</v>
      </c>
      <c r="P251" s="4"/>
      <c r="Q251" s="11" t="str">
        <f>IFERROR(INDEX(ShipPartShape!$A:$A,MATCH(P251,ShipPartShape!$B:$B,0)),"-")</f>
        <v>-</v>
      </c>
      <c r="R251" s="4"/>
      <c r="S251" s="11" t="str">
        <f>IFERROR(INDEX(ShipPartShape!$A:$A,MATCH(R251,ShipPartShape!$B:$B,0)),"-")</f>
        <v>-</v>
      </c>
      <c r="T251" s="4"/>
      <c r="U251" s="11" t="str">
        <f>IFERROR(INDEX(ShipPartShape!$A:$A,MATCH(T251,ShipPartShape!$B:$B,0)),"-")</f>
        <v>-</v>
      </c>
      <c r="V251" s="4"/>
      <c r="W251" s="11" t="str">
        <f>IFERROR(INDEX(ShipPartShape!$A:$A,MATCH(V251,ShipPartShape!$B:$B,0)),"-")</f>
        <v>-</v>
      </c>
      <c r="X251" s="4"/>
      <c r="Y251" s="11" t="str">
        <f>IFERROR(INDEX(ShipPartShape!$A:$A,MATCH(X251,ShipPartShape!$B:$B,0)),"-")</f>
        <v>-</v>
      </c>
      <c r="Z251" s="4"/>
      <c r="AA251" s="11" t="str">
        <f>IFERROR(INDEX(ShipPartShape!$A:$A,MATCH(Z251,ShipPartShape!$B:$B,0)),"-")</f>
        <v>-</v>
      </c>
      <c r="AB251" s="4"/>
      <c r="AC251" s="11" t="str">
        <f>IFERROR(INDEX(ShipPartShape!$A:$A,MATCH(AB251,ShipPartShape!$B:$B,0)),"-")</f>
        <v>-</v>
      </c>
      <c r="AD251" s="4"/>
      <c r="AE251" s="11" t="str">
        <f>IFERROR(INDEX(ShipPartShape!$A:$A,MATCH(AD251,ShipPartShape!$B:$B,0)),"-")</f>
        <v>-</v>
      </c>
      <c r="AF251" s="4"/>
      <c r="AG251" s="11" t="str">
        <f>IFERROR(INDEX(ShipPartShape!$A:$A,MATCH(AF251,ShipPartShape!$B:$B,0)),"-")</f>
        <v>-</v>
      </c>
      <c r="AH251" s="4"/>
      <c r="AI251" s="11" t="str">
        <f>IFERROR(INDEX(ShipPartShape!$A:$A,MATCH(AH251,ShipPartShape!$B:$B,0)),"-")</f>
        <v>-</v>
      </c>
      <c r="AJ251" s="11" t="s">
        <v>0</v>
      </c>
      <c r="AK251" s="11" t="s">
        <v>0</v>
      </c>
      <c r="AL251" s="11" t="s">
        <v>0</v>
      </c>
      <c r="AM251" s="11" t="s">
        <v>0</v>
      </c>
      <c r="AN251" s="11" t="s">
        <v>0</v>
      </c>
      <c r="AO251" s="11" t="s">
        <v>0</v>
      </c>
      <c r="AP251" s="11" t="s">
        <v>0</v>
      </c>
      <c r="AQ251" s="11" t="s">
        <v>0</v>
      </c>
      <c r="AR251" s="11" t="s">
        <v>0</v>
      </c>
      <c r="AS251" s="11" t="s">
        <v>0</v>
      </c>
      <c r="AT251" s="11" t="s">
        <v>0</v>
      </c>
      <c r="AU251" s="11" t="s">
        <v>545</v>
      </c>
      <c r="AV251" s="11" t="s">
        <v>0</v>
      </c>
      <c r="AW251" s="11" t="s">
        <v>0</v>
      </c>
      <c r="AX251" s="11" t="s">
        <v>0</v>
      </c>
    </row>
    <row r="252" spans="1:50" ht="15">
      <c r="A252" s="10">
        <f t="shared" si="4"/>
        <v>45000242</v>
      </c>
      <c r="B252" s="22" t="s">
        <v>2901</v>
      </c>
      <c r="C252" s="11" t="s">
        <v>2900</v>
      </c>
      <c r="D252" s="4" t="s">
        <v>2902</v>
      </c>
      <c r="E252" s="11">
        <v>500</v>
      </c>
      <c r="F252" s="11">
        <v>200</v>
      </c>
      <c r="G252" s="11">
        <v>20</v>
      </c>
      <c r="H252" s="11">
        <v>-40</v>
      </c>
      <c r="I252" s="11">
        <f>IFERROR(INDEX(ShipPartShape!$A:$A,MATCH(D252,ShipPartShape!$B:$B,0)),"-")</f>
        <v>46000225</v>
      </c>
      <c r="J252" s="4" t="s">
        <v>69</v>
      </c>
      <c r="K252" s="11">
        <f>IFERROR(INDEX(ShipPartShape!$A:$A,MATCH(J252,ShipPartShape!$B:$B,0)),"-")</f>
        <v>46300001</v>
      </c>
      <c r="L252" s="4"/>
      <c r="M252" s="11" t="str">
        <f>IFERROR(INDEX(ShipPartShape!$A:$A,MATCH(L252,ShipPartShape!$B:$B,0)),"-")</f>
        <v>-</v>
      </c>
      <c r="N252" s="4"/>
      <c r="O252" s="11" t="str">
        <f>IFERROR(INDEX(ShipPartShape!$A:$A,MATCH(N252,ShipPartShape!$B:$B,0)),"-")</f>
        <v>-</v>
      </c>
      <c r="P252" s="4"/>
      <c r="Q252" s="11" t="str">
        <f>IFERROR(INDEX(ShipPartShape!$A:$A,MATCH(P252,ShipPartShape!$B:$B,0)),"-")</f>
        <v>-</v>
      </c>
      <c r="R252" s="4"/>
      <c r="S252" s="11" t="str">
        <f>IFERROR(INDEX(ShipPartShape!$A:$A,MATCH(R252,ShipPartShape!$B:$B,0)),"-")</f>
        <v>-</v>
      </c>
      <c r="T252" s="4"/>
      <c r="U252" s="11" t="str">
        <f>IFERROR(INDEX(ShipPartShape!$A:$A,MATCH(T252,ShipPartShape!$B:$B,0)),"-")</f>
        <v>-</v>
      </c>
      <c r="V252" s="4"/>
      <c r="W252" s="11" t="str">
        <f>IFERROR(INDEX(ShipPartShape!$A:$A,MATCH(V252,ShipPartShape!$B:$B,0)),"-")</f>
        <v>-</v>
      </c>
      <c r="X252" s="4"/>
      <c r="Y252" s="11" t="str">
        <f>IFERROR(INDEX(ShipPartShape!$A:$A,MATCH(X252,ShipPartShape!$B:$B,0)),"-")</f>
        <v>-</v>
      </c>
      <c r="Z252" s="4"/>
      <c r="AA252" s="11" t="str">
        <f>IFERROR(INDEX(ShipPartShape!$A:$A,MATCH(Z252,ShipPartShape!$B:$B,0)),"-")</f>
        <v>-</v>
      </c>
      <c r="AB252" s="4"/>
      <c r="AC252" s="11" t="str">
        <f>IFERROR(INDEX(ShipPartShape!$A:$A,MATCH(AB252,ShipPartShape!$B:$B,0)),"-")</f>
        <v>-</v>
      </c>
      <c r="AD252" s="4"/>
      <c r="AE252" s="11" t="str">
        <f>IFERROR(INDEX(ShipPartShape!$A:$A,MATCH(AD252,ShipPartShape!$B:$B,0)),"-")</f>
        <v>-</v>
      </c>
      <c r="AF252" s="4"/>
      <c r="AG252" s="11" t="str">
        <f>IFERROR(INDEX(ShipPartShape!$A:$A,MATCH(AF252,ShipPartShape!$B:$B,0)),"-")</f>
        <v>-</v>
      </c>
      <c r="AH252" s="4"/>
      <c r="AI252" s="11" t="str">
        <f>IFERROR(INDEX(ShipPartShape!$A:$A,MATCH(AH252,ShipPartShape!$B:$B,0)),"-")</f>
        <v>-</v>
      </c>
      <c r="AJ252" s="11" t="s">
        <v>0</v>
      </c>
      <c r="AK252" s="11" t="s">
        <v>0</v>
      </c>
      <c r="AL252" s="11" t="s">
        <v>0</v>
      </c>
      <c r="AM252" s="11" t="s">
        <v>0</v>
      </c>
      <c r="AN252" s="11" t="s">
        <v>0</v>
      </c>
      <c r="AO252" s="11" t="s">
        <v>0</v>
      </c>
      <c r="AP252" s="11" t="s">
        <v>0</v>
      </c>
      <c r="AQ252" s="11" t="s">
        <v>0</v>
      </c>
      <c r="AR252" s="11" t="s">
        <v>0</v>
      </c>
      <c r="AS252" s="11" t="s">
        <v>0</v>
      </c>
      <c r="AT252" s="11" t="s">
        <v>0</v>
      </c>
      <c r="AU252" s="11">
        <v>47600017</v>
      </c>
      <c r="AV252" s="11" t="s">
        <v>0</v>
      </c>
      <c r="AW252" s="11" t="s">
        <v>0</v>
      </c>
      <c r="AX252" s="11" t="s">
        <v>0</v>
      </c>
    </row>
    <row r="253" spans="1:50" ht="15">
      <c r="A253" s="10">
        <f t="shared" si="4"/>
        <v>45000243</v>
      </c>
      <c r="B253" s="22" t="s">
        <v>2918</v>
      </c>
      <c r="C253" s="11" t="s">
        <v>2919</v>
      </c>
      <c r="D253" s="4" t="s">
        <v>2915</v>
      </c>
      <c r="E253" s="11">
        <v>700</v>
      </c>
      <c r="F253" s="11">
        <v>100</v>
      </c>
      <c r="G253" s="11">
        <v>20</v>
      </c>
      <c r="H253" s="11">
        <v>-40</v>
      </c>
      <c r="I253" s="11">
        <f>IFERROR(INDEX(ShipPartShape!$A:$A,MATCH(D253,ShipPartShape!$B:$B,0)),"-")</f>
        <v>46000226</v>
      </c>
      <c r="J253" s="4" t="s">
        <v>1215</v>
      </c>
      <c r="K253" s="11">
        <f>IFERROR(INDEX(ShipPartShape!$A:$A,MATCH(J253,ShipPartShape!$B:$B,0)),"-")</f>
        <v>46700013</v>
      </c>
      <c r="L253" s="4"/>
      <c r="M253" s="11" t="str">
        <f>IFERROR(INDEX(ShipPartShape!$A:$A,MATCH(L253,ShipPartShape!$B:$B,0)),"-")</f>
        <v>-</v>
      </c>
      <c r="N253" s="4"/>
      <c r="O253" s="11" t="str">
        <f>IFERROR(INDEX(ShipPartShape!$A:$A,MATCH(N253,ShipPartShape!$B:$B,0)),"-")</f>
        <v>-</v>
      </c>
      <c r="P253" s="4"/>
      <c r="Q253" s="11" t="str">
        <f>IFERROR(INDEX(ShipPartShape!$A:$A,MATCH(P253,ShipPartShape!$B:$B,0)),"-")</f>
        <v>-</v>
      </c>
      <c r="R253" s="4"/>
      <c r="S253" s="11" t="str">
        <f>IFERROR(INDEX(ShipPartShape!$A:$A,MATCH(R253,ShipPartShape!$B:$B,0)),"-")</f>
        <v>-</v>
      </c>
      <c r="T253" s="4" t="s">
        <v>604</v>
      </c>
      <c r="U253" s="11">
        <f>IFERROR(INDEX(ShipPartShape!$A:$A,MATCH(T253,ShipPartShape!$B:$B,0)),"-")</f>
        <v>46600005</v>
      </c>
      <c r="V253" s="4" t="s">
        <v>603</v>
      </c>
      <c r="W253" s="11">
        <f>IFERROR(INDEX(ShipPartShape!$A:$A,MATCH(V253,ShipPartShape!$B:$B,0)),"-")</f>
        <v>46600007</v>
      </c>
      <c r="X253" s="4" t="s">
        <v>609</v>
      </c>
      <c r="Y253" s="11">
        <f>IFERROR(INDEX(ShipPartShape!$A:$A,MATCH(X253,ShipPartShape!$B:$B,0)),"-")</f>
        <v>46600011</v>
      </c>
      <c r="Z253" s="4" t="s">
        <v>605</v>
      </c>
      <c r="AA253" s="11">
        <f>IFERROR(INDEX(ShipPartShape!$A:$A,MATCH(Z253,ShipPartShape!$B:$B,0)),"-")</f>
        <v>46600009</v>
      </c>
      <c r="AB253" s="4"/>
      <c r="AC253" s="11" t="str">
        <f>IFERROR(INDEX(ShipPartShape!$A:$A,MATCH(AB253,ShipPartShape!$B:$B,0)),"-")</f>
        <v>-</v>
      </c>
      <c r="AD253" s="4"/>
      <c r="AE253" s="11" t="str">
        <f>IFERROR(INDEX(ShipPartShape!$A:$A,MATCH(AD253,ShipPartShape!$B:$B,0)),"-")</f>
        <v>-</v>
      </c>
      <c r="AF253" s="4"/>
      <c r="AG253" s="11" t="str">
        <f>IFERROR(INDEX(ShipPartShape!$A:$A,MATCH(AF253,ShipPartShape!$B:$B,0)),"-")</f>
        <v>-</v>
      </c>
      <c r="AH253" s="4"/>
      <c r="AI253" s="11" t="str">
        <f>IFERROR(INDEX(ShipPartShape!$A:$A,MATCH(AH253,ShipPartShape!$B:$B,0)),"-")</f>
        <v>-</v>
      </c>
      <c r="AJ253" s="11" t="s">
        <v>0</v>
      </c>
      <c r="AK253" s="11" t="s">
        <v>0</v>
      </c>
      <c r="AL253" s="11" t="s">
        <v>0</v>
      </c>
      <c r="AM253" s="11" t="s">
        <v>0</v>
      </c>
      <c r="AN253" s="11" t="s">
        <v>0</v>
      </c>
      <c r="AO253" s="11" t="s">
        <v>0</v>
      </c>
      <c r="AP253" s="11" t="s">
        <v>0</v>
      </c>
      <c r="AQ253" s="11" t="s">
        <v>0</v>
      </c>
      <c r="AR253" s="11" t="s">
        <v>0</v>
      </c>
      <c r="AS253" s="11" t="s">
        <v>0</v>
      </c>
      <c r="AT253" s="11" t="s">
        <v>0</v>
      </c>
      <c r="AU253" s="11">
        <v>47600017</v>
      </c>
      <c r="AV253" s="11" t="s">
        <v>0</v>
      </c>
      <c r="AW253" s="11" t="s">
        <v>0</v>
      </c>
      <c r="AX253" s="11" t="s">
        <v>0</v>
      </c>
    </row>
    <row r="254" spans="1:50" ht="15">
      <c r="A254" s="10">
        <f t="shared" si="4"/>
        <v>45000244</v>
      </c>
      <c r="B254" s="22" t="s">
        <v>2936</v>
      </c>
      <c r="C254" s="11" t="s">
        <v>2943</v>
      </c>
      <c r="D254" s="4" t="s">
        <v>2941</v>
      </c>
      <c r="E254" s="11">
        <v>700</v>
      </c>
      <c r="F254" s="11">
        <v>100</v>
      </c>
      <c r="G254" s="11">
        <v>20</v>
      </c>
      <c r="H254" s="11">
        <v>-40</v>
      </c>
      <c r="I254" s="11">
        <f>IFERROR(INDEX(ShipPartShape!$A:$A,MATCH(D254,ShipPartShape!$B:$B,0)),"-")</f>
        <v>46000227</v>
      </c>
      <c r="J254" s="4" t="s">
        <v>2938</v>
      </c>
      <c r="K254" s="11">
        <f>IFERROR(INDEX(ShipPartShape!$A:$A,MATCH(J254,ShipPartShape!$B:$B,0)),"-")</f>
        <v>46500043</v>
      </c>
      <c r="L254" s="4"/>
      <c r="M254" s="11" t="str">
        <f>IFERROR(INDEX(ShipPartShape!$A:$A,MATCH(L254,ShipPartShape!$B:$B,0)),"-")</f>
        <v>-</v>
      </c>
      <c r="N254" s="4"/>
      <c r="O254" s="11" t="str">
        <f>IFERROR(INDEX(ShipPartShape!$A:$A,MATCH(N254,ShipPartShape!$B:$B,0)),"-")</f>
        <v>-</v>
      </c>
      <c r="P254" s="4"/>
      <c r="Q254" s="11" t="str">
        <f>IFERROR(INDEX(ShipPartShape!$A:$A,MATCH(P254,ShipPartShape!$B:$B,0)),"-")</f>
        <v>-</v>
      </c>
      <c r="R254" s="4"/>
      <c r="S254" s="11" t="str">
        <f>IFERROR(INDEX(ShipPartShape!$A:$A,MATCH(R254,ShipPartShape!$B:$B,0)),"-")</f>
        <v>-</v>
      </c>
      <c r="T254" s="4"/>
      <c r="U254" s="11" t="str">
        <f>IFERROR(INDEX(ShipPartShape!$A:$A,MATCH(T254,ShipPartShape!$B:$B,0)),"-")</f>
        <v>-</v>
      </c>
      <c r="V254" s="4"/>
      <c r="W254" s="11" t="str">
        <f>IFERROR(INDEX(ShipPartShape!$A:$A,MATCH(V254,ShipPartShape!$B:$B,0)),"-")</f>
        <v>-</v>
      </c>
      <c r="X254" s="4"/>
      <c r="Y254" s="11" t="str">
        <f>IFERROR(INDEX(ShipPartShape!$A:$A,MATCH(X254,ShipPartShape!$B:$B,0)),"-")</f>
        <v>-</v>
      </c>
      <c r="Z254" s="4"/>
      <c r="AA254" s="11" t="str">
        <f>IFERROR(INDEX(ShipPartShape!$A:$A,MATCH(Z254,ShipPartShape!$B:$B,0)),"-")</f>
        <v>-</v>
      </c>
      <c r="AB254" s="4"/>
      <c r="AC254" s="11" t="str">
        <f>IFERROR(INDEX(ShipPartShape!$A:$A,MATCH(AB254,ShipPartShape!$B:$B,0)),"-")</f>
        <v>-</v>
      </c>
      <c r="AD254" s="4"/>
      <c r="AE254" s="11" t="str">
        <f>IFERROR(INDEX(ShipPartShape!$A:$A,MATCH(AD254,ShipPartShape!$B:$B,0)),"-")</f>
        <v>-</v>
      </c>
      <c r="AF254" s="4"/>
      <c r="AG254" s="11" t="str">
        <f>IFERROR(INDEX(ShipPartShape!$A:$A,MATCH(AF254,ShipPartShape!$B:$B,0)),"-")</f>
        <v>-</v>
      </c>
      <c r="AH254" s="4"/>
      <c r="AI254" s="11" t="str">
        <f>IFERROR(INDEX(ShipPartShape!$A:$A,MATCH(AH254,ShipPartShape!$B:$B,0)),"-")</f>
        <v>-</v>
      </c>
      <c r="AJ254" s="11" t="s">
        <v>0</v>
      </c>
      <c r="AK254" s="11" t="s">
        <v>0</v>
      </c>
      <c r="AL254" s="11" t="s">
        <v>0</v>
      </c>
      <c r="AM254" s="11" t="s">
        <v>0</v>
      </c>
      <c r="AN254" s="11" t="s">
        <v>0</v>
      </c>
      <c r="AO254" s="11" t="s">
        <v>0</v>
      </c>
      <c r="AP254" s="11" t="s">
        <v>0</v>
      </c>
      <c r="AQ254" s="11" t="s">
        <v>0</v>
      </c>
      <c r="AR254" s="11" t="s">
        <v>0</v>
      </c>
      <c r="AS254" s="11" t="s">
        <v>0</v>
      </c>
      <c r="AT254" s="11" t="s">
        <v>0</v>
      </c>
      <c r="AU254" s="11">
        <v>47600018</v>
      </c>
      <c r="AV254" s="11" t="s">
        <v>0</v>
      </c>
      <c r="AW254" s="11" t="s">
        <v>0</v>
      </c>
      <c r="AX254" s="11" t="s">
        <v>0</v>
      </c>
    </row>
    <row r="255" spans="1:50" ht="15">
      <c r="A255" s="10">
        <f t="shared" si="4"/>
        <v>45000245</v>
      </c>
      <c r="B255" s="22" t="s">
        <v>2951</v>
      </c>
      <c r="C255" s="11" t="s">
        <v>2952</v>
      </c>
      <c r="D255" s="4" t="s">
        <v>2945</v>
      </c>
      <c r="E255" s="11">
        <v>700</v>
      </c>
      <c r="F255" s="11">
        <v>100</v>
      </c>
      <c r="G255" s="11">
        <v>20</v>
      </c>
      <c r="H255" s="11">
        <v>-40</v>
      </c>
      <c r="I255" s="11">
        <f>IFERROR(INDEX(ShipPartShape!$A:$A,MATCH(D255,ShipPartShape!$B:$B,0)),"-")</f>
        <v>46000228</v>
      </c>
      <c r="J255" s="4" t="s">
        <v>2948</v>
      </c>
      <c r="K255" s="11">
        <f>IFERROR(INDEX(ShipPartShape!$A:$A,MATCH(J255,ShipPartShape!$B:$B,0)),"-")</f>
        <v>46700018</v>
      </c>
      <c r="L255" s="4"/>
      <c r="M255" s="11" t="str">
        <f>IFERROR(INDEX(ShipPartShape!$A:$A,MATCH(L255,ShipPartShape!$B:$B,0)),"-")</f>
        <v>-</v>
      </c>
      <c r="N255" s="4"/>
      <c r="O255" s="11" t="str">
        <f>IFERROR(INDEX(ShipPartShape!$A:$A,MATCH(N255,ShipPartShape!$B:$B,0)),"-")</f>
        <v>-</v>
      </c>
      <c r="P255" s="4"/>
      <c r="Q255" s="11" t="str">
        <f>IFERROR(INDEX(ShipPartShape!$A:$A,MATCH(P255,ShipPartShape!$B:$B,0)),"-")</f>
        <v>-</v>
      </c>
      <c r="R255" s="4"/>
      <c r="S255" s="11" t="str">
        <f>IFERROR(INDEX(ShipPartShape!$A:$A,MATCH(R255,ShipPartShape!$B:$B,0)),"-")</f>
        <v>-</v>
      </c>
      <c r="T255" s="4"/>
      <c r="U255" s="11" t="str">
        <f>IFERROR(INDEX(ShipPartShape!$A:$A,MATCH(T255,ShipPartShape!$B:$B,0)),"-")</f>
        <v>-</v>
      </c>
      <c r="V255" s="4"/>
      <c r="W255" s="11" t="str">
        <f>IFERROR(INDEX(ShipPartShape!$A:$A,MATCH(V255,ShipPartShape!$B:$B,0)),"-")</f>
        <v>-</v>
      </c>
      <c r="X255" s="4"/>
      <c r="Y255" s="11" t="str">
        <f>IFERROR(INDEX(ShipPartShape!$A:$A,MATCH(X255,ShipPartShape!$B:$B,0)),"-")</f>
        <v>-</v>
      </c>
      <c r="Z255" s="4"/>
      <c r="AA255" s="11" t="str">
        <f>IFERROR(INDEX(ShipPartShape!$A:$A,MATCH(Z255,ShipPartShape!$B:$B,0)),"-")</f>
        <v>-</v>
      </c>
      <c r="AB255" s="4"/>
      <c r="AC255" s="11" t="str">
        <f>IFERROR(INDEX(ShipPartShape!$A:$A,MATCH(AB255,ShipPartShape!$B:$B,0)),"-")</f>
        <v>-</v>
      </c>
      <c r="AD255" s="4"/>
      <c r="AE255" s="11" t="str">
        <f>IFERROR(INDEX(ShipPartShape!$A:$A,MATCH(AD255,ShipPartShape!$B:$B,0)),"-")</f>
        <v>-</v>
      </c>
      <c r="AF255" s="4"/>
      <c r="AG255" s="11" t="str">
        <f>IFERROR(INDEX(ShipPartShape!$A:$A,MATCH(AF255,ShipPartShape!$B:$B,0)),"-")</f>
        <v>-</v>
      </c>
      <c r="AH255" s="4"/>
      <c r="AI255" s="11" t="str">
        <f>IFERROR(INDEX(ShipPartShape!$A:$A,MATCH(AH255,ShipPartShape!$B:$B,0)),"-")</f>
        <v>-</v>
      </c>
      <c r="AJ255" s="11" t="s">
        <v>0</v>
      </c>
      <c r="AK255" s="11" t="s">
        <v>0</v>
      </c>
      <c r="AL255" s="11" t="s">
        <v>0</v>
      </c>
      <c r="AM255" s="11" t="s">
        <v>0</v>
      </c>
      <c r="AN255" s="11" t="s">
        <v>0</v>
      </c>
      <c r="AO255" s="11" t="s">
        <v>0</v>
      </c>
      <c r="AP255" s="11" t="s">
        <v>0</v>
      </c>
      <c r="AQ255" s="11" t="s">
        <v>0</v>
      </c>
      <c r="AR255" s="11" t="s">
        <v>0</v>
      </c>
      <c r="AS255" s="11" t="s">
        <v>0</v>
      </c>
      <c r="AT255" s="11" t="s">
        <v>0</v>
      </c>
      <c r="AU255" s="11">
        <v>47600018</v>
      </c>
      <c r="AV255" s="11" t="s">
        <v>0</v>
      </c>
      <c r="AW255" s="11" t="s">
        <v>0</v>
      </c>
      <c r="AX255" s="11" t="s">
        <v>0</v>
      </c>
    </row>
    <row r="256" spans="1:50" ht="15">
      <c r="A256" s="10">
        <f t="shared" si="4"/>
        <v>45000246</v>
      </c>
      <c r="B256" s="22" t="s">
        <v>2956</v>
      </c>
      <c r="C256" s="11" t="s">
        <v>2958</v>
      </c>
      <c r="D256" s="4" t="s">
        <v>2953</v>
      </c>
      <c r="E256" s="11">
        <v>700</v>
      </c>
      <c r="F256" s="11">
        <v>100</v>
      </c>
      <c r="G256" s="11">
        <v>20</v>
      </c>
      <c r="H256" s="11">
        <v>-40</v>
      </c>
      <c r="I256" s="11">
        <f>IFERROR(INDEX(ShipPartShape!$A:$A,MATCH(D256,ShipPartShape!$B:$B,0)),"-")</f>
        <v>46000229</v>
      </c>
      <c r="J256" s="4" t="s">
        <v>2959</v>
      </c>
      <c r="K256" s="11">
        <f>IFERROR(INDEX(ShipPartShape!$A:$A,MATCH(J256,ShipPartShape!$B:$B,0)),"-")</f>
        <v>46500044</v>
      </c>
      <c r="L256" s="4" t="s">
        <v>2961</v>
      </c>
      <c r="M256" s="11">
        <f>IFERROR(INDEX(ShipPartShape!$A:$A,MATCH(L256,ShipPartShape!$B:$B,0)),"-")</f>
        <v>46800004</v>
      </c>
      <c r="N256" s="4" t="s">
        <v>1212</v>
      </c>
      <c r="O256" s="11">
        <f>IFERROR(INDEX(ShipPartShape!$A:$A,MATCH(N256,ShipPartShape!$B:$B,0)),"-")</f>
        <v>46700005</v>
      </c>
      <c r="P256" s="4"/>
      <c r="Q256" s="11" t="str">
        <f>IFERROR(INDEX(ShipPartShape!$A:$A,MATCH(P256,ShipPartShape!$B:$B,0)),"-")</f>
        <v>-</v>
      </c>
      <c r="R256" s="4"/>
      <c r="S256" s="11" t="str">
        <f>IFERROR(INDEX(ShipPartShape!$A:$A,MATCH(R256,ShipPartShape!$B:$B,0)),"-")</f>
        <v>-</v>
      </c>
      <c r="T256" s="4"/>
      <c r="U256" s="11" t="str">
        <f>IFERROR(INDEX(ShipPartShape!$A:$A,MATCH(T256,ShipPartShape!$B:$B,0)),"-")</f>
        <v>-</v>
      </c>
      <c r="V256" s="4"/>
      <c r="W256" s="11" t="str">
        <f>IFERROR(INDEX(ShipPartShape!$A:$A,MATCH(V256,ShipPartShape!$B:$B,0)),"-")</f>
        <v>-</v>
      </c>
      <c r="X256" s="4"/>
      <c r="Y256" s="11" t="str">
        <f>IFERROR(INDEX(ShipPartShape!$A:$A,MATCH(X256,ShipPartShape!$B:$B,0)),"-")</f>
        <v>-</v>
      </c>
      <c r="Z256" s="4"/>
      <c r="AA256" s="11" t="str">
        <f>IFERROR(INDEX(ShipPartShape!$A:$A,MATCH(Z256,ShipPartShape!$B:$B,0)),"-")</f>
        <v>-</v>
      </c>
      <c r="AB256" s="4"/>
      <c r="AC256" s="11" t="str">
        <f>IFERROR(INDEX(ShipPartShape!$A:$A,MATCH(AB256,ShipPartShape!$B:$B,0)),"-")</f>
        <v>-</v>
      </c>
      <c r="AD256" s="4"/>
      <c r="AE256" s="11" t="str">
        <f>IFERROR(INDEX(ShipPartShape!$A:$A,MATCH(AD256,ShipPartShape!$B:$B,0)),"-")</f>
        <v>-</v>
      </c>
      <c r="AF256" s="4"/>
      <c r="AG256" s="11" t="str">
        <f>IFERROR(INDEX(ShipPartShape!$A:$A,MATCH(AF256,ShipPartShape!$B:$B,0)),"-")</f>
        <v>-</v>
      </c>
      <c r="AH256" s="4"/>
      <c r="AI256" s="11" t="str">
        <f>IFERROR(INDEX(ShipPartShape!$A:$A,MATCH(AH256,ShipPartShape!$B:$B,0)),"-")</f>
        <v>-</v>
      </c>
      <c r="AJ256" s="11" t="s">
        <v>0</v>
      </c>
      <c r="AK256" s="11" t="s">
        <v>0</v>
      </c>
      <c r="AL256" s="11" t="s">
        <v>0</v>
      </c>
      <c r="AM256" s="11" t="s">
        <v>0</v>
      </c>
      <c r="AN256" s="11" t="s">
        <v>0</v>
      </c>
      <c r="AO256" s="11" t="s">
        <v>0</v>
      </c>
      <c r="AP256" s="11" t="s">
        <v>0</v>
      </c>
      <c r="AQ256" s="11" t="s">
        <v>0</v>
      </c>
      <c r="AR256" s="11" t="s">
        <v>0</v>
      </c>
      <c r="AS256" s="11" t="s">
        <v>0</v>
      </c>
      <c r="AT256" s="11" t="s">
        <v>0</v>
      </c>
      <c r="AU256" s="11">
        <v>47600017</v>
      </c>
      <c r="AV256" s="11" t="s">
        <v>0</v>
      </c>
      <c r="AW256" s="11" t="s">
        <v>0</v>
      </c>
      <c r="AX256" s="11" t="s">
        <v>0</v>
      </c>
    </row>
    <row r="257" spans="1:50" ht="15">
      <c r="A257" s="10">
        <f t="shared" si="4"/>
        <v>45000247</v>
      </c>
      <c r="B257" s="22" t="s">
        <v>2967</v>
      </c>
      <c r="C257" s="11" t="s">
        <v>2968</v>
      </c>
      <c r="D257" s="4" t="s">
        <v>2964</v>
      </c>
      <c r="E257" s="11">
        <v>600</v>
      </c>
      <c r="F257" s="11">
        <v>100</v>
      </c>
      <c r="G257" s="11">
        <v>10</v>
      </c>
      <c r="H257" s="11">
        <v>-10</v>
      </c>
      <c r="I257" s="11">
        <f>IFERROR(INDEX(ShipPartShape!$A:$A,MATCH(D257,ShipPartShape!$B:$B,0)),"-")</f>
        <v>46000230</v>
      </c>
      <c r="J257" s="4" t="s">
        <v>1216</v>
      </c>
      <c r="K257" s="11">
        <f>IFERROR(INDEX(ShipPartShape!$A:$A,MATCH(J257,ShipPartShape!$B:$B,0)),"-")</f>
        <v>46700014</v>
      </c>
      <c r="L257" s="4"/>
      <c r="M257" s="11" t="str">
        <f>IFERROR(INDEX(ShipPartShape!$A:$A,MATCH(L257,ShipPartShape!$B:$B,0)),"-")</f>
        <v>-</v>
      </c>
      <c r="N257" s="4"/>
      <c r="O257" s="11" t="str">
        <f>IFERROR(INDEX(ShipPartShape!$A:$A,MATCH(N257,ShipPartShape!$B:$B,0)),"-")</f>
        <v>-</v>
      </c>
      <c r="P257" s="4"/>
      <c r="Q257" s="11" t="str">
        <f>IFERROR(INDEX(ShipPartShape!$A:$A,MATCH(P257,ShipPartShape!$B:$B,0)),"-")</f>
        <v>-</v>
      </c>
      <c r="R257" s="4"/>
      <c r="S257" s="11" t="str">
        <f>IFERROR(INDEX(ShipPartShape!$A:$A,MATCH(R257,ShipPartShape!$B:$B,0)),"-")</f>
        <v>-</v>
      </c>
      <c r="T257" s="4"/>
      <c r="U257" s="11" t="str">
        <f>IFERROR(INDEX(ShipPartShape!$A:$A,MATCH(T257,ShipPartShape!$B:$B,0)),"-")</f>
        <v>-</v>
      </c>
      <c r="V257" s="4"/>
      <c r="W257" s="11" t="str">
        <f>IFERROR(INDEX(ShipPartShape!$A:$A,MATCH(V257,ShipPartShape!$B:$B,0)),"-")</f>
        <v>-</v>
      </c>
      <c r="X257" s="4"/>
      <c r="Y257" s="11" t="str">
        <f>IFERROR(INDEX(ShipPartShape!$A:$A,MATCH(X257,ShipPartShape!$B:$B,0)),"-")</f>
        <v>-</v>
      </c>
      <c r="Z257" s="4"/>
      <c r="AA257" s="11" t="str">
        <f>IFERROR(INDEX(ShipPartShape!$A:$A,MATCH(Z257,ShipPartShape!$B:$B,0)),"-")</f>
        <v>-</v>
      </c>
      <c r="AB257" s="4"/>
      <c r="AC257" s="11" t="str">
        <f>IFERROR(INDEX(ShipPartShape!$A:$A,MATCH(AB257,ShipPartShape!$B:$B,0)),"-")</f>
        <v>-</v>
      </c>
      <c r="AD257" s="4"/>
      <c r="AE257" s="11" t="str">
        <f>IFERROR(INDEX(ShipPartShape!$A:$A,MATCH(AD257,ShipPartShape!$B:$B,0)),"-")</f>
        <v>-</v>
      </c>
      <c r="AF257" s="4"/>
      <c r="AG257" s="11" t="str">
        <f>IFERROR(INDEX(ShipPartShape!$A:$A,MATCH(AF257,ShipPartShape!$B:$B,0)),"-")</f>
        <v>-</v>
      </c>
      <c r="AH257" s="4"/>
      <c r="AI257" s="11" t="str">
        <f>IFERROR(INDEX(ShipPartShape!$A:$A,MATCH(AH257,ShipPartShape!$B:$B,0)),"-")</f>
        <v>-</v>
      </c>
      <c r="AJ257" s="11" t="s">
        <v>0</v>
      </c>
      <c r="AK257" s="11" t="s">
        <v>0</v>
      </c>
      <c r="AL257" s="11" t="s">
        <v>0</v>
      </c>
      <c r="AM257" s="11" t="s">
        <v>0</v>
      </c>
      <c r="AN257" s="11" t="s">
        <v>0</v>
      </c>
      <c r="AO257" s="11" t="s">
        <v>0</v>
      </c>
      <c r="AP257" s="11" t="s">
        <v>0</v>
      </c>
      <c r="AQ257" s="11" t="s">
        <v>0</v>
      </c>
      <c r="AR257" s="11" t="s">
        <v>0</v>
      </c>
      <c r="AS257" s="11" t="s">
        <v>0</v>
      </c>
      <c r="AT257" s="11" t="s">
        <v>0</v>
      </c>
      <c r="AU257" s="11">
        <v>47600015</v>
      </c>
      <c r="AV257" s="11" t="s">
        <v>0</v>
      </c>
      <c r="AW257" s="11" t="s">
        <v>0</v>
      </c>
      <c r="AX257" s="11" t="s">
        <v>0</v>
      </c>
    </row>
    <row r="258" spans="1:50" ht="15">
      <c r="A258" s="10">
        <f t="shared" si="4"/>
        <v>45000248</v>
      </c>
      <c r="B258" s="22" t="s">
        <v>2972</v>
      </c>
      <c r="C258" s="11" t="s">
        <v>2973</v>
      </c>
      <c r="D258" s="4" t="s">
        <v>2969</v>
      </c>
      <c r="E258" s="11">
        <v>600</v>
      </c>
      <c r="F258" s="11">
        <v>100</v>
      </c>
      <c r="G258" s="11">
        <v>10</v>
      </c>
      <c r="H258" s="11">
        <v>-10</v>
      </c>
      <c r="I258" s="11">
        <f>IFERROR(INDEX(ShipPartShape!$A:$A,MATCH(D258,ShipPartShape!$B:$B,0)),"-")</f>
        <v>46000231</v>
      </c>
      <c r="J258" s="4" t="s">
        <v>1216</v>
      </c>
      <c r="K258" s="11">
        <f>IFERROR(INDEX(ShipPartShape!$A:$A,MATCH(J258,ShipPartShape!$B:$B,0)),"-")</f>
        <v>46700014</v>
      </c>
      <c r="L258" s="4"/>
      <c r="M258" s="11" t="str">
        <f>IFERROR(INDEX(ShipPartShape!$A:$A,MATCH(L258,ShipPartShape!$B:$B,0)),"-")</f>
        <v>-</v>
      </c>
      <c r="N258" s="4"/>
      <c r="O258" s="11" t="str">
        <f>IFERROR(INDEX(ShipPartShape!$A:$A,MATCH(N258,ShipPartShape!$B:$B,0)),"-")</f>
        <v>-</v>
      </c>
      <c r="P258" s="4"/>
      <c r="Q258" s="11" t="str">
        <f>IFERROR(INDEX(ShipPartShape!$A:$A,MATCH(P258,ShipPartShape!$B:$B,0)),"-")</f>
        <v>-</v>
      </c>
      <c r="R258" s="4"/>
      <c r="S258" s="11" t="str">
        <f>IFERROR(INDEX(ShipPartShape!$A:$A,MATCH(R258,ShipPartShape!$B:$B,0)),"-")</f>
        <v>-</v>
      </c>
      <c r="T258" s="4"/>
      <c r="U258" s="11" t="str">
        <f>IFERROR(INDEX(ShipPartShape!$A:$A,MATCH(T258,ShipPartShape!$B:$B,0)),"-")</f>
        <v>-</v>
      </c>
      <c r="V258" s="4"/>
      <c r="W258" s="11" t="str">
        <f>IFERROR(INDEX(ShipPartShape!$A:$A,MATCH(V258,ShipPartShape!$B:$B,0)),"-")</f>
        <v>-</v>
      </c>
      <c r="X258" s="4"/>
      <c r="Y258" s="11" t="str">
        <f>IFERROR(INDEX(ShipPartShape!$A:$A,MATCH(X258,ShipPartShape!$B:$B,0)),"-")</f>
        <v>-</v>
      </c>
      <c r="Z258" s="4"/>
      <c r="AA258" s="11" t="str">
        <f>IFERROR(INDEX(ShipPartShape!$A:$A,MATCH(Z258,ShipPartShape!$B:$B,0)),"-")</f>
        <v>-</v>
      </c>
      <c r="AB258" s="4"/>
      <c r="AC258" s="11" t="str">
        <f>IFERROR(INDEX(ShipPartShape!$A:$A,MATCH(AB258,ShipPartShape!$B:$B,0)),"-")</f>
        <v>-</v>
      </c>
      <c r="AD258" s="4"/>
      <c r="AE258" s="11" t="str">
        <f>IFERROR(INDEX(ShipPartShape!$A:$A,MATCH(AD258,ShipPartShape!$B:$B,0)),"-")</f>
        <v>-</v>
      </c>
      <c r="AF258" s="4"/>
      <c r="AG258" s="11" t="str">
        <f>IFERROR(INDEX(ShipPartShape!$A:$A,MATCH(AF258,ShipPartShape!$B:$B,0)),"-")</f>
        <v>-</v>
      </c>
      <c r="AH258" s="4"/>
      <c r="AI258" s="11" t="str">
        <f>IFERROR(INDEX(ShipPartShape!$A:$A,MATCH(AH258,ShipPartShape!$B:$B,0)),"-")</f>
        <v>-</v>
      </c>
      <c r="AJ258" s="11" t="s">
        <v>0</v>
      </c>
      <c r="AK258" s="11" t="s">
        <v>0</v>
      </c>
      <c r="AL258" s="11" t="s">
        <v>0</v>
      </c>
      <c r="AM258" s="11" t="s">
        <v>0</v>
      </c>
      <c r="AN258" s="11" t="s">
        <v>0</v>
      </c>
      <c r="AO258" s="11" t="s">
        <v>0</v>
      </c>
      <c r="AP258" s="11" t="s">
        <v>0</v>
      </c>
      <c r="AQ258" s="11" t="s">
        <v>0</v>
      </c>
      <c r="AR258" s="11" t="s">
        <v>0</v>
      </c>
      <c r="AS258" s="11" t="s">
        <v>0</v>
      </c>
      <c r="AT258" s="11" t="s">
        <v>0</v>
      </c>
      <c r="AU258" s="11">
        <v>47600015</v>
      </c>
      <c r="AV258" s="11" t="s">
        <v>0</v>
      </c>
      <c r="AW258" s="11" t="s">
        <v>0</v>
      </c>
      <c r="AX258" s="11" t="s">
        <v>0</v>
      </c>
    </row>
    <row r="259" spans="1:50" ht="15">
      <c r="A259" s="10">
        <f>A258+1</f>
        <v>45000249</v>
      </c>
      <c r="B259" s="42" t="s">
        <v>2998</v>
      </c>
      <c r="C259" s="42" t="s">
        <v>200</v>
      </c>
      <c r="D259" s="4" t="s">
        <v>2999</v>
      </c>
      <c r="E259" s="11">
        <v>700</v>
      </c>
      <c r="F259" s="11">
        <v>100</v>
      </c>
      <c r="G259" s="11">
        <v>20</v>
      </c>
      <c r="H259" s="11">
        <v>-40</v>
      </c>
      <c r="I259" s="11">
        <f>IFERROR(INDEX(ShipPartShape!$A:$A,MATCH(D259,ShipPartShape!$B:$B,0)),"-")</f>
        <v>46000232</v>
      </c>
      <c r="J259" s="4" t="s">
        <v>1215</v>
      </c>
      <c r="K259" s="11">
        <f>IFERROR(INDEX(ShipPartShape!$A:$A,MATCH(J259,ShipPartShape!$B:$B,0)),"-")</f>
        <v>46700013</v>
      </c>
      <c r="L259" s="4" t="s">
        <v>3001</v>
      </c>
      <c r="M259" s="11">
        <f>IFERROR(INDEX(ShipPartShape!$A:$A,MATCH(L259,ShipPartShape!$B:$B,0)),"-")</f>
        <v>46500045</v>
      </c>
      <c r="N259" s="4"/>
      <c r="O259" s="11" t="str">
        <f>IFERROR(INDEX(ShipPartShape!$A:$A,MATCH(N259,ShipPartShape!$B:$B,0)),"-")</f>
        <v>-</v>
      </c>
      <c r="P259" s="4"/>
      <c r="Q259" s="11" t="str">
        <f>IFERROR(INDEX(ShipPartShape!$A:$A,MATCH(P259,ShipPartShape!$B:$B,0)),"-")</f>
        <v>-</v>
      </c>
      <c r="R259" s="4"/>
      <c r="S259" s="11" t="str">
        <f>IFERROR(INDEX(ShipPartShape!$A:$A,MATCH(R259,ShipPartShape!$B:$B,0)),"-")</f>
        <v>-</v>
      </c>
      <c r="T259" s="4"/>
      <c r="U259" s="11" t="str">
        <f>IFERROR(INDEX(ShipPartShape!$A:$A,MATCH(T259,ShipPartShape!$B:$B,0)),"-")</f>
        <v>-</v>
      </c>
      <c r="V259" s="4"/>
      <c r="W259" s="11" t="str">
        <f>IFERROR(INDEX(ShipPartShape!$A:$A,MATCH(V259,ShipPartShape!$B:$B,0)),"-")</f>
        <v>-</v>
      </c>
      <c r="X259" s="4"/>
      <c r="Y259" s="11" t="str">
        <f>IFERROR(INDEX(ShipPartShape!$A:$A,MATCH(X259,ShipPartShape!$B:$B,0)),"-")</f>
        <v>-</v>
      </c>
      <c r="Z259" s="4"/>
      <c r="AA259" s="11" t="str">
        <f>IFERROR(INDEX(ShipPartShape!$A:$A,MATCH(Z259,ShipPartShape!$B:$B,0)),"-")</f>
        <v>-</v>
      </c>
      <c r="AB259" s="4"/>
      <c r="AC259" s="11" t="str">
        <f>IFERROR(INDEX(ShipPartShape!$A:$A,MATCH(AB259,ShipPartShape!$B:$B,0)),"-")</f>
        <v>-</v>
      </c>
      <c r="AD259" s="4"/>
      <c r="AE259" s="11" t="str">
        <f>IFERROR(INDEX(ShipPartShape!$A:$A,MATCH(AD259,ShipPartShape!$B:$B,0)),"-")</f>
        <v>-</v>
      </c>
      <c r="AF259" s="4"/>
      <c r="AG259" s="11" t="str">
        <f>IFERROR(INDEX(ShipPartShape!$A:$A,MATCH(AF259,ShipPartShape!$B:$B,0)),"-")</f>
        <v>-</v>
      </c>
      <c r="AH259" s="4"/>
      <c r="AI259" s="11" t="str">
        <f>IFERROR(INDEX(ShipPartShape!$A:$A,MATCH(AH259,ShipPartShape!$B:$B,0)),"-")</f>
        <v>-</v>
      </c>
      <c r="AJ259" s="11" t="s">
        <v>0</v>
      </c>
      <c r="AK259" s="11" t="s">
        <v>0</v>
      </c>
      <c r="AL259" s="11" t="s">
        <v>0</v>
      </c>
      <c r="AM259" s="11" t="s">
        <v>0</v>
      </c>
      <c r="AN259" s="11" t="s">
        <v>0</v>
      </c>
      <c r="AO259" s="11" t="s">
        <v>0</v>
      </c>
      <c r="AP259" s="11" t="s">
        <v>0</v>
      </c>
      <c r="AQ259" s="11" t="s">
        <v>0</v>
      </c>
      <c r="AR259" s="11" t="s">
        <v>0</v>
      </c>
      <c r="AS259" s="11" t="s">
        <v>0</v>
      </c>
      <c r="AT259" s="11" t="s">
        <v>0</v>
      </c>
      <c r="AU259" s="11">
        <v>47600018</v>
      </c>
      <c r="AV259" s="11" t="s">
        <v>0</v>
      </c>
      <c r="AW259" s="11" t="s">
        <v>0</v>
      </c>
      <c r="AX259" s="11" t="s">
        <v>0</v>
      </c>
    </row>
    <row r="260" spans="1:50" ht="15">
      <c r="A260" s="10">
        <f t="shared" si="4"/>
        <v>45000250</v>
      </c>
      <c r="B260" s="22" t="s">
        <v>3011</v>
      </c>
      <c r="C260" s="11" t="s">
        <v>3014</v>
      </c>
      <c r="D260" s="4" t="s">
        <v>3002</v>
      </c>
      <c r="E260" s="11">
        <v>600</v>
      </c>
      <c r="F260" s="11">
        <v>100</v>
      </c>
      <c r="G260" s="11">
        <v>10</v>
      </c>
      <c r="H260" s="11">
        <v>-10</v>
      </c>
      <c r="I260" s="11">
        <f>IFERROR(INDEX(ShipPartShape!$A:$A,MATCH(D260,ShipPartShape!$B:$B,0)),"-")</f>
        <v>46000233</v>
      </c>
      <c r="J260" s="4" t="s">
        <v>1216</v>
      </c>
      <c r="K260" s="11">
        <f>IFERROR(INDEX(ShipPartShape!$A:$A,MATCH(J260,ShipPartShape!$B:$B,0)),"-")</f>
        <v>46700014</v>
      </c>
      <c r="L260" s="4"/>
      <c r="M260" s="11" t="str">
        <f>IFERROR(INDEX(ShipPartShape!$A:$A,MATCH(L260,ShipPartShape!$B:$B,0)),"-")</f>
        <v>-</v>
      </c>
      <c r="N260" s="4"/>
      <c r="O260" s="11" t="str">
        <f>IFERROR(INDEX(ShipPartShape!$A:$A,MATCH(N260,ShipPartShape!$B:$B,0)),"-")</f>
        <v>-</v>
      </c>
      <c r="P260" s="4"/>
      <c r="Q260" s="11" t="str">
        <f>IFERROR(INDEX(ShipPartShape!$A:$A,MATCH(P260,ShipPartShape!$B:$B,0)),"-")</f>
        <v>-</v>
      </c>
      <c r="R260" s="4"/>
      <c r="S260" s="11" t="str">
        <f>IFERROR(INDEX(ShipPartShape!$A:$A,MATCH(R260,ShipPartShape!$B:$B,0)),"-")</f>
        <v>-</v>
      </c>
      <c r="T260" s="4"/>
      <c r="U260" s="11" t="str">
        <f>IFERROR(INDEX(ShipPartShape!$A:$A,MATCH(T260,ShipPartShape!$B:$B,0)),"-")</f>
        <v>-</v>
      </c>
      <c r="V260" s="4"/>
      <c r="W260" s="11" t="str">
        <f>IFERROR(INDEX(ShipPartShape!$A:$A,MATCH(V260,ShipPartShape!$B:$B,0)),"-")</f>
        <v>-</v>
      </c>
      <c r="X260" s="4"/>
      <c r="Y260" s="11" t="str">
        <f>IFERROR(INDEX(ShipPartShape!$A:$A,MATCH(X260,ShipPartShape!$B:$B,0)),"-")</f>
        <v>-</v>
      </c>
      <c r="Z260" s="4"/>
      <c r="AA260" s="11" t="str">
        <f>IFERROR(INDEX(ShipPartShape!$A:$A,MATCH(Z260,ShipPartShape!$B:$B,0)),"-")</f>
        <v>-</v>
      </c>
      <c r="AB260" s="4"/>
      <c r="AC260" s="11" t="str">
        <f>IFERROR(INDEX(ShipPartShape!$A:$A,MATCH(AB260,ShipPartShape!$B:$B,0)),"-")</f>
        <v>-</v>
      </c>
      <c r="AD260" s="4"/>
      <c r="AE260" s="11" t="str">
        <f>IFERROR(INDEX(ShipPartShape!$A:$A,MATCH(AD260,ShipPartShape!$B:$B,0)),"-")</f>
        <v>-</v>
      </c>
      <c r="AF260" s="4"/>
      <c r="AG260" s="11" t="str">
        <f>IFERROR(INDEX(ShipPartShape!$A:$A,MATCH(AF260,ShipPartShape!$B:$B,0)),"-")</f>
        <v>-</v>
      </c>
      <c r="AH260" s="4"/>
      <c r="AI260" s="11" t="str">
        <f>IFERROR(INDEX(ShipPartShape!$A:$A,MATCH(AH260,ShipPartShape!$B:$B,0)),"-")</f>
        <v>-</v>
      </c>
      <c r="AJ260" s="11" t="s">
        <v>0</v>
      </c>
      <c r="AK260" s="11" t="s">
        <v>0</v>
      </c>
      <c r="AL260" s="11" t="s">
        <v>0</v>
      </c>
      <c r="AM260" s="11" t="s">
        <v>0</v>
      </c>
      <c r="AN260" s="11" t="s">
        <v>0</v>
      </c>
      <c r="AO260" s="11" t="s">
        <v>0</v>
      </c>
      <c r="AP260" s="11" t="s">
        <v>0</v>
      </c>
      <c r="AQ260" s="11" t="s">
        <v>0</v>
      </c>
      <c r="AR260" s="11" t="s">
        <v>0</v>
      </c>
      <c r="AS260" s="11" t="s">
        <v>0</v>
      </c>
      <c r="AT260" s="11" t="s">
        <v>0</v>
      </c>
      <c r="AU260" s="11">
        <v>47600015</v>
      </c>
      <c r="AV260" s="11" t="s">
        <v>0</v>
      </c>
      <c r="AW260" s="11" t="s">
        <v>0</v>
      </c>
      <c r="AX260" s="11" t="s">
        <v>0</v>
      </c>
    </row>
    <row r="261" spans="1:50" ht="15">
      <c r="A261" s="10">
        <f t="shared" si="4"/>
        <v>45000251</v>
      </c>
      <c r="B261" s="22" t="s">
        <v>3012</v>
      </c>
      <c r="C261" s="11" t="s">
        <v>3015</v>
      </c>
      <c r="D261" s="4" t="s">
        <v>3004</v>
      </c>
      <c r="E261" s="11">
        <v>600</v>
      </c>
      <c r="F261" s="11">
        <v>100</v>
      </c>
      <c r="G261" s="11">
        <v>10</v>
      </c>
      <c r="H261" s="11">
        <v>-10</v>
      </c>
      <c r="I261" s="11">
        <f>IFERROR(INDEX(ShipPartShape!$A:$A,MATCH(D261,ShipPartShape!$B:$B,0)),"-")</f>
        <v>46000234</v>
      </c>
      <c r="J261" s="4" t="s">
        <v>1216</v>
      </c>
      <c r="K261" s="11">
        <f>IFERROR(INDEX(ShipPartShape!$A:$A,MATCH(J261,ShipPartShape!$B:$B,0)),"-")</f>
        <v>46700014</v>
      </c>
      <c r="L261" s="4"/>
      <c r="M261" s="11" t="str">
        <f>IFERROR(INDEX(ShipPartShape!$A:$A,MATCH(L261,ShipPartShape!$B:$B,0)),"-")</f>
        <v>-</v>
      </c>
      <c r="N261" s="4"/>
      <c r="O261" s="11" t="str">
        <f>IFERROR(INDEX(ShipPartShape!$A:$A,MATCH(N261,ShipPartShape!$B:$B,0)),"-")</f>
        <v>-</v>
      </c>
      <c r="P261" s="4"/>
      <c r="Q261" s="11" t="str">
        <f>IFERROR(INDEX(ShipPartShape!$A:$A,MATCH(P261,ShipPartShape!$B:$B,0)),"-")</f>
        <v>-</v>
      </c>
      <c r="R261" s="4"/>
      <c r="S261" s="11" t="str">
        <f>IFERROR(INDEX(ShipPartShape!$A:$A,MATCH(R261,ShipPartShape!$B:$B,0)),"-")</f>
        <v>-</v>
      </c>
      <c r="T261" s="4"/>
      <c r="U261" s="11" t="str">
        <f>IFERROR(INDEX(ShipPartShape!$A:$A,MATCH(T261,ShipPartShape!$B:$B,0)),"-")</f>
        <v>-</v>
      </c>
      <c r="V261" s="4"/>
      <c r="W261" s="11" t="str">
        <f>IFERROR(INDEX(ShipPartShape!$A:$A,MATCH(V261,ShipPartShape!$B:$B,0)),"-")</f>
        <v>-</v>
      </c>
      <c r="X261" s="4"/>
      <c r="Y261" s="11" t="str">
        <f>IFERROR(INDEX(ShipPartShape!$A:$A,MATCH(X261,ShipPartShape!$B:$B,0)),"-")</f>
        <v>-</v>
      </c>
      <c r="Z261" s="4"/>
      <c r="AA261" s="11" t="str">
        <f>IFERROR(INDEX(ShipPartShape!$A:$A,MATCH(Z261,ShipPartShape!$B:$B,0)),"-")</f>
        <v>-</v>
      </c>
      <c r="AB261" s="4"/>
      <c r="AC261" s="11" t="str">
        <f>IFERROR(INDEX(ShipPartShape!$A:$A,MATCH(AB261,ShipPartShape!$B:$B,0)),"-")</f>
        <v>-</v>
      </c>
      <c r="AD261" s="4"/>
      <c r="AE261" s="11" t="str">
        <f>IFERROR(INDEX(ShipPartShape!$A:$A,MATCH(AD261,ShipPartShape!$B:$B,0)),"-")</f>
        <v>-</v>
      </c>
      <c r="AF261" s="4"/>
      <c r="AG261" s="11" t="str">
        <f>IFERROR(INDEX(ShipPartShape!$A:$A,MATCH(AF261,ShipPartShape!$B:$B,0)),"-")</f>
        <v>-</v>
      </c>
      <c r="AH261" s="4"/>
      <c r="AI261" s="11" t="str">
        <f>IFERROR(INDEX(ShipPartShape!$A:$A,MATCH(AH261,ShipPartShape!$B:$B,0)),"-")</f>
        <v>-</v>
      </c>
      <c r="AJ261" s="11" t="s">
        <v>0</v>
      </c>
      <c r="AK261" s="11" t="s">
        <v>0</v>
      </c>
      <c r="AL261" s="11" t="s">
        <v>0</v>
      </c>
      <c r="AM261" s="11" t="s">
        <v>0</v>
      </c>
      <c r="AN261" s="11" t="s">
        <v>0</v>
      </c>
      <c r="AO261" s="11" t="s">
        <v>0</v>
      </c>
      <c r="AP261" s="11" t="s">
        <v>0</v>
      </c>
      <c r="AQ261" s="11" t="s">
        <v>0</v>
      </c>
      <c r="AR261" s="11" t="s">
        <v>0</v>
      </c>
      <c r="AS261" s="11" t="s">
        <v>0</v>
      </c>
      <c r="AT261" s="11" t="s">
        <v>0</v>
      </c>
      <c r="AU261" s="11">
        <v>47600015</v>
      </c>
      <c r="AV261" s="11" t="s">
        <v>0</v>
      </c>
      <c r="AW261" s="11" t="s">
        <v>0</v>
      </c>
      <c r="AX261" s="11" t="s">
        <v>0</v>
      </c>
    </row>
    <row r="262" spans="1:50" ht="15">
      <c r="A262" s="10">
        <f t="shared" si="4"/>
        <v>45000252</v>
      </c>
      <c r="B262" s="22" t="s">
        <v>3013</v>
      </c>
      <c r="C262" s="11" t="s">
        <v>3016</v>
      </c>
      <c r="D262" s="4" t="s">
        <v>3006</v>
      </c>
      <c r="E262" s="11">
        <v>600</v>
      </c>
      <c r="F262" s="11">
        <v>100</v>
      </c>
      <c r="G262" s="11">
        <v>10</v>
      </c>
      <c r="H262" s="11">
        <v>-10</v>
      </c>
      <c r="I262" s="11">
        <f>IFERROR(INDEX(ShipPartShape!$A:$A,MATCH(D262,ShipPartShape!$B:$B,0)),"-")</f>
        <v>46000235</v>
      </c>
      <c r="J262" s="4" t="s">
        <v>1216</v>
      </c>
      <c r="K262" s="11">
        <f>IFERROR(INDEX(ShipPartShape!$A:$A,MATCH(J262,ShipPartShape!$B:$B,0)),"-")</f>
        <v>46700014</v>
      </c>
      <c r="L262" s="4"/>
      <c r="M262" s="11" t="str">
        <f>IFERROR(INDEX(ShipPartShape!$A:$A,MATCH(L262,ShipPartShape!$B:$B,0)),"-")</f>
        <v>-</v>
      </c>
      <c r="N262" s="4"/>
      <c r="O262" s="11" t="str">
        <f>IFERROR(INDEX(ShipPartShape!$A:$A,MATCH(N262,ShipPartShape!$B:$B,0)),"-")</f>
        <v>-</v>
      </c>
      <c r="P262" s="4"/>
      <c r="Q262" s="11" t="str">
        <f>IFERROR(INDEX(ShipPartShape!$A:$A,MATCH(P262,ShipPartShape!$B:$B,0)),"-")</f>
        <v>-</v>
      </c>
      <c r="R262" s="4"/>
      <c r="S262" s="11" t="str">
        <f>IFERROR(INDEX(ShipPartShape!$A:$A,MATCH(R262,ShipPartShape!$B:$B,0)),"-")</f>
        <v>-</v>
      </c>
      <c r="T262" s="4"/>
      <c r="U262" s="11" t="str">
        <f>IFERROR(INDEX(ShipPartShape!$A:$A,MATCH(T262,ShipPartShape!$B:$B,0)),"-")</f>
        <v>-</v>
      </c>
      <c r="V262" s="4"/>
      <c r="W262" s="11" t="str">
        <f>IFERROR(INDEX(ShipPartShape!$A:$A,MATCH(V262,ShipPartShape!$B:$B,0)),"-")</f>
        <v>-</v>
      </c>
      <c r="X262" s="4"/>
      <c r="Y262" s="11" t="str">
        <f>IFERROR(INDEX(ShipPartShape!$A:$A,MATCH(X262,ShipPartShape!$B:$B,0)),"-")</f>
        <v>-</v>
      </c>
      <c r="Z262" s="4"/>
      <c r="AA262" s="11" t="str">
        <f>IFERROR(INDEX(ShipPartShape!$A:$A,MATCH(Z262,ShipPartShape!$B:$B,0)),"-")</f>
        <v>-</v>
      </c>
      <c r="AB262" s="4"/>
      <c r="AC262" s="11" t="str">
        <f>IFERROR(INDEX(ShipPartShape!$A:$A,MATCH(AB262,ShipPartShape!$B:$B,0)),"-")</f>
        <v>-</v>
      </c>
      <c r="AD262" s="4"/>
      <c r="AE262" s="11" t="str">
        <f>IFERROR(INDEX(ShipPartShape!$A:$A,MATCH(AD262,ShipPartShape!$B:$B,0)),"-")</f>
        <v>-</v>
      </c>
      <c r="AF262" s="4"/>
      <c r="AG262" s="11" t="str">
        <f>IFERROR(INDEX(ShipPartShape!$A:$A,MATCH(AF262,ShipPartShape!$B:$B,0)),"-")</f>
        <v>-</v>
      </c>
      <c r="AH262" s="4"/>
      <c r="AI262" s="11" t="str">
        <f>IFERROR(INDEX(ShipPartShape!$A:$A,MATCH(AH262,ShipPartShape!$B:$B,0)),"-")</f>
        <v>-</v>
      </c>
      <c r="AJ262" s="11" t="s">
        <v>0</v>
      </c>
      <c r="AK262" s="11" t="s">
        <v>0</v>
      </c>
      <c r="AL262" s="11" t="s">
        <v>0</v>
      </c>
      <c r="AM262" s="11" t="s">
        <v>0</v>
      </c>
      <c r="AN262" s="11" t="s">
        <v>0</v>
      </c>
      <c r="AO262" s="11" t="s">
        <v>0</v>
      </c>
      <c r="AP262" s="11" t="s">
        <v>0</v>
      </c>
      <c r="AQ262" s="11" t="s">
        <v>0</v>
      </c>
      <c r="AR262" s="11" t="s">
        <v>0</v>
      </c>
      <c r="AS262" s="11" t="s">
        <v>0</v>
      </c>
      <c r="AT262" s="11" t="s">
        <v>0</v>
      </c>
      <c r="AU262" s="11">
        <v>47600015</v>
      </c>
      <c r="AV262" s="11" t="s">
        <v>0</v>
      </c>
      <c r="AW262" s="11" t="s">
        <v>0</v>
      </c>
      <c r="AX262" s="11" t="s">
        <v>0</v>
      </c>
    </row>
    <row r="263" spans="1:50" ht="15">
      <c r="A263" s="10">
        <f t="shared" si="4"/>
        <v>45000253</v>
      </c>
      <c r="B263" s="42" t="s">
        <v>3019</v>
      </c>
      <c r="C263" s="42" t="s">
        <v>200</v>
      </c>
      <c r="D263" s="4" t="s">
        <v>3017</v>
      </c>
      <c r="E263" s="11">
        <v>600</v>
      </c>
      <c r="F263" s="11">
        <v>100</v>
      </c>
      <c r="G263" s="11">
        <v>10</v>
      </c>
      <c r="H263" s="11">
        <v>-10</v>
      </c>
      <c r="I263" s="11">
        <f>IFERROR(INDEX(ShipPartShape!$A:$A,MATCH(D263,ShipPartShape!$B:$B,0)),"-")</f>
        <v>46000236</v>
      </c>
      <c r="J263" s="4" t="s">
        <v>1216</v>
      </c>
      <c r="K263" s="11">
        <f>IFERROR(INDEX(ShipPartShape!$A:$A,MATCH(J263,ShipPartShape!$B:$B,0)),"-")</f>
        <v>46700014</v>
      </c>
      <c r="L263" s="4"/>
      <c r="M263" s="11" t="str">
        <f>IFERROR(INDEX(ShipPartShape!$A:$A,MATCH(L263,ShipPartShape!$B:$B,0)),"-")</f>
        <v>-</v>
      </c>
      <c r="N263" s="4"/>
      <c r="O263" s="11" t="str">
        <f>IFERROR(INDEX(ShipPartShape!$A:$A,MATCH(N263,ShipPartShape!$B:$B,0)),"-")</f>
        <v>-</v>
      </c>
      <c r="P263" s="4"/>
      <c r="Q263" s="11" t="str">
        <f>IFERROR(INDEX(ShipPartShape!$A:$A,MATCH(P263,ShipPartShape!$B:$B,0)),"-")</f>
        <v>-</v>
      </c>
      <c r="R263" s="4"/>
      <c r="S263" s="11" t="str">
        <f>IFERROR(INDEX(ShipPartShape!$A:$A,MATCH(R263,ShipPartShape!$B:$B,0)),"-")</f>
        <v>-</v>
      </c>
      <c r="T263" s="4"/>
      <c r="U263" s="11" t="str">
        <f>IFERROR(INDEX(ShipPartShape!$A:$A,MATCH(T263,ShipPartShape!$B:$B,0)),"-")</f>
        <v>-</v>
      </c>
      <c r="V263" s="4"/>
      <c r="W263" s="11" t="str">
        <f>IFERROR(INDEX(ShipPartShape!$A:$A,MATCH(V263,ShipPartShape!$B:$B,0)),"-")</f>
        <v>-</v>
      </c>
      <c r="X263" s="4"/>
      <c r="Y263" s="11" t="str">
        <f>IFERROR(INDEX(ShipPartShape!$A:$A,MATCH(X263,ShipPartShape!$B:$B,0)),"-")</f>
        <v>-</v>
      </c>
      <c r="Z263" s="4"/>
      <c r="AA263" s="11" t="str">
        <f>IFERROR(INDEX(ShipPartShape!$A:$A,MATCH(Z263,ShipPartShape!$B:$B,0)),"-")</f>
        <v>-</v>
      </c>
      <c r="AB263" s="4"/>
      <c r="AC263" s="11" t="str">
        <f>IFERROR(INDEX(ShipPartShape!$A:$A,MATCH(AB263,ShipPartShape!$B:$B,0)),"-")</f>
        <v>-</v>
      </c>
      <c r="AD263" s="4"/>
      <c r="AE263" s="11" t="str">
        <f>IFERROR(INDEX(ShipPartShape!$A:$A,MATCH(AD263,ShipPartShape!$B:$B,0)),"-")</f>
        <v>-</v>
      </c>
      <c r="AF263" s="4"/>
      <c r="AG263" s="11" t="str">
        <f>IFERROR(INDEX(ShipPartShape!$A:$A,MATCH(AF263,ShipPartShape!$B:$B,0)),"-")</f>
        <v>-</v>
      </c>
      <c r="AH263" s="4"/>
      <c r="AI263" s="11" t="str">
        <f>IFERROR(INDEX(ShipPartShape!$A:$A,MATCH(AH263,ShipPartShape!$B:$B,0)),"-")</f>
        <v>-</v>
      </c>
      <c r="AJ263" s="11" t="s">
        <v>0</v>
      </c>
      <c r="AK263" s="11" t="s">
        <v>0</v>
      </c>
      <c r="AL263" s="11" t="s">
        <v>0</v>
      </c>
      <c r="AM263" s="11" t="s">
        <v>0</v>
      </c>
      <c r="AN263" s="11" t="s">
        <v>0</v>
      </c>
      <c r="AO263" s="11" t="s">
        <v>0</v>
      </c>
      <c r="AP263" s="11" t="s">
        <v>0</v>
      </c>
      <c r="AQ263" s="11" t="s">
        <v>0</v>
      </c>
      <c r="AR263" s="11" t="s">
        <v>0</v>
      </c>
      <c r="AS263" s="11" t="s">
        <v>0</v>
      </c>
      <c r="AT263" s="11" t="s">
        <v>0</v>
      </c>
      <c r="AU263" s="11">
        <v>47600015</v>
      </c>
      <c r="AV263" s="11" t="s">
        <v>0</v>
      </c>
      <c r="AW263" s="11" t="s">
        <v>0</v>
      </c>
      <c r="AX263" s="11" t="s">
        <v>0</v>
      </c>
    </row>
    <row r="264" spans="1:50" ht="15">
      <c r="A264" s="10">
        <f t="shared" si="4"/>
        <v>45000254</v>
      </c>
      <c r="B264" s="22" t="s">
        <v>3023</v>
      </c>
      <c r="C264" s="11" t="s">
        <v>3024</v>
      </c>
      <c r="D264" s="4" t="s">
        <v>3025</v>
      </c>
      <c r="E264" s="11">
        <v>600</v>
      </c>
      <c r="F264" s="11">
        <v>100</v>
      </c>
      <c r="G264" s="11">
        <v>10</v>
      </c>
      <c r="H264" s="11">
        <v>-10</v>
      </c>
      <c r="I264" s="11">
        <f>IFERROR(INDEX(ShipPartShape!$A:$A,MATCH(D264,ShipPartShape!$B:$B,0)),"-")</f>
        <v>46000237</v>
      </c>
      <c r="J264" s="4" t="s">
        <v>1216</v>
      </c>
      <c r="K264" s="11">
        <f>IFERROR(INDEX(ShipPartShape!$A:$A,MATCH(J264,ShipPartShape!$B:$B,0)),"-")</f>
        <v>46700014</v>
      </c>
      <c r="L264" s="4"/>
      <c r="M264" s="11" t="str">
        <f>IFERROR(INDEX(ShipPartShape!$A:$A,MATCH(L264,ShipPartShape!$B:$B,0)),"-")</f>
        <v>-</v>
      </c>
      <c r="N264" s="4"/>
      <c r="O264" s="11" t="str">
        <f>IFERROR(INDEX(ShipPartShape!$A:$A,MATCH(N264,ShipPartShape!$B:$B,0)),"-")</f>
        <v>-</v>
      </c>
      <c r="P264" s="4"/>
      <c r="Q264" s="11" t="str">
        <f>IFERROR(INDEX(ShipPartShape!$A:$A,MATCH(P264,ShipPartShape!$B:$B,0)),"-")</f>
        <v>-</v>
      </c>
      <c r="R264" s="4"/>
      <c r="S264" s="11" t="str">
        <f>IFERROR(INDEX(ShipPartShape!$A:$A,MATCH(R264,ShipPartShape!$B:$B,0)),"-")</f>
        <v>-</v>
      </c>
      <c r="T264" s="4"/>
      <c r="U264" s="11" t="str">
        <f>IFERROR(INDEX(ShipPartShape!$A:$A,MATCH(T264,ShipPartShape!$B:$B,0)),"-")</f>
        <v>-</v>
      </c>
      <c r="V264" s="4"/>
      <c r="W264" s="11" t="str">
        <f>IFERROR(INDEX(ShipPartShape!$A:$A,MATCH(V264,ShipPartShape!$B:$B,0)),"-")</f>
        <v>-</v>
      </c>
      <c r="X264" s="4"/>
      <c r="Y264" s="11" t="str">
        <f>IFERROR(INDEX(ShipPartShape!$A:$A,MATCH(X264,ShipPartShape!$B:$B,0)),"-")</f>
        <v>-</v>
      </c>
      <c r="Z264" s="4"/>
      <c r="AA264" s="11" t="str">
        <f>IFERROR(INDEX(ShipPartShape!$A:$A,MATCH(Z264,ShipPartShape!$B:$B,0)),"-")</f>
        <v>-</v>
      </c>
      <c r="AB264" s="4"/>
      <c r="AC264" s="11" t="str">
        <f>IFERROR(INDEX(ShipPartShape!$A:$A,MATCH(AB264,ShipPartShape!$B:$B,0)),"-")</f>
        <v>-</v>
      </c>
      <c r="AD264" s="4"/>
      <c r="AE264" s="11" t="str">
        <f>IFERROR(INDEX(ShipPartShape!$A:$A,MATCH(AD264,ShipPartShape!$B:$B,0)),"-")</f>
        <v>-</v>
      </c>
      <c r="AF264" s="4"/>
      <c r="AG264" s="11" t="str">
        <f>IFERROR(INDEX(ShipPartShape!$A:$A,MATCH(AF264,ShipPartShape!$B:$B,0)),"-")</f>
        <v>-</v>
      </c>
      <c r="AH264" s="4"/>
      <c r="AI264" s="11" t="str">
        <f>IFERROR(INDEX(ShipPartShape!$A:$A,MATCH(AH264,ShipPartShape!$B:$B,0)),"-")</f>
        <v>-</v>
      </c>
      <c r="AJ264" s="11" t="s">
        <v>0</v>
      </c>
      <c r="AK264" s="11" t="s">
        <v>0</v>
      </c>
      <c r="AL264" s="11" t="s">
        <v>0</v>
      </c>
      <c r="AM264" s="11" t="s">
        <v>0</v>
      </c>
      <c r="AN264" s="11" t="s">
        <v>0</v>
      </c>
      <c r="AO264" s="11" t="s">
        <v>0</v>
      </c>
      <c r="AP264" s="11" t="s">
        <v>0</v>
      </c>
      <c r="AQ264" s="11" t="s">
        <v>0</v>
      </c>
      <c r="AR264" s="11" t="s">
        <v>0</v>
      </c>
      <c r="AS264" s="11" t="s">
        <v>0</v>
      </c>
      <c r="AT264" s="11" t="s">
        <v>0</v>
      </c>
      <c r="AU264" s="11">
        <v>47600015</v>
      </c>
      <c r="AV264" s="11" t="s">
        <v>0</v>
      </c>
      <c r="AW264" s="11" t="s">
        <v>0</v>
      </c>
      <c r="AX264" s="11" t="s">
        <v>0</v>
      </c>
    </row>
    <row r="265" spans="1:50" ht="15">
      <c r="A265" s="10">
        <f t="shared" si="4"/>
        <v>45000255</v>
      </c>
      <c r="B265" s="22" t="s">
        <v>3039</v>
      </c>
      <c r="C265" s="11" t="s">
        <v>3038</v>
      </c>
      <c r="D265" s="4" t="s">
        <v>3036</v>
      </c>
      <c r="E265" s="11">
        <v>600</v>
      </c>
      <c r="F265" s="11">
        <v>100</v>
      </c>
      <c r="G265" s="11">
        <v>10</v>
      </c>
      <c r="H265" s="11">
        <v>-10</v>
      </c>
      <c r="I265" s="11">
        <f>IFERROR(INDEX(ShipPartShape!$A:$A,MATCH(D265,ShipPartShape!$B:$B,0)),"-")</f>
        <v>46000238</v>
      </c>
      <c r="J265" s="4" t="s">
        <v>1216</v>
      </c>
      <c r="K265" s="11">
        <f>IFERROR(INDEX(ShipPartShape!$A:$A,MATCH(J265,ShipPartShape!$B:$B,0)),"-")</f>
        <v>46700014</v>
      </c>
      <c r="L265" s="4"/>
      <c r="M265" s="11" t="str">
        <f>IFERROR(INDEX(ShipPartShape!$A:$A,MATCH(L265,ShipPartShape!$B:$B,0)),"-")</f>
        <v>-</v>
      </c>
      <c r="N265" s="4"/>
      <c r="O265" s="11" t="str">
        <f>IFERROR(INDEX(ShipPartShape!$A:$A,MATCH(N265,ShipPartShape!$B:$B,0)),"-")</f>
        <v>-</v>
      </c>
      <c r="P265" s="4"/>
      <c r="Q265" s="11" t="str">
        <f>IFERROR(INDEX(ShipPartShape!$A:$A,MATCH(P265,ShipPartShape!$B:$B,0)),"-")</f>
        <v>-</v>
      </c>
      <c r="R265" s="4"/>
      <c r="S265" s="11" t="str">
        <f>IFERROR(INDEX(ShipPartShape!$A:$A,MATCH(R265,ShipPartShape!$B:$B,0)),"-")</f>
        <v>-</v>
      </c>
      <c r="T265" s="4"/>
      <c r="U265" s="11" t="str">
        <f>IFERROR(INDEX(ShipPartShape!$A:$A,MATCH(T265,ShipPartShape!$B:$B,0)),"-")</f>
        <v>-</v>
      </c>
      <c r="V265" s="4"/>
      <c r="W265" s="11" t="str">
        <f>IFERROR(INDEX(ShipPartShape!$A:$A,MATCH(V265,ShipPartShape!$B:$B,0)),"-")</f>
        <v>-</v>
      </c>
      <c r="X265" s="4"/>
      <c r="Y265" s="11" t="str">
        <f>IFERROR(INDEX(ShipPartShape!$A:$A,MATCH(X265,ShipPartShape!$B:$B,0)),"-")</f>
        <v>-</v>
      </c>
      <c r="Z265" s="4"/>
      <c r="AA265" s="11" t="str">
        <f>IFERROR(INDEX(ShipPartShape!$A:$A,MATCH(Z265,ShipPartShape!$B:$B,0)),"-")</f>
        <v>-</v>
      </c>
      <c r="AB265" s="4"/>
      <c r="AC265" s="11" t="str">
        <f>IFERROR(INDEX(ShipPartShape!$A:$A,MATCH(AB265,ShipPartShape!$B:$B,0)),"-")</f>
        <v>-</v>
      </c>
      <c r="AD265" s="4"/>
      <c r="AE265" s="11" t="str">
        <f>IFERROR(INDEX(ShipPartShape!$A:$A,MATCH(AD265,ShipPartShape!$B:$B,0)),"-")</f>
        <v>-</v>
      </c>
      <c r="AF265" s="4"/>
      <c r="AG265" s="11" t="str">
        <f>IFERROR(INDEX(ShipPartShape!$A:$A,MATCH(AF265,ShipPartShape!$B:$B,0)),"-")</f>
        <v>-</v>
      </c>
      <c r="AH265" s="4"/>
      <c r="AI265" s="11" t="str">
        <f>IFERROR(INDEX(ShipPartShape!$A:$A,MATCH(AH265,ShipPartShape!$B:$B,0)),"-")</f>
        <v>-</v>
      </c>
      <c r="AJ265" s="11" t="s">
        <v>0</v>
      </c>
      <c r="AK265" s="11" t="s">
        <v>0</v>
      </c>
      <c r="AL265" s="11" t="s">
        <v>0</v>
      </c>
      <c r="AM265" s="11" t="s">
        <v>0</v>
      </c>
      <c r="AN265" s="11" t="s">
        <v>0</v>
      </c>
      <c r="AO265" s="11" t="s">
        <v>0</v>
      </c>
      <c r="AP265" s="11" t="s">
        <v>0</v>
      </c>
      <c r="AQ265" s="11" t="s">
        <v>0</v>
      </c>
      <c r="AR265" s="11" t="s">
        <v>0</v>
      </c>
      <c r="AS265" s="11" t="s">
        <v>0</v>
      </c>
      <c r="AT265" s="11" t="s">
        <v>0</v>
      </c>
      <c r="AU265" s="11">
        <v>47600016</v>
      </c>
      <c r="AV265" s="11" t="s">
        <v>0</v>
      </c>
      <c r="AW265" s="11" t="s">
        <v>0</v>
      </c>
      <c r="AX265" s="11" t="s">
        <v>0</v>
      </c>
    </row>
    <row r="266" spans="1:50" ht="15">
      <c r="A266" s="10">
        <f t="shared" si="4"/>
        <v>45000256</v>
      </c>
      <c r="B266" s="22" t="s">
        <v>3040</v>
      </c>
      <c r="C266" s="11" t="s">
        <v>3047</v>
      </c>
      <c r="D266" s="4" t="s">
        <v>3041</v>
      </c>
      <c r="E266" s="11">
        <v>700</v>
      </c>
      <c r="F266" s="11">
        <v>100</v>
      </c>
      <c r="G266" s="11">
        <v>20</v>
      </c>
      <c r="H266" s="11">
        <v>-40</v>
      </c>
      <c r="I266" s="11">
        <f>IFERROR(INDEX(ShipPartShape!$A:$A,MATCH(D266,ShipPartShape!$B:$B,0)),"-")</f>
        <v>46000239</v>
      </c>
      <c r="J266" s="4" t="s">
        <v>1215</v>
      </c>
      <c r="K266" s="11">
        <f>IFERROR(INDEX(ShipPartShape!$A:$A,MATCH(J266,ShipPartShape!$B:$B,0)),"-")</f>
        <v>46700013</v>
      </c>
      <c r="L266" s="4" t="s">
        <v>3045</v>
      </c>
      <c r="M266" s="11">
        <f>IFERROR(INDEX(ShipPartShape!$A:$A,MATCH(L266,ShipPartShape!$B:$B,0)),"-")</f>
        <v>46500046</v>
      </c>
      <c r="N266" s="4"/>
      <c r="O266" s="11" t="str">
        <f>IFERROR(INDEX(ShipPartShape!$A:$A,MATCH(N266,ShipPartShape!$B:$B,0)),"-")</f>
        <v>-</v>
      </c>
      <c r="P266" s="4"/>
      <c r="Q266" s="11" t="str">
        <f>IFERROR(INDEX(ShipPartShape!$A:$A,MATCH(P266,ShipPartShape!$B:$B,0)),"-")</f>
        <v>-</v>
      </c>
      <c r="R266" s="4"/>
      <c r="S266" s="11" t="str">
        <f>IFERROR(INDEX(ShipPartShape!$A:$A,MATCH(R266,ShipPartShape!$B:$B,0)),"-")</f>
        <v>-</v>
      </c>
      <c r="T266" s="4"/>
      <c r="U266" s="11" t="str">
        <f>IFERROR(INDEX(ShipPartShape!$A:$A,MATCH(T266,ShipPartShape!$B:$B,0)),"-")</f>
        <v>-</v>
      </c>
      <c r="V266" s="4"/>
      <c r="W266" s="11" t="str">
        <f>IFERROR(INDEX(ShipPartShape!$A:$A,MATCH(V266,ShipPartShape!$B:$B,0)),"-")</f>
        <v>-</v>
      </c>
      <c r="X266" s="4"/>
      <c r="Y266" s="11" t="str">
        <f>IFERROR(INDEX(ShipPartShape!$A:$A,MATCH(X266,ShipPartShape!$B:$B,0)),"-")</f>
        <v>-</v>
      </c>
      <c r="Z266" s="4"/>
      <c r="AA266" s="11" t="str">
        <f>IFERROR(INDEX(ShipPartShape!$A:$A,MATCH(Z266,ShipPartShape!$B:$B,0)),"-")</f>
        <v>-</v>
      </c>
      <c r="AB266" s="4"/>
      <c r="AC266" s="11" t="str">
        <f>IFERROR(INDEX(ShipPartShape!$A:$A,MATCH(AB266,ShipPartShape!$B:$B,0)),"-")</f>
        <v>-</v>
      </c>
      <c r="AD266" s="4"/>
      <c r="AE266" s="11" t="str">
        <f>IFERROR(INDEX(ShipPartShape!$A:$A,MATCH(AD266,ShipPartShape!$B:$B,0)),"-")</f>
        <v>-</v>
      </c>
      <c r="AF266" s="4"/>
      <c r="AG266" s="11" t="str">
        <f>IFERROR(INDEX(ShipPartShape!$A:$A,MATCH(AF266,ShipPartShape!$B:$B,0)),"-")</f>
        <v>-</v>
      </c>
      <c r="AH266" s="4"/>
      <c r="AI266" s="11" t="str">
        <f>IFERROR(INDEX(ShipPartShape!$A:$A,MATCH(AH266,ShipPartShape!$B:$B,0)),"-")</f>
        <v>-</v>
      </c>
      <c r="AJ266" s="11" t="s">
        <v>0</v>
      </c>
      <c r="AK266" s="11" t="s">
        <v>0</v>
      </c>
      <c r="AL266" s="11" t="s">
        <v>0</v>
      </c>
      <c r="AM266" s="11" t="s">
        <v>0</v>
      </c>
      <c r="AN266" s="11" t="s">
        <v>0</v>
      </c>
      <c r="AO266" s="11" t="s">
        <v>0</v>
      </c>
      <c r="AP266" s="11" t="s">
        <v>0</v>
      </c>
      <c r="AQ266" s="11" t="s">
        <v>0</v>
      </c>
      <c r="AR266" s="11" t="s">
        <v>0</v>
      </c>
      <c r="AS266" s="11" t="s">
        <v>0</v>
      </c>
      <c r="AT266" s="11" t="s">
        <v>0</v>
      </c>
      <c r="AU266" s="11">
        <v>47600018</v>
      </c>
      <c r="AV266" s="11" t="s">
        <v>0</v>
      </c>
      <c r="AW266" s="11" t="s">
        <v>0</v>
      </c>
      <c r="AX266" s="11" t="s">
        <v>0</v>
      </c>
    </row>
    <row r="267" spans="1:50" ht="15">
      <c r="A267" s="10">
        <f t="shared" si="4"/>
        <v>45000257</v>
      </c>
      <c r="B267" s="22" t="s">
        <v>3048</v>
      </c>
      <c r="C267" s="11" t="s">
        <v>3052</v>
      </c>
      <c r="D267" s="4" t="s">
        <v>3050</v>
      </c>
      <c r="E267" s="11">
        <v>700</v>
      </c>
      <c r="F267" s="11">
        <v>100</v>
      </c>
      <c r="G267" s="11">
        <v>20</v>
      </c>
      <c r="H267" s="11">
        <v>-40</v>
      </c>
      <c r="I267" s="11">
        <f>IFERROR(INDEX(ShipPartShape!$A:$A,MATCH(D267,ShipPartShape!$B:$B,0)),"-")</f>
        <v>46000240</v>
      </c>
      <c r="J267" s="4" t="s">
        <v>1216</v>
      </c>
      <c r="K267" s="11">
        <f>IFERROR(INDEX(ShipPartShape!$A:$A,MATCH(J267,ShipPartShape!$B:$B,0)),"-")</f>
        <v>46700014</v>
      </c>
      <c r="L267" s="4"/>
      <c r="M267" s="11" t="str">
        <f>IFERROR(INDEX(ShipPartShape!$A:$A,MATCH(L267,ShipPartShape!$B:$B,0)),"-")</f>
        <v>-</v>
      </c>
      <c r="N267" s="4"/>
      <c r="O267" s="11" t="str">
        <f>IFERROR(INDEX(ShipPartShape!$A:$A,MATCH(N267,ShipPartShape!$B:$B,0)),"-")</f>
        <v>-</v>
      </c>
      <c r="P267" s="4"/>
      <c r="Q267" s="11" t="str">
        <f>IFERROR(INDEX(ShipPartShape!$A:$A,MATCH(P267,ShipPartShape!$B:$B,0)),"-")</f>
        <v>-</v>
      </c>
      <c r="R267" s="4"/>
      <c r="S267" s="11" t="str">
        <f>IFERROR(INDEX(ShipPartShape!$A:$A,MATCH(R267,ShipPartShape!$B:$B,0)),"-")</f>
        <v>-</v>
      </c>
      <c r="T267" s="4"/>
      <c r="U267" s="11" t="str">
        <f>IFERROR(INDEX(ShipPartShape!$A:$A,MATCH(T267,ShipPartShape!$B:$B,0)),"-")</f>
        <v>-</v>
      </c>
      <c r="V267" s="4"/>
      <c r="W267" s="11" t="str">
        <f>IFERROR(INDEX(ShipPartShape!$A:$A,MATCH(V267,ShipPartShape!$B:$B,0)),"-")</f>
        <v>-</v>
      </c>
      <c r="X267" s="4"/>
      <c r="Y267" s="11" t="str">
        <f>IFERROR(INDEX(ShipPartShape!$A:$A,MATCH(X267,ShipPartShape!$B:$B,0)),"-")</f>
        <v>-</v>
      </c>
      <c r="Z267" s="4"/>
      <c r="AA267" s="11" t="str">
        <f>IFERROR(INDEX(ShipPartShape!$A:$A,MATCH(Z267,ShipPartShape!$B:$B,0)),"-")</f>
        <v>-</v>
      </c>
      <c r="AB267" s="4"/>
      <c r="AC267" s="11" t="str">
        <f>IFERROR(INDEX(ShipPartShape!$A:$A,MATCH(AB267,ShipPartShape!$B:$B,0)),"-")</f>
        <v>-</v>
      </c>
      <c r="AD267" s="4"/>
      <c r="AE267" s="11" t="str">
        <f>IFERROR(INDEX(ShipPartShape!$A:$A,MATCH(AD267,ShipPartShape!$B:$B,0)),"-")</f>
        <v>-</v>
      </c>
      <c r="AF267" s="4"/>
      <c r="AG267" s="11" t="str">
        <f>IFERROR(INDEX(ShipPartShape!$A:$A,MATCH(AF267,ShipPartShape!$B:$B,0)),"-")</f>
        <v>-</v>
      </c>
      <c r="AH267" s="4"/>
      <c r="AI267" s="11" t="str">
        <f>IFERROR(INDEX(ShipPartShape!$A:$A,MATCH(AH267,ShipPartShape!$B:$B,0)),"-")</f>
        <v>-</v>
      </c>
      <c r="AJ267" s="11" t="s">
        <v>0</v>
      </c>
      <c r="AK267" s="11" t="s">
        <v>0</v>
      </c>
      <c r="AL267" s="11" t="s">
        <v>0</v>
      </c>
      <c r="AM267" s="11" t="s">
        <v>0</v>
      </c>
      <c r="AN267" s="11" t="s">
        <v>0</v>
      </c>
      <c r="AO267" s="11" t="s">
        <v>0</v>
      </c>
      <c r="AP267" s="11" t="s">
        <v>0</v>
      </c>
      <c r="AQ267" s="11" t="s">
        <v>0</v>
      </c>
      <c r="AR267" s="11" t="s">
        <v>0</v>
      </c>
      <c r="AS267" s="11" t="s">
        <v>0</v>
      </c>
      <c r="AT267" s="11" t="s">
        <v>0</v>
      </c>
      <c r="AU267" s="11">
        <v>47600016</v>
      </c>
      <c r="AV267" s="11" t="s">
        <v>0</v>
      </c>
      <c r="AW267" s="11" t="s">
        <v>0</v>
      </c>
      <c r="AX267" s="11" t="s">
        <v>0</v>
      </c>
    </row>
    <row r="268" spans="1:50" ht="15">
      <c r="A268" s="10">
        <f t="shared" si="4"/>
        <v>45000258</v>
      </c>
      <c r="B268" s="22" t="s">
        <v>3056</v>
      </c>
      <c r="C268" s="11" t="s">
        <v>3057</v>
      </c>
      <c r="D268" s="4" t="s">
        <v>3053</v>
      </c>
      <c r="E268" s="11">
        <v>700</v>
      </c>
      <c r="F268" s="11">
        <v>150</v>
      </c>
      <c r="G268" s="11">
        <v>20</v>
      </c>
      <c r="H268" s="11">
        <v>-40</v>
      </c>
      <c r="I268" s="11">
        <f>IFERROR(INDEX(ShipPartShape!$A:$A,MATCH(D268,ShipPartShape!$B:$B,0)),"-")</f>
        <v>46000241</v>
      </c>
      <c r="J268" s="4" t="s">
        <v>1215</v>
      </c>
      <c r="K268" s="11">
        <f>IFERROR(INDEX(ShipPartShape!$A:$A,MATCH(J268,ShipPartShape!$B:$B,0)),"-")</f>
        <v>46700013</v>
      </c>
      <c r="L268" s="4" t="s">
        <v>69</v>
      </c>
      <c r="M268" s="11">
        <f>IFERROR(INDEX(ShipPartShape!$A:$A,MATCH(L268,ShipPartShape!$B:$B,0)),"-")</f>
        <v>46300001</v>
      </c>
      <c r="N268" s="4"/>
      <c r="O268" s="11" t="str">
        <f>IFERROR(INDEX(ShipPartShape!$A:$A,MATCH(N268,ShipPartShape!$B:$B,0)),"-")</f>
        <v>-</v>
      </c>
      <c r="P268" s="4"/>
      <c r="Q268" s="11" t="str">
        <f>IFERROR(INDEX(ShipPartShape!$A:$A,MATCH(P268,ShipPartShape!$B:$B,0)),"-")</f>
        <v>-</v>
      </c>
      <c r="R268" s="4"/>
      <c r="S268" s="11" t="str">
        <f>IFERROR(INDEX(ShipPartShape!$A:$A,MATCH(R268,ShipPartShape!$B:$B,0)),"-")</f>
        <v>-</v>
      </c>
      <c r="T268" s="4" t="s">
        <v>602</v>
      </c>
      <c r="U268" s="11">
        <f>IFERROR(INDEX(ShipPartShape!$A:$A,MATCH(T268,ShipPartShape!$B:$B,0)),"-")</f>
        <v>46600002</v>
      </c>
      <c r="V268" s="4" t="s">
        <v>606</v>
      </c>
      <c r="W268" s="11">
        <f>IFERROR(INDEX(ShipPartShape!$A:$A,MATCH(V268,ShipPartShape!$B:$B,0)),"-")</f>
        <v>46600003</v>
      </c>
      <c r="X268" s="4" t="s">
        <v>603</v>
      </c>
      <c r="Y268" s="11">
        <f>IFERROR(INDEX(ShipPartShape!$A:$A,MATCH(X268,ShipPartShape!$B:$B,0)),"-")</f>
        <v>46600007</v>
      </c>
      <c r="Z268" s="4" t="s">
        <v>609</v>
      </c>
      <c r="AA268" s="11">
        <f>IFERROR(INDEX(ShipPartShape!$A:$A,MATCH(Z268,ShipPartShape!$B:$B,0)),"-")</f>
        <v>46600011</v>
      </c>
      <c r="AB268" s="4"/>
      <c r="AC268" s="11" t="str">
        <f>IFERROR(INDEX(ShipPartShape!$A:$A,MATCH(AB268,ShipPartShape!$B:$B,0)),"-")</f>
        <v>-</v>
      </c>
      <c r="AD268" s="4"/>
      <c r="AE268" s="11" t="str">
        <f>IFERROR(INDEX(ShipPartShape!$A:$A,MATCH(AD268,ShipPartShape!$B:$B,0)),"-")</f>
        <v>-</v>
      </c>
      <c r="AF268" s="4"/>
      <c r="AG268" s="11" t="str">
        <f>IFERROR(INDEX(ShipPartShape!$A:$A,MATCH(AF268,ShipPartShape!$B:$B,0)),"-")</f>
        <v>-</v>
      </c>
      <c r="AH268" s="4"/>
      <c r="AI268" s="11" t="str">
        <f>IFERROR(INDEX(ShipPartShape!$A:$A,MATCH(AH268,ShipPartShape!$B:$B,0)),"-")</f>
        <v>-</v>
      </c>
      <c r="AJ268" s="11" t="s">
        <v>0</v>
      </c>
      <c r="AK268" s="11" t="s">
        <v>0</v>
      </c>
      <c r="AL268" s="11" t="s">
        <v>0</v>
      </c>
      <c r="AM268" s="11" t="s">
        <v>0</v>
      </c>
      <c r="AN268" s="11" t="s">
        <v>0</v>
      </c>
      <c r="AO268" s="11" t="s">
        <v>0</v>
      </c>
      <c r="AP268" s="11" t="s">
        <v>0</v>
      </c>
      <c r="AQ268" s="11" t="s">
        <v>0</v>
      </c>
      <c r="AR268" s="11" t="s">
        <v>0</v>
      </c>
      <c r="AS268" s="11" t="s">
        <v>0</v>
      </c>
      <c r="AT268" s="11" t="s">
        <v>0</v>
      </c>
      <c r="AU268" s="11">
        <v>47600017</v>
      </c>
      <c r="AV268" s="11" t="s">
        <v>0</v>
      </c>
      <c r="AW268" s="11" t="s">
        <v>0</v>
      </c>
      <c r="AX268" s="11" t="s">
        <v>0</v>
      </c>
    </row>
    <row r="269" spans="1:50" ht="15">
      <c r="A269" s="10">
        <f t="shared" si="4"/>
        <v>45000259</v>
      </c>
      <c r="B269" s="22" t="s">
        <v>3082</v>
      </c>
      <c r="C269" s="11" t="s">
        <v>3083</v>
      </c>
      <c r="D269" s="4" t="s">
        <v>3076</v>
      </c>
      <c r="E269" s="11">
        <v>700</v>
      </c>
      <c r="F269" s="11">
        <v>100</v>
      </c>
      <c r="G269" s="11">
        <v>20</v>
      </c>
      <c r="H269" s="11">
        <v>-40</v>
      </c>
      <c r="I269" s="11">
        <f>IFERROR(INDEX(ShipPartShape!$A:$A,MATCH(D269,ShipPartShape!$B:$B,0)),"-")</f>
        <v>46000242</v>
      </c>
      <c r="J269" s="4" t="s">
        <v>1216</v>
      </c>
      <c r="K269" s="11">
        <f>IFERROR(INDEX(ShipPartShape!$A:$A,MATCH(J269,ShipPartShape!$B:$B,0)),"-")</f>
        <v>46700014</v>
      </c>
      <c r="L269" s="4" t="s">
        <v>3079</v>
      </c>
      <c r="M269" s="11">
        <f>IFERROR(INDEX(ShipPartShape!$A:$A,MATCH(L269,ShipPartShape!$B:$B,0)),"-")</f>
        <v>46500047</v>
      </c>
      <c r="N269" s="4"/>
      <c r="O269" s="11" t="str">
        <f>IFERROR(INDEX(ShipPartShape!$A:$A,MATCH(N269,ShipPartShape!$B:$B,0)),"-")</f>
        <v>-</v>
      </c>
      <c r="P269" s="4"/>
      <c r="Q269" s="11" t="str">
        <f>IFERROR(INDEX(ShipPartShape!$A:$A,MATCH(P269,ShipPartShape!$B:$B,0)),"-")</f>
        <v>-</v>
      </c>
      <c r="R269" s="4"/>
      <c r="S269" s="11" t="str">
        <f>IFERROR(INDEX(ShipPartShape!$A:$A,MATCH(R269,ShipPartShape!$B:$B,0)),"-")</f>
        <v>-</v>
      </c>
      <c r="T269" s="4"/>
      <c r="U269" s="11" t="str">
        <f>IFERROR(INDEX(ShipPartShape!$A:$A,MATCH(T269,ShipPartShape!$B:$B,0)),"-")</f>
        <v>-</v>
      </c>
      <c r="V269" s="4"/>
      <c r="W269" s="11" t="str">
        <f>IFERROR(INDEX(ShipPartShape!$A:$A,MATCH(V269,ShipPartShape!$B:$B,0)),"-")</f>
        <v>-</v>
      </c>
      <c r="X269" s="4"/>
      <c r="Y269" s="11" t="str">
        <f>IFERROR(INDEX(ShipPartShape!$A:$A,MATCH(X269,ShipPartShape!$B:$B,0)),"-")</f>
        <v>-</v>
      </c>
      <c r="Z269" s="4"/>
      <c r="AA269" s="11" t="str">
        <f>IFERROR(INDEX(ShipPartShape!$A:$A,MATCH(Z269,ShipPartShape!$B:$B,0)),"-")</f>
        <v>-</v>
      </c>
      <c r="AB269" s="4"/>
      <c r="AC269" s="11" t="str">
        <f>IFERROR(INDEX(ShipPartShape!$A:$A,MATCH(AB269,ShipPartShape!$B:$B,0)),"-")</f>
        <v>-</v>
      </c>
      <c r="AD269" s="4"/>
      <c r="AE269" s="11" t="str">
        <f>IFERROR(INDEX(ShipPartShape!$A:$A,MATCH(AD269,ShipPartShape!$B:$B,0)),"-")</f>
        <v>-</v>
      </c>
      <c r="AF269" s="4"/>
      <c r="AG269" s="11" t="str">
        <f>IFERROR(INDEX(ShipPartShape!$A:$A,MATCH(AF269,ShipPartShape!$B:$B,0)),"-")</f>
        <v>-</v>
      </c>
      <c r="AH269" s="4"/>
      <c r="AI269" s="11" t="str">
        <f>IFERROR(INDEX(ShipPartShape!$A:$A,MATCH(AH269,ShipPartShape!$B:$B,0)),"-")</f>
        <v>-</v>
      </c>
      <c r="AJ269" s="11" t="s">
        <v>0</v>
      </c>
      <c r="AK269" s="11" t="s">
        <v>0</v>
      </c>
      <c r="AL269" s="11" t="s">
        <v>0</v>
      </c>
      <c r="AM269" s="11" t="s">
        <v>0</v>
      </c>
      <c r="AN269" s="11" t="s">
        <v>0</v>
      </c>
      <c r="AO269" s="11" t="s">
        <v>0</v>
      </c>
      <c r="AP269" s="11" t="s">
        <v>0</v>
      </c>
      <c r="AQ269" s="11" t="s">
        <v>0</v>
      </c>
      <c r="AR269" s="11" t="s">
        <v>0</v>
      </c>
      <c r="AS269" s="11" t="s">
        <v>0</v>
      </c>
      <c r="AT269" s="11" t="s">
        <v>0</v>
      </c>
      <c r="AU269" s="11">
        <v>47600018</v>
      </c>
      <c r="AV269" s="11" t="s">
        <v>0</v>
      </c>
      <c r="AW269" s="11" t="s">
        <v>0</v>
      </c>
      <c r="AX269" s="11" t="s">
        <v>0</v>
      </c>
    </row>
    <row r="270" spans="1:50" ht="15">
      <c r="A270" s="10">
        <f t="shared" si="4"/>
        <v>45000260</v>
      </c>
      <c r="B270" s="22" t="s">
        <v>3087</v>
      </c>
      <c r="C270" s="11" t="s">
        <v>3088</v>
      </c>
      <c r="D270" s="4" t="s">
        <v>3084</v>
      </c>
      <c r="E270" s="11">
        <v>700</v>
      </c>
      <c r="F270" s="11">
        <v>150</v>
      </c>
      <c r="G270" s="11">
        <v>20</v>
      </c>
      <c r="H270" s="11">
        <v>-40</v>
      </c>
      <c r="I270" s="11">
        <f>IFERROR(INDEX(ShipPartShape!$A:$A,MATCH(D270,ShipPartShape!$B:$B,0)),"-")</f>
        <v>46000243</v>
      </c>
      <c r="J270" s="4" t="s">
        <v>1216</v>
      </c>
      <c r="K270" s="11">
        <f>IFERROR(INDEX(ShipPartShape!$A:$A,MATCH(J270,ShipPartShape!$B:$B,0)),"-")</f>
        <v>46700014</v>
      </c>
      <c r="L270" s="4"/>
      <c r="M270" s="11" t="str">
        <f>IFERROR(INDEX(ShipPartShape!$A:$A,MATCH(L270,ShipPartShape!$B:$B,0)),"-")</f>
        <v>-</v>
      </c>
      <c r="N270" s="4"/>
      <c r="O270" s="11" t="str">
        <f>IFERROR(INDEX(ShipPartShape!$A:$A,MATCH(N270,ShipPartShape!$B:$B,0)),"-")</f>
        <v>-</v>
      </c>
      <c r="P270" s="4"/>
      <c r="Q270" s="11" t="str">
        <f>IFERROR(INDEX(ShipPartShape!$A:$A,MATCH(P270,ShipPartShape!$B:$B,0)),"-")</f>
        <v>-</v>
      </c>
      <c r="R270" s="4"/>
      <c r="S270" s="11" t="str">
        <f>IFERROR(INDEX(ShipPartShape!$A:$A,MATCH(R270,ShipPartShape!$B:$B,0)),"-")</f>
        <v>-</v>
      </c>
      <c r="T270" s="4"/>
      <c r="U270" s="11" t="str">
        <f>IFERROR(INDEX(ShipPartShape!$A:$A,MATCH(T270,ShipPartShape!$B:$B,0)),"-")</f>
        <v>-</v>
      </c>
      <c r="V270" s="4"/>
      <c r="W270" s="11" t="str">
        <f>IFERROR(INDEX(ShipPartShape!$A:$A,MATCH(V270,ShipPartShape!$B:$B,0)),"-")</f>
        <v>-</v>
      </c>
      <c r="X270" s="4"/>
      <c r="Y270" s="11" t="str">
        <f>IFERROR(INDEX(ShipPartShape!$A:$A,MATCH(X270,ShipPartShape!$B:$B,0)),"-")</f>
        <v>-</v>
      </c>
      <c r="Z270" s="4"/>
      <c r="AA270" s="11" t="str">
        <f>IFERROR(INDEX(ShipPartShape!$A:$A,MATCH(Z270,ShipPartShape!$B:$B,0)),"-")</f>
        <v>-</v>
      </c>
      <c r="AB270" s="4"/>
      <c r="AC270" s="11" t="str">
        <f>IFERROR(INDEX(ShipPartShape!$A:$A,MATCH(AB270,ShipPartShape!$B:$B,0)),"-")</f>
        <v>-</v>
      </c>
      <c r="AD270" s="4"/>
      <c r="AE270" s="11" t="str">
        <f>IFERROR(INDEX(ShipPartShape!$A:$A,MATCH(AD270,ShipPartShape!$B:$B,0)),"-")</f>
        <v>-</v>
      </c>
      <c r="AF270" s="4"/>
      <c r="AG270" s="11" t="str">
        <f>IFERROR(INDEX(ShipPartShape!$A:$A,MATCH(AF270,ShipPartShape!$B:$B,0)),"-")</f>
        <v>-</v>
      </c>
      <c r="AH270" s="4"/>
      <c r="AI270" s="11" t="str">
        <f>IFERROR(INDEX(ShipPartShape!$A:$A,MATCH(AH270,ShipPartShape!$B:$B,0)),"-")</f>
        <v>-</v>
      </c>
      <c r="AJ270" s="11" t="s">
        <v>0</v>
      </c>
      <c r="AK270" s="11" t="s">
        <v>0</v>
      </c>
      <c r="AL270" s="11" t="s">
        <v>0</v>
      </c>
      <c r="AM270" s="11" t="s">
        <v>0</v>
      </c>
      <c r="AN270" s="11" t="s">
        <v>0</v>
      </c>
      <c r="AO270" s="11" t="s">
        <v>0</v>
      </c>
      <c r="AP270" s="11" t="s">
        <v>0</v>
      </c>
      <c r="AQ270" s="11" t="s">
        <v>0</v>
      </c>
      <c r="AR270" s="11" t="s">
        <v>0</v>
      </c>
      <c r="AS270" s="11" t="s">
        <v>0</v>
      </c>
      <c r="AT270" s="11" t="s">
        <v>0</v>
      </c>
      <c r="AU270" s="11">
        <v>47600018</v>
      </c>
      <c r="AV270" s="11" t="s">
        <v>0</v>
      </c>
      <c r="AW270" s="11" t="s">
        <v>0</v>
      </c>
      <c r="AX270" s="11" t="s">
        <v>0</v>
      </c>
    </row>
    <row r="271" spans="1:50" ht="15">
      <c r="A271" s="10">
        <f t="shared" si="4"/>
        <v>45000261</v>
      </c>
      <c r="B271" s="22" t="s">
        <v>3092</v>
      </c>
      <c r="C271" s="11" t="s">
        <v>3093</v>
      </c>
      <c r="D271" s="4" t="s">
        <v>3089</v>
      </c>
      <c r="E271" s="11">
        <v>700</v>
      </c>
      <c r="F271" s="11">
        <v>150</v>
      </c>
      <c r="G271" s="11">
        <v>20</v>
      </c>
      <c r="H271" s="11">
        <v>-40</v>
      </c>
      <c r="I271" s="11">
        <f>IFERROR(INDEX(ShipPartShape!$A:$A,MATCH(D271,ShipPartShape!$B:$B,0)),"-")</f>
        <v>46000244</v>
      </c>
      <c r="J271" s="4" t="s">
        <v>1216</v>
      </c>
      <c r="K271" s="11">
        <f>IFERROR(INDEX(ShipPartShape!$A:$A,MATCH(J271,ShipPartShape!$B:$B,0)),"-")</f>
        <v>46700014</v>
      </c>
      <c r="L271" s="4"/>
      <c r="M271" s="11" t="str">
        <f>IFERROR(INDEX(ShipPartShape!$A:$A,MATCH(L271,ShipPartShape!$B:$B,0)),"-")</f>
        <v>-</v>
      </c>
      <c r="N271" s="4"/>
      <c r="O271" s="11" t="str">
        <f>IFERROR(INDEX(ShipPartShape!$A:$A,MATCH(N271,ShipPartShape!$B:$B,0)),"-")</f>
        <v>-</v>
      </c>
      <c r="P271" s="4"/>
      <c r="Q271" s="11" t="str">
        <f>IFERROR(INDEX(ShipPartShape!$A:$A,MATCH(P271,ShipPartShape!$B:$B,0)),"-")</f>
        <v>-</v>
      </c>
      <c r="R271" s="4"/>
      <c r="S271" s="11" t="str">
        <f>IFERROR(INDEX(ShipPartShape!$A:$A,MATCH(R271,ShipPartShape!$B:$B,0)),"-")</f>
        <v>-</v>
      </c>
      <c r="T271" s="4"/>
      <c r="U271" s="11" t="str">
        <f>IFERROR(INDEX(ShipPartShape!$A:$A,MATCH(T271,ShipPartShape!$B:$B,0)),"-")</f>
        <v>-</v>
      </c>
      <c r="V271" s="4"/>
      <c r="W271" s="11" t="str">
        <f>IFERROR(INDEX(ShipPartShape!$A:$A,MATCH(V271,ShipPartShape!$B:$B,0)),"-")</f>
        <v>-</v>
      </c>
      <c r="X271" s="4"/>
      <c r="Y271" s="11" t="str">
        <f>IFERROR(INDEX(ShipPartShape!$A:$A,MATCH(X271,ShipPartShape!$B:$B,0)),"-")</f>
        <v>-</v>
      </c>
      <c r="Z271" s="4"/>
      <c r="AA271" s="11" t="str">
        <f>IFERROR(INDEX(ShipPartShape!$A:$A,MATCH(Z271,ShipPartShape!$B:$B,0)),"-")</f>
        <v>-</v>
      </c>
      <c r="AB271" s="4"/>
      <c r="AC271" s="11" t="str">
        <f>IFERROR(INDEX(ShipPartShape!$A:$A,MATCH(AB271,ShipPartShape!$B:$B,0)),"-")</f>
        <v>-</v>
      </c>
      <c r="AD271" s="4"/>
      <c r="AE271" s="11" t="str">
        <f>IFERROR(INDEX(ShipPartShape!$A:$A,MATCH(AD271,ShipPartShape!$B:$B,0)),"-")</f>
        <v>-</v>
      </c>
      <c r="AF271" s="4"/>
      <c r="AG271" s="11" t="str">
        <f>IFERROR(INDEX(ShipPartShape!$A:$A,MATCH(AF271,ShipPartShape!$B:$B,0)),"-")</f>
        <v>-</v>
      </c>
      <c r="AH271" s="4"/>
      <c r="AI271" s="11" t="str">
        <f>IFERROR(INDEX(ShipPartShape!$A:$A,MATCH(AH271,ShipPartShape!$B:$B,0)),"-")</f>
        <v>-</v>
      </c>
      <c r="AJ271" s="11" t="s">
        <v>0</v>
      </c>
      <c r="AK271" s="11" t="s">
        <v>0</v>
      </c>
      <c r="AL271" s="11" t="s">
        <v>0</v>
      </c>
      <c r="AM271" s="11" t="s">
        <v>0</v>
      </c>
      <c r="AN271" s="11" t="s">
        <v>0</v>
      </c>
      <c r="AO271" s="11" t="s">
        <v>0</v>
      </c>
      <c r="AP271" s="11" t="s">
        <v>0</v>
      </c>
      <c r="AQ271" s="11" t="s">
        <v>0</v>
      </c>
      <c r="AR271" s="11" t="s">
        <v>0</v>
      </c>
      <c r="AS271" s="11" t="s">
        <v>0</v>
      </c>
      <c r="AT271" s="11" t="s">
        <v>0</v>
      </c>
      <c r="AU271" s="11">
        <v>47600018</v>
      </c>
      <c r="AV271" s="11" t="s">
        <v>0</v>
      </c>
      <c r="AW271" s="11" t="s">
        <v>0</v>
      </c>
      <c r="AX271" s="11" t="s">
        <v>0</v>
      </c>
    </row>
    <row r="272" spans="1:50" ht="15">
      <c r="A272" s="10">
        <f t="shared" si="4"/>
        <v>45000262</v>
      </c>
      <c r="B272" s="22" t="s">
        <v>3151</v>
      </c>
      <c r="C272" s="11" t="s">
        <v>3173</v>
      </c>
      <c r="D272" s="4"/>
      <c r="E272" s="11" t="s">
        <v>0</v>
      </c>
      <c r="F272" s="11" t="s">
        <v>0</v>
      </c>
      <c r="G272" s="11" t="s">
        <v>0</v>
      </c>
      <c r="H272" s="11" t="s">
        <v>0</v>
      </c>
      <c r="I272" s="11" t="str">
        <f>IFERROR(INDEX(ShipPartShape!$A:$A,MATCH(D272,ShipPartShape!$B:$B,0)),"-")</f>
        <v>-</v>
      </c>
      <c r="J272" s="4"/>
      <c r="K272" s="11" t="str">
        <f>IFERROR(INDEX(ShipPartShape!$A:$A,MATCH(J272,ShipPartShape!$B:$B,0)),"-")</f>
        <v>-</v>
      </c>
      <c r="L272" s="4"/>
      <c r="M272" s="11" t="str">
        <f>IFERROR(INDEX(ShipPartShape!$A:$A,MATCH(L272,ShipPartShape!$B:$B,0)),"-")</f>
        <v>-</v>
      </c>
      <c r="N272" s="4"/>
      <c r="O272" s="11" t="str">
        <f>IFERROR(INDEX(ShipPartShape!$A:$A,MATCH(N272,ShipPartShape!$B:$B,0)),"-")</f>
        <v>-</v>
      </c>
      <c r="P272" s="4"/>
      <c r="Q272" s="11" t="str">
        <f>IFERROR(INDEX(ShipPartShape!$A:$A,MATCH(P272,ShipPartShape!$B:$B,0)),"-")</f>
        <v>-</v>
      </c>
      <c r="R272" s="4"/>
      <c r="S272" s="11" t="str">
        <f>IFERROR(INDEX(ShipPartShape!$A:$A,MATCH(R272,ShipPartShape!$B:$B,0)),"-")</f>
        <v>-</v>
      </c>
      <c r="T272" s="4"/>
      <c r="U272" s="11" t="str">
        <f>IFERROR(INDEX(ShipPartShape!$A:$A,MATCH(T272,ShipPartShape!$B:$B,0)),"-")</f>
        <v>-</v>
      </c>
      <c r="V272" s="4"/>
      <c r="W272" s="11" t="str">
        <f>IFERROR(INDEX(ShipPartShape!$A:$A,MATCH(V272,ShipPartShape!$B:$B,0)),"-")</f>
        <v>-</v>
      </c>
      <c r="X272" s="4"/>
      <c r="Y272" s="11" t="str">
        <f>IFERROR(INDEX(ShipPartShape!$A:$A,MATCH(X272,ShipPartShape!$B:$B,0)),"-")</f>
        <v>-</v>
      </c>
      <c r="Z272" s="4"/>
      <c r="AA272" s="11" t="str">
        <f>IFERROR(INDEX(ShipPartShape!$A:$A,MATCH(Z272,ShipPartShape!$B:$B,0)),"-")</f>
        <v>-</v>
      </c>
      <c r="AB272" s="4"/>
      <c r="AC272" s="11" t="str">
        <f>IFERROR(INDEX(ShipPartShape!$A:$A,MATCH(AB272,ShipPartShape!$B:$B,0)),"-")</f>
        <v>-</v>
      </c>
      <c r="AD272" s="4"/>
      <c r="AE272" s="11" t="str">
        <f>IFERROR(INDEX(ShipPartShape!$A:$A,MATCH(AD272,ShipPartShape!$B:$B,0)),"-")</f>
        <v>-</v>
      </c>
      <c r="AF272" s="4"/>
      <c r="AG272" s="11" t="str">
        <f>IFERROR(INDEX(ShipPartShape!$A:$A,MATCH(AF272,ShipPartShape!$B:$B,0)),"-")</f>
        <v>-</v>
      </c>
      <c r="AH272" s="4"/>
      <c r="AI272" s="11" t="str">
        <f>IFERROR(INDEX(ShipPartShape!$A:$A,MATCH(AH272,ShipPartShape!$B:$B,0)),"-")</f>
        <v>-</v>
      </c>
      <c r="AJ272" s="11" t="s">
        <v>0</v>
      </c>
      <c r="AK272" s="11" t="s">
        <v>0</v>
      </c>
      <c r="AL272" s="11" t="s">
        <v>0</v>
      </c>
      <c r="AM272" s="11" t="s">
        <v>0</v>
      </c>
      <c r="AN272" s="11" t="s">
        <v>0</v>
      </c>
      <c r="AO272" s="11" t="s">
        <v>0</v>
      </c>
      <c r="AP272" s="11" t="s">
        <v>0</v>
      </c>
      <c r="AQ272" s="11" t="s">
        <v>0</v>
      </c>
      <c r="AR272" s="11" t="s">
        <v>0</v>
      </c>
      <c r="AS272" s="11" t="s">
        <v>0</v>
      </c>
      <c r="AT272" s="11" t="s">
        <v>0</v>
      </c>
      <c r="AU272" s="11">
        <v>47600018</v>
      </c>
      <c r="AV272" s="11" t="s">
        <v>0</v>
      </c>
      <c r="AW272" s="11" t="s">
        <v>0</v>
      </c>
      <c r="AX272" s="11" t="s">
        <v>0</v>
      </c>
    </row>
    <row r="273" spans="1:50" ht="15">
      <c r="A273" s="10">
        <f t="shared" si="4"/>
        <v>45000263</v>
      </c>
      <c r="B273" s="22" t="s">
        <v>3224</v>
      </c>
      <c r="C273" s="11" t="s">
        <v>3110</v>
      </c>
      <c r="D273" s="4" t="s">
        <v>3111</v>
      </c>
      <c r="E273" s="11">
        <v>700</v>
      </c>
      <c r="F273" s="11">
        <v>150</v>
      </c>
      <c r="G273" s="11">
        <v>20</v>
      </c>
      <c r="H273" s="11">
        <v>-40</v>
      </c>
      <c r="I273" s="11">
        <f>IFERROR(INDEX(ShipPartShape!$A:$A,MATCH(D273,ShipPartShape!$B:$B,0)),"-")</f>
        <v>46000245</v>
      </c>
      <c r="J273" s="4" t="s">
        <v>1258</v>
      </c>
      <c r="K273" s="11">
        <f>IFERROR(INDEX(ShipPartShape!$A:$A,MATCH(J273,ShipPartShape!$B:$B,0)),"-")</f>
        <v>46700004</v>
      </c>
      <c r="L273" s="4" t="s">
        <v>3108</v>
      </c>
      <c r="M273" s="11">
        <f>IFERROR(INDEX(ShipPartShape!$A:$A,MATCH(L273,ShipPartShape!$B:$B,0)),"-")</f>
        <v>46500048</v>
      </c>
      <c r="N273" s="4" t="s">
        <v>69</v>
      </c>
      <c r="O273" s="11">
        <f>IFERROR(INDEX(ShipPartShape!$A:$A,MATCH(N273,ShipPartShape!$B:$B,0)),"-")</f>
        <v>46300001</v>
      </c>
      <c r="P273" s="4"/>
      <c r="Q273" s="11" t="str">
        <f>IFERROR(INDEX(ShipPartShape!$A:$A,MATCH(P273,ShipPartShape!$B:$B,0)),"-")</f>
        <v>-</v>
      </c>
      <c r="R273" s="4"/>
      <c r="S273" s="11" t="str">
        <f>IFERROR(INDEX(ShipPartShape!$A:$A,MATCH(R273,ShipPartShape!$B:$B,0)),"-")</f>
        <v>-</v>
      </c>
      <c r="T273" s="4"/>
      <c r="U273" s="11" t="str">
        <f>IFERROR(INDEX(ShipPartShape!$A:$A,MATCH(T273,ShipPartShape!$B:$B,0)),"-")</f>
        <v>-</v>
      </c>
      <c r="V273" s="4"/>
      <c r="W273" s="11" t="str">
        <f>IFERROR(INDEX(ShipPartShape!$A:$A,MATCH(V273,ShipPartShape!$B:$B,0)),"-")</f>
        <v>-</v>
      </c>
      <c r="X273" s="4"/>
      <c r="Y273" s="11" t="str">
        <f>IFERROR(INDEX(ShipPartShape!$A:$A,MATCH(X273,ShipPartShape!$B:$B,0)),"-")</f>
        <v>-</v>
      </c>
      <c r="Z273" s="4"/>
      <c r="AA273" s="11" t="str">
        <f>IFERROR(INDEX(ShipPartShape!$A:$A,MATCH(Z273,ShipPartShape!$B:$B,0)),"-")</f>
        <v>-</v>
      </c>
      <c r="AB273" s="4"/>
      <c r="AC273" s="11" t="str">
        <f>IFERROR(INDEX(ShipPartShape!$A:$A,MATCH(AB273,ShipPartShape!$B:$B,0)),"-")</f>
        <v>-</v>
      </c>
      <c r="AD273" s="4"/>
      <c r="AE273" s="11" t="str">
        <f>IFERROR(INDEX(ShipPartShape!$A:$A,MATCH(AD273,ShipPartShape!$B:$B,0)),"-")</f>
        <v>-</v>
      </c>
      <c r="AF273" s="4"/>
      <c r="AG273" s="11" t="str">
        <f>IFERROR(INDEX(ShipPartShape!$A:$A,MATCH(AF273,ShipPartShape!$B:$B,0)),"-")</f>
        <v>-</v>
      </c>
      <c r="AH273" s="4"/>
      <c r="AI273" s="11" t="str">
        <f>IFERROR(INDEX(ShipPartShape!$A:$A,MATCH(AH273,ShipPartShape!$B:$B,0)),"-")</f>
        <v>-</v>
      </c>
      <c r="AJ273" s="11" t="s">
        <v>0</v>
      </c>
      <c r="AK273" s="11" t="s">
        <v>0</v>
      </c>
      <c r="AL273" s="11" t="s">
        <v>0</v>
      </c>
      <c r="AM273" s="11" t="s">
        <v>0</v>
      </c>
      <c r="AN273" s="11" t="s">
        <v>0</v>
      </c>
      <c r="AO273" s="11" t="s">
        <v>0</v>
      </c>
      <c r="AP273" s="11" t="s">
        <v>0</v>
      </c>
      <c r="AQ273" s="11" t="s">
        <v>0</v>
      </c>
      <c r="AR273" s="11" t="s">
        <v>0</v>
      </c>
      <c r="AS273" s="11" t="s">
        <v>0</v>
      </c>
      <c r="AT273" s="11" t="s">
        <v>0</v>
      </c>
      <c r="AU273" s="11">
        <v>47600017</v>
      </c>
      <c r="AV273" s="11" t="s">
        <v>0</v>
      </c>
      <c r="AW273" s="11" t="s">
        <v>0</v>
      </c>
      <c r="AX273" s="11" t="s">
        <v>0</v>
      </c>
    </row>
    <row r="274" spans="1:50" ht="15">
      <c r="A274" s="10">
        <f t="shared" si="4"/>
        <v>45000264</v>
      </c>
      <c r="B274" s="22" t="s">
        <v>3116</v>
      </c>
      <c r="C274" s="11" t="s">
        <v>3117</v>
      </c>
      <c r="D274" s="4" t="s">
        <v>3113</v>
      </c>
      <c r="E274" s="11">
        <v>700</v>
      </c>
      <c r="F274" s="11">
        <v>150</v>
      </c>
      <c r="G274" s="11">
        <v>20</v>
      </c>
      <c r="H274" s="11">
        <v>-40</v>
      </c>
      <c r="I274" s="11">
        <f>IFERROR(INDEX(ShipPartShape!$A:$A,MATCH(D274,ShipPartShape!$B:$B,0)),"-")</f>
        <v>46000246</v>
      </c>
      <c r="J274" s="4" t="s">
        <v>1374</v>
      </c>
      <c r="K274" s="11">
        <f>IFERROR(INDEX(ShipPartShape!$A:$A,MATCH(J274,ShipPartShape!$B:$B,0)),"-")</f>
        <v>46700008</v>
      </c>
      <c r="L274" s="4"/>
      <c r="M274" s="11" t="str">
        <f>IFERROR(INDEX(ShipPartShape!$A:$A,MATCH(L274,ShipPartShape!$B:$B,0)),"-")</f>
        <v>-</v>
      </c>
      <c r="N274" s="4"/>
      <c r="O274" s="11" t="str">
        <f>IFERROR(INDEX(ShipPartShape!$A:$A,MATCH(N274,ShipPartShape!$B:$B,0)),"-")</f>
        <v>-</v>
      </c>
      <c r="P274" s="4"/>
      <c r="Q274" s="11" t="str">
        <f>IFERROR(INDEX(ShipPartShape!$A:$A,MATCH(P274,ShipPartShape!$B:$B,0)),"-")</f>
        <v>-</v>
      </c>
      <c r="R274" s="4"/>
      <c r="S274" s="11" t="str">
        <f>IFERROR(INDEX(ShipPartShape!$A:$A,MATCH(R274,ShipPartShape!$B:$B,0)),"-")</f>
        <v>-</v>
      </c>
      <c r="T274" s="4" t="s">
        <v>601</v>
      </c>
      <c r="U274" s="11">
        <f>IFERROR(INDEX(ShipPartShape!$A:$A,MATCH(T274,ShipPartShape!$B:$B,0)),"-")</f>
        <v>46600001</v>
      </c>
      <c r="V274" s="4" t="s">
        <v>602</v>
      </c>
      <c r="W274" s="11">
        <f>IFERROR(INDEX(ShipPartShape!$A:$A,MATCH(V274,ShipPartShape!$B:$B,0)),"-")</f>
        <v>46600002</v>
      </c>
      <c r="X274" s="4"/>
      <c r="Y274" s="11" t="str">
        <f>IFERROR(INDEX(ShipPartShape!$A:$A,MATCH(X274,ShipPartShape!$B:$B,0)),"-")</f>
        <v>-</v>
      </c>
      <c r="Z274" s="4"/>
      <c r="AA274" s="11" t="str">
        <f>IFERROR(INDEX(ShipPartShape!$A:$A,MATCH(Z274,ShipPartShape!$B:$B,0)),"-")</f>
        <v>-</v>
      </c>
      <c r="AB274" s="4"/>
      <c r="AC274" s="11" t="str">
        <f>IFERROR(INDEX(ShipPartShape!$A:$A,MATCH(AB274,ShipPartShape!$B:$B,0)),"-")</f>
        <v>-</v>
      </c>
      <c r="AD274" s="4"/>
      <c r="AE274" s="11" t="str">
        <f>IFERROR(INDEX(ShipPartShape!$A:$A,MATCH(AD274,ShipPartShape!$B:$B,0)),"-")</f>
        <v>-</v>
      </c>
      <c r="AF274" s="4"/>
      <c r="AG274" s="11" t="str">
        <f>IFERROR(INDEX(ShipPartShape!$A:$A,MATCH(AF274,ShipPartShape!$B:$B,0)),"-")</f>
        <v>-</v>
      </c>
      <c r="AH274" s="4"/>
      <c r="AI274" s="11" t="str">
        <f>IFERROR(INDEX(ShipPartShape!$A:$A,MATCH(AH274,ShipPartShape!$B:$B,0)),"-")</f>
        <v>-</v>
      </c>
      <c r="AJ274" s="11" t="s">
        <v>0</v>
      </c>
      <c r="AK274" s="11" t="s">
        <v>0</v>
      </c>
      <c r="AL274" s="11" t="s">
        <v>0</v>
      </c>
      <c r="AM274" s="11" t="s">
        <v>0</v>
      </c>
      <c r="AN274" s="11" t="s">
        <v>0</v>
      </c>
      <c r="AO274" s="11" t="s">
        <v>0</v>
      </c>
      <c r="AP274" s="11" t="s">
        <v>0</v>
      </c>
      <c r="AQ274" s="11" t="s">
        <v>0</v>
      </c>
      <c r="AR274" s="11" t="s">
        <v>0</v>
      </c>
      <c r="AS274" s="11" t="s">
        <v>0</v>
      </c>
      <c r="AT274" s="11" t="s">
        <v>0</v>
      </c>
      <c r="AU274" s="11">
        <v>47600018</v>
      </c>
      <c r="AV274" s="11" t="s">
        <v>0</v>
      </c>
      <c r="AW274" s="11" t="s">
        <v>0</v>
      </c>
      <c r="AX274" s="11" t="s">
        <v>0</v>
      </c>
    </row>
    <row r="275" spans="1:50" ht="15">
      <c r="A275" s="10">
        <f t="shared" si="4"/>
        <v>45000265</v>
      </c>
      <c r="B275" s="22" t="s">
        <v>3118</v>
      </c>
      <c r="C275" s="11" t="s">
        <v>3125</v>
      </c>
      <c r="D275" s="4" t="s">
        <v>3119</v>
      </c>
      <c r="E275" s="11">
        <v>700</v>
      </c>
      <c r="F275" s="11">
        <v>150</v>
      </c>
      <c r="G275" s="11">
        <v>20</v>
      </c>
      <c r="H275" s="11">
        <v>-40</v>
      </c>
      <c r="I275" s="11">
        <f>IFERROR(INDEX(ShipPartShape!$A:$A,MATCH(D275,ShipPartShape!$B:$B,0)),"-")</f>
        <v>46000247</v>
      </c>
      <c r="J275" s="4" t="s">
        <v>1212</v>
      </c>
      <c r="K275" s="11">
        <f>IFERROR(INDEX(ShipPartShape!$A:$A,MATCH(J275,ShipPartShape!$B:$B,0)),"-")</f>
        <v>46700005</v>
      </c>
      <c r="L275" s="4" t="s">
        <v>3122</v>
      </c>
      <c r="M275" s="11">
        <f>IFERROR(INDEX(ShipPartShape!$A:$A,MATCH(L275,ShipPartShape!$B:$B,0)),"-")</f>
        <v>46500049</v>
      </c>
      <c r="N275" s="4" t="s">
        <v>69</v>
      </c>
      <c r="O275" s="11">
        <f>IFERROR(INDEX(ShipPartShape!$A:$A,MATCH(N275,ShipPartShape!$B:$B,0)),"-")</f>
        <v>46300001</v>
      </c>
      <c r="P275" s="4" t="s">
        <v>3133</v>
      </c>
      <c r="Q275" s="11">
        <f>IFERROR(INDEX(ShipPartShape!$A:$A,MATCH(P275,ShipPartShape!$B:$B,0)),"-")</f>
        <v>46800005</v>
      </c>
      <c r="R275" s="4"/>
      <c r="S275" s="11" t="str">
        <f>IFERROR(INDEX(ShipPartShape!$A:$A,MATCH(R275,ShipPartShape!$B:$B,0)),"-")</f>
        <v>-</v>
      </c>
      <c r="T275" s="4"/>
      <c r="U275" s="11" t="str">
        <f>IFERROR(INDEX(ShipPartShape!$A:$A,MATCH(T275,ShipPartShape!$B:$B,0)),"-")</f>
        <v>-</v>
      </c>
      <c r="V275" s="4"/>
      <c r="W275" s="11" t="str">
        <f>IFERROR(INDEX(ShipPartShape!$A:$A,MATCH(V275,ShipPartShape!$B:$B,0)),"-")</f>
        <v>-</v>
      </c>
      <c r="X275" s="4"/>
      <c r="Y275" s="11" t="str">
        <f>IFERROR(INDEX(ShipPartShape!$A:$A,MATCH(X275,ShipPartShape!$B:$B,0)),"-")</f>
        <v>-</v>
      </c>
      <c r="Z275" s="4"/>
      <c r="AA275" s="11" t="str">
        <f>IFERROR(INDEX(ShipPartShape!$A:$A,MATCH(Z275,ShipPartShape!$B:$B,0)),"-")</f>
        <v>-</v>
      </c>
      <c r="AB275" s="4"/>
      <c r="AC275" s="11" t="str">
        <f>IFERROR(INDEX(ShipPartShape!$A:$A,MATCH(AB275,ShipPartShape!$B:$B,0)),"-")</f>
        <v>-</v>
      </c>
      <c r="AD275" s="4"/>
      <c r="AE275" s="11" t="str">
        <f>IFERROR(INDEX(ShipPartShape!$A:$A,MATCH(AD275,ShipPartShape!$B:$B,0)),"-")</f>
        <v>-</v>
      </c>
      <c r="AF275" s="4"/>
      <c r="AG275" s="11" t="str">
        <f>IFERROR(INDEX(ShipPartShape!$A:$A,MATCH(AF275,ShipPartShape!$B:$B,0)),"-")</f>
        <v>-</v>
      </c>
      <c r="AH275" s="4"/>
      <c r="AI275" s="11" t="str">
        <f>IFERROR(INDEX(ShipPartShape!$A:$A,MATCH(AH275,ShipPartShape!$B:$B,0)),"-")</f>
        <v>-</v>
      </c>
      <c r="AJ275" s="11" t="s">
        <v>0</v>
      </c>
      <c r="AK275" s="11" t="s">
        <v>0</v>
      </c>
      <c r="AL275" s="11" t="s">
        <v>0</v>
      </c>
      <c r="AM275" s="11" t="s">
        <v>0</v>
      </c>
      <c r="AN275" s="11" t="s">
        <v>0</v>
      </c>
      <c r="AO275" s="11" t="s">
        <v>0</v>
      </c>
      <c r="AP275" s="11" t="s">
        <v>0</v>
      </c>
      <c r="AQ275" s="11" t="s">
        <v>0</v>
      </c>
      <c r="AR275" s="11" t="s">
        <v>0</v>
      </c>
      <c r="AS275" s="11" t="s">
        <v>0</v>
      </c>
      <c r="AT275" s="11" t="s">
        <v>0</v>
      </c>
      <c r="AU275" s="11">
        <v>47600017</v>
      </c>
      <c r="AV275" s="11" t="s">
        <v>0</v>
      </c>
      <c r="AW275" s="11" t="s">
        <v>0</v>
      </c>
      <c r="AX275" s="11" t="s">
        <v>0</v>
      </c>
    </row>
    <row r="276" spans="1:50" ht="14.25" customHeight="1">
      <c r="A276" s="10">
        <f t="shared" si="4"/>
        <v>45000266</v>
      </c>
      <c r="B276" s="42" t="s">
        <v>3141</v>
      </c>
      <c r="C276" s="42" t="s">
        <v>200</v>
      </c>
      <c r="D276" s="4" t="s">
        <v>3139</v>
      </c>
      <c r="E276" s="11">
        <v>700</v>
      </c>
      <c r="F276" s="11">
        <v>150</v>
      </c>
      <c r="G276" s="11">
        <v>20</v>
      </c>
      <c r="H276" s="11">
        <v>-40</v>
      </c>
      <c r="I276" s="11">
        <f>IFERROR(INDEX(ShipPartShape!$A:$A,MATCH(D276,ShipPartShape!$B:$B,0)),"-")</f>
        <v>46000248</v>
      </c>
      <c r="J276" s="4" t="s">
        <v>1216</v>
      </c>
      <c r="K276" s="11">
        <f>IFERROR(INDEX(ShipPartShape!$A:$A,MATCH(J276,ShipPartShape!$B:$B,0)),"-")</f>
        <v>46700014</v>
      </c>
      <c r="L276" s="4"/>
      <c r="M276" s="11" t="str">
        <f>IFERROR(INDEX(ShipPartShape!$A:$A,MATCH(L276,ShipPartShape!$B:$B,0)),"-")</f>
        <v>-</v>
      </c>
      <c r="N276" s="4"/>
      <c r="O276" s="11" t="str">
        <f>IFERROR(INDEX(ShipPartShape!$A:$A,MATCH(N276,ShipPartShape!$B:$B,0)),"-")</f>
        <v>-</v>
      </c>
      <c r="P276" s="4"/>
      <c r="Q276" s="11" t="str">
        <f>IFERROR(INDEX(ShipPartShape!$A:$A,MATCH(P276,ShipPartShape!$B:$B,0)),"-")</f>
        <v>-</v>
      </c>
      <c r="R276" s="4"/>
      <c r="S276" s="11" t="str">
        <f>IFERROR(INDEX(ShipPartShape!$A:$A,MATCH(R276,ShipPartShape!$B:$B,0)),"-")</f>
        <v>-</v>
      </c>
      <c r="T276" s="4"/>
      <c r="U276" s="11" t="str">
        <f>IFERROR(INDEX(ShipPartShape!$A:$A,MATCH(T276,ShipPartShape!$B:$B,0)),"-")</f>
        <v>-</v>
      </c>
      <c r="V276" s="4"/>
      <c r="W276" s="11" t="str">
        <f>IFERROR(INDEX(ShipPartShape!$A:$A,MATCH(V276,ShipPartShape!$B:$B,0)),"-")</f>
        <v>-</v>
      </c>
      <c r="X276" s="4"/>
      <c r="Y276" s="11" t="str">
        <f>IFERROR(INDEX(ShipPartShape!$A:$A,MATCH(X276,ShipPartShape!$B:$B,0)),"-")</f>
        <v>-</v>
      </c>
      <c r="Z276" s="4"/>
      <c r="AA276" s="11" t="str">
        <f>IFERROR(INDEX(ShipPartShape!$A:$A,MATCH(Z276,ShipPartShape!$B:$B,0)),"-")</f>
        <v>-</v>
      </c>
      <c r="AB276" s="4"/>
      <c r="AC276" s="11" t="str">
        <f>IFERROR(INDEX(ShipPartShape!$A:$A,MATCH(AB276,ShipPartShape!$B:$B,0)),"-")</f>
        <v>-</v>
      </c>
      <c r="AD276" s="4"/>
      <c r="AE276" s="11" t="str">
        <f>IFERROR(INDEX(ShipPartShape!$A:$A,MATCH(AD276,ShipPartShape!$B:$B,0)),"-")</f>
        <v>-</v>
      </c>
      <c r="AF276" s="4"/>
      <c r="AG276" s="11" t="str">
        <f>IFERROR(INDEX(ShipPartShape!$A:$A,MATCH(AF276,ShipPartShape!$B:$B,0)),"-")</f>
        <v>-</v>
      </c>
      <c r="AH276" s="4"/>
      <c r="AI276" s="11" t="str">
        <f>IFERROR(INDEX(ShipPartShape!$A:$A,MATCH(AH276,ShipPartShape!$B:$B,0)),"-")</f>
        <v>-</v>
      </c>
      <c r="AJ276" s="11" t="s">
        <v>0</v>
      </c>
      <c r="AK276" s="11" t="s">
        <v>0</v>
      </c>
      <c r="AL276" s="11" t="s">
        <v>0</v>
      </c>
      <c r="AM276" s="11" t="s">
        <v>0</v>
      </c>
      <c r="AN276" s="11" t="s">
        <v>0</v>
      </c>
      <c r="AO276" s="11" t="s">
        <v>0</v>
      </c>
      <c r="AP276" s="11" t="s">
        <v>0</v>
      </c>
      <c r="AQ276" s="11" t="s">
        <v>0</v>
      </c>
      <c r="AR276" s="11" t="s">
        <v>0</v>
      </c>
      <c r="AS276" s="11" t="s">
        <v>0</v>
      </c>
      <c r="AT276" s="11" t="s">
        <v>0</v>
      </c>
      <c r="AU276" s="11">
        <v>47600018</v>
      </c>
      <c r="AV276" s="11" t="s">
        <v>0</v>
      </c>
      <c r="AW276" s="11" t="s">
        <v>0</v>
      </c>
      <c r="AX276" s="11" t="s">
        <v>0</v>
      </c>
    </row>
    <row r="277" spans="1:50" ht="15">
      <c r="A277" s="10">
        <f t="shared" si="4"/>
        <v>45000267</v>
      </c>
      <c r="B277" s="42" t="s">
        <v>3144</v>
      </c>
      <c r="C277" s="42" t="s">
        <v>4003</v>
      </c>
      <c r="D277" s="4" t="s">
        <v>3142</v>
      </c>
      <c r="E277" s="11">
        <v>700</v>
      </c>
      <c r="F277" s="11">
        <v>150</v>
      </c>
      <c r="G277" s="11">
        <v>20</v>
      </c>
      <c r="H277" s="11">
        <v>-40</v>
      </c>
      <c r="I277" s="11">
        <f>IFERROR(INDEX(ShipPartShape!$A:$A,MATCH(D277,ShipPartShape!$B:$B,0)),"-")</f>
        <v>46000249</v>
      </c>
      <c r="J277" s="4" t="s">
        <v>1216</v>
      </c>
      <c r="K277" s="11">
        <f>IFERROR(INDEX(ShipPartShape!$A:$A,MATCH(J277,ShipPartShape!$B:$B,0)),"-")</f>
        <v>46700014</v>
      </c>
      <c r="L277" s="4"/>
      <c r="M277" s="11" t="str">
        <f>IFERROR(INDEX(ShipPartShape!$A:$A,MATCH(L277,ShipPartShape!$B:$B,0)),"-")</f>
        <v>-</v>
      </c>
      <c r="N277" s="4"/>
      <c r="O277" s="11" t="str">
        <f>IFERROR(INDEX(ShipPartShape!$A:$A,MATCH(N277,ShipPartShape!$B:$B,0)),"-")</f>
        <v>-</v>
      </c>
      <c r="P277" s="4"/>
      <c r="Q277" s="11" t="str">
        <f>IFERROR(INDEX(ShipPartShape!$A:$A,MATCH(P277,ShipPartShape!$B:$B,0)),"-")</f>
        <v>-</v>
      </c>
      <c r="R277" s="4"/>
      <c r="S277" s="11" t="str">
        <f>IFERROR(INDEX(ShipPartShape!$A:$A,MATCH(R277,ShipPartShape!$B:$B,0)),"-")</f>
        <v>-</v>
      </c>
      <c r="T277" s="4"/>
      <c r="U277" s="11" t="str">
        <f>IFERROR(INDEX(ShipPartShape!$A:$A,MATCH(T277,ShipPartShape!$B:$B,0)),"-")</f>
        <v>-</v>
      </c>
      <c r="V277" s="4"/>
      <c r="W277" s="11" t="str">
        <f>IFERROR(INDEX(ShipPartShape!$A:$A,MATCH(V277,ShipPartShape!$B:$B,0)),"-")</f>
        <v>-</v>
      </c>
      <c r="X277" s="4"/>
      <c r="Y277" s="11" t="str">
        <f>IFERROR(INDEX(ShipPartShape!$A:$A,MATCH(X277,ShipPartShape!$B:$B,0)),"-")</f>
        <v>-</v>
      </c>
      <c r="Z277" s="4"/>
      <c r="AA277" s="11" t="str">
        <f>IFERROR(INDEX(ShipPartShape!$A:$A,MATCH(Z277,ShipPartShape!$B:$B,0)),"-")</f>
        <v>-</v>
      </c>
      <c r="AB277" s="4"/>
      <c r="AC277" s="11" t="str">
        <f>IFERROR(INDEX(ShipPartShape!$A:$A,MATCH(AB277,ShipPartShape!$B:$B,0)),"-")</f>
        <v>-</v>
      </c>
      <c r="AD277" s="4"/>
      <c r="AE277" s="11" t="str">
        <f>IFERROR(INDEX(ShipPartShape!$A:$A,MATCH(AD277,ShipPartShape!$B:$B,0)),"-")</f>
        <v>-</v>
      </c>
      <c r="AF277" s="4"/>
      <c r="AG277" s="11" t="str">
        <f>IFERROR(INDEX(ShipPartShape!$A:$A,MATCH(AF277,ShipPartShape!$B:$B,0)),"-")</f>
        <v>-</v>
      </c>
      <c r="AH277" s="4"/>
      <c r="AI277" s="11" t="str">
        <f>IFERROR(INDEX(ShipPartShape!$A:$A,MATCH(AH277,ShipPartShape!$B:$B,0)),"-")</f>
        <v>-</v>
      </c>
      <c r="AJ277" s="11" t="s">
        <v>0</v>
      </c>
      <c r="AK277" s="11" t="s">
        <v>0</v>
      </c>
      <c r="AL277" s="11" t="s">
        <v>0</v>
      </c>
      <c r="AM277" s="11" t="s">
        <v>0</v>
      </c>
      <c r="AN277" s="11" t="s">
        <v>0</v>
      </c>
      <c r="AO277" s="11" t="s">
        <v>0</v>
      </c>
      <c r="AP277" s="11" t="s">
        <v>0</v>
      </c>
      <c r="AQ277" s="11" t="s">
        <v>0</v>
      </c>
      <c r="AR277" s="11" t="s">
        <v>0</v>
      </c>
      <c r="AS277" s="11" t="s">
        <v>0</v>
      </c>
      <c r="AT277" s="11" t="s">
        <v>0</v>
      </c>
      <c r="AU277" s="11">
        <v>47600018</v>
      </c>
      <c r="AV277" s="11" t="s">
        <v>0</v>
      </c>
      <c r="AW277" s="11" t="s">
        <v>0</v>
      </c>
      <c r="AX277" s="11" t="s">
        <v>0</v>
      </c>
    </row>
    <row r="278" spans="1:50" ht="15">
      <c r="A278" s="10">
        <f t="shared" si="4"/>
        <v>45000268</v>
      </c>
      <c r="B278" s="22" t="s">
        <v>3157</v>
      </c>
      <c r="C278" s="11" t="s">
        <v>3158</v>
      </c>
      <c r="D278" s="4" t="s">
        <v>3155</v>
      </c>
      <c r="E278" s="11">
        <v>700</v>
      </c>
      <c r="F278" s="11">
        <v>150</v>
      </c>
      <c r="G278" s="11">
        <v>20</v>
      </c>
      <c r="H278" s="11">
        <v>-40</v>
      </c>
      <c r="I278" s="11">
        <f>IFERROR(INDEX(ShipPartShape!$A:$A,MATCH(D278,ShipPartShape!$B:$B,0)),"-")</f>
        <v>46000250</v>
      </c>
      <c r="J278" s="4" t="s">
        <v>1215</v>
      </c>
      <c r="K278" s="11">
        <f>IFERROR(INDEX(ShipPartShape!$A:$A,MATCH(J278,ShipPartShape!$B:$B,0)),"-")</f>
        <v>46700013</v>
      </c>
      <c r="L278" s="4"/>
      <c r="M278" s="11" t="str">
        <f>IFERROR(INDEX(ShipPartShape!$A:$A,MATCH(L278,ShipPartShape!$B:$B,0)),"-")</f>
        <v>-</v>
      </c>
      <c r="N278" s="4"/>
      <c r="O278" s="11" t="str">
        <f>IFERROR(INDEX(ShipPartShape!$A:$A,MATCH(N278,ShipPartShape!$B:$B,0)),"-")</f>
        <v>-</v>
      </c>
      <c r="P278" s="4"/>
      <c r="Q278" s="11" t="str">
        <f>IFERROR(INDEX(ShipPartShape!$A:$A,MATCH(P278,ShipPartShape!$B:$B,0)),"-")</f>
        <v>-</v>
      </c>
      <c r="R278" s="4"/>
      <c r="S278" s="11" t="str">
        <f>IFERROR(INDEX(ShipPartShape!$A:$A,MATCH(R278,ShipPartShape!$B:$B,0)),"-")</f>
        <v>-</v>
      </c>
      <c r="T278" s="4"/>
      <c r="U278" s="11" t="str">
        <f>IFERROR(INDEX(ShipPartShape!$A:$A,MATCH(T278,ShipPartShape!$B:$B,0)),"-")</f>
        <v>-</v>
      </c>
      <c r="V278" s="4"/>
      <c r="W278" s="11" t="str">
        <f>IFERROR(INDEX(ShipPartShape!$A:$A,MATCH(V278,ShipPartShape!$B:$B,0)),"-")</f>
        <v>-</v>
      </c>
      <c r="X278" s="4"/>
      <c r="Y278" s="11" t="str">
        <f>IFERROR(INDEX(ShipPartShape!$A:$A,MATCH(X278,ShipPartShape!$B:$B,0)),"-")</f>
        <v>-</v>
      </c>
      <c r="Z278" s="4"/>
      <c r="AA278" s="11" t="str">
        <f>IFERROR(INDEX(ShipPartShape!$A:$A,MATCH(Z278,ShipPartShape!$B:$B,0)),"-")</f>
        <v>-</v>
      </c>
      <c r="AB278" s="4"/>
      <c r="AC278" s="11" t="str">
        <f>IFERROR(INDEX(ShipPartShape!$A:$A,MATCH(AB278,ShipPartShape!$B:$B,0)),"-")</f>
        <v>-</v>
      </c>
      <c r="AD278" s="4"/>
      <c r="AE278" s="11" t="str">
        <f>IFERROR(INDEX(ShipPartShape!$A:$A,MATCH(AD278,ShipPartShape!$B:$B,0)),"-")</f>
        <v>-</v>
      </c>
      <c r="AF278" s="4"/>
      <c r="AG278" s="11" t="str">
        <f>IFERROR(INDEX(ShipPartShape!$A:$A,MATCH(AF278,ShipPartShape!$B:$B,0)),"-")</f>
        <v>-</v>
      </c>
      <c r="AH278" s="4"/>
      <c r="AI278" s="11" t="str">
        <f>IFERROR(INDEX(ShipPartShape!$A:$A,MATCH(AH278,ShipPartShape!$B:$B,0)),"-")</f>
        <v>-</v>
      </c>
      <c r="AJ278" s="11" t="s">
        <v>0</v>
      </c>
      <c r="AK278" s="11" t="s">
        <v>0</v>
      </c>
      <c r="AL278" s="11" t="s">
        <v>0</v>
      </c>
      <c r="AM278" s="11" t="s">
        <v>0</v>
      </c>
      <c r="AN278" s="11" t="s">
        <v>0</v>
      </c>
      <c r="AO278" s="11" t="s">
        <v>0</v>
      </c>
      <c r="AP278" s="11" t="s">
        <v>0</v>
      </c>
      <c r="AQ278" s="11" t="s">
        <v>0</v>
      </c>
      <c r="AR278" s="11" t="s">
        <v>0</v>
      </c>
      <c r="AS278" s="11" t="s">
        <v>0</v>
      </c>
      <c r="AT278" s="11" t="s">
        <v>0</v>
      </c>
      <c r="AU278" s="11">
        <v>47600017</v>
      </c>
      <c r="AV278" s="11" t="s">
        <v>0</v>
      </c>
      <c r="AW278" s="11" t="s">
        <v>0</v>
      </c>
      <c r="AX278" s="11" t="s">
        <v>0</v>
      </c>
    </row>
    <row r="279" spans="1:50" ht="15">
      <c r="A279" s="10">
        <f>A278+1</f>
        <v>45000269</v>
      </c>
      <c r="B279" s="22" t="s">
        <v>3162</v>
      </c>
      <c r="C279" s="11" t="s">
        <v>3163</v>
      </c>
      <c r="D279" s="4" t="s">
        <v>3159</v>
      </c>
      <c r="E279" s="11">
        <v>700</v>
      </c>
      <c r="F279" s="11">
        <v>150</v>
      </c>
      <c r="G279" s="11">
        <v>20</v>
      </c>
      <c r="H279" s="11">
        <v>-40</v>
      </c>
      <c r="I279" s="11">
        <f>IFERROR(INDEX(ShipPartShape!$A:$A,MATCH(D279,ShipPartShape!$B:$B,0)),"-")</f>
        <v>46000251</v>
      </c>
      <c r="J279" s="4" t="s">
        <v>1215</v>
      </c>
      <c r="K279" s="11">
        <f>IFERROR(INDEX(ShipPartShape!$A:$A,MATCH(J279,ShipPartShape!$B:$B,0)),"-")</f>
        <v>46700013</v>
      </c>
      <c r="L279" s="4"/>
      <c r="M279" s="11" t="str">
        <f>IFERROR(INDEX(ShipPartShape!$A:$A,MATCH(L279,ShipPartShape!$B:$B,0)),"-")</f>
        <v>-</v>
      </c>
      <c r="N279" s="4"/>
      <c r="O279" s="11" t="str">
        <f>IFERROR(INDEX(ShipPartShape!$A:$A,MATCH(N279,ShipPartShape!$B:$B,0)),"-")</f>
        <v>-</v>
      </c>
      <c r="P279" s="4"/>
      <c r="Q279" s="11" t="str">
        <f>IFERROR(INDEX(ShipPartShape!$A:$A,MATCH(P279,ShipPartShape!$B:$B,0)),"-")</f>
        <v>-</v>
      </c>
      <c r="R279" s="4"/>
      <c r="S279" s="11" t="str">
        <f>IFERROR(INDEX(ShipPartShape!$A:$A,MATCH(R279,ShipPartShape!$B:$B,0)),"-")</f>
        <v>-</v>
      </c>
      <c r="T279" s="4"/>
      <c r="U279" s="11" t="str">
        <f>IFERROR(INDEX(ShipPartShape!$A:$A,MATCH(T279,ShipPartShape!$B:$B,0)),"-")</f>
        <v>-</v>
      </c>
      <c r="V279" s="4"/>
      <c r="W279" s="11" t="str">
        <f>IFERROR(INDEX(ShipPartShape!$A:$A,MATCH(V279,ShipPartShape!$B:$B,0)),"-")</f>
        <v>-</v>
      </c>
      <c r="X279" s="4"/>
      <c r="Y279" s="11" t="str">
        <f>IFERROR(INDEX(ShipPartShape!$A:$A,MATCH(X279,ShipPartShape!$B:$B,0)),"-")</f>
        <v>-</v>
      </c>
      <c r="Z279" s="4"/>
      <c r="AA279" s="11" t="str">
        <f>IFERROR(INDEX(ShipPartShape!$A:$A,MATCH(Z279,ShipPartShape!$B:$B,0)),"-")</f>
        <v>-</v>
      </c>
      <c r="AB279" s="4"/>
      <c r="AC279" s="11" t="str">
        <f>IFERROR(INDEX(ShipPartShape!$A:$A,MATCH(AB279,ShipPartShape!$B:$B,0)),"-")</f>
        <v>-</v>
      </c>
      <c r="AD279" s="4"/>
      <c r="AE279" s="11" t="str">
        <f>IFERROR(INDEX(ShipPartShape!$A:$A,MATCH(AD279,ShipPartShape!$B:$B,0)),"-")</f>
        <v>-</v>
      </c>
      <c r="AF279" s="4"/>
      <c r="AG279" s="11" t="str">
        <f>IFERROR(INDEX(ShipPartShape!$A:$A,MATCH(AF279,ShipPartShape!$B:$B,0)),"-")</f>
        <v>-</v>
      </c>
      <c r="AH279" s="4"/>
      <c r="AI279" s="11" t="str">
        <f>IFERROR(INDEX(ShipPartShape!$A:$A,MATCH(AH279,ShipPartShape!$B:$B,0)),"-")</f>
        <v>-</v>
      </c>
      <c r="AJ279" s="11" t="s">
        <v>0</v>
      </c>
      <c r="AK279" s="11" t="s">
        <v>0</v>
      </c>
      <c r="AL279" s="11" t="s">
        <v>0</v>
      </c>
      <c r="AM279" s="11" t="s">
        <v>0</v>
      </c>
      <c r="AN279" s="11" t="s">
        <v>0</v>
      </c>
      <c r="AO279" s="11" t="s">
        <v>0</v>
      </c>
      <c r="AP279" s="11" t="s">
        <v>0</v>
      </c>
      <c r="AQ279" s="11" t="s">
        <v>0</v>
      </c>
      <c r="AR279" s="11" t="s">
        <v>0</v>
      </c>
      <c r="AS279" s="11" t="s">
        <v>0</v>
      </c>
      <c r="AT279" s="11" t="s">
        <v>0</v>
      </c>
      <c r="AU279" s="11">
        <v>47600018</v>
      </c>
      <c r="AV279" s="11" t="s">
        <v>0</v>
      </c>
      <c r="AW279" s="11" t="s">
        <v>0</v>
      </c>
      <c r="AX279" s="11" t="s">
        <v>0</v>
      </c>
    </row>
    <row r="280" spans="1:50" ht="15">
      <c r="A280" s="10">
        <f t="shared" si="4"/>
        <v>45000270</v>
      </c>
      <c r="B280" s="22" t="s">
        <v>3186</v>
      </c>
      <c r="C280" s="11" t="s">
        <v>3187</v>
      </c>
      <c r="D280" s="4"/>
      <c r="E280" s="11" t="s">
        <v>0</v>
      </c>
      <c r="F280" s="11" t="s">
        <v>0</v>
      </c>
      <c r="G280" s="11" t="s">
        <v>0</v>
      </c>
      <c r="H280" s="11" t="s">
        <v>0</v>
      </c>
      <c r="I280" s="11" t="str">
        <f>IFERROR(INDEX(ShipPartShape!$A:$A,MATCH(D280,ShipPartShape!$B:$B,0)),"-")</f>
        <v>-</v>
      </c>
      <c r="J280" s="4"/>
      <c r="K280" s="11" t="str">
        <f>IFERROR(INDEX(ShipPartShape!$A:$A,MATCH(J280,ShipPartShape!$B:$B,0)),"-")</f>
        <v>-</v>
      </c>
      <c r="L280" s="4"/>
      <c r="M280" s="11" t="str">
        <f>IFERROR(INDEX(ShipPartShape!$A:$A,MATCH(L280,ShipPartShape!$B:$B,0)),"-")</f>
        <v>-</v>
      </c>
      <c r="N280" s="4"/>
      <c r="O280" s="11" t="str">
        <f>IFERROR(INDEX(ShipPartShape!$A:$A,MATCH(N280,ShipPartShape!$B:$B,0)),"-")</f>
        <v>-</v>
      </c>
      <c r="P280" s="4"/>
      <c r="Q280" s="11" t="str">
        <f>IFERROR(INDEX(ShipPartShape!$A:$A,MATCH(P280,ShipPartShape!$B:$B,0)),"-")</f>
        <v>-</v>
      </c>
      <c r="R280" s="4"/>
      <c r="S280" s="11" t="str">
        <f>IFERROR(INDEX(ShipPartShape!$A:$A,MATCH(R280,ShipPartShape!$B:$B,0)),"-")</f>
        <v>-</v>
      </c>
      <c r="T280" s="4"/>
      <c r="U280" s="11" t="str">
        <f>IFERROR(INDEX(ShipPartShape!$A:$A,MATCH(T280,ShipPartShape!$B:$B,0)),"-")</f>
        <v>-</v>
      </c>
      <c r="V280" s="4"/>
      <c r="W280" s="11" t="str">
        <f>IFERROR(INDEX(ShipPartShape!$A:$A,MATCH(V280,ShipPartShape!$B:$B,0)),"-")</f>
        <v>-</v>
      </c>
      <c r="X280" s="4"/>
      <c r="Y280" s="11" t="str">
        <f>IFERROR(INDEX(ShipPartShape!$A:$A,MATCH(X280,ShipPartShape!$B:$B,0)),"-")</f>
        <v>-</v>
      </c>
      <c r="Z280" s="4"/>
      <c r="AA280" s="11" t="str">
        <f>IFERROR(INDEX(ShipPartShape!$A:$A,MATCH(Z280,ShipPartShape!$B:$B,0)),"-")</f>
        <v>-</v>
      </c>
      <c r="AB280" s="4"/>
      <c r="AC280" s="11" t="str">
        <f>IFERROR(INDEX(ShipPartShape!$A:$A,MATCH(AB280,ShipPartShape!$B:$B,0)),"-")</f>
        <v>-</v>
      </c>
      <c r="AD280" s="4"/>
      <c r="AE280" s="11" t="str">
        <f>IFERROR(INDEX(ShipPartShape!$A:$A,MATCH(AD280,ShipPartShape!$B:$B,0)),"-")</f>
        <v>-</v>
      </c>
      <c r="AF280" s="4"/>
      <c r="AG280" s="11" t="str">
        <f>IFERROR(INDEX(ShipPartShape!$A:$A,MATCH(AF280,ShipPartShape!$B:$B,0)),"-")</f>
        <v>-</v>
      </c>
      <c r="AH280" s="4"/>
      <c r="AI280" s="11" t="str">
        <f>IFERROR(INDEX(ShipPartShape!$A:$A,MATCH(AH280,ShipPartShape!$B:$B,0)),"-")</f>
        <v>-</v>
      </c>
      <c r="AJ280" s="11" t="s">
        <v>0</v>
      </c>
      <c r="AK280" s="11" t="s">
        <v>0</v>
      </c>
      <c r="AL280" s="11" t="s">
        <v>0</v>
      </c>
      <c r="AM280" s="11" t="s">
        <v>0</v>
      </c>
      <c r="AN280" s="11" t="s">
        <v>0</v>
      </c>
      <c r="AO280" s="11" t="s">
        <v>0</v>
      </c>
      <c r="AP280" s="11" t="s">
        <v>0</v>
      </c>
      <c r="AQ280" s="11" t="s">
        <v>0</v>
      </c>
      <c r="AR280" s="11" t="s">
        <v>0</v>
      </c>
      <c r="AS280" s="11" t="s">
        <v>0</v>
      </c>
      <c r="AT280" s="11" t="s">
        <v>0</v>
      </c>
      <c r="AU280" s="11">
        <v>47600018</v>
      </c>
      <c r="AV280" s="11" t="s">
        <v>0</v>
      </c>
      <c r="AW280" s="11" t="s">
        <v>0</v>
      </c>
      <c r="AX280" s="11" t="s">
        <v>0</v>
      </c>
    </row>
    <row r="281" spans="1:50" ht="15">
      <c r="A281" s="10">
        <f t="shared" si="4"/>
        <v>45000271</v>
      </c>
      <c r="B281" s="42" t="s">
        <v>3192</v>
      </c>
      <c r="C281" s="42" t="s">
        <v>200</v>
      </c>
      <c r="D281" s="4" t="s">
        <v>3188</v>
      </c>
      <c r="E281" s="11">
        <v>700</v>
      </c>
      <c r="F281" s="11">
        <v>150</v>
      </c>
      <c r="G281" s="11">
        <v>20</v>
      </c>
      <c r="H281" s="11">
        <v>-40</v>
      </c>
      <c r="I281" s="11">
        <f>IFERROR(INDEX(ShipPartShape!$A:$A,MATCH(D281,ShipPartShape!$B:$B,0)),"-")</f>
        <v>46000252</v>
      </c>
      <c r="J281" s="4" t="s">
        <v>1215</v>
      </c>
      <c r="K281" s="11">
        <f>IFERROR(INDEX(ShipPartShape!$A:$A,MATCH(J281,ShipPartShape!$B:$B,0)),"-")</f>
        <v>46700013</v>
      </c>
      <c r="L281" s="4"/>
      <c r="M281" s="11" t="str">
        <f>IFERROR(INDEX(ShipPartShape!$A:$A,MATCH(L281,ShipPartShape!$B:$B,0)),"-")</f>
        <v>-</v>
      </c>
      <c r="N281" s="4"/>
      <c r="O281" s="11" t="str">
        <f>IFERROR(INDEX(ShipPartShape!$A:$A,MATCH(N281,ShipPartShape!$B:$B,0)),"-")</f>
        <v>-</v>
      </c>
      <c r="P281" s="4"/>
      <c r="Q281" s="11" t="str">
        <f>IFERROR(INDEX(ShipPartShape!$A:$A,MATCH(P281,ShipPartShape!$B:$B,0)),"-")</f>
        <v>-</v>
      </c>
      <c r="R281" s="4"/>
      <c r="S281" s="11" t="str">
        <f>IFERROR(INDEX(ShipPartShape!$A:$A,MATCH(R281,ShipPartShape!$B:$B,0)),"-")</f>
        <v>-</v>
      </c>
      <c r="T281" s="4"/>
      <c r="U281" s="11" t="str">
        <f>IFERROR(INDEX(ShipPartShape!$A:$A,MATCH(T281,ShipPartShape!$B:$B,0)),"-")</f>
        <v>-</v>
      </c>
      <c r="V281" s="4"/>
      <c r="W281" s="11" t="str">
        <f>IFERROR(INDEX(ShipPartShape!$A:$A,MATCH(V281,ShipPartShape!$B:$B,0)),"-")</f>
        <v>-</v>
      </c>
      <c r="X281" s="4"/>
      <c r="Y281" s="11" t="str">
        <f>IFERROR(INDEX(ShipPartShape!$A:$A,MATCH(X281,ShipPartShape!$B:$B,0)),"-")</f>
        <v>-</v>
      </c>
      <c r="Z281" s="4"/>
      <c r="AA281" s="11" t="str">
        <f>IFERROR(INDEX(ShipPartShape!$A:$A,MATCH(Z281,ShipPartShape!$B:$B,0)),"-")</f>
        <v>-</v>
      </c>
      <c r="AB281" s="4"/>
      <c r="AC281" s="11" t="str">
        <f>IFERROR(INDEX(ShipPartShape!$A:$A,MATCH(AB281,ShipPartShape!$B:$B,0)),"-")</f>
        <v>-</v>
      </c>
      <c r="AD281" s="4"/>
      <c r="AE281" s="11" t="str">
        <f>IFERROR(INDEX(ShipPartShape!$A:$A,MATCH(AD281,ShipPartShape!$B:$B,0)),"-")</f>
        <v>-</v>
      </c>
      <c r="AF281" s="4"/>
      <c r="AG281" s="11" t="str">
        <f>IFERROR(INDEX(ShipPartShape!$A:$A,MATCH(AF281,ShipPartShape!$B:$B,0)),"-")</f>
        <v>-</v>
      </c>
      <c r="AH281" s="4"/>
      <c r="AI281" s="11" t="str">
        <f>IFERROR(INDEX(ShipPartShape!$A:$A,MATCH(AH281,ShipPartShape!$B:$B,0)),"-")</f>
        <v>-</v>
      </c>
      <c r="AJ281" s="11" t="s">
        <v>0</v>
      </c>
      <c r="AK281" s="11" t="s">
        <v>0</v>
      </c>
      <c r="AL281" s="11" t="s">
        <v>0</v>
      </c>
      <c r="AM281" s="11" t="s">
        <v>0</v>
      </c>
      <c r="AN281" s="11" t="s">
        <v>0</v>
      </c>
      <c r="AO281" s="11" t="s">
        <v>0</v>
      </c>
      <c r="AP281" s="11" t="s">
        <v>0</v>
      </c>
      <c r="AQ281" s="11" t="s">
        <v>0</v>
      </c>
      <c r="AR281" s="11" t="s">
        <v>0</v>
      </c>
      <c r="AS281" s="11" t="s">
        <v>0</v>
      </c>
      <c r="AT281" s="11" t="s">
        <v>0</v>
      </c>
      <c r="AU281" s="11">
        <v>47600018</v>
      </c>
      <c r="AV281" s="11" t="s">
        <v>0</v>
      </c>
      <c r="AW281" s="11" t="s">
        <v>0</v>
      </c>
      <c r="AX281" s="11" t="s">
        <v>0</v>
      </c>
    </row>
    <row r="282" spans="1:50" ht="15">
      <c r="A282" s="10">
        <f t="shared" si="4"/>
        <v>45000272</v>
      </c>
      <c r="B282" s="42" t="s">
        <v>3193</v>
      </c>
      <c r="C282" s="42" t="s">
        <v>200</v>
      </c>
      <c r="D282" s="4" t="s">
        <v>3190</v>
      </c>
      <c r="E282" s="11">
        <v>700</v>
      </c>
      <c r="F282" s="11">
        <v>150</v>
      </c>
      <c r="G282" s="11">
        <v>20</v>
      </c>
      <c r="H282" s="11">
        <v>-40</v>
      </c>
      <c r="I282" s="11">
        <f>IFERROR(INDEX(ShipPartShape!$A:$A,MATCH(D282,ShipPartShape!$B:$B,0)),"-")</f>
        <v>46000253</v>
      </c>
      <c r="J282" s="4" t="s">
        <v>1215</v>
      </c>
      <c r="K282" s="11">
        <f>IFERROR(INDEX(ShipPartShape!$A:$A,MATCH(J282,ShipPartShape!$B:$B,0)),"-")</f>
        <v>46700013</v>
      </c>
      <c r="L282" s="4"/>
      <c r="M282" s="11" t="str">
        <f>IFERROR(INDEX(ShipPartShape!$A:$A,MATCH(L282,ShipPartShape!$B:$B,0)),"-")</f>
        <v>-</v>
      </c>
      <c r="N282" s="4"/>
      <c r="O282" s="11" t="str">
        <f>IFERROR(INDEX(ShipPartShape!$A:$A,MATCH(N282,ShipPartShape!$B:$B,0)),"-")</f>
        <v>-</v>
      </c>
      <c r="P282" s="4"/>
      <c r="Q282" s="11" t="str">
        <f>IFERROR(INDEX(ShipPartShape!$A:$A,MATCH(P282,ShipPartShape!$B:$B,0)),"-")</f>
        <v>-</v>
      </c>
      <c r="R282" s="4"/>
      <c r="S282" s="11" t="str">
        <f>IFERROR(INDEX(ShipPartShape!$A:$A,MATCH(R282,ShipPartShape!$B:$B,0)),"-")</f>
        <v>-</v>
      </c>
      <c r="T282" s="4"/>
      <c r="U282" s="11" t="str">
        <f>IFERROR(INDEX(ShipPartShape!$A:$A,MATCH(T282,ShipPartShape!$B:$B,0)),"-")</f>
        <v>-</v>
      </c>
      <c r="V282" s="4"/>
      <c r="W282" s="11" t="str">
        <f>IFERROR(INDEX(ShipPartShape!$A:$A,MATCH(V282,ShipPartShape!$B:$B,0)),"-")</f>
        <v>-</v>
      </c>
      <c r="X282" s="4"/>
      <c r="Y282" s="11" t="str">
        <f>IFERROR(INDEX(ShipPartShape!$A:$A,MATCH(X282,ShipPartShape!$B:$B,0)),"-")</f>
        <v>-</v>
      </c>
      <c r="Z282" s="4"/>
      <c r="AA282" s="11" t="str">
        <f>IFERROR(INDEX(ShipPartShape!$A:$A,MATCH(Z282,ShipPartShape!$B:$B,0)),"-")</f>
        <v>-</v>
      </c>
      <c r="AB282" s="4"/>
      <c r="AC282" s="11" t="str">
        <f>IFERROR(INDEX(ShipPartShape!$A:$A,MATCH(AB282,ShipPartShape!$B:$B,0)),"-")</f>
        <v>-</v>
      </c>
      <c r="AD282" s="4"/>
      <c r="AE282" s="11" t="str">
        <f>IFERROR(INDEX(ShipPartShape!$A:$A,MATCH(AD282,ShipPartShape!$B:$B,0)),"-")</f>
        <v>-</v>
      </c>
      <c r="AF282" s="4"/>
      <c r="AG282" s="11" t="str">
        <f>IFERROR(INDEX(ShipPartShape!$A:$A,MATCH(AF282,ShipPartShape!$B:$B,0)),"-")</f>
        <v>-</v>
      </c>
      <c r="AH282" s="4"/>
      <c r="AI282" s="11" t="str">
        <f>IFERROR(INDEX(ShipPartShape!$A:$A,MATCH(AH282,ShipPartShape!$B:$B,0)),"-")</f>
        <v>-</v>
      </c>
      <c r="AJ282" s="11" t="s">
        <v>0</v>
      </c>
      <c r="AK282" s="11" t="s">
        <v>0</v>
      </c>
      <c r="AL282" s="11" t="s">
        <v>0</v>
      </c>
      <c r="AM282" s="11" t="s">
        <v>0</v>
      </c>
      <c r="AN282" s="11" t="s">
        <v>0</v>
      </c>
      <c r="AO282" s="11" t="s">
        <v>0</v>
      </c>
      <c r="AP282" s="11" t="s">
        <v>0</v>
      </c>
      <c r="AQ282" s="11" t="s">
        <v>0</v>
      </c>
      <c r="AR282" s="11" t="s">
        <v>0</v>
      </c>
      <c r="AS282" s="11" t="s">
        <v>0</v>
      </c>
      <c r="AT282" s="11" t="s">
        <v>0</v>
      </c>
      <c r="AU282" s="11">
        <v>47600018</v>
      </c>
      <c r="AV282" s="11" t="s">
        <v>0</v>
      </c>
      <c r="AW282" s="11" t="s">
        <v>0</v>
      </c>
      <c r="AX282" s="11" t="s">
        <v>0</v>
      </c>
    </row>
    <row r="283" spans="1:50" ht="15">
      <c r="A283" s="10">
        <f t="shared" si="4"/>
        <v>45000273</v>
      </c>
      <c r="B283" s="22" t="s">
        <v>3194</v>
      </c>
      <c r="C283" s="11" t="s">
        <v>3213</v>
      </c>
      <c r="D283" s="4" t="s">
        <v>1460</v>
      </c>
      <c r="E283" s="11">
        <v>700</v>
      </c>
      <c r="F283" s="11">
        <v>150</v>
      </c>
      <c r="G283" s="11">
        <v>20</v>
      </c>
      <c r="H283" s="11">
        <v>-40</v>
      </c>
      <c r="I283" s="11">
        <f>IFERROR(INDEX(ShipPartShape!$A:$A,MATCH(D283,ShipPartShape!$B:$B,0)),"-")</f>
        <v>46000115</v>
      </c>
      <c r="J283" s="4" t="s">
        <v>1392</v>
      </c>
      <c r="K283" s="11">
        <f>IFERROR(INDEX(ShipPartShape!$A:$A,MATCH(J283,ShipPartShape!$B:$B,0)),"-")</f>
        <v>46700007</v>
      </c>
      <c r="L283" s="4" t="s">
        <v>69</v>
      </c>
      <c r="M283" s="11">
        <f>IFERROR(INDEX(ShipPartShape!$A:$A,MATCH(L283,ShipPartShape!$B:$B,0)),"-")</f>
        <v>46300001</v>
      </c>
      <c r="N283" s="4" t="s">
        <v>1456</v>
      </c>
      <c r="O283" s="11">
        <f>IFERROR(INDEX(ShipPartShape!$A:$A,MATCH(N283,ShipPartShape!$B:$B,0)),"-")</f>
        <v>46500019</v>
      </c>
      <c r="P283" s="4"/>
      <c r="Q283" s="11" t="str">
        <f>IFERROR(INDEX(ShipPartShape!$A:$A,MATCH(P283,ShipPartShape!$B:$B,0)),"-")</f>
        <v>-</v>
      </c>
      <c r="R283" s="4"/>
      <c r="S283" s="11" t="str">
        <f>IFERROR(INDEX(ShipPartShape!$A:$A,MATCH(R283,ShipPartShape!$B:$B,0)),"-")</f>
        <v>-</v>
      </c>
      <c r="T283" s="4"/>
      <c r="U283" s="11" t="str">
        <f>IFERROR(INDEX(ShipPartShape!$A:$A,MATCH(T283,ShipPartShape!$B:$B,0)),"-")</f>
        <v>-</v>
      </c>
      <c r="V283" s="4"/>
      <c r="W283" s="11" t="str">
        <f>IFERROR(INDEX(ShipPartShape!$A:$A,MATCH(V283,ShipPartShape!$B:$B,0)),"-")</f>
        <v>-</v>
      </c>
      <c r="X283" s="4"/>
      <c r="Y283" s="11" t="str">
        <f>IFERROR(INDEX(ShipPartShape!$A:$A,MATCH(X283,ShipPartShape!$B:$B,0)),"-")</f>
        <v>-</v>
      </c>
      <c r="Z283" s="4"/>
      <c r="AA283" s="11" t="str">
        <f>IFERROR(INDEX(ShipPartShape!$A:$A,MATCH(Z283,ShipPartShape!$B:$B,0)),"-")</f>
        <v>-</v>
      </c>
      <c r="AB283" s="4"/>
      <c r="AC283" s="11" t="str">
        <f>IFERROR(INDEX(ShipPartShape!$A:$A,MATCH(AB283,ShipPartShape!$B:$B,0)),"-")</f>
        <v>-</v>
      </c>
      <c r="AD283" s="4"/>
      <c r="AE283" s="11" t="str">
        <f>IFERROR(INDEX(ShipPartShape!$A:$A,MATCH(AD283,ShipPartShape!$B:$B,0)),"-")</f>
        <v>-</v>
      </c>
      <c r="AF283" s="4"/>
      <c r="AG283" s="11" t="str">
        <f>IFERROR(INDEX(ShipPartShape!$A:$A,MATCH(AF283,ShipPartShape!$B:$B,0)),"-")</f>
        <v>-</v>
      </c>
      <c r="AH283" s="4"/>
      <c r="AI283" s="11" t="str">
        <f>IFERROR(INDEX(ShipPartShape!$A:$A,MATCH(AH283,ShipPartShape!$B:$B,0)),"-")</f>
        <v>-</v>
      </c>
      <c r="AJ283" s="11" t="s">
        <v>0</v>
      </c>
      <c r="AK283" s="11" t="s">
        <v>0</v>
      </c>
      <c r="AL283" s="11" t="s">
        <v>0</v>
      </c>
      <c r="AM283" s="11" t="s">
        <v>0</v>
      </c>
      <c r="AN283" s="11" t="s">
        <v>0</v>
      </c>
      <c r="AO283" s="11" t="s">
        <v>0</v>
      </c>
      <c r="AP283" s="11" t="s">
        <v>0</v>
      </c>
      <c r="AQ283" s="11" t="s">
        <v>0</v>
      </c>
      <c r="AR283" s="11" t="s">
        <v>0</v>
      </c>
      <c r="AS283" s="11" t="s">
        <v>0</v>
      </c>
      <c r="AT283" s="11" t="s">
        <v>0</v>
      </c>
      <c r="AU283" s="11">
        <v>47600017</v>
      </c>
      <c r="AV283" s="11" t="s">
        <v>0</v>
      </c>
      <c r="AW283" s="11" t="s">
        <v>0</v>
      </c>
      <c r="AX283" s="11" t="s">
        <v>0</v>
      </c>
    </row>
    <row r="284" spans="1:50" ht="15">
      <c r="A284" s="10">
        <f t="shared" si="4"/>
        <v>45000274</v>
      </c>
      <c r="B284" s="22" t="s">
        <v>3195</v>
      </c>
      <c r="C284" s="11" t="s">
        <v>3207</v>
      </c>
      <c r="D284" s="4" t="s">
        <v>3196</v>
      </c>
      <c r="E284" s="11">
        <v>700</v>
      </c>
      <c r="F284" s="11">
        <v>150</v>
      </c>
      <c r="G284" s="11">
        <v>20</v>
      </c>
      <c r="H284" s="11">
        <v>-40</v>
      </c>
      <c r="I284" s="11">
        <f>IFERROR(INDEX(ShipPartShape!$A:$A,MATCH(D284,ShipPartShape!$B:$B,0)),"-")</f>
        <v>46000254</v>
      </c>
      <c r="J284" s="4"/>
      <c r="K284" s="11" t="str">
        <f>IFERROR(INDEX(ShipPartShape!$A:$A,MATCH(J284,ShipPartShape!$B:$B,0)),"-")</f>
        <v>-</v>
      </c>
      <c r="L284" s="4"/>
      <c r="M284" s="11" t="str">
        <f>IFERROR(INDEX(ShipPartShape!$A:$A,MATCH(L284,ShipPartShape!$B:$B,0)),"-")</f>
        <v>-</v>
      </c>
      <c r="N284" s="4"/>
      <c r="O284" s="11" t="str">
        <f>IFERROR(INDEX(ShipPartShape!$A:$A,MATCH(N284,ShipPartShape!$B:$B,0)),"-")</f>
        <v>-</v>
      </c>
      <c r="P284" s="4"/>
      <c r="Q284" s="11" t="str">
        <f>IFERROR(INDEX(ShipPartShape!$A:$A,MATCH(P284,ShipPartShape!$B:$B,0)),"-")</f>
        <v>-</v>
      </c>
      <c r="R284" s="4"/>
      <c r="S284" s="11" t="str">
        <f>IFERROR(INDEX(ShipPartShape!$A:$A,MATCH(R284,ShipPartShape!$B:$B,0)),"-")</f>
        <v>-</v>
      </c>
      <c r="T284" s="4"/>
      <c r="U284" s="11" t="str">
        <f>IFERROR(INDEX(ShipPartShape!$A:$A,MATCH(T284,ShipPartShape!$B:$B,0)),"-")</f>
        <v>-</v>
      </c>
      <c r="V284" s="4"/>
      <c r="W284" s="11" t="str">
        <f>IFERROR(INDEX(ShipPartShape!$A:$A,MATCH(V284,ShipPartShape!$B:$B,0)),"-")</f>
        <v>-</v>
      </c>
      <c r="X284" s="4"/>
      <c r="Y284" s="11" t="str">
        <f>IFERROR(INDEX(ShipPartShape!$A:$A,MATCH(X284,ShipPartShape!$B:$B,0)),"-")</f>
        <v>-</v>
      </c>
      <c r="Z284" s="4"/>
      <c r="AA284" s="11" t="str">
        <f>IFERROR(INDEX(ShipPartShape!$A:$A,MATCH(Z284,ShipPartShape!$B:$B,0)),"-")</f>
        <v>-</v>
      </c>
      <c r="AB284" s="4"/>
      <c r="AC284" s="11" t="str">
        <f>IFERROR(INDEX(ShipPartShape!$A:$A,MATCH(AB284,ShipPartShape!$B:$B,0)),"-")</f>
        <v>-</v>
      </c>
      <c r="AD284" s="4"/>
      <c r="AE284" s="11" t="str">
        <f>IFERROR(INDEX(ShipPartShape!$A:$A,MATCH(AD284,ShipPartShape!$B:$B,0)),"-")</f>
        <v>-</v>
      </c>
      <c r="AF284" s="4"/>
      <c r="AG284" s="11" t="str">
        <f>IFERROR(INDEX(ShipPartShape!$A:$A,MATCH(AF284,ShipPartShape!$B:$B,0)),"-")</f>
        <v>-</v>
      </c>
      <c r="AH284" s="4"/>
      <c r="AI284" s="11" t="str">
        <f>IFERROR(INDEX(ShipPartShape!$A:$A,MATCH(AH284,ShipPartShape!$B:$B,0)),"-")</f>
        <v>-</v>
      </c>
      <c r="AJ284" s="11" t="s">
        <v>0</v>
      </c>
      <c r="AK284" s="11" t="s">
        <v>0</v>
      </c>
      <c r="AL284" s="11" t="s">
        <v>0</v>
      </c>
      <c r="AM284" s="11" t="s">
        <v>0</v>
      </c>
      <c r="AN284" s="11" t="s">
        <v>0</v>
      </c>
      <c r="AO284" s="11" t="s">
        <v>0</v>
      </c>
      <c r="AP284" s="11" t="s">
        <v>0</v>
      </c>
      <c r="AQ284" s="11" t="s">
        <v>0</v>
      </c>
      <c r="AR284" s="11" t="s">
        <v>0</v>
      </c>
      <c r="AS284" s="11" t="s">
        <v>0</v>
      </c>
      <c r="AT284" s="11" t="s">
        <v>0</v>
      </c>
      <c r="AU284" s="11">
        <v>47600017</v>
      </c>
      <c r="AV284" s="11" t="s">
        <v>0</v>
      </c>
      <c r="AW284" s="11" t="s">
        <v>0</v>
      </c>
      <c r="AX284" s="11" t="s">
        <v>0</v>
      </c>
    </row>
    <row r="285" spans="1:50" ht="15">
      <c r="A285" s="10">
        <f t="shared" si="4"/>
        <v>45000275</v>
      </c>
      <c r="B285" s="22" t="s">
        <v>3205</v>
      </c>
      <c r="C285" s="11" t="s">
        <v>3208</v>
      </c>
      <c r="D285" s="4" t="s">
        <v>3199</v>
      </c>
      <c r="E285" s="11">
        <v>700</v>
      </c>
      <c r="F285" s="11">
        <v>150</v>
      </c>
      <c r="G285" s="11">
        <v>20</v>
      </c>
      <c r="H285" s="11">
        <v>-40</v>
      </c>
      <c r="I285" s="11">
        <f>IFERROR(INDEX(ShipPartShape!$A:$A,MATCH(D285,ShipPartShape!$B:$B,0)),"-")</f>
        <v>46000255</v>
      </c>
      <c r="J285" s="4"/>
      <c r="K285" s="11" t="str">
        <f>IFERROR(INDEX(ShipPartShape!$A:$A,MATCH(J285,ShipPartShape!$B:$B,0)),"-")</f>
        <v>-</v>
      </c>
      <c r="L285" s="4"/>
      <c r="M285" s="11" t="str">
        <f>IFERROR(INDEX(ShipPartShape!$A:$A,MATCH(L285,ShipPartShape!$B:$B,0)),"-")</f>
        <v>-</v>
      </c>
      <c r="N285" s="4"/>
      <c r="O285" s="11" t="str">
        <f>IFERROR(INDEX(ShipPartShape!$A:$A,MATCH(N285,ShipPartShape!$B:$B,0)),"-")</f>
        <v>-</v>
      </c>
      <c r="P285" s="4"/>
      <c r="Q285" s="11" t="str">
        <f>IFERROR(INDEX(ShipPartShape!$A:$A,MATCH(P285,ShipPartShape!$B:$B,0)),"-")</f>
        <v>-</v>
      </c>
      <c r="R285" s="4"/>
      <c r="S285" s="11" t="str">
        <f>IFERROR(INDEX(ShipPartShape!$A:$A,MATCH(R285,ShipPartShape!$B:$B,0)),"-")</f>
        <v>-</v>
      </c>
      <c r="T285" s="4"/>
      <c r="U285" s="11" t="str">
        <f>IFERROR(INDEX(ShipPartShape!$A:$A,MATCH(T285,ShipPartShape!$B:$B,0)),"-")</f>
        <v>-</v>
      </c>
      <c r="V285" s="4"/>
      <c r="W285" s="11" t="str">
        <f>IFERROR(INDEX(ShipPartShape!$A:$A,MATCH(V285,ShipPartShape!$B:$B,0)),"-")</f>
        <v>-</v>
      </c>
      <c r="X285" s="4"/>
      <c r="Y285" s="11" t="str">
        <f>IFERROR(INDEX(ShipPartShape!$A:$A,MATCH(X285,ShipPartShape!$B:$B,0)),"-")</f>
        <v>-</v>
      </c>
      <c r="Z285" s="4"/>
      <c r="AA285" s="11" t="str">
        <f>IFERROR(INDEX(ShipPartShape!$A:$A,MATCH(Z285,ShipPartShape!$B:$B,0)),"-")</f>
        <v>-</v>
      </c>
      <c r="AB285" s="4"/>
      <c r="AC285" s="11" t="str">
        <f>IFERROR(INDEX(ShipPartShape!$A:$A,MATCH(AB285,ShipPartShape!$B:$B,0)),"-")</f>
        <v>-</v>
      </c>
      <c r="AD285" s="4"/>
      <c r="AE285" s="11" t="str">
        <f>IFERROR(INDEX(ShipPartShape!$A:$A,MATCH(AD285,ShipPartShape!$B:$B,0)),"-")</f>
        <v>-</v>
      </c>
      <c r="AF285" s="4"/>
      <c r="AG285" s="11" t="str">
        <f>IFERROR(INDEX(ShipPartShape!$A:$A,MATCH(AF285,ShipPartShape!$B:$B,0)),"-")</f>
        <v>-</v>
      </c>
      <c r="AH285" s="4"/>
      <c r="AI285" s="11" t="str">
        <f>IFERROR(INDEX(ShipPartShape!$A:$A,MATCH(AH285,ShipPartShape!$B:$B,0)),"-")</f>
        <v>-</v>
      </c>
      <c r="AJ285" s="11" t="s">
        <v>0</v>
      </c>
      <c r="AK285" s="11" t="s">
        <v>0</v>
      </c>
      <c r="AL285" s="11" t="s">
        <v>0</v>
      </c>
      <c r="AM285" s="11" t="s">
        <v>0</v>
      </c>
      <c r="AN285" s="11" t="s">
        <v>0</v>
      </c>
      <c r="AO285" s="11" t="s">
        <v>0</v>
      </c>
      <c r="AP285" s="11" t="s">
        <v>0</v>
      </c>
      <c r="AQ285" s="11" t="s">
        <v>0</v>
      </c>
      <c r="AR285" s="11" t="s">
        <v>0</v>
      </c>
      <c r="AS285" s="11" t="s">
        <v>0</v>
      </c>
      <c r="AT285" s="11" t="s">
        <v>0</v>
      </c>
      <c r="AU285" s="11">
        <v>47600017</v>
      </c>
      <c r="AV285" s="11" t="s">
        <v>0</v>
      </c>
      <c r="AW285" s="11" t="s">
        <v>0</v>
      </c>
      <c r="AX285" s="11" t="s">
        <v>0</v>
      </c>
    </row>
    <row r="286" spans="1:50" ht="15">
      <c r="A286" s="10">
        <f t="shared" si="4"/>
        <v>45000276</v>
      </c>
      <c r="B286" s="22" t="s">
        <v>3206</v>
      </c>
      <c r="C286" s="11" t="s">
        <v>3209</v>
      </c>
      <c r="D286" s="4" t="s">
        <v>3203</v>
      </c>
      <c r="E286" s="11">
        <v>700</v>
      </c>
      <c r="F286" s="11">
        <v>150</v>
      </c>
      <c r="G286" s="11">
        <v>20</v>
      </c>
      <c r="H286" s="11">
        <v>-40</v>
      </c>
      <c r="I286" s="11">
        <f>IFERROR(INDEX(ShipPartShape!$A:$A,MATCH(D286,ShipPartShape!$B:$B,0)),"-")</f>
        <v>46000256</v>
      </c>
      <c r="J286" s="4"/>
      <c r="K286" s="11" t="str">
        <f>IFERROR(INDEX(ShipPartShape!$A:$A,MATCH(J286,ShipPartShape!$B:$B,0)),"-")</f>
        <v>-</v>
      </c>
      <c r="L286" s="4"/>
      <c r="M286" s="11" t="str">
        <f>IFERROR(INDEX(ShipPartShape!$A:$A,MATCH(L286,ShipPartShape!$B:$B,0)),"-")</f>
        <v>-</v>
      </c>
      <c r="N286" s="4"/>
      <c r="O286" s="11" t="str">
        <f>IFERROR(INDEX(ShipPartShape!$A:$A,MATCH(N286,ShipPartShape!$B:$B,0)),"-")</f>
        <v>-</v>
      </c>
      <c r="P286" s="4"/>
      <c r="Q286" s="11" t="str">
        <f>IFERROR(INDEX(ShipPartShape!$A:$A,MATCH(P286,ShipPartShape!$B:$B,0)),"-")</f>
        <v>-</v>
      </c>
      <c r="R286" s="4"/>
      <c r="S286" s="11" t="str">
        <f>IFERROR(INDEX(ShipPartShape!$A:$A,MATCH(R286,ShipPartShape!$B:$B,0)),"-")</f>
        <v>-</v>
      </c>
      <c r="T286" s="4"/>
      <c r="U286" s="11" t="str">
        <f>IFERROR(INDEX(ShipPartShape!$A:$A,MATCH(T286,ShipPartShape!$B:$B,0)),"-")</f>
        <v>-</v>
      </c>
      <c r="V286" s="4"/>
      <c r="W286" s="11" t="str">
        <f>IFERROR(INDEX(ShipPartShape!$A:$A,MATCH(V286,ShipPartShape!$B:$B,0)),"-")</f>
        <v>-</v>
      </c>
      <c r="X286" s="4"/>
      <c r="Y286" s="11" t="str">
        <f>IFERROR(INDEX(ShipPartShape!$A:$A,MATCH(X286,ShipPartShape!$B:$B,0)),"-")</f>
        <v>-</v>
      </c>
      <c r="Z286" s="4"/>
      <c r="AA286" s="11" t="str">
        <f>IFERROR(INDEX(ShipPartShape!$A:$A,MATCH(Z286,ShipPartShape!$B:$B,0)),"-")</f>
        <v>-</v>
      </c>
      <c r="AB286" s="4"/>
      <c r="AC286" s="11" t="str">
        <f>IFERROR(INDEX(ShipPartShape!$A:$A,MATCH(AB286,ShipPartShape!$B:$B,0)),"-")</f>
        <v>-</v>
      </c>
      <c r="AD286" s="4"/>
      <c r="AE286" s="11" t="str">
        <f>IFERROR(INDEX(ShipPartShape!$A:$A,MATCH(AD286,ShipPartShape!$B:$B,0)),"-")</f>
        <v>-</v>
      </c>
      <c r="AF286" s="4"/>
      <c r="AG286" s="11" t="str">
        <f>IFERROR(INDEX(ShipPartShape!$A:$A,MATCH(AF286,ShipPartShape!$B:$B,0)),"-")</f>
        <v>-</v>
      </c>
      <c r="AH286" s="4"/>
      <c r="AI286" s="11" t="str">
        <f>IFERROR(INDEX(ShipPartShape!$A:$A,MATCH(AH286,ShipPartShape!$B:$B,0)),"-")</f>
        <v>-</v>
      </c>
      <c r="AJ286" s="11" t="s">
        <v>0</v>
      </c>
      <c r="AK286" s="11" t="s">
        <v>0</v>
      </c>
      <c r="AL286" s="11" t="s">
        <v>0</v>
      </c>
      <c r="AM286" s="11" t="s">
        <v>0</v>
      </c>
      <c r="AN286" s="11" t="s">
        <v>0</v>
      </c>
      <c r="AO286" s="11" t="s">
        <v>0</v>
      </c>
      <c r="AP286" s="11" t="s">
        <v>0</v>
      </c>
      <c r="AQ286" s="11" t="s">
        <v>0</v>
      </c>
      <c r="AR286" s="11" t="s">
        <v>0</v>
      </c>
      <c r="AS286" s="11" t="s">
        <v>0</v>
      </c>
      <c r="AT286" s="11" t="s">
        <v>0</v>
      </c>
      <c r="AU286" s="11">
        <v>47600017</v>
      </c>
      <c r="AV286" s="11" t="s">
        <v>0</v>
      </c>
      <c r="AW286" s="11" t="s">
        <v>0</v>
      </c>
      <c r="AX286" s="11" t="s">
        <v>0</v>
      </c>
    </row>
    <row r="287" spans="1:50" ht="15">
      <c r="A287" s="10">
        <f t="shared" si="4"/>
        <v>45000277</v>
      </c>
      <c r="B287" s="42" t="s">
        <v>3212</v>
      </c>
      <c r="C287" s="42" t="s">
        <v>200</v>
      </c>
      <c r="D287" s="4" t="s">
        <v>3210</v>
      </c>
      <c r="E287" s="11">
        <v>700</v>
      </c>
      <c r="F287" s="11">
        <v>150</v>
      </c>
      <c r="G287" s="11">
        <v>20</v>
      </c>
      <c r="H287" s="11">
        <v>-40</v>
      </c>
      <c r="I287" s="11">
        <f>IFERROR(INDEX(ShipPartShape!$A:$A,MATCH(D287,ShipPartShape!$B:$B,0)),"-")</f>
        <v>46000257</v>
      </c>
      <c r="J287" s="4" t="s">
        <v>1215</v>
      </c>
      <c r="K287" s="11">
        <f>IFERROR(INDEX(ShipPartShape!$A:$A,MATCH(J287,ShipPartShape!$B:$B,0)),"-")</f>
        <v>46700013</v>
      </c>
      <c r="L287" s="4"/>
      <c r="M287" s="11" t="str">
        <f>IFERROR(INDEX(ShipPartShape!$A:$A,MATCH(L287,ShipPartShape!$B:$B,0)),"-")</f>
        <v>-</v>
      </c>
      <c r="N287" s="4"/>
      <c r="O287" s="11" t="str">
        <f>IFERROR(INDEX(ShipPartShape!$A:$A,MATCH(N287,ShipPartShape!$B:$B,0)),"-")</f>
        <v>-</v>
      </c>
      <c r="P287" s="4"/>
      <c r="Q287" s="11" t="str">
        <f>IFERROR(INDEX(ShipPartShape!$A:$A,MATCH(P287,ShipPartShape!$B:$B,0)),"-")</f>
        <v>-</v>
      </c>
      <c r="R287" s="4"/>
      <c r="S287" s="11" t="str">
        <f>IFERROR(INDEX(ShipPartShape!$A:$A,MATCH(R287,ShipPartShape!$B:$B,0)),"-")</f>
        <v>-</v>
      </c>
      <c r="T287" s="4"/>
      <c r="U287" s="11" t="str">
        <f>IFERROR(INDEX(ShipPartShape!$A:$A,MATCH(T287,ShipPartShape!$B:$B,0)),"-")</f>
        <v>-</v>
      </c>
      <c r="V287" s="4"/>
      <c r="W287" s="11" t="str">
        <f>IFERROR(INDEX(ShipPartShape!$A:$A,MATCH(V287,ShipPartShape!$B:$B,0)),"-")</f>
        <v>-</v>
      </c>
      <c r="X287" s="4"/>
      <c r="Y287" s="11" t="str">
        <f>IFERROR(INDEX(ShipPartShape!$A:$A,MATCH(X287,ShipPartShape!$B:$B,0)),"-")</f>
        <v>-</v>
      </c>
      <c r="Z287" s="4"/>
      <c r="AA287" s="11" t="str">
        <f>IFERROR(INDEX(ShipPartShape!$A:$A,MATCH(Z287,ShipPartShape!$B:$B,0)),"-")</f>
        <v>-</v>
      </c>
      <c r="AB287" s="4"/>
      <c r="AC287" s="11" t="str">
        <f>IFERROR(INDEX(ShipPartShape!$A:$A,MATCH(AB287,ShipPartShape!$B:$B,0)),"-")</f>
        <v>-</v>
      </c>
      <c r="AD287" s="4"/>
      <c r="AE287" s="11" t="str">
        <f>IFERROR(INDEX(ShipPartShape!$A:$A,MATCH(AD287,ShipPartShape!$B:$B,0)),"-")</f>
        <v>-</v>
      </c>
      <c r="AF287" s="4"/>
      <c r="AG287" s="11" t="str">
        <f>IFERROR(INDEX(ShipPartShape!$A:$A,MATCH(AF287,ShipPartShape!$B:$B,0)),"-")</f>
        <v>-</v>
      </c>
      <c r="AH287" s="4"/>
      <c r="AI287" s="11" t="str">
        <f>IFERROR(INDEX(ShipPartShape!$A:$A,MATCH(AH287,ShipPartShape!$B:$B,0)),"-")</f>
        <v>-</v>
      </c>
      <c r="AJ287" s="11" t="s">
        <v>0</v>
      </c>
      <c r="AK287" s="11" t="s">
        <v>0</v>
      </c>
      <c r="AL287" s="11" t="s">
        <v>0</v>
      </c>
      <c r="AM287" s="11" t="s">
        <v>0</v>
      </c>
      <c r="AN287" s="11" t="s">
        <v>0</v>
      </c>
      <c r="AO287" s="11" t="s">
        <v>0</v>
      </c>
      <c r="AP287" s="11" t="s">
        <v>0</v>
      </c>
      <c r="AQ287" s="11" t="s">
        <v>0</v>
      </c>
      <c r="AR287" s="11" t="s">
        <v>0</v>
      </c>
      <c r="AS287" s="11" t="s">
        <v>0</v>
      </c>
      <c r="AT287" s="11" t="s">
        <v>0</v>
      </c>
      <c r="AU287" s="11">
        <v>47600017</v>
      </c>
      <c r="AV287" s="11" t="s">
        <v>0</v>
      </c>
      <c r="AW287" s="11" t="s">
        <v>0</v>
      </c>
      <c r="AX287" s="11" t="s">
        <v>0</v>
      </c>
    </row>
    <row r="288" spans="1:50" ht="15">
      <c r="A288" s="10">
        <f t="shared" si="4"/>
        <v>45000278</v>
      </c>
      <c r="B288" s="42" t="s">
        <v>3218</v>
      </c>
      <c r="C288" s="42" t="s">
        <v>200</v>
      </c>
      <c r="D288" s="4" t="s">
        <v>3216</v>
      </c>
      <c r="E288" s="11">
        <v>700</v>
      </c>
      <c r="F288" s="11">
        <v>150</v>
      </c>
      <c r="G288" s="11">
        <v>20</v>
      </c>
      <c r="H288" s="11">
        <v>-40</v>
      </c>
      <c r="I288" s="11">
        <f>IFERROR(INDEX(ShipPartShape!$A:$A,MATCH(D288,ShipPartShape!$B:$B,0)),"-")</f>
        <v>46000258</v>
      </c>
      <c r="J288" s="4" t="s">
        <v>1215</v>
      </c>
      <c r="K288" s="11">
        <f>IFERROR(INDEX(ShipPartShape!$A:$A,MATCH(J288,ShipPartShape!$B:$B,0)),"-")</f>
        <v>46700013</v>
      </c>
      <c r="L288" s="4"/>
      <c r="M288" s="11" t="str">
        <f>IFERROR(INDEX(ShipPartShape!$A:$A,MATCH(L288,ShipPartShape!$B:$B,0)),"-")</f>
        <v>-</v>
      </c>
      <c r="N288" s="4"/>
      <c r="O288" s="11" t="str">
        <f>IFERROR(INDEX(ShipPartShape!$A:$A,MATCH(N288,ShipPartShape!$B:$B,0)),"-")</f>
        <v>-</v>
      </c>
      <c r="P288" s="4"/>
      <c r="Q288" s="11" t="str">
        <f>IFERROR(INDEX(ShipPartShape!$A:$A,MATCH(P288,ShipPartShape!$B:$B,0)),"-")</f>
        <v>-</v>
      </c>
      <c r="R288" s="4"/>
      <c r="S288" s="11" t="str">
        <f>IFERROR(INDEX(ShipPartShape!$A:$A,MATCH(R288,ShipPartShape!$B:$B,0)),"-")</f>
        <v>-</v>
      </c>
      <c r="T288" s="4"/>
      <c r="U288" s="11" t="str">
        <f>IFERROR(INDEX(ShipPartShape!$A:$A,MATCH(T288,ShipPartShape!$B:$B,0)),"-")</f>
        <v>-</v>
      </c>
      <c r="V288" s="4"/>
      <c r="W288" s="11" t="str">
        <f>IFERROR(INDEX(ShipPartShape!$A:$A,MATCH(V288,ShipPartShape!$B:$B,0)),"-")</f>
        <v>-</v>
      </c>
      <c r="X288" s="4"/>
      <c r="Y288" s="11" t="str">
        <f>IFERROR(INDEX(ShipPartShape!$A:$A,MATCH(X288,ShipPartShape!$B:$B,0)),"-")</f>
        <v>-</v>
      </c>
      <c r="Z288" s="4"/>
      <c r="AA288" s="11" t="str">
        <f>IFERROR(INDEX(ShipPartShape!$A:$A,MATCH(Z288,ShipPartShape!$B:$B,0)),"-")</f>
        <v>-</v>
      </c>
      <c r="AB288" s="4"/>
      <c r="AC288" s="11" t="str">
        <f>IFERROR(INDEX(ShipPartShape!$A:$A,MATCH(AB288,ShipPartShape!$B:$B,0)),"-")</f>
        <v>-</v>
      </c>
      <c r="AD288" s="4"/>
      <c r="AE288" s="11" t="str">
        <f>IFERROR(INDEX(ShipPartShape!$A:$A,MATCH(AD288,ShipPartShape!$B:$B,0)),"-")</f>
        <v>-</v>
      </c>
      <c r="AF288" s="4"/>
      <c r="AG288" s="11" t="str">
        <f>IFERROR(INDEX(ShipPartShape!$A:$A,MATCH(AF288,ShipPartShape!$B:$B,0)),"-")</f>
        <v>-</v>
      </c>
      <c r="AH288" s="4"/>
      <c r="AI288" s="11" t="str">
        <f>IFERROR(INDEX(ShipPartShape!$A:$A,MATCH(AH288,ShipPartShape!$B:$B,0)),"-")</f>
        <v>-</v>
      </c>
      <c r="AJ288" s="11" t="s">
        <v>0</v>
      </c>
      <c r="AK288" s="11" t="s">
        <v>0</v>
      </c>
      <c r="AL288" s="11" t="s">
        <v>0</v>
      </c>
      <c r="AM288" s="11" t="s">
        <v>0</v>
      </c>
      <c r="AN288" s="11" t="s">
        <v>0</v>
      </c>
      <c r="AO288" s="11" t="s">
        <v>0</v>
      </c>
      <c r="AP288" s="11" t="s">
        <v>0</v>
      </c>
      <c r="AQ288" s="11" t="s">
        <v>0</v>
      </c>
      <c r="AR288" s="11" t="s">
        <v>0</v>
      </c>
      <c r="AS288" s="11" t="s">
        <v>0</v>
      </c>
      <c r="AT288" s="11" t="s">
        <v>0</v>
      </c>
      <c r="AU288" s="11">
        <v>47600017</v>
      </c>
      <c r="AV288" s="11" t="s">
        <v>0</v>
      </c>
      <c r="AW288" s="11" t="s">
        <v>0</v>
      </c>
      <c r="AX288" s="11" t="s">
        <v>0</v>
      </c>
    </row>
    <row r="289" spans="1:50" ht="15">
      <c r="A289" s="10">
        <f t="shared" si="4"/>
        <v>45000279</v>
      </c>
      <c r="B289" s="22" t="s">
        <v>3221</v>
      </c>
      <c r="C289" s="11" t="s">
        <v>3220</v>
      </c>
      <c r="D289" s="4" t="s">
        <v>3223</v>
      </c>
      <c r="E289" s="11">
        <v>700</v>
      </c>
      <c r="F289" s="11">
        <v>150</v>
      </c>
      <c r="G289" s="11">
        <v>20</v>
      </c>
      <c r="H289" s="11">
        <v>-40</v>
      </c>
      <c r="I289" s="11">
        <f>IFERROR(INDEX(ShipPartShape!$A:$A,MATCH(D289,ShipPartShape!$B:$B,0)),"-")</f>
        <v>46000259</v>
      </c>
      <c r="J289" s="4" t="s">
        <v>1215</v>
      </c>
      <c r="K289" s="11">
        <f>IFERROR(INDEX(ShipPartShape!$A:$A,MATCH(J289,ShipPartShape!$B:$B,0)),"-")</f>
        <v>46700013</v>
      </c>
      <c r="L289" s="4"/>
      <c r="M289" s="11" t="str">
        <f>IFERROR(INDEX(ShipPartShape!$A:$A,MATCH(L289,ShipPartShape!$B:$B,0)),"-")</f>
        <v>-</v>
      </c>
      <c r="N289" s="4"/>
      <c r="O289" s="11" t="str">
        <f>IFERROR(INDEX(ShipPartShape!$A:$A,MATCH(N289,ShipPartShape!$B:$B,0)),"-")</f>
        <v>-</v>
      </c>
      <c r="P289" s="4"/>
      <c r="Q289" s="11" t="str">
        <f>IFERROR(INDEX(ShipPartShape!$A:$A,MATCH(P289,ShipPartShape!$B:$B,0)),"-")</f>
        <v>-</v>
      </c>
      <c r="R289" s="4"/>
      <c r="S289" s="11" t="str">
        <f>IFERROR(INDEX(ShipPartShape!$A:$A,MATCH(R289,ShipPartShape!$B:$B,0)),"-")</f>
        <v>-</v>
      </c>
      <c r="T289" s="4"/>
      <c r="U289" s="11" t="str">
        <f>IFERROR(INDEX(ShipPartShape!$A:$A,MATCH(T289,ShipPartShape!$B:$B,0)),"-")</f>
        <v>-</v>
      </c>
      <c r="V289" s="4"/>
      <c r="W289" s="11" t="str">
        <f>IFERROR(INDEX(ShipPartShape!$A:$A,MATCH(V289,ShipPartShape!$B:$B,0)),"-")</f>
        <v>-</v>
      </c>
      <c r="X289" s="4"/>
      <c r="Y289" s="11" t="str">
        <f>IFERROR(INDEX(ShipPartShape!$A:$A,MATCH(X289,ShipPartShape!$B:$B,0)),"-")</f>
        <v>-</v>
      </c>
      <c r="Z289" s="4"/>
      <c r="AA289" s="11" t="str">
        <f>IFERROR(INDEX(ShipPartShape!$A:$A,MATCH(Z289,ShipPartShape!$B:$B,0)),"-")</f>
        <v>-</v>
      </c>
      <c r="AB289" s="4"/>
      <c r="AC289" s="11" t="str">
        <f>IFERROR(INDEX(ShipPartShape!$A:$A,MATCH(AB289,ShipPartShape!$B:$B,0)),"-")</f>
        <v>-</v>
      </c>
      <c r="AD289" s="4"/>
      <c r="AE289" s="11" t="str">
        <f>IFERROR(INDEX(ShipPartShape!$A:$A,MATCH(AD289,ShipPartShape!$B:$B,0)),"-")</f>
        <v>-</v>
      </c>
      <c r="AF289" s="4"/>
      <c r="AG289" s="11" t="str">
        <f>IFERROR(INDEX(ShipPartShape!$A:$A,MATCH(AF289,ShipPartShape!$B:$B,0)),"-")</f>
        <v>-</v>
      </c>
      <c r="AH289" s="4"/>
      <c r="AI289" s="11" t="str">
        <f>IFERROR(INDEX(ShipPartShape!$A:$A,MATCH(AH289,ShipPartShape!$B:$B,0)),"-")</f>
        <v>-</v>
      </c>
      <c r="AJ289" s="11" t="s">
        <v>0</v>
      </c>
      <c r="AK289" s="11" t="s">
        <v>0</v>
      </c>
      <c r="AL289" s="11" t="s">
        <v>0</v>
      </c>
      <c r="AM289" s="11" t="s">
        <v>0</v>
      </c>
      <c r="AN289" s="11" t="s">
        <v>0</v>
      </c>
      <c r="AO289" s="11" t="s">
        <v>0</v>
      </c>
      <c r="AP289" s="11" t="s">
        <v>0</v>
      </c>
      <c r="AQ289" s="11" t="s">
        <v>0</v>
      </c>
      <c r="AR289" s="11" t="s">
        <v>0</v>
      </c>
      <c r="AS289" s="11" t="s">
        <v>0</v>
      </c>
      <c r="AT289" s="11" t="s">
        <v>0</v>
      </c>
      <c r="AU289" s="11">
        <v>47600018</v>
      </c>
      <c r="AV289" s="11" t="s">
        <v>0</v>
      </c>
      <c r="AW289" s="11" t="s">
        <v>0</v>
      </c>
      <c r="AX289" s="11" t="s">
        <v>0</v>
      </c>
    </row>
    <row r="290" spans="1:50" ht="15">
      <c r="A290" s="10">
        <f t="shared" si="4"/>
        <v>45000280</v>
      </c>
      <c r="B290" s="22" t="s">
        <v>3228</v>
      </c>
      <c r="C290" s="11" t="s">
        <v>3230</v>
      </c>
      <c r="D290" s="4" t="s">
        <v>3225</v>
      </c>
      <c r="E290" s="11">
        <v>700</v>
      </c>
      <c r="F290" s="11">
        <v>150</v>
      </c>
      <c r="G290" s="11">
        <v>20</v>
      </c>
      <c r="H290" s="11">
        <v>-40</v>
      </c>
      <c r="I290" s="11">
        <f>IFERROR(INDEX(ShipPartShape!$A:$A,MATCH(D290,ShipPartShape!$B:$B,0)),"-")</f>
        <v>46000260</v>
      </c>
      <c r="J290" s="4" t="s">
        <v>1216</v>
      </c>
      <c r="K290" s="11">
        <f>IFERROR(INDEX(ShipPartShape!$A:$A,MATCH(J290,ShipPartShape!$B:$B,0)),"-")</f>
        <v>46700014</v>
      </c>
      <c r="L290" s="4" t="s">
        <v>3231</v>
      </c>
      <c r="M290" s="11">
        <f>IFERROR(INDEX(ShipPartShape!$A:$A,MATCH(L290,ShipPartShape!$B:$B,0)),"-")</f>
        <v>46500050</v>
      </c>
      <c r="N290" s="4"/>
      <c r="O290" s="11" t="str">
        <f>IFERROR(INDEX(ShipPartShape!$A:$A,MATCH(N290,ShipPartShape!$B:$B,0)),"-")</f>
        <v>-</v>
      </c>
      <c r="P290" s="4"/>
      <c r="Q290" s="11" t="str">
        <f>IFERROR(INDEX(ShipPartShape!$A:$A,MATCH(P290,ShipPartShape!$B:$B,0)),"-")</f>
        <v>-</v>
      </c>
      <c r="R290" s="4"/>
      <c r="S290" s="11" t="str">
        <f>IFERROR(INDEX(ShipPartShape!$A:$A,MATCH(R290,ShipPartShape!$B:$B,0)),"-")</f>
        <v>-</v>
      </c>
      <c r="T290" s="4"/>
      <c r="U290" s="11" t="str">
        <f>IFERROR(INDEX(ShipPartShape!$A:$A,MATCH(T290,ShipPartShape!$B:$B,0)),"-")</f>
        <v>-</v>
      </c>
      <c r="V290" s="4"/>
      <c r="W290" s="11" t="str">
        <f>IFERROR(INDEX(ShipPartShape!$A:$A,MATCH(V290,ShipPartShape!$B:$B,0)),"-")</f>
        <v>-</v>
      </c>
      <c r="X290" s="4"/>
      <c r="Y290" s="11" t="str">
        <f>IFERROR(INDEX(ShipPartShape!$A:$A,MATCH(X290,ShipPartShape!$B:$B,0)),"-")</f>
        <v>-</v>
      </c>
      <c r="Z290" s="4"/>
      <c r="AA290" s="11" t="str">
        <f>IFERROR(INDEX(ShipPartShape!$A:$A,MATCH(Z290,ShipPartShape!$B:$B,0)),"-")</f>
        <v>-</v>
      </c>
      <c r="AB290" s="4"/>
      <c r="AC290" s="11" t="str">
        <f>IFERROR(INDEX(ShipPartShape!$A:$A,MATCH(AB290,ShipPartShape!$B:$B,0)),"-")</f>
        <v>-</v>
      </c>
      <c r="AD290" s="4"/>
      <c r="AE290" s="11" t="str">
        <f>IFERROR(INDEX(ShipPartShape!$A:$A,MATCH(AD290,ShipPartShape!$B:$B,0)),"-")</f>
        <v>-</v>
      </c>
      <c r="AF290" s="4"/>
      <c r="AG290" s="11" t="str">
        <f>IFERROR(INDEX(ShipPartShape!$A:$A,MATCH(AF290,ShipPartShape!$B:$B,0)),"-")</f>
        <v>-</v>
      </c>
      <c r="AH290" s="4"/>
      <c r="AI290" s="11" t="str">
        <f>IFERROR(INDEX(ShipPartShape!$A:$A,MATCH(AH290,ShipPartShape!$B:$B,0)),"-")</f>
        <v>-</v>
      </c>
      <c r="AJ290" s="11" t="s">
        <v>0</v>
      </c>
      <c r="AK290" s="11" t="s">
        <v>0</v>
      </c>
      <c r="AL290" s="11" t="s">
        <v>0</v>
      </c>
      <c r="AM290" s="11" t="s">
        <v>0</v>
      </c>
      <c r="AN290" s="11" t="s">
        <v>0</v>
      </c>
      <c r="AO290" s="11" t="s">
        <v>0</v>
      </c>
      <c r="AP290" s="11" t="s">
        <v>0</v>
      </c>
      <c r="AQ290" s="11" t="s">
        <v>0</v>
      </c>
      <c r="AR290" s="11" t="s">
        <v>0</v>
      </c>
      <c r="AS290" s="11" t="s">
        <v>0</v>
      </c>
      <c r="AT290" s="11" t="s">
        <v>0</v>
      </c>
      <c r="AU290" s="11">
        <v>47600018</v>
      </c>
      <c r="AV290" s="11" t="s">
        <v>0</v>
      </c>
      <c r="AW290" s="11" t="s">
        <v>0</v>
      </c>
      <c r="AX290" s="11" t="s">
        <v>0</v>
      </c>
    </row>
    <row r="291" spans="1:50" ht="15">
      <c r="A291" s="10">
        <f t="shared" si="4"/>
        <v>45000281</v>
      </c>
      <c r="B291" s="22" t="s">
        <v>3235</v>
      </c>
      <c r="C291" s="11" t="s">
        <v>3237</v>
      </c>
      <c r="D291" s="4"/>
      <c r="E291" s="11" t="s">
        <v>0</v>
      </c>
      <c r="F291" s="11" t="s">
        <v>0</v>
      </c>
      <c r="G291" s="11" t="s">
        <v>0</v>
      </c>
      <c r="H291" s="11" t="s">
        <v>0</v>
      </c>
      <c r="I291" s="11" t="str">
        <f>IFERROR(INDEX(ShipPartShape!$A:$A,MATCH(D291,ShipPartShape!$B:$B,0)),"-")</f>
        <v>-</v>
      </c>
      <c r="J291" s="4"/>
      <c r="K291" s="11" t="str">
        <f>IFERROR(INDEX(ShipPartShape!$A:$A,MATCH(J291,ShipPartShape!$B:$B,0)),"-")</f>
        <v>-</v>
      </c>
      <c r="L291" s="4"/>
      <c r="M291" s="11" t="str">
        <f>IFERROR(INDEX(ShipPartShape!$A:$A,MATCH(L291,ShipPartShape!$B:$B,0)),"-")</f>
        <v>-</v>
      </c>
      <c r="N291" s="4"/>
      <c r="O291" s="11" t="str">
        <f>IFERROR(INDEX(ShipPartShape!$A:$A,MATCH(N291,ShipPartShape!$B:$B,0)),"-")</f>
        <v>-</v>
      </c>
      <c r="P291" s="4"/>
      <c r="Q291" s="11" t="str">
        <f>IFERROR(INDEX(ShipPartShape!$A:$A,MATCH(P291,ShipPartShape!$B:$B,0)),"-")</f>
        <v>-</v>
      </c>
      <c r="R291" s="4"/>
      <c r="S291" s="11" t="str">
        <f>IFERROR(INDEX(ShipPartShape!$A:$A,MATCH(R291,ShipPartShape!$B:$B,0)),"-")</f>
        <v>-</v>
      </c>
      <c r="T291" s="4"/>
      <c r="U291" s="11" t="str">
        <f>IFERROR(INDEX(ShipPartShape!$A:$A,MATCH(T291,ShipPartShape!$B:$B,0)),"-")</f>
        <v>-</v>
      </c>
      <c r="V291" s="4"/>
      <c r="W291" s="11" t="str">
        <f>IFERROR(INDEX(ShipPartShape!$A:$A,MATCH(V291,ShipPartShape!$B:$B,0)),"-")</f>
        <v>-</v>
      </c>
      <c r="X291" s="4"/>
      <c r="Y291" s="11" t="str">
        <f>IFERROR(INDEX(ShipPartShape!$A:$A,MATCH(X291,ShipPartShape!$B:$B,0)),"-")</f>
        <v>-</v>
      </c>
      <c r="Z291" s="4"/>
      <c r="AA291" s="11" t="str">
        <f>IFERROR(INDEX(ShipPartShape!$A:$A,MATCH(Z291,ShipPartShape!$B:$B,0)),"-")</f>
        <v>-</v>
      </c>
      <c r="AB291" s="4"/>
      <c r="AC291" s="11" t="str">
        <f>IFERROR(INDEX(ShipPartShape!$A:$A,MATCH(AB291,ShipPartShape!$B:$B,0)),"-")</f>
        <v>-</v>
      </c>
      <c r="AD291" s="4"/>
      <c r="AE291" s="11" t="str">
        <f>IFERROR(INDEX(ShipPartShape!$A:$A,MATCH(AD291,ShipPartShape!$B:$B,0)),"-")</f>
        <v>-</v>
      </c>
      <c r="AF291" s="4"/>
      <c r="AG291" s="11" t="str">
        <f>IFERROR(INDEX(ShipPartShape!$A:$A,MATCH(AF291,ShipPartShape!$B:$B,0)),"-")</f>
        <v>-</v>
      </c>
      <c r="AH291" s="4"/>
      <c r="AI291" s="11" t="str">
        <f>IFERROR(INDEX(ShipPartShape!$A:$A,MATCH(AH291,ShipPartShape!$B:$B,0)),"-")</f>
        <v>-</v>
      </c>
      <c r="AJ291" s="11" t="s">
        <v>0</v>
      </c>
      <c r="AK291" s="11" t="s">
        <v>0</v>
      </c>
      <c r="AL291" s="11" t="s">
        <v>0</v>
      </c>
      <c r="AM291" s="11" t="s">
        <v>0</v>
      </c>
      <c r="AN291" s="11" t="s">
        <v>0</v>
      </c>
      <c r="AO291" s="11" t="s">
        <v>0</v>
      </c>
      <c r="AP291" s="11" t="s">
        <v>0</v>
      </c>
      <c r="AQ291" s="11" t="s">
        <v>0</v>
      </c>
      <c r="AR291" s="11" t="s">
        <v>0</v>
      </c>
      <c r="AS291" s="11" t="s">
        <v>0</v>
      </c>
      <c r="AT291" s="11" t="s">
        <v>0</v>
      </c>
      <c r="AU291" s="11">
        <v>47600018</v>
      </c>
      <c r="AV291" s="11" t="s">
        <v>0</v>
      </c>
      <c r="AW291" s="11" t="s">
        <v>0</v>
      </c>
      <c r="AX291" s="11" t="s">
        <v>0</v>
      </c>
    </row>
    <row r="292" spans="1:50" ht="15">
      <c r="A292" s="10">
        <f t="shared" si="4"/>
        <v>45000282</v>
      </c>
      <c r="B292" s="22" t="s">
        <v>3236</v>
      </c>
      <c r="C292" s="11" t="s">
        <v>3238</v>
      </c>
      <c r="D292" s="4"/>
      <c r="E292" s="11" t="s">
        <v>0</v>
      </c>
      <c r="F292" s="11" t="s">
        <v>0</v>
      </c>
      <c r="G292" s="11" t="s">
        <v>0</v>
      </c>
      <c r="H292" s="11" t="s">
        <v>0</v>
      </c>
      <c r="I292" s="11" t="str">
        <f>IFERROR(INDEX(ShipPartShape!$A:$A,MATCH(D292,ShipPartShape!$B:$B,0)),"-")</f>
        <v>-</v>
      </c>
      <c r="J292" s="4"/>
      <c r="K292" s="11" t="str">
        <f>IFERROR(INDEX(ShipPartShape!$A:$A,MATCH(J292,ShipPartShape!$B:$B,0)),"-")</f>
        <v>-</v>
      </c>
      <c r="L292" s="4"/>
      <c r="M292" s="11" t="str">
        <f>IFERROR(INDEX(ShipPartShape!$A:$A,MATCH(L292,ShipPartShape!$B:$B,0)),"-")</f>
        <v>-</v>
      </c>
      <c r="N292" s="4"/>
      <c r="O292" s="11" t="str">
        <f>IFERROR(INDEX(ShipPartShape!$A:$A,MATCH(N292,ShipPartShape!$B:$B,0)),"-")</f>
        <v>-</v>
      </c>
      <c r="P292" s="4"/>
      <c r="Q292" s="11" t="str">
        <f>IFERROR(INDEX(ShipPartShape!$A:$A,MATCH(P292,ShipPartShape!$B:$B,0)),"-")</f>
        <v>-</v>
      </c>
      <c r="R292" s="4"/>
      <c r="S292" s="11" t="str">
        <f>IFERROR(INDEX(ShipPartShape!$A:$A,MATCH(R292,ShipPartShape!$B:$B,0)),"-")</f>
        <v>-</v>
      </c>
      <c r="T292" s="4"/>
      <c r="U292" s="11" t="str">
        <f>IFERROR(INDEX(ShipPartShape!$A:$A,MATCH(T292,ShipPartShape!$B:$B,0)),"-")</f>
        <v>-</v>
      </c>
      <c r="V292" s="4"/>
      <c r="W292" s="11" t="str">
        <f>IFERROR(INDEX(ShipPartShape!$A:$A,MATCH(V292,ShipPartShape!$B:$B,0)),"-")</f>
        <v>-</v>
      </c>
      <c r="X292" s="4"/>
      <c r="Y292" s="11" t="str">
        <f>IFERROR(INDEX(ShipPartShape!$A:$A,MATCH(X292,ShipPartShape!$B:$B,0)),"-")</f>
        <v>-</v>
      </c>
      <c r="Z292" s="4"/>
      <c r="AA292" s="11" t="str">
        <f>IFERROR(INDEX(ShipPartShape!$A:$A,MATCH(Z292,ShipPartShape!$B:$B,0)),"-")</f>
        <v>-</v>
      </c>
      <c r="AB292" s="4"/>
      <c r="AC292" s="11" t="str">
        <f>IFERROR(INDEX(ShipPartShape!$A:$A,MATCH(AB292,ShipPartShape!$B:$B,0)),"-")</f>
        <v>-</v>
      </c>
      <c r="AD292" s="4"/>
      <c r="AE292" s="11" t="str">
        <f>IFERROR(INDEX(ShipPartShape!$A:$A,MATCH(AD292,ShipPartShape!$B:$B,0)),"-")</f>
        <v>-</v>
      </c>
      <c r="AF292" s="4"/>
      <c r="AG292" s="11" t="str">
        <f>IFERROR(INDEX(ShipPartShape!$A:$A,MATCH(AF292,ShipPartShape!$B:$B,0)),"-")</f>
        <v>-</v>
      </c>
      <c r="AH292" s="4"/>
      <c r="AI292" s="11" t="str">
        <f>IFERROR(INDEX(ShipPartShape!$A:$A,MATCH(AH292,ShipPartShape!$B:$B,0)),"-")</f>
        <v>-</v>
      </c>
      <c r="AJ292" s="11" t="s">
        <v>0</v>
      </c>
      <c r="AK292" s="11" t="s">
        <v>0</v>
      </c>
      <c r="AL292" s="11" t="s">
        <v>0</v>
      </c>
      <c r="AM292" s="11" t="s">
        <v>0</v>
      </c>
      <c r="AN292" s="11" t="s">
        <v>0</v>
      </c>
      <c r="AO292" s="11" t="s">
        <v>0</v>
      </c>
      <c r="AP292" s="11" t="s">
        <v>0</v>
      </c>
      <c r="AQ292" s="11" t="s">
        <v>0</v>
      </c>
      <c r="AR292" s="11" t="s">
        <v>0</v>
      </c>
      <c r="AS292" s="11" t="s">
        <v>0</v>
      </c>
      <c r="AT292" s="11" t="s">
        <v>0</v>
      </c>
      <c r="AU292" s="11">
        <v>47600018</v>
      </c>
      <c r="AV292" s="11" t="s">
        <v>0</v>
      </c>
      <c r="AW292" s="11" t="s">
        <v>0</v>
      </c>
      <c r="AX292" s="11" t="s">
        <v>0</v>
      </c>
    </row>
    <row r="293" spans="1:50" ht="15">
      <c r="A293" s="10">
        <f t="shared" si="4"/>
        <v>45000283</v>
      </c>
      <c r="B293" s="22" t="s">
        <v>3264</v>
      </c>
      <c r="C293" s="11" t="s">
        <v>3270</v>
      </c>
      <c r="D293" s="4"/>
      <c r="E293" s="11" t="s">
        <v>0</v>
      </c>
      <c r="F293" s="11" t="s">
        <v>0</v>
      </c>
      <c r="G293" s="11" t="s">
        <v>0</v>
      </c>
      <c r="H293" s="11" t="s">
        <v>0</v>
      </c>
      <c r="I293" s="11" t="str">
        <f>IFERROR(INDEX(ShipPartShape!$A:$A,MATCH(D293,ShipPartShape!$B:$B,0)),"-")</f>
        <v>-</v>
      </c>
      <c r="J293" s="4"/>
      <c r="K293" s="11" t="str">
        <f>IFERROR(INDEX(ShipPartShape!$A:$A,MATCH(J293,ShipPartShape!$B:$B,0)),"-")</f>
        <v>-</v>
      </c>
      <c r="L293" s="4"/>
      <c r="M293" s="11" t="str">
        <f>IFERROR(INDEX(ShipPartShape!$A:$A,MATCH(L293,ShipPartShape!$B:$B,0)),"-")</f>
        <v>-</v>
      </c>
      <c r="N293" s="4"/>
      <c r="O293" s="11" t="str">
        <f>IFERROR(INDEX(ShipPartShape!$A:$A,MATCH(N293,ShipPartShape!$B:$B,0)),"-")</f>
        <v>-</v>
      </c>
      <c r="P293" s="4"/>
      <c r="Q293" s="11" t="str">
        <f>IFERROR(INDEX(ShipPartShape!$A:$A,MATCH(P293,ShipPartShape!$B:$B,0)),"-")</f>
        <v>-</v>
      </c>
      <c r="R293" s="4"/>
      <c r="S293" s="11" t="str">
        <f>IFERROR(INDEX(ShipPartShape!$A:$A,MATCH(R293,ShipPartShape!$B:$B,0)),"-")</f>
        <v>-</v>
      </c>
      <c r="T293" s="4"/>
      <c r="U293" s="11" t="str">
        <f>IFERROR(INDEX(ShipPartShape!$A:$A,MATCH(T293,ShipPartShape!$B:$B,0)),"-")</f>
        <v>-</v>
      </c>
      <c r="V293" s="4"/>
      <c r="W293" s="11" t="str">
        <f>IFERROR(INDEX(ShipPartShape!$A:$A,MATCH(V293,ShipPartShape!$B:$B,0)),"-")</f>
        <v>-</v>
      </c>
      <c r="X293" s="4"/>
      <c r="Y293" s="11" t="str">
        <f>IFERROR(INDEX(ShipPartShape!$A:$A,MATCH(X293,ShipPartShape!$B:$B,0)),"-")</f>
        <v>-</v>
      </c>
      <c r="Z293" s="4"/>
      <c r="AA293" s="11" t="str">
        <f>IFERROR(INDEX(ShipPartShape!$A:$A,MATCH(Z293,ShipPartShape!$B:$B,0)),"-")</f>
        <v>-</v>
      </c>
      <c r="AB293" s="4"/>
      <c r="AC293" s="11" t="str">
        <f>IFERROR(INDEX(ShipPartShape!$A:$A,MATCH(AB293,ShipPartShape!$B:$B,0)),"-")</f>
        <v>-</v>
      </c>
      <c r="AD293" s="4"/>
      <c r="AE293" s="11" t="str">
        <f>IFERROR(INDEX(ShipPartShape!$A:$A,MATCH(AD293,ShipPartShape!$B:$B,0)),"-")</f>
        <v>-</v>
      </c>
      <c r="AF293" s="4"/>
      <c r="AG293" s="11" t="str">
        <f>IFERROR(INDEX(ShipPartShape!$A:$A,MATCH(AF293,ShipPartShape!$B:$B,0)),"-")</f>
        <v>-</v>
      </c>
      <c r="AH293" s="4"/>
      <c r="AI293" s="11" t="str">
        <f>IFERROR(INDEX(ShipPartShape!$A:$A,MATCH(AH293,ShipPartShape!$B:$B,0)),"-")</f>
        <v>-</v>
      </c>
      <c r="AJ293" s="11" t="s">
        <v>0</v>
      </c>
      <c r="AK293" s="11" t="s">
        <v>0</v>
      </c>
      <c r="AL293" s="11" t="s">
        <v>0</v>
      </c>
      <c r="AM293" s="11" t="s">
        <v>0</v>
      </c>
      <c r="AN293" s="11" t="s">
        <v>0</v>
      </c>
      <c r="AO293" s="11" t="s">
        <v>0</v>
      </c>
      <c r="AP293" s="11" t="s">
        <v>0</v>
      </c>
      <c r="AQ293" s="11" t="s">
        <v>0</v>
      </c>
      <c r="AR293" s="11" t="s">
        <v>0</v>
      </c>
      <c r="AS293" s="11" t="s">
        <v>0</v>
      </c>
      <c r="AT293" s="11" t="s">
        <v>0</v>
      </c>
      <c r="AU293" s="11">
        <v>47600018</v>
      </c>
      <c r="AV293" s="11" t="s">
        <v>0</v>
      </c>
      <c r="AW293" s="11" t="s">
        <v>0</v>
      </c>
      <c r="AX293" s="11" t="s">
        <v>0</v>
      </c>
    </row>
    <row r="294" spans="1:50" ht="15">
      <c r="A294" s="10">
        <f t="shared" si="4"/>
        <v>45000284</v>
      </c>
      <c r="B294" s="22" t="s">
        <v>3265</v>
      </c>
      <c r="C294" s="11" t="s">
        <v>3271</v>
      </c>
      <c r="D294" s="4"/>
      <c r="E294" s="11" t="s">
        <v>0</v>
      </c>
      <c r="F294" s="11" t="s">
        <v>0</v>
      </c>
      <c r="G294" s="11" t="s">
        <v>0</v>
      </c>
      <c r="H294" s="11" t="s">
        <v>0</v>
      </c>
      <c r="I294" s="11" t="str">
        <f>IFERROR(INDEX(ShipPartShape!$A:$A,MATCH(D294,ShipPartShape!$B:$B,0)),"-")</f>
        <v>-</v>
      </c>
      <c r="J294" s="4"/>
      <c r="K294" s="11" t="str">
        <f>IFERROR(INDEX(ShipPartShape!$A:$A,MATCH(J294,ShipPartShape!$B:$B,0)),"-")</f>
        <v>-</v>
      </c>
      <c r="L294" s="4"/>
      <c r="M294" s="11" t="str">
        <f>IFERROR(INDEX(ShipPartShape!$A:$A,MATCH(L294,ShipPartShape!$B:$B,0)),"-")</f>
        <v>-</v>
      </c>
      <c r="N294" s="4"/>
      <c r="O294" s="11" t="str">
        <f>IFERROR(INDEX(ShipPartShape!$A:$A,MATCH(N294,ShipPartShape!$B:$B,0)),"-")</f>
        <v>-</v>
      </c>
      <c r="P294" s="4"/>
      <c r="Q294" s="11" t="str">
        <f>IFERROR(INDEX(ShipPartShape!$A:$A,MATCH(P294,ShipPartShape!$B:$B,0)),"-")</f>
        <v>-</v>
      </c>
      <c r="R294" s="4"/>
      <c r="S294" s="11" t="str">
        <f>IFERROR(INDEX(ShipPartShape!$A:$A,MATCH(R294,ShipPartShape!$B:$B,0)),"-")</f>
        <v>-</v>
      </c>
      <c r="T294" s="4"/>
      <c r="U294" s="11" t="str">
        <f>IFERROR(INDEX(ShipPartShape!$A:$A,MATCH(T294,ShipPartShape!$B:$B,0)),"-")</f>
        <v>-</v>
      </c>
      <c r="V294" s="4"/>
      <c r="W294" s="11" t="str">
        <f>IFERROR(INDEX(ShipPartShape!$A:$A,MATCH(V294,ShipPartShape!$B:$B,0)),"-")</f>
        <v>-</v>
      </c>
      <c r="X294" s="4"/>
      <c r="Y294" s="11" t="str">
        <f>IFERROR(INDEX(ShipPartShape!$A:$A,MATCH(X294,ShipPartShape!$B:$B,0)),"-")</f>
        <v>-</v>
      </c>
      <c r="Z294" s="4"/>
      <c r="AA294" s="11" t="str">
        <f>IFERROR(INDEX(ShipPartShape!$A:$A,MATCH(Z294,ShipPartShape!$B:$B,0)),"-")</f>
        <v>-</v>
      </c>
      <c r="AB294" s="4"/>
      <c r="AC294" s="11" t="str">
        <f>IFERROR(INDEX(ShipPartShape!$A:$A,MATCH(AB294,ShipPartShape!$B:$B,0)),"-")</f>
        <v>-</v>
      </c>
      <c r="AD294" s="4"/>
      <c r="AE294" s="11" t="str">
        <f>IFERROR(INDEX(ShipPartShape!$A:$A,MATCH(AD294,ShipPartShape!$B:$B,0)),"-")</f>
        <v>-</v>
      </c>
      <c r="AF294" s="4"/>
      <c r="AG294" s="11" t="str">
        <f>IFERROR(INDEX(ShipPartShape!$A:$A,MATCH(AF294,ShipPartShape!$B:$B,0)),"-")</f>
        <v>-</v>
      </c>
      <c r="AH294" s="4"/>
      <c r="AI294" s="11" t="str">
        <f>IFERROR(INDEX(ShipPartShape!$A:$A,MATCH(AH294,ShipPartShape!$B:$B,0)),"-")</f>
        <v>-</v>
      </c>
      <c r="AJ294" s="11" t="s">
        <v>0</v>
      </c>
      <c r="AK294" s="11" t="s">
        <v>0</v>
      </c>
      <c r="AL294" s="11" t="s">
        <v>0</v>
      </c>
      <c r="AM294" s="11" t="s">
        <v>0</v>
      </c>
      <c r="AN294" s="11" t="s">
        <v>0</v>
      </c>
      <c r="AO294" s="11" t="s">
        <v>0</v>
      </c>
      <c r="AP294" s="11" t="s">
        <v>0</v>
      </c>
      <c r="AQ294" s="11" t="s">
        <v>0</v>
      </c>
      <c r="AR294" s="11" t="s">
        <v>0</v>
      </c>
      <c r="AS294" s="11" t="s">
        <v>0</v>
      </c>
      <c r="AT294" s="11" t="s">
        <v>0</v>
      </c>
      <c r="AU294" s="11">
        <v>47600018</v>
      </c>
      <c r="AV294" s="11" t="s">
        <v>0</v>
      </c>
      <c r="AW294" s="11" t="s">
        <v>0</v>
      </c>
      <c r="AX294" s="11" t="s">
        <v>0</v>
      </c>
    </row>
    <row r="295" spans="1:50" ht="15" customHeight="1">
      <c r="A295" s="10">
        <f t="shared" si="4"/>
        <v>45000285</v>
      </c>
      <c r="B295" s="22" t="s">
        <v>3278</v>
      </c>
      <c r="C295" s="11" t="s">
        <v>3277</v>
      </c>
      <c r="D295" s="4" t="s">
        <v>3274</v>
      </c>
      <c r="E295" s="11">
        <v>700</v>
      </c>
      <c r="F295" s="11">
        <v>150</v>
      </c>
      <c r="G295" s="11">
        <v>20</v>
      </c>
      <c r="H295" s="11">
        <v>-40</v>
      </c>
      <c r="I295" s="11">
        <f>IFERROR(INDEX(ShipPartShape!$A:$A,MATCH(D295,ShipPartShape!$B:$B,0)),"-")</f>
        <v>46000261</v>
      </c>
      <c r="J295" s="4" t="s">
        <v>1213</v>
      </c>
      <c r="K295" s="11">
        <f>IFERROR(INDEX(ShipPartShape!$A:$A,MATCH(J295,ShipPartShape!$B:$B,0)),"-")</f>
        <v>46700010</v>
      </c>
      <c r="L295" s="4" t="s">
        <v>69</v>
      </c>
      <c r="M295" s="11">
        <f>IFERROR(INDEX(ShipPartShape!$A:$A,MATCH(L295,ShipPartShape!$B:$B,0)),"-")</f>
        <v>46300001</v>
      </c>
      <c r="N295" s="4"/>
      <c r="O295" s="11" t="str">
        <f>IFERROR(INDEX(ShipPartShape!$A:$A,MATCH(N295,ShipPartShape!$B:$B,0)),"-")</f>
        <v>-</v>
      </c>
      <c r="P295" s="4"/>
      <c r="Q295" s="11" t="str">
        <f>IFERROR(INDEX(ShipPartShape!$A:$A,MATCH(P295,ShipPartShape!$B:$B,0)),"-")</f>
        <v>-</v>
      </c>
      <c r="R295" s="4"/>
      <c r="S295" s="11" t="str">
        <f>IFERROR(INDEX(ShipPartShape!$A:$A,MATCH(R295,ShipPartShape!$B:$B,0)),"-")</f>
        <v>-</v>
      </c>
      <c r="T295" s="4"/>
      <c r="U295" s="11" t="str">
        <f>IFERROR(INDEX(ShipPartShape!$A:$A,MATCH(T295,ShipPartShape!$B:$B,0)),"-")</f>
        <v>-</v>
      </c>
      <c r="V295" s="4"/>
      <c r="W295" s="11" t="str">
        <f>IFERROR(INDEX(ShipPartShape!$A:$A,MATCH(V295,ShipPartShape!$B:$B,0)),"-")</f>
        <v>-</v>
      </c>
      <c r="X295" s="4"/>
      <c r="Y295" s="11" t="str">
        <f>IFERROR(INDEX(ShipPartShape!$A:$A,MATCH(X295,ShipPartShape!$B:$B,0)),"-")</f>
        <v>-</v>
      </c>
      <c r="Z295" s="4"/>
      <c r="AA295" s="11" t="str">
        <f>IFERROR(INDEX(ShipPartShape!$A:$A,MATCH(Z295,ShipPartShape!$B:$B,0)),"-")</f>
        <v>-</v>
      </c>
      <c r="AB295" s="4"/>
      <c r="AC295" s="11" t="str">
        <f>IFERROR(INDEX(ShipPartShape!$A:$A,MATCH(AB295,ShipPartShape!$B:$B,0)),"-")</f>
        <v>-</v>
      </c>
      <c r="AD295" s="4"/>
      <c r="AE295" s="11" t="str">
        <f>IFERROR(INDEX(ShipPartShape!$A:$A,MATCH(AD295,ShipPartShape!$B:$B,0)),"-")</f>
        <v>-</v>
      </c>
      <c r="AF295" s="4"/>
      <c r="AG295" s="11" t="str">
        <f>IFERROR(INDEX(ShipPartShape!$A:$A,MATCH(AF295,ShipPartShape!$B:$B,0)),"-")</f>
        <v>-</v>
      </c>
      <c r="AH295" s="4"/>
      <c r="AI295" s="11" t="str">
        <f>IFERROR(INDEX(ShipPartShape!$A:$A,MATCH(AH295,ShipPartShape!$B:$B,0)),"-")</f>
        <v>-</v>
      </c>
      <c r="AJ295" s="11" t="s">
        <v>0</v>
      </c>
      <c r="AK295" s="11" t="s">
        <v>0</v>
      </c>
      <c r="AL295" s="11" t="s">
        <v>0</v>
      </c>
      <c r="AM295" s="11" t="s">
        <v>0</v>
      </c>
      <c r="AN295" s="11" t="s">
        <v>0</v>
      </c>
      <c r="AO295" s="11" t="s">
        <v>0</v>
      </c>
      <c r="AP295" s="11" t="s">
        <v>0</v>
      </c>
      <c r="AQ295" s="11" t="s">
        <v>0</v>
      </c>
      <c r="AR295" s="11" t="s">
        <v>0</v>
      </c>
      <c r="AS295" s="11" t="s">
        <v>0</v>
      </c>
      <c r="AT295" s="11" t="s">
        <v>0</v>
      </c>
      <c r="AU295" s="11">
        <v>47600017</v>
      </c>
      <c r="AV295" s="11" t="s">
        <v>0</v>
      </c>
      <c r="AW295" s="11" t="s">
        <v>0</v>
      </c>
      <c r="AX295" s="11" t="s">
        <v>0</v>
      </c>
    </row>
    <row r="296" spans="1:50" ht="15" customHeight="1">
      <c r="A296" s="10">
        <f t="shared" si="4"/>
        <v>45000286</v>
      </c>
      <c r="B296" s="22" t="s">
        <v>3288</v>
      </c>
      <c r="C296" s="11" t="s">
        <v>3289</v>
      </c>
      <c r="D296" s="4" t="s">
        <v>3279</v>
      </c>
      <c r="E296" s="11">
        <v>700</v>
      </c>
      <c r="F296" s="11">
        <v>150</v>
      </c>
      <c r="G296" s="11">
        <v>20</v>
      </c>
      <c r="H296" s="11">
        <v>-40</v>
      </c>
      <c r="I296" s="11">
        <f>IFERROR(INDEX(ShipPartShape!$A:$A,MATCH(D296,ShipPartShape!$B:$B,0)),"-")</f>
        <v>46000262</v>
      </c>
      <c r="J296" s="4" t="s">
        <v>1258</v>
      </c>
      <c r="K296" s="11">
        <f>IFERROR(INDEX(ShipPartShape!$A:$A,MATCH(J296,ShipPartShape!$B:$B,0)),"-")</f>
        <v>46700004</v>
      </c>
      <c r="L296" s="4" t="s">
        <v>3285</v>
      </c>
      <c r="M296" s="11">
        <f>IFERROR(INDEX(ShipPartShape!$A:$A,MATCH(L296,ShipPartShape!$B:$B,0)),"-")</f>
        <v>46500051</v>
      </c>
      <c r="N296" s="4" t="s">
        <v>3292</v>
      </c>
      <c r="O296" s="11">
        <f>IFERROR(INDEX(ShipPartShape!$A:$A,MATCH(N296,ShipPartShape!$B:$B,0)),"-")</f>
        <v>46800006</v>
      </c>
      <c r="P296" s="4"/>
      <c r="Q296" s="11" t="str">
        <f>IFERROR(INDEX(ShipPartShape!$A:$A,MATCH(P296,ShipPartShape!$B:$B,0)),"-")</f>
        <v>-</v>
      </c>
      <c r="R296" s="4"/>
      <c r="S296" s="11" t="str">
        <f>IFERROR(INDEX(ShipPartShape!$A:$A,MATCH(R296,ShipPartShape!$B:$B,0)),"-")</f>
        <v>-</v>
      </c>
      <c r="T296" s="4"/>
      <c r="U296" s="11" t="str">
        <f>IFERROR(INDEX(ShipPartShape!$A:$A,MATCH(T296,ShipPartShape!$B:$B,0)),"-")</f>
        <v>-</v>
      </c>
      <c r="V296" s="4"/>
      <c r="W296" s="11" t="str">
        <f>IFERROR(INDEX(ShipPartShape!$A:$A,MATCH(V296,ShipPartShape!$B:$B,0)),"-")</f>
        <v>-</v>
      </c>
      <c r="X296" s="4"/>
      <c r="Y296" s="11" t="str">
        <f>IFERROR(INDEX(ShipPartShape!$A:$A,MATCH(X296,ShipPartShape!$B:$B,0)),"-")</f>
        <v>-</v>
      </c>
      <c r="Z296" s="4"/>
      <c r="AA296" s="11" t="str">
        <f>IFERROR(INDEX(ShipPartShape!$A:$A,MATCH(Z296,ShipPartShape!$B:$B,0)),"-")</f>
        <v>-</v>
      </c>
      <c r="AB296" s="4"/>
      <c r="AC296" s="11" t="str">
        <f>IFERROR(INDEX(ShipPartShape!$A:$A,MATCH(AB296,ShipPartShape!$B:$B,0)),"-")</f>
        <v>-</v>
      </c>
      <c r="AD296" s="4"/>
      <c r="AE296" s="11" t="str">
        <f>IFERROR(INDEX(ShipPartShape!$A:$A,MATCH(AD296,ShipPartShape!$B:$B,0)),"-")</f>
        <v>-</v>
      </c>
      <c r="AF296" s="4"/>
      <c r="AG296" s="11" t="str">
        <f>IFERROR(INDEX(ShipPartShape!$A:$A,MATCH(AF296,ShipPartShape!$B:$B,0)),"-")</f>
        <v>-</v>
      </c>
      <c r="AH296" s="4"/>
      <c r="AI296" s="11" t="str">
        <f>IFERROR(INDEX(ShipPartShape!$A:$A,MATCH(AH296,ShipPartShape!$B:$B,0)),"-")</f>
        <v>-</v>
      </c>
      <c r="AJ296" s="11" t="s">
        <v>0</v>
      </c>
      <c r="AK296" s="11" t="s">
        <v>0</v>
      </c>
      <c r="AL296" s="11" t="s">
        <v>0</v>
      </c>
      <c r="AM296" s="11" t="s">
        <v>0</v>
      </c>
      <c r="AN296" s="11" t="s">
        <v>0</v>
      </c>
      <c r="AO296" s="11" t="s">
        <v>0</v>
      </c>
      <c r="AP296" s="11" t="s">
        <v>0</v>
      </c>
      <c r="AQ296" s="11" t="s">
        <v>0</v>
      </c>
      <c r="AR296" s="11" t="s">
        <v>0</v>
      </c>
      <c r="AS296" s="11" t="s">
        <v>0</v>
      </c>
      <c r="AT296" s="11" t="s">
        <v>0</v>
      </c>
      <c r="AU296" s="11">
        <v>47600018</v>
      </c>
      <c r="AV296" s="11" t="s">
        <v>0</v>
      </c>
      <c r="AW296" s="11" t="s">
        <v>0</v>
      </c>
      <c r="AX296" s="11" t="s">
        <v>0</v>
      </c>
    </row>
    <row r="297" spans="1:50" ht="15" customHeight="1">
      <c r="A297" s="10">
        <f t="shared" si="4"/>
        <v>45000287</v>
      </c>
      <c r="B297" s="22" t="s">
        <v>3290</v>
      </c>
      <c r="C297" s="11" t="s">
        <v>3291</v>
      </c>
      <c r="D297" s="4" t="s">
        <v>3281</v>
      </c>
      <c r="E297" s="11">
        <v>700</v>
      </c>
      <c r="F297" s="11">
        <v>150</v>
      </c>
      <c r="G297" s="11">
        <v>20</v>
      </c>
      <c r="H297" s="11">
        <v>-40</v>
      </c>
      <c r="I297" s="11">
        <f>IFERROR(INDEX(ShipPartShape!$A:$A,MATCH(D297,ShipPartShape!$B:$B,0)),"-")</f>
        <v>46000263</v>
      </c>
      <c r="J297" s="4" t="s">
        <v>1255</v>
      </c>
      <c r="K297" s="11">
        <f>IFERROR(INDEX(ShipPartShape!$A:$A,MATCH(J297,ShipPartShape!$B:$B,0)),"-")</f>
        <v>46700009</v>
      </c>
      <c r="L297" s="4" t="s">
        <v>69</v>
      </c>
      <c r="M297" s="11">
        <f>IFERROR(INDEX(ShipPartShape!$A:$A,MATCH(L297,ShipPartShape!$B:$B,0)),"-")</f>
        <v>46300001</v>
      </c>
      <c r="N297" s="4"/>
      <c r="O297" s="11" t="str">
        <f>IFERROR(INDEX(ShipPartShape!$A:$A,MATCH(N297,ShipPartShape!$B:$B,0)),"-")</f>
        <v>-</v>
      </c>
      <c r="P297" s="4"/>
      <c r="Q297" s="11" t="str">
        <f>IFERROR(INDEX(ShipPartShape!$A:$A,MATCH(P297,ShipPartShape!$B:$B,0)),"-")</f>
        <v>-</v>
      </c>
      <c r="R297" s="4"/>
      <c r="S297" s="11" t="str">
        <f>IFERROR(INDEX(ShipPartShape!$A:$A,MATCH(R297,ShipPartShape!$B:$B,0)),"-")</f>
        <v>-</v>
      </c>
      <c r="T297" s="4" t="s">
        <v>602</v>
      </c>
      <c r="U297" s="11">
        <f>IFERROR(INDEX(ShipPartShape!$A:$A,MATCH(T297,ShipPartShape!$B:$B,0)),"-")</f>
        <v>46600002</v>
      </c>
      <c r="V297" s="4" t="s">
        <v>608</v>
      </c>
      <c r="W297" s="11">
        <f>IFERROR(INDEX(ShipPartShape!$A:$A,MATCH(V297,ShipPartShape!$B:$B,0)),"-")</f>
        <v>46600004</v>
      </c>
      <c r="X297" s="4" t="s">
        <v>603</v>
      </c>
      <c r="Y297" s="11">
        <f>IFERROR(INDEX(ShipPartShape!$A:$A,MATCH(X297,ShipPartShape!$B:$B,0)),"-")</f>
        <v>46600007</v>
      </c>
      <c r="Z297" s="4"/>
      <c r="AA297" s="11" t="str">
        <f>IFERROR(INDEX(ShipPartShape!$A:$A,MATCH(Z297,ShipPartShape!$B:$B,0)),"-")</f>
        <v>-</v>
      </c>
      <c r="AB297" s="4"/>
      <c r="AC297" s="11" t="str">
        <f>IFERROR(INDEX(ShipPartShape!$A:$A,MATCH(AB297,ShipPartShape!$B:$B,0)),"-")</f>
        <v>-</v>
      </c>
      <c r="AD297" s="4"/>
      <c r="AE297" s="11" t="str">
        <f>IFERROR(INDEX(ShipPartShape!$A:$A,MATCH(AD297,ShipPartShape!$B:$B,0)),"-")</f>
        <v>-</v>
      </c>
      <c r="AF297" s="4"/>
      <c r="AG297" s="11" t="str">
        <f>IFERROR(INDEX(ShipPartShape!$A:$A,MATCH(AF297,ShipPartShape!$B:$B,0)),"-")</f>
        <v>-</v>
      </c>
      <c r="AH297" s="4"/>
      <c r="AI297" s="11" t="str">
        <f>IFERROR(INDEX(ShipPartShape!$A:$A,MATCH(AH297,ShipPartShape!$B:$B,0)),"-")</f>
        <v>-</v>
      </c>
      <c r="AJ297" s="11" t="s">
        <v>0</v>
      </c>
      <c r="AK297" s="11" t="s">
        <v>0</v>
      </c>
      <c r="AL297" s="11" t="s">
        <v>0</v>
      </c>
      <c r="AM297" s="11" t="s">
        <v>0</v>
      </c>
      <c r="AN297" s="11" t="s">
        <v>0</v>
      </c>
      <c r="AO297" s="11" t="s">
        <v>0</v>
      </c>
      <c r="AP297" s="11" t="s">
        <v>0</v>
      </c>
      <c r="AQ297" s="11" t="s">
        <v>0</v>
      </c>
      <c r="AR297" s="11" t="s">
        <v>0</v>
      </c>
      <c r="AS297" s="11" t="s">
        <v>0</v>
      </c>
      <c r="AT297" s="11" t="s">
        <v>0</v>
      </c>
      <c r="AU297" s="11">
        <v>47600018</v>
      </c>
      <c r="AV297" s="11" t="s">
        <v>0</v>
      </c>
      <c r="AW297" s="11" t="s">
        <v>0</v>
      </c>
      <c r="AX297" s="11" t="s">
        <v>0</v>
      </c>
    </row>
    <row r="298" spans="1:50" ht="15" customHeight="1">
      <c r="A298" s="10">
        <f t="shared" si="4"/>
        <v>45000288</v>
      </c>
      <c r="B298" s="22" t="s">
        <v>3295</v>
      </c>
      <c r="C298" s="11" t="s">
        <v>3300</v>
      </c>
      <c r="D298" s="4" t="s">
        <v>3301</v>
      </c>
      <c r="E298" s="11">
        <v>700</v>
      </c>
      <c r="F298" s="11">
        <v>150</v>
      </c>
      <c r="G298" s="11">
        <v>20</v>
      </c>
      <c r="H298" s="11">
        <v>-40</v>
      </c>
      <c r="I298" s="11">
        <f>IFERROR(INDEX(ShipPartShape!$A:$A,MATCH(D298,ShipPartShape!$B:$B,0)),"-")</f>
        <v>46000264</v>
      </c>
      <c r="J298" s="4" t="s">
        <v>1256</v>
      </c>
      <c r="K298" s="11">
        <f>IFERROR(INDEX(ShipPartShape!$A:$A,MATCH(J298,ShipPartShape!$B:$B,0)),"-")</f>
        <v>46700015</v>
      </c>
      <c r="L298" s="4" t="s">
        <v>3297</v>
      </c>
      <c r="M298" s="11">
        <f>IFERROR(INDEX(ShipPartShape!$A:$A,MATCH(L298,ShipPartShape!$B:$B,0)),"-")</f>
        <v>46500052</v>
      </c>
      <c r="N298" s="4"/>
      <c r="O298" s="11" t="str">
        <f>IFERROR(INDEX(ShipPartShape!$A:$A,MATCH(N298,ShipPartShape!$B:$B,0)),"-")</f>
        <v>-</v>
      </c>
      <c r="P298" s="4"/>
      <c r="Q298" s="11" t="str">
        <f>IFERROR(INDEX(ShipPartShape!$A:$A,MATCH(P298,ShipPartShape!$B:$B,0)),"-")</f>
        <v>-</v>
      </c>
      <c r="R298" s="4"/>
      <c r="S298" s="11" t="str">
        <f>IFERROR(INDEX(ShipPartShape!$A:$A,MATCH(R298,ShipPartShape!$B:$B,0)),"-")</f>
        <v>-</v>
      </c>
      <c r="T298" s="4"/>
      <c r="U298" s="11" t="str">
        <f>IFERROR(INDEX(ShipPartShape!$A:$A,MATCH(T298,ShipPartShape!$B:$B,0)),"-")</f>
        <v>-</v>
      </c>
      <c r="V298" s="4" t="s">
        <v>601</v>
      </c>
      <c r="W298" s="11">
        <f>IFERROR(INDEX(ShipPartShape!$A:$A,MATCH(V298,ShipPartShape!$B:$B,0)),"-")</f>
        <v>46600001</v>
      </c>
      <c r="X298" s="4" t="s">
        <v>604</v>
      </c>
      <c r="Y298" s="11">
        <f>IFERROR(INDEX(ShipPartShape!$A:$A,MATCH(X298,ShipPartShape!$B:$B,0)),"-")</f>
        <v>46600005</v>
      </c>
      <c r="Z298" s="4" t="s">
        <v>610</v>
      </c>
      <c r="AA298" s="11">
        <f>IFERROR(INDEX(ShipPartShape!$A:$A,MATCH(Z298,ShipPartShape!$B:$B,0)),"-")</f>
        <v>46600006</v>
      </c>
      <c r="AB298" s="4"/>
      <c r="AC298" s="11" t="str">
        <f>IFERROR(INDEX(ShipPartShape!$A:$A,MATCH(AB298,ShipPartShape!$B:$B,0)),"-")</f>
        <v>-</v>
      </c>
      <c r="AD298" s="4"/>
      <c r="AE298" s="11" t="str">
        <f>IFERROR(INDEX(ShipPartShape!$A:$A,MATCH(AD298,ShipPartShape!$B:$B,0)),"-")</f>
        <v>-</v>
      </c>
      <c r="AF298" s="4"/>
      <c r="AG298" s="11" t="str">
        <f>IFERROR(INDEX(ShipPartShape!$A:$A,MATCH(AF298,ShipPartShape!$B:$B,0)),"-")</f>
        <v>-</v>
      </c>
      <c r="AH298" s="4"/>
      <c r="AI298" s="11" t="str">
        <f>IFERROR(INDEX(ShipPartShape!$A:$A,MATCH(AH298,ShipPartShape!$B:$B,0)),"-")</f>
        <v>-</v>
      </c>
      <c r="AJ298" s="11" t="s">
        <v>0</v>
      </c>
      <c r="AK298" s="11" t="s">
        <v>0</v>
      </c>
      <c r="AL298" s="11" t="s">
        <v>0</v>
      </c>
      <c r="AM298" s="11" t="s">
        <v>0</v>
      </c>
      <c r="AN298" s="11" t="s">
        <v>0</v>
      </c>
      <c r="AO298" s="11" t="s">
        <v>0</v>
      </c>
      <c r="AP298" s="11" t="s">
        <v>0</v>
      </c>
      <c r="AQ298" s="11" t="s">
        <v>0</v>
      </c>
      <c r="AR298" s="11" t="s">
        <v>0</v>
      </c>
      <c r="AS298" s="11" t="s">
        <v>0</v>
      </c>
      <c r="AT298" s="11" t="s">
        <v>0</v>
      </c>
      <c r="AU298" s="11">
        <v>47600017</v>
      </c>
      <c r="AV298" s="11" t="s">
        <v>0</v>
      </c>
      <c r="AW298" s="11" t="s">
        <v>0</v>
      </c>
      <c r="AX298" s="11" t="s">
        <v>0</v>
      </c>
    </row>
    <row r="299" spans="1:50" ht="15" customHeight="1">
      <c r="A299" s="10">
        <f t="shared" si="4"/>
        <v>45000289</v>
      </c>
      <c r="B299" s="22" t="s">
        <v>3306</v>
      </c>
      <c r="C299" s="11" t="s">
        <v>3307</v>
      </c>
      <c r="D299" s="4" t="s">
        <v>3303</v>
      </c>
      <c r="E299" s="11">
        <v>700</v>
      </c>
      <c r="F299" s="11">
        <v>150</v>
      </c>
      <c r="G299" s="11">
        <v>20</v>
      </c>
      <c r="H299" s="11">
        <v>-40</v>
      </c>
      <c r="I299" s="11">
        <f>IFERROR(INDEX(ShipPartShape!$A:$A,MATCH(D299,ShipPartShape!$B:$B,0)),"-")</f>
        <v>46000265</v>
      </c>
      <c r="J299" s="4" t="s">
        <v>1215</v>
      </c>
      <c r="K299" s="11">
        <f>IFERROR(INDEX(ShipPartShape!$A:$A,MATCH(J299,ShipPartShape!$B:$B,0)),"-")</f>
        <v>46700013</v>
      </c>
      <c r="L299" s="4"/>
      <c r="M299" s="11" t="str">
        <f>IFERROR(INDEX(ShipPartShape!$A:$A,MATCH(L299,ShipPartShape!$B:$B,0)),"-")</f>
        <v>-</v>
      </c>
      <c r="N299" s="4"/>
      <c r="O299" s="11" t="str">
        <f>IFERROR(INDEX(ShipPartShape!$A:$A,MATCH(N299,ShipPartShape!$B:$B,0)),"-")</f>
        <v>-</v>
      </c>
      <c r="P299" s="4"/>
      <c r="Q299" s="11" t="str">
        <f>IFERROR(INDEX(ShipPartShape!$A:$A,MATCH(P299,ShipPartShape!$B:$B,0)),"-")</f>
        <v>-</v>
      </c>
      <c r="R299" s="4"/>
      <c r="S299" s="11" t="str">
        <f>IFERROR(INDEX(ShipPartShape!$A:$A,MATCH(R299,ShipPartShape!$B:$B,0)),"-")</f>
        <v>-</v>
      </c>
      <c r="T299" s="4" t="s">
        <v>601</v>
      </c>
      <c r="U299" s="11">
        <f>IFERROR(INDEX(ShipPartShape!$A:$A,MATCH(T299,ShipPartShape!$B:$B,0)),"-")</f>
        <v>46600001</v>
      </c>
      <c r="V299" s="4" t="s">
        <v>606</v>
      </c>
      <c r="W299" s="11">
        <f>IFERROR(INDEX(ShipPartShape!$A:$A,MATCH(V299,ShipPartShape!$B:$B,0)),"-")</f>
        <v>46600003</v>
      </c>
      <c r="X299" s="4" t="s">
        <v>603</v>
      </c>
      <c r="Y299" s="11">
        <f>IFERROR(INDEX(ShipPartShape!$A:$A,MATCH(X299,ShipPartShape!$B:$B,0)),"-")</f>
        <v>46600007</v>
      </c>
      <c r="Z299" s="4" t="s">
        <v>609</v>
      </c>
      <c r="AA299" s="11">
        <f>IFERROR(INDEX(ShipPartShape!$A:$A,MATCH(Z299,ShipPartShape!$B:$B,0)),"-")</f>
        <v>46600011</v>
      </c>
      <c r="AB299" s="4"/>
      <c r="AC299" s="11" t="str">
        <f>IFERROR(INDEX(ShipPartShape!$A:$A,MATCH(AB299,ShipPartShape!$B:$B,0)),"-")</f>
        <v>-</v>
      </c>
      <c r="AD299" s="4"/>
      <c r="AE299" s="11" t="str">
        <f>IFERROR(INDEX(ShipPartShape!$A:$A,MATCH(AD299,ShipPartShape!$B:$B,0)),"-")</f>
        <v>-</v>
      </c>
      <c r="AF299" s="4"/>
      <c r="AG299" s="11" t="str">
        <f>IFERROR(INDEX(ShipPartShape!$A:$A,MATCH(AF299,ShipPartShape!$B:$B,0)),"-")</f>
        <v>-</v>
      </c>
      <c r="AH299" s="4"/>
      <c r="AI299" s="11" t="str">
        <f>IFERROR(INDEX(ShipPartShape!$A:$A,MATCH(AH299,ShipPartShape!$B:$B,0)),"-")</f>
        <v>-</v>
      </c>
      <c r="AJ299" s="11" t="s">
        <v>0</v>
      </c>
      <c r="AK299" s="11" t="s">
        <v>0</v>
      </c>
      <c r="AL299" s="11" t="s">
        <v>0</v>
      </c>
      <c r="AM299" s="11" t="s">
        <v>0</v>
      </c>
      <c r="AN299" s="11" t="s">
        <v>0</v>
      </c>
      <c r="AO299" s="11" t="s">
        <v>0</v>
      </c>
      <c r="AP299" s="11" t="s">
        <v>0</v>
      </c>
      <c r="AQ299" s="11" t="s">
        <v>0</v>
      </c>
      <c r="AR299" s="11" t="s">
        <v>0</v>
      </c>
      <c r="AS299" s="11" t="s">
        <v>0</v>
      </c>
      <c r="AT299" s="11" t="s">
        <v>0</v>
      </c>
      <c r="AU299" s="11">
        <v>47600018</v>
      </c>
      <c r="AV299" s="11" t="s">
        <v>0</v>
      </c>
      <c r="AW299" s="11" t="s">
        <v>0</v>
      </c>
      <c r="AX299" s="11" t="s">
        <v>0</v>
      </c>
    </row>
    <row r="300" spans="1:50" ht="15" customHeight="1">
      <c r="A300" s="10">
        <f t="shared" si="4"/>
        <v>45000290</v>
      </c>
      <c r="B300" s="22" t="s">
        <v>3310</v>
      </c>
      <c r="C300" s="11" t="s">
        <v>3311</v>
      </c>
      <c r="D300" s="4" t="s">
        <v>3312</v>
      </c>
      <c r="E300" s="11">
        <v>700</v>
      </c>
      <c r="F300" s="11">
        <v>150</v>
      </c>
      <c r="G300" s="11">
        <v>20</v>
      </c>
      <c r="H300" s="11">
        <v>-40</v>
      </c>
      <c r="I300" s="11">
        <f>IFERROR(INDEX(ShipPartShape!$A:$A,MATCH(D300,ShipPartShape!$B:$B,0)),"-")</f>
        <v>46000266</v>
      </c>
      <c r="J300" s="4" t="s">
        <v>1257</v>
      </c>
      <c r="K300" s="11">
        <f>IFERROR(INDEX(ShipPartShape!$A:$A,MATCH(J300,ShipPartShape!$B:$B,0)),"-")</f>
        <v>46700012</v>
      </c>
      <c r="L300" s="4"/>
      <c r="M300" s="11" t="str">
        <f>IFERROR(INDEX(ShipPartShape!$A:$A,MATCH(L300,ShipPartShape!$B:$B,0)),"-")</f>
        <v>-</v>
      </c>
      <c r="N300" s="4"/>
      <c r="O300" s="11" t="str">
        <f>IFERROR(INDEX(ShipPartShape!$A:$A,MATCH(N300,ShipPartShape!$B:$B,0)),"-")</f>
        <v>-</v>
      </c>
      <c r="P300" s="4"/>
      <c r="Q300" s="11" t="str">
        <f>IFERROR(INDEX(ShipPartShape!$A:$A,MATCH(P300,ShipPartShape!$B:$B,0)),"-")</f>
        <v>-</v>
      </c>
      <c r="R300" s="4"/>
      <c r="S300" s="11" t="str">
        <f>IFERROR(INDEX(ShipPartShape!$A:$A,MATCH(R300,ShipPartShape!$B:$B,0)),"-")</f>
        <v>-</v>
      </c>
      <c r="T300" s="4" t="s">
        <v>604</v>
      </c>
      <c r="U300" s="11">
        <f>IFERROR(INDEX(ShipPartShape!$A:$A,MATCH(T300,ShipPartShape!$B:$B,0)),"-")</f>
        <v>46600005</v>
      </c>
      <c r="V300" s="4" t="s">
        <v>605</v>
      </c>
      <c r="W300" s="11">
        <f>IFERROR(INDEX(ShipPartShape!$A:$A,MATCH(V300,ShipPartShape!$B:$B,0)),"-")</f>
        <v>46600009</v>
      </c>
      <c r="X300" s="4" t="s">
        <v>609</v>
      </c>
      <c r="Y300" s="11">
        <f>IFERROR(INDEX(ShipPartShape!$A:$A,MATCH(X300,ShipPartShape!$B:$B,0)),"-")</f>
        <v>46600011</v>
      </c>
      <c r="Z300" s="4"/>
      <c r="AA300" s="11" t="str">
        <f>IFERROR(INDEX(ShipPartShape!$A:$A,MATCH(Z300,ShipPartShape!$B:$B,0)),"-")</f>
        <v>-</v>
      </c>
      <c r="AB300" s="4"/>
      <c r="AC300" s="11" t="str">
        <f>IFERROR(INDEX(ShipPartShape!$A:$A,MATCH(AB300,ShipPartShape!$B:$B,0)),"-")</f>
        <v>-</v>
      </c>
      <c r="AD300" s="4"/>
      <c r="AE300" s="11" t="str">
        <f>IFERROR(INDEX(ShipPartShape!$A:$A,MATCH(AD300,ShipPartShape!$B:$B,0)),"-")</f>
        <v>-</v>
      </c>
      <c r="AF300" s="4"/>
      <c r="AG300" s="11" t="str">
        <f>IFERROR(INDEX(ShipPartShape!$A:$A,MATCH(AF300,ShipPartShape!$B:$B,0)),"-")</f>
        <v>-</v>
      </c>
      <c r="AH300" s="4"/>
      <c r="AI300" s="11" t="str">
        <f>IFERROR(INDEX(ShipPartShape!$A:$A,MATCH(AH300,ShipPartShape!$B:$B,0)),"-")</f>
        <v>-</v>
      </c>
      <c r="AJ300" s="11" t="s">
        <v>0</v>
      </c>
      <c r="AK300" s="11" t="s">
        <v>0</v>
      </c>
      <c r="AL300" s="11" t="s">
        <v>0</v>
      </c>
      <c r="AM300" s="11" t="s">
        <v>0</v>
      </c>
      <c r="AN300" s="11" t="s">
        <v>0</v>
      </c>
      <c r="AO300" s="11" t="s">
        <v>0</v>
      </c>
      <c r="AP300" s="11" t="s">
        <v>0</v>
      </c>
      <c r="AQ300" s="11" t="s">
        <v>0</v>
      </c>
      <c r="AR300" s="11" t="s">
        <v>0</v>
      </c>
      <c r="AS300" s="11" t="s">
        <v>0</v>
      </c>
      <c r="AT300" s="11" t="s">
        <v>0</v>
      </c>
      <c r="AU300" s="11">
        <v>47600018</v>
      </c>
      <c r="AV300" s="11" t="s">
        <v>0</v>
      </c>
      <c r="AW300" s="11" t="s">
        <v>0</v>
      </c>
      <c r="AX300" s="11" t="s">
        <v>0</v>
      </c>
    </row>
    <row r="301" spans="1:50" ht="15" customHeight="1">
      <c r="A301" s="10">
        <f t="shared" si="4"/>
        <v>45000291</v>
      </c>
      <c r="B301" s="22" t="s">
        <v>3327</v>
      </c>
      <c r="C301" s="11" t="s">
        <v>3328</v>
      </c>
      <c r="D301" s="4" t="s">
        <v>3321</v>
      </c>
      <c r="E301" s="11">
        <v>700</v>
      </c>
      <c r="F301" s="11">
        <v>150</v>
      </c>
      <c r="G301" s="11">
        <v>20</v>
      </c>
      <c r="H301" s="11">
        <v>-40</v>
      </c>
      <c r="I301" s="11">
        <f>IFERROR(INDEX(ShipPartShape!$A:$A,MATCH(D301,ShipPartShape!$B:$B,0)),"-")</f>
        <v>46000267</v>
      </c>
      <c r="J301" s="4" t="s">
        <v>1255</v>
      </c>
      <c r="K301" s="11">
        <f>IFERROR(INDEX(ShipPartShape!$A:$A,MATCH(J301,ShipPartShape!$B:$B,0)),"-")</f>
        <v>46700009</v>
      </c>
      <c r="L301" s="4" t="s">
        <v>69</v>
      </c>
      <c r="M301" s="11">
        <f>IFERROR(INDEX(ShipPartShape!$A:$A,MATCH(L301,ShipPartShape!$B:$B,0)),"-")</f>
        <v>46300001</v>
      </c>
      <c r="N301" s="4" t="s">
        <v>3324</v>
      </c>
      <c r="O301" s="11">
        <f>IFERROR(INDEX(ShipPartShape!$A:$A,MATCH(N301,ShipPartShape!$B:$B,0)),"-")</f>
        <v>46500053</v>
      </c>
      <c r="P301" s="4"/>
      <c r="Q301" s="11" t="str">
        <f>IFERROR(INDEX(ShipPartShape!$A:$A,MATCH(P301,ShipPartShape!$B:$B,0)),"-")</f>
        <v>-</v>
      </c>
      <c r="R301" s="4"/>
      <c r="S301" s="11" t="str">
        <f>IFERROR(INDEX(ShipPartShape!$A:$A,MATCH(R301,ShipPartShape!$B:$B,0)),"-")</f>
        <v>-</v>
      </c>
      <c r="T301" s="4"/>
      <c r="U301" s="11" t="str">
        <f>IFERROR(INDEX(ShipPartShape!$A:$A,MATCH(T301,ShipPartShape!$B:$B,0)),"-")</f>
        <v>-</v>
      </c>
      <c r="V301" s="4" t="s">
        <v>602</v>
      </c>
      <c r="W301" s="11">
        <f>IFERROR(INDEX(ShipPartShape!$A:$A,MATCH(V301,ShipPartShape!$B:$B,0)),"-")</f>
        <v>46600002</v>
      </c>
      <c r="X301" s="4" t="s">
        <v>606</v>
      </c>
      <c r="Y301" s="11">
        <f>IFERROR(INDEX(ShipPartShape!$A:$A,MATCH(X301,ShipPartShape!$B:$B,0)),"-")</f>
        <v>46600003</v>
      </c>
      <c r="Z301" s="4" t="s">
        <v>604</v>
      </c>
      <c r="AA301" s="11">
        <f>IFERROR(INDEX(ShipPartShape!$A:$A,MATCH(Z301,ShipPartShape!$B:$B,0)),"-")</f>
        <v>46600005</v>
      </c>
      <c r="AB301" s="4" t="s">
        <v>603</v>
      </c>
      <c r="AC301" s="11">
        <f>IFERROR(INDEX(ShipPartShape!$A:$A,MATCH(AB301,ShipPartShape!$B:$B,0)),"-")</f>
        <v>46600007</v>
      </c>
      <c r="AD301" s="4"/>
      <c r="AE301" s="11" t="str">
        <f>IFERROR(INDEX(ShipPartShape!$A:$A,MATCH(AD301,ShipPartShape!$B:$B,0)),"-")</f>
        <v>-</v>
      </c>
      <c r="AF301" s="4"/>
      <c r="AG301" s="11" t="str">
        <f>IFERROR(INDEX(ShipPartShape!$A:$A,MATCH(AF301,ShipPartShape!$B:$B,0)),"-")</f>
        <v>-</v>
      </c>
      <c r="AH301" s="4"/>
      <c r="AI301" s="11" t="str">
        <f>IFERROR(INDEX(ShipPartShape!$A:$A,MATCH(AH301,ShipPartShape!$B:$B,0)),"-")</f>
        <v>-</v>
      </c>
      <c r="AJ301" s="11" t="s">
        <v>0</v>
      </c>
      <c r="AK301" s="11" t="s">
        <v>0</v>
      </c>
      <c r="AL301" s="11" t="s">
        <v>0</v>
      </c>
      <c r="AM301" s="11" t="s">
        <v>0</v>
      </c>
      <c r="AN301" s="11" t="s">
        <v>0</v>
      </c>
      <c r="AO301" s="11" t="s">
        <v>0</v>
      </c>
      <c r="AP301" s="11" t="s">
        <v>0</v>
      </c>
      <c r="AQ301" s="11" t="s">
        <v>0</v>
      </c>
      <c r="AR301" s="11" t="s">
        <v>0</v>
      </c>
      <c r="AS301" s="11" t="s">
        <v>0</v>
      </c>
      <c r="AT301" s="11" t="s">
        <v>0</v>
      </c>
      <c r="AU301" s="11">
        <v>47600018</v>
      </c>
      <c r="AV301" s="11" t="s">
        <v>0</v>
      </c>
      <c r="AW301" s="11" t="s">
        <v>0</v>
      </c>
      <c r="AX301" s="11">
        <v>1.5</v>
      </c>
    </row>
    <row r="302" spans="1:50" ht="15" customHeight="1">
      <c r="A302" s="10">
        <f t="shared" si="4"/>
        <v>45000292</v>
      </c>
      <c r="B302" s="22" t="s">
        <v>3341</v>
      </c>
      <c r="C302" s="11" t="s">
        <v>3342</v>
      </c>
      <c r="D302" s="4" t="s">
        <v>3335</v>
      </c>
      <c r="E302" s="11">
        <v>700</v>
      </c>
      <c r="F302" s="11">
        <v>150</v>
      </c>
      <c r="G302" s="11">
        <v>20</v>
      </c>
      <c r="H302" s="11">
        <v>-40</v>
      </c>
      <c r="I302" s="11">
        <f>IFERROR(INDEX(ShipPartShape!$A:$A,MATCH(D302,ShipPartShape!$B:$B,0)),"-")</f>
        <v>46000268</v>
      </c>
      <c r="J302" s="4" t="s">
        <v>1392</v>
      </c>
      <c r="K302" s="11">
        <f>IFERROR(INDEX(ShipPartShape!$A:$A,MATCH(J302,ShipPartShape!$B:$B,0)),"-")</f>
        <v>46700007</v>
      </c>
      <c r="L302" s="4" t="s">
        <v>69</v>
      </c>
      <c r="M302" s="11">
        <f>IFERROR(INDEX(ShipPartShape!$A:$A,MATCH(L302,ShipPartShape!$B:$B,0)),"-")</f>
        <v>46300001</v>
      </c>
      <c r="N302" s="4" t="s">
        <v>3338</v>
      </c>
      <c r="O302" s="11">
        <f>IFERROR(INDEX(ShipPartShape!$A:$A,MATCH(N302,ShipPartShape!$B:$B,0)),"-")</f>
        <v>46500054</v>
      </c>
      <c r="P302" s="4"/>
      <c r="Q302" s="11" t="str">
        <f>IFERROR(INDEX(ShipPartShape!$A:$A,MATCH(P302,ShipPartShape!$B:$B,0)),"-")</f>
        <v>-</v>
      </c>
      <c r="R302" s="4"/>
      <c r="S302" s="11" t="str">
        <f>IFERROR(INDEX(ShipPartShape!$A:$A,MATCH(R302,ShipPartShape!$B:$B,0)),"-")</f>
        <v>-</v>
      </c>
      <c r="T302" s="4"/>
      <c r="U302" s="11" t="str">
        <f>IFERROR(INDEX(ShipPartShape!$A:$A,MATCH(T302,ShipPartShape!$B:$B,0)),"-")</f>
        <v>-</v>
      </c>
      <c r="V302" s="4"/>
      <c r="W302" s="11" t="str">
        <f>IFERROR(INDEX(ShipPartShape!$A:$A,MATCH(V302,ShipPartShape!$B:$B,0)),"-")</f>
        <v>-</v>
      </c>
      <c r="X302" s="4"/>
      <c r="Y302" s="11" t="str">
        <f>IFERROR(INDEX(ShipPartShape!$A:$A,MATCH(X302,ShipPartShape!$B:$B,0)),"-")</f>
        <v>-</v>
      </c>
      <c r="Z302" s="4"/>
      <c r="AA302" s="11" t="str">
        <f>IFERROR(INDEX(ShipPartShape!$A:$A,MATCH(Z302,ShipPartShape!$B:$B,0)),"-")</f>
        <v>-</v>
      </c>
      <c r="AB302" s="4"/>
      <c r="AC302" s="11" t="str">
        <f>IFERROR(INDEX(ShipPartShape!$A:$A,MATCH(AB302,ShipPartShape!$B:$B,0)),"-")</f>
        <v>-</v>
      </c>
      <c r="AD302" s="4"/>
      <c r="AE302" s="11" t="str">
        <f>IFERROR(INDEX(ShipPartShape!$A:$A,MATCH(AD302,ShipPartShape!$B:$B,0)),"-")</f>
        <v>-</v>
      </c>
      <c r="AF302" s="4"/>
      <c r="AG302" s="11" t="str">
        <f>IFERROR(INDEX(ShipPartShape!$A:$A,MATCH(AF302,ShipPartShape!$B:$B,0)),"-")</f>
        <v>-</v>
      </c>
      <c r="AH302" s="4"/>
      <c r="AI302" s="11" t="str">
        <f>IFERROR(INDEX(ShipPartShape!$A:$A,MATCH(AH302,ShipPartShape!$B:$B,0)),"-")</f>
        <v>-</v>
      </c>
      <c r="AJ302" s="11" t="s">
        <v>0</v>
      </c>
      <c r="AK302" s="11" t="s">
        <v>0</v>
      </c>
      <c r="AL302" s="11" t="s">
        <v>0</v>
      </c>
      <c r="AM302" s="11" t="s">
        <v>0</v>
      </c>
      <c r="AN302" s="11" t="s">
        <v>0</v>
      </c>
      <c r="AO302" s="11" t="s">
        <v>0</v>
      </c>
      <c r="AP302" s="11" t="s">
        <v>0</v>
      </c>
      <c r="AQ302" s="11" t="s">
        <v>0</v>
      </c>
      <c r="AR302" s="11" t="s">
        <v>0</v>
      </c>
      <c r="AS302" s="11" t="s">
        <v>0</v>
      </c>
      <c r="AT302" s="11" t="s">
        <v>0</v>
      </c>
      <c r="AU302" s="11">
        <v>47600018</v>
      </c>
      <c r="AV302" s="11" t="s">
        <v>0</v>
      </c>
      <c r="AW302" s="11" t="s">
        <v>0</v>
      </c>
      <c r="AX302" s="11">
        <v>1.5</v>
      </c>
    </row>
    <row r="303" spans="1:50" ht="15" customHeight="1">
      <c r="A303" s="10">
        <f t="shared" si="4"/>
        <v>45000293</v>
      </c>
      <c r="B303" s="22" t="s">
        <v>3351</v>
      </c>
      <c r="C303" s="11" t="s">
        <v>3350</v>
      </c>
      <c r="D303" s="4" t="s">
        <v>3347</v>
      </c>
      <c r="E303" s="11">
        <v>700</v>
      </c>
      <c r="F303" s="11">
        <v>150</v>
      </c>
      <c r="G303" s="11">
        <v>20</v>
      </c>
      <c r="H303" s="11">
        <v>-40</v>
      </c>
      <c r="I303" s="11">
        <f>IFERROR(INDEX(ShipPartShape!$A:$A,MATCH(D303,ShipPartShape!$B:$B,0)),"-")</f>
        <v>46000269</v>
      </c>
      <c r="J303" s="4" t="s">
        <v>1257</v>
      </c>
      <c r="K303" s="11">
        <f>IFERROR(INDEX(ShipPartShape!$A:$A,MATCH(J303,ShipPartShape!$B:$B,0)),"-")</f>
        <v>46700012</v>
      </c>
      <c r="L303" s="4" t="s">
        <v>69</v>
      </c>
      <c r="M303" s="11">
        <f>IFERROR(INDEX(ShipPartShape!$A:$A,MATCH(L303,ShipPartShape!$B:$B,0)),"-")</f>
        <v>46300001</v>
      </c>
      <c r="N303" s="4"/>
      <c r="O303" s="11" t="str">
        <f>IFERROR(INDEX(ShipPartShape!$A:$A,MATCH(N303,ShipPartShape!$B:$B,0)),"-")</f>
        <v>-</v>
      </c>
      <c r="P303" s="4"/>
      <c r="Q303" s="11" t="str">
        <f>IFERROR(INDEX(ShipPartShape!$A:$A,MATCH(P303,ShipPartShape!$B:$B,0)),"-")</f>
        <v>-</v>
      </c>
      <c r="R303" s="4"/>
      <c r="S303" s="11" t="str">
        <f>IFERROR(INDEX(ShipPartShape!$A:$A,MATCH(R303,ShipPartShape!$B:$B,0)),"-")</f>
        <v>-</v>
      </c>
      <c r="T303" s="4" t="s">
        <v>607</v>
      </c>
      <c r="U303" s="11">
        <f>IFERROR(INDEX(ShipPartShape!$A:$A,MATCH(T303,ShipPartShape!$B:$B,0)),"-")</f>
        <v>46600008</v>
      </c>
      <c r="V303" s="4" t="s">
        <v>604</v>
      </c>
      <c r="W303" s="11">
        <f>IFERROR(INDEX(ShipPartShape!$A:$A,MATCH(V303,ShipPartShape!$B:$B,0)),"-")</f>
        <v>46600005</v>
      </c>
      <c r="X303" s="4"/>
      <c r="Y303" s="11" t="str">
        <f>IFERROR(INDEX(ShipPartShape!$A:$A,MATCH(X303,ShipPartShape!$B:$B,0)),"-")</f>
        <v>-</v>
      </c>
      <c r="Z303" s="4"/>
      <c r="AA303" s="11" t="str">
        <f>IFERROR(INDEX(ShipPartShape!$A:$A,MATCH(Z303,ShipPartShape!$B:$B,0)),"-")</f>
        <v>-</v>
      </c>
      <c r="AB303" s="4"/>
      <c r="AC303" s="11" t="str">
        <f>IFERROR(INDEX(ShipPartShape!$A:$A,MATCH(AB303,ShipPartShape!$B:$B,0)),"-")</f>
        <v>-</v>
      </c>
      <c r="AD303" s="4"/>
      <c r="AE303" s="11" t="str">
        <f>IFERROR(INDEX(ShipPartShape!$A:$A,MATCH(AD303,ShipPartShape!$B:$B,0)),"-")</f>
        <v>-</v>
      </c>
      <c r="AF303" s="4"/>
      <c r="AG303" s="11" t="str">
        <f>IFERROR(INDEX(ShipPartShape!$A:$A,MATCH(AF303,ShipPartShape!$B:$B,0)),"-")</f>
        <v>-</v>
      </c>
      <c r="AH303" s="4"/>
      <c r="AI303" s="11" t="str">
        <f>IFERROR(INDEX(ShipPartShape!$A:$A,MATCH(AH303,ShipPartShape!$B:$B,0)),"-")</f>
        <v>-</v>
      </c>
      <c r="AJ303" s="11" t="s">
        <v>0</v>
      </c>
      <c r="AK303" s="11" t="s">
        <v>0</v>
      </c>
      <c r="AL303" s="11" t="s">
        <v>0</v>
      </c>
      <c r="AM303" s="11" t="s">
        <v>0</v>
      </c>
      <c r="AN303" s="11" t="s">
        <v>0</v>
      </c>
      <c r="AO303" s="11" t="s">
        <v>0</v>
      </c>
      <c r="AP303" s="11" t="s">
        <v>0</v>
      </c>
      <c r="AQ303" s="11" t="s">
        <v>0</v>
      </c>
      <c r="AR303" s="11" t="s">
        <v>0</v>
      </c>
      <c r="AS303" s="11" t="s">
        <v>0</v>
      </c>
      <c r="AT303" s="11" t="s">
        <v>0</v>
      </c>
      <c r="AU303" s="11">
        <v>47600017</v>
      </c>
      <c r="AV303" s="11" t="s">
        <v>0</v>
      </c>
      <c r="AW303" s="11" t="s">
        <v>0</v>
      </c>
      <c r="AX303" s="11">
        <v>1.5</v>
      </c>
    </row>
    <row r="304" spans="1:50" ht="15">
      <c r="A304" s="10">
        <f t="shared" si="4"/>
        <v>45000294</v>
      </c>
      <c r="B304" s="22" t="s">
        <v>3370</v>
      </c>
      <c r="C304" s="11" t="s">
        <v>3371</v>
      </c>
      <c r="D304" s="4" t="s">
        <v>3367</v>
      </c>
      <c r="E304" s="11">
        <v>700</v>
      </c>
      <c r="F304" s="11">
        <v>150</v>
      </c>
      <c r="G304" s="11">
        <v>20</v>
      </c>
      <c r="H304" s="11">
        <v>-40</v>
      </c>
      <c r="I304" s="11">
        <f>IFERROR(INDEX(ShipPartShape!$A:$A,MATCH(D304,ShipPartShape!$B:$B,0)),"-")</f>
        <v>46000270</v>
      </c>
      <c r="J304" s="4" t="s">
        <v>1213</v>
      </c>
      <c r="K304" s="11">
        <f>IFERROR(INDEX(ShipPartShape!$A:$A,MATCH(J304,ShipPartShape!$B:$B,0)),"-")</f>
        <v>46700010</v>
      </c>
      <c r="L304" s="4" t="s">
        <v>69</v>
      </c>
      <c r="M304" s="11">
        <f>IFERROR(INDEX(ShipPartShape!$A:$A,MATCH(L304,ShipPartShape!$B:$B,0)),"-")</f>
        <v>46300001</v>
      </c>
      <c r="N304" s="4"/>
      <c r="O304" s="11" t="str">
        <f>IFERROR(INDEX(ShipPartShape!$A:$A,MATCH(N304,ShipPartShape!$B:$B,0)),"-")</f>
        <v>-</v>
      </c>
      <c r="P304" s="4"/>
      <c r="Q304" s="11" t="str">
        <f>IFERROR(INDEX(ShipPartShape!$A:$A,MATCH(P304,ShipPartShape!$B:$B,0)),"-")</f>
        <v>-</v>
      </c>
      <c r="R304" s="4"/>
      <c r="S304" s="11" t="str">
        <f>IFERROR(INDEX(ShipPartShape!$A:$A,MATCH(R304,ShipPartShape!$B:$B,0)),"-")</f>
        <v>-</v>
      </c>
      <c r="T304" s="4"/>
      <c r="U304" s="11" t="str">
        <f>IFERROR(INDEX(ShipPartShape!$A:$A,MATCH(T304,ShipPartShape!$B:$B,0)),"-")</f>
        <v>-</v>
      </c>
      <c r="V304" s="4"/>
      <c r="W304" s="11" t="str">
        <f>IFERROR(INDEX(ShipPartShape!$A:$A,MATCH(V304,ShipPartShape!$B:$B,0)),"-")</f>
        <v>-</v>
      </c>
      <c r="X304" s="4"/>
      <c r="Y304" s="11" t="str">
        <f>IFERROR(INDEX(ShipPartShape!$A:$A,MATCH(X304,ShipPartShape!$B:$B,0)),"-")</f>
        <v>-</v>
      </c>
      <c r="Z304" s="4"/>
      <c r="AA304" s="11" t="str">
        <f>IFERROR(INDEX(ShipPartShape!$A:$A,MATCH(Z304,ShipPartShape!$B:$B,0)),"-")</f>
        <v>-</v>
      </c>
      <c r="AB304" s="4"/>
      <c r="AC304" s="11" t="str">
        <f>IFERROR(INDEX(ShipPartShape!$A:$A,MATCH(AB304,ShipPartShape!$B:$B,0)),"-")</f>
        <v>-</v>
      </c>
      <c r="AD304" s="4"/>
      <c r="AE304" s="11" t="str">
        <f>IFERROR(INDEX(ShipPartShape!$A:$A,MATCH(AD304,ShipPartShape!$B:$B,0)),"-")</f>
        <v>-</v>
      </c>
      <c r="AF304" s="4"/>
      <c r="AG304" s="11" t="str">
        <f>IFERROR(INDEX(ShipPartShape!$A:$A,MATCH(AF304,ShipPartShape!$B:$B,0)),"-")</f>
        <v>-</v>
      </c>
      <c r="AH304" s="4"/>
      <c r="AI304" s="11" t="str">
        <f>IFERROR(INDEX(ShipPartShape!$A:$A,MATCH(AH304,ShipPartShape!$B:$B,0)),"-")</f>
        <v>-</v>
      </c>
      <c r="AJ304" s="11" t="s">
        <v>0</v>
      </c>
      <c r="AK304" s="11" t="s">
        <v>0</v>
      </c>
      <c r="AL304" s="11" t="s">
        <v>0</v>
      </c>
      <c r="AM304" s="11" t="s">
        <v>0</v>
      </c>
      <c r="AN304" s="11" t="s">
        <v>0</v>
      </c>
      <c r="AO304" s="11" t="s">
        <v>0</v>
      </c>
      <c r="AP304" s="11" t="s">
        <v>0</v>
      </c>
      <c r="AQ304" s="11" t="s">
        <v>0</v>
      </c>
      <c r="AR304" s="11" t="s">
        <v>0</v>
      </c>
      <c r="AS304" s="11" t="s">
        <v>0</v>
      </c>
      <c r="AT304" s="11" t="s">
        <v>0</v>
      </c>
      <c r="AU304" s="11">
        <v>47600018</v>
      </c>
      <c r="AV304" s="11" t="s">
        <v>0</v>
      </c>
      <c r="AW304" s="11" t="s">
        <v>0</v>
      </c>
      <c r="AX304" s="11" t="s">
        <v>0</v>
      </c>
    </row>
    <row r="305" spans="1:50" ht="15">
      <c r="A305" s="10">
        <f t="shared" si="4"/>
        <v>45000295</v>
      </c>
      <c r="B305" s="22" t="s">
        <v>3381</v>
      </c>
      <c r="C305" s="11" t="s">
        <v>3382</v>
      </c>
      <c r="D305" s="4" t="s">
        <v>3378</v>
      </c>
      <c r="E305" s="11">
        <v>700</v>
      </c>
      <c r="F305" s="11">
        <v>150</v>
      </c>
      <c r="G305" s="11">
        <v>20</v>
      </c>
      <c r="H305" s="11">
        <v>-40</v>
      </c>
      <c r="I305" s="11">
        <f>IFERROR(INDEX(ShipPartShape!$A:$A,MATCH(D305,ShipPartShape!$B:$B,0)),"-")</f>
        <v>46000271</v>
      </c>
      <c r="J305" s="4" t="s">
        <v>1258</v>
      </c>
      <c r="K305" s="11">
        <f>IFERROR(INDEX(ShipPartShape!$A:$A,MATCH(J305,ShipPartShape!$B:$B,0)),"-")</f>
        <v>46700004</v>
      </c>
      <c r="L305" s="4" t="s">
        <v>69</v>
      </c>
      <c r="M305" s="11">
        <f>IFERROR(INDEX(ShipPartShape!$A:$A,MATCH(L305,ShipPartShape!$B:$B,0)),"-")</f>
        <v>46300001</v>
      </c>
      <c r="N305" s="4" t="s">
        <v>3374</v>
      </c>
      <c r="O305" s="11">
        <f>IFERROR(INDEX(ShipPartShape!$A:$A,MATCH(N305,ShipPartShape!$B:$B,0)),"-")</f>
        <v>46500056</v>
      </c>
      <c r="P305" s="4"/>
      <c r="Q305" s="11" t="str">
        <f>IFERROR(INDEX(ShipPartShape!$A:$A,MATCH(P305,ShipPartShape!$B:$B,0)),"-")</f>
        <v>-</v>
      </c>
      <c r="R305" s="4"/>
      <c r="S305" s="11" t="str">
        <f>IFERROR(INDEX(ShipPartShape!$A:$A,MATCH(R305,ShipPartShape!$B:$B,0)),"-")</f>
        <v>-</v>
      </c>
      <c r="T305" s="4"/>
      <c r="U305" s="11" t="str">
        <f>IFERROR(INDEX(ShipPartShape!$A:$A,MATCH(T305,ShipPartShape!$B:$B,0)),"-")</f>
        <v>-</v>
      </c>
      <c r="V305" s="4"/>
      <c r="W305" s="11" t="str">
        <f>IFERROR(INDEX(ShipPartShape!$A:$A,MATCH(V305,ShipPartShape!$B:$B,0)),"-")</f>
        <v>-</v>
      </c>
      <c r="X305" s="4"/>
      <c r="Y305" s="11" t="str">
        <f>IFERROR(INDEX(ShipPartShape!$A:$A,MATCH(X305,ShipPartShape!$B:$B,0)),"-")</f>
        <v>-</v>
      </c>
      <c r="Z305" s="4"/>
      <c r="AA305" s="11" t="str">
        <f>IFERROR(INDEX(ShipPartShape!$A:$A,MATCH(Z305,ShipPartShape!$B:$B,0)),"-")</f>
        <v>-</v>
      </c>
      <c r="AB305" s="4"/>
      <c r="AC305" s="11" t="str">
        <f>IFERROR(INDEX(ShipPartShape!$A:$A,MATCH(AB305,ShipPartShape!$B:$B,0)),"-")</f>
        <v>-</v>
      </c>
      <c r="AD305" s="4"/>
      <c r="AE305" s="11" t="str">
        <f>IFERROR(INDEX(ShipPartShape!$A:$A,MATCH(AD305,ShipPartShape!$B:$B,0)),"-")</f>
        <v>-</v>
      </c>
      <c r="AF305" s="4"/>
      <c r="AG305" s="11" t="str">
        <f>IFERROR(INDEX(ShipPartShape!$A:$A,MATCH(AF305,ShipPartShape!$B:$B,0)),"-")</f>
        <v>-</v>
      </c>
      <c r="AH305" s="4"/>
      <c r="AI305" s="11" t="str">
        <f>IFERROR(INDEX(ShipPartShape!$A:$A,MATCH(AH305,ShipPartShape!$B:$B,0)),"-")</f>
        <v>-</v>
      </c>
      <c r="AJ305" s="11" t="s">
        <v>0</v>
      </c>
      <c r="AK305" s="11" t="s">
        <v>0</v>
      </c>
      <c r="AL305" s="11" t="s">
        <v>0</v>
      </c>
      <c r="AM305" s="11" t="s">
        <v>0</v>
      </c>
      <c r="AN305" s="11" t="s">
        <v>0</v>
      </c>
      <c r="AO305" s="11" t="s">
        <v>0</v>
      </c>
      <c r="AP305" s="11" t="s">
        <v>0</v>
      </c>
      <c r="AQ305" s="11" t="s">
        <v>0</v>
      </c>
      <c r="AR305" s="11" t="s">
        <v>0</v>
      </c>
      <c r="AS305" s="11" t="s">
        <v>0</v>
      </c>
      <c r="AT305" s="11" t="s">
        <v>0</v>
      </c>
      <c r="AU305" s="11">
        <v>47600018</v>
      </c>
      <c r="AV305" s="11" t="s">
        <v>0</v>
      </c>
      <c r="AW305" s="11" t="s">
        <v>0</v>
      </c>
      <c r="AX305" s="11" t="s">
        <v>0</v>
      </c>
    </row>
    <row r="306" spans="1:50" ht="15">
      <c r="A306" s="10">
        <f t="shared" si="4"/>
        <v>45000296</v>
      </c>
      <c r="B306" s="22" t="s">
        <v>3386</v>
      </c>
      <c r="C306" s="11" t="s">
        <v>3387</v>
      </c>
      <c r="D306" s="4" t="s">
        <v>3383</v>
      </c>
      <c r="E306" s="11">
        <v>700</v>
      </c>
      <c r="F306" s="11">
        <v>150</v>
      </c>
      <c r="G306" s="11">
        <v>20</v>
      </c>
      <c r="H306" s="11">
        <v>-40</v>
      </c>
      <c r="I306" s="11">
        <f>IFERROR(INDEX(ShipPartShape!$A:$A,MATCH(D306,ShipPartShape!$B:$B,0)),"-")</f>
        <v>46000272</v>
      </c>
      <c r="J306" s="4" t="s">
        <v>1257</v>
      </c>
      <c r="K306" s="11">
        <f>IFERROR(INDEX(ShipPartShape!$A:$A,MATCH(J306,ShipPartShape!$B:$B,0)),"-")</f>
        <v>46700012</v>
      </c>
      <c r="L306" s="4"/>
      <c r="M306" s="11" t="str">
        <f>IFERROR(INDEX(ShipPartShape!$A:$A,MATCH(L306,ShipPartShape!$B:$B,0)),"-")</f>
        <v>-</v>
      </c>
      <c r="N306" s="4"/>
      <c r="O306" s="11" t="str">
        <f>IFERROR(INDEX(ShipPartShape!$A:$A,MATCH(N306,ShipPartShape!$B:$B,0)),"-")</f>
        <v>-</v>
      </c>
      <c r="P306" s="4"/>
      <c r="Q306" s="11" t="str">
        <f>IFERROR(INDEX(ShipPartShape!$A:$A,MATCH(P306,ShipPartShape!$B:$B,0)),"-")</f>
        <v>-</v>
      </c>
      <c r="R306" s="4"/>
      <c r="S306" s="11" t="str">
        <f>IFERROR(INDEX(ShipPartShape!$A:$A,MATCH(R306,ShipPartShape!$B:$B,0)),"-")</f>
        <v>-</v>
      </c>
      <c r="T306" s="4" t="s">
        <v>611</v>
      </c>
      <c r="U306" s="11">
        <f>IFERROR(INDEX(ShipPartShape!$A:$A,MATCH(T306,ShipPartShape!$B:$B,0)),"-")</f>
        <v>46600010</v>
      </c>
      <c r="V306" s="4" t="s">
        <v>605</v>
      </c>
      <c r="W306" s="11">
        <f>IFERROR(INDEX(ShipPartShape!$A:$A,MATCH(V306,ShipPartShape!$B:$B,0)),"-")</f>
        <v>46600009</v>
      </c>
      <c r="X306" s="4" t="s">
        <v>603</v>
      </c>
      <c r="Y306" s="11">
        <f>IFERROR(INDEX(ShipPartShape!$A:$A,MATCH(X306,ShipPartShape!$B:$B,0)),"-")</f>
        <v>46600007</v>
      </c>
      <c r="Z306" s="4"/>
      <c r="AA306" s="11" t="str">
        <f>IFERROR(INDEX(ShipPartShape!$A:$A,MATCH(Z306,ShipPartShape!$B:$B,0)),"-")</f>
        <v>-</v>
      </c>
      <c r="AB306" s="4"/>
      <c r="AC306" s="11" t="str">
        <f>IFERROR(INDEX(ShipPartShape!$A:$A,MATCH(AB306,ShipPartShape!$B:$B,0)),"-")</f>
        <v>-</v>
      </c>
      <c r="AD306" s="4"/>
      <c r="AE306" s="11" t="str">
        <f>IFERROR(INDEX(ShipPartShape!$A:$A,MATCH(AD306,ShipPartShape!$B:$B,0)),"-")</f>
        <v>-</v>
      </c>
      <c r="AF306" s="4"/>
      <c r="AG306" s="11" t="str">
        <f>IFERROR(INDEX(ShipPartShape!$A:$A,MATCH(AF306,ShipPartShape!$B:$B,0)),"-")</f>
        <v>-</v>
      </c>
      <c r="AH306" s="4"/>
      <c r="AI306" s="11" t="str">
        <f>IFERROR(INDEX(ShipPartShape!$A:$A,MATCH(AH306,ShipPartShape!$B:$B,0)),"-")</f>
        <v>-</v>
      </c>
      <c r="AJ306" s="11" t="s">
        <v>0</v>
      </c>
      <c r="AK306" s="11" t="s">
        <v>0</v>
      </c>
      <c r="AL306" s="11" t="s">
        <v>0</v>
      </c>
      <c r="AM306" s="11" t="s">
        <v>0</v>
      </c>
      <c r="AN306" s="11" t="s">
        <v>0</v>
      </c>
      <c r="AO306" s="11" t="s">
        <v>0</v>
      </c>
      <c r="AP306" s="11" t="s">
        <v>0</v>
      </c>
      <c r="AQ306" s="11" t="s">
        <v>0</v>
      </c>
      <c r="AR306" s="11" t="s">
        <v>0</v>
      </c>
      <c r="AS306" s="11" t="s">
        <v>0</v>
      </c>
      <c r="AT306" s="11" t="s">
        <v>0</v>
      </c>
      <c r="AU306" s="11">
        <v>47600017</v>
      </c>
      <c r="AV306" s="11" t="s">
        <v>0</v>
      </c>
      <c r="AW306" s="11" t="s">
        <v>0</v>
      </c>
      <c r="AX306" s="11">
        <v>1.5</v>
      </c>
    </row>
    <row r="307" spans="1:50" ht="15">
      <c r="A307" s="10">
        <f t="shared" si="4"/>
        <v>45000297</v>
      </c>
      <c r="B307" s="22" t="s">
        <v>3388</v>
      </c>
      <c r="C307" s="11" t="s">
        <v>3392</v>
      </c>
      <c r="D307" s="4" t="s">
        <v>3390</v>
      </c>
      <c r="E307" s="11">
        <v>700</v>
      </c>
      <c r="F307" s="11">
        <v>150</v>
      </c>
      <c r="G307" s="11">
        <v>20</v>
      </c>
      <c r="H307" s="11">
        <v>-40</v>
      </c>
      <c r="I307" s="11">
        <f>IFERROR(INDEX(ShipPartShape!$A:$A,MATCH(D307,ShipPartShape!$B:$B,0)),"-")</f>
        <v>46000273</v>
      </c>
      <c r="J307" s="4" t="s">
        <v>1215</v>
      </c>
      <c r="K307" s="11">
        <f>IFERROR(INDEX(ShipPartShape!$A:$A,MATCH(J307,ShipPartShape!$B:$B,0)),"-")</f>
        <v>46700013</v>
      </c>
      <c r="L307" s="4" t="s">
        <v>69</v>
      </c>
      <c r="M307" s="11">
        <f>IFERROR(INDEX(ShipPartShape!$A:$A,MATCH(L307,ShipPartShape!$B:$B,0)),"-")</f>
        <v>46300001</v>
      </c>
      <c r="N307" s="4"/>
      <c r="O307" s="11" t="str">
        <f>IFERROR(INDEX(ShipPartShape!$A:$A,MATCH(N307,ShipPartShape!$B:$B,0)),"-")</f>
        <v>-</v>
      </c>
      <c r="P307" s="4"/>
      <c r="Q307" s="11" t="str">
        <f>IFERROR(INDEX(ShipPartShape!$A:$A,MATCH(P307,ShipPartShape!$B:$B,0)),"-")</f>
        <v>-</v>
      </c>
      <c r="R307" s="4"/>
      <c r="S307" s="11" t="str">
        <f>IFERROR(INDEX(ShipPartShape!$A:$A,MATCH(R307,ShipPartShape!$B:$B,0)),"-")</f>
        <v>-</v>
      </c>
      <c r="T307" s="4" t="s">
        <v>605</v>
      </c>
      <c r="U307" s="11">
        <f>IFERROR(INDEX(ShipPartShape!$A:$A,MATCH(T307,ShipPartShape!$B:$B,0)),"-")</f>
        <v>46600009</v>
      </c>
      <c r="V307" s="4" t="s">
        <v>611</v>
      </c>
      <c r="W307" s="11">
        <f>IFERROR(INDEX(ShipPartShape!$A:$A,MATCH(V307,ShipPartShape!$B:$B,0)),"-")</f>
        <v>46600010</v>
      </c>
      <c r="X307" s="4" t="s">
        <v>606</v>
      </c>
      <c r="Y307" s="11">
        <f>IFERROR(INDEX(ShipPartShape!$A:$A,MATCH(X307,ShipPartShape!$B:$B,0)),"-")</f>
        <v>46600003</v>
      </c>
      <c r="Z307" s="4" t="s">
        <v>603</v>
      </c>
      <c r="AA307" s="11">
        <f>IFERROR(INDEX(ShipPartShape!$A:$A,MATCH(Z307,ShipPartShape!$B:$B,0)),"-")</f>
        <v>46600007</v>
      </c>
      <c r="AB307" s="4"/>
      <c r="AC307" s="11" t="str">
        <f>IFERROR(INDEX(ShipPartShape!$A:$A,MATCH(AB307,ShipPartShape!$B:$B,0)),"-")</f>
        <v>-</v>
      </c>
      <c r="AD307" s="4"/>
      <c r="AE307" s="11" t="str">
        <f>IFERROR(INDEX(ShipPartShape!$A:$A,MATCH(AD307,ShipPartShape!$B:$B,0)),"-")</f>
        <v>-</v>
      </c>
      <c r="AF307" s="4"/>
      <c r="AG307" s="11" t="str">
        <f>IFERROR(INDEX(ShipPartShape!$A:$A,MATCH(AF307,ShipPartShape!$B:$B,0)),"-")</f>
        <v>-</v>
      </c>
      <c r="AH307" s="4"/>
      <c r="AI307" s="11" t="str">
        <f>IFERROR(INDEX(ShipPartShape!$A:$A,MATCH(AH307,ShipPartShape!$B:$B,0)),"-")</f>
        <v>-</v>
      </c>
      <c r="AJ307" s="11" t="s">
        <v>0</v>
      </c>
      <c r="AK307" s="11" t="s">
        <v>0</v>
      </c>
      <c r="AL307" s="11" t="s">
        <v>0</v>
      </c>
      <c r="AM307" s="11" t="s">
        <v>0</v>
      </c>
      <c r="AN307" s="11" t="s">
        <v>0</v>
      </c>
      <c r="AO307" s="11" t="s">
        <v>0</v>
      </c>
      <c r="AP307" s="11" t="s">
        <v>0</v>
      </c>
      <c r="AQ307" s="11" t="s">
        <v>0</v>
      </c>
      <c r="AR307" s="11" t="s">
        <v>0</v>
      </c>
      <c r="AS307" s="11" t="s">
        <v>0</v>
      </c>
      <c r="AT307" s="11" t="s">
        <v>0</v>
      </c>
      <c r="AU307" s="11">
        <v>47600017</v>
      </c>
      <c r="AV307" s="11" t="s">
        <v>0</v>
      </c>
      <c r="AW307" s="11" t="s">
        <v>0</v>
      </c>
      <c r="AX307" s="11">
        <v>1.5</v>
      </c>
    </row>
    <row r="308" spans="1:50" ht="15">
      <c r="A308" s="10">
        <f t="shared" si="4"/>
        <v>45000298</v>
      </c>
      <c r="B308" s="22" t="s">
        <v>3393</v>
      </c>
      <c r="C308" s="11" t="s">
        <v>3395</v>
      </c>
      <c r="D308" s="4" t="s">
        <v>3396</v>
      </c>
      <c r="E308" s="11">
        <v>700</v>
      </c>
      <c r="F308" s="11">
        <v>150</v>
      </c>
      <c r="G308" s="11">
        <v>20</v>
      </c>
      <c r="H308" s="11">
        <v>-40</v>
      </c>
      <c r="I308" s="11">
        <f>IFERROR(INDEX(ShipPartShape!$A:$A,MATCH(D308,ShipPartShape!$B:$B,0)),"-")</f>
        <v>46000274</v>
      </c>
      <c r="J308" s="4" t="s">
        <v>1215</v>
      </c>
      <c r="K308" s="11">
        <f>IFERROR(INDEX(ShipPartShape!$A:$A,MATCH(J308,ShipPartShape!$B:$B,0)),"-")</f>
        <v>46700013</v>
      </c>
      <c r="L308" s="4"/>
      <c r="M308" s="11" t="str">
        <f>IFERROR(INDEX(ShipPartShape!$A:$A,MATCH(L308,ShipPartShape!$B:$B,0)),"-")</f>
        <v>-</v>
      </c>
      <c r="N308" s="4"/>
      <c r="O308" s="11" t="str">
        <f>IFERROR(INDEX(ShipPartShape!$A:$A,MATCH(N308,ShipPartShape!$B:$B,0)),"-")</f>
        <v>-</v>
      </c>
      <c r="P308" s="4"/>
      <c r="Q308" s="11" t="str">
        <f>IFERROR(INDEX(ShipPartShape!$A:$A,MATCH(P308,ShipPartShape!$B:$B,0)),"-")</f>
        <v>-</v>
      </c>
      <c r="R308" s="4"/>
      <c r="S308" s="11" t="str">
        <f>IFERROR(INDEX(ShipPartShape!$A:$A,MATCH(R308,ShipPartShape!$B:$B,0)),"-")</f>
        <v>-</v>
      </c>
      <c r="T308" s="4" t="s">
        <v>601</v>
      </c>
      <c r="U308" s="11">
        <f>IFERROR(INDEX(ShipPartShape!$A:$A,MATCH(T308,ShipPartShape!$B:$B,0)),"-")</f>
        <v>46600001</v>
      </c>
      <c r="V308" s="4" t="s">
        <v>604</v>
      </c>
      <c r="W308" s="11">
        <f>IFERROR(INDEX(ShipPartShape!$A:$A,MATCH(V308,ShipPartShape!$B:$B,0)),"-")</f>
        <v>46600005</v>
      </c>
      <c r="X308" s="4" t="s">
        <v>603</v>
      </c>
      <c r="Y308" s="11">
        <f>IFERROR(INDEX(ShipPartShape!$A:$A,MATCH(X308,ShipPartShape!$B:$B,0)),"-")</f>
        <v>46600007</v>
      </c>
      <c r="Z308" s="4"/>
      <c r="AA308" s="11" t="str">
        <f>IFERROR(INDEX(ShipPartShape!$A:$A,MATCH(Z308,ShipPartShape!$B:$B,0)),"-")</f>
        <v>-</v>
      </c>
      <c r="AB308" s="4"/>
      <c r="AC308" s="11" t="str">
        <f>IFERROR(INDEX(ShipPartShape!$A:$A,MATCH(AB308,ShipPartShape!$B:$B,0)),"-")</f>
        <v>-</v>
      </c>
      <c r="AD308" s="4"/>
      <c r="AE308" s="11" t="str">
        <f>IFERROR(INDEX(ShipPartShape!$A:$A,MATCH(AD308,ShipPartShape!$B:$B,0)),"-")</f>
        <v>-</v>
      </c>
      <c r="AF308" s="4"/>
      <c r="AG308" s="11" t="str">
        <f>IFERROR(INDEX(ShipPartShape!$A:$A,MATCH(AF308,ShipPartShape!$B:$B,0)),"-")</f>
        <v>-</v>
      </c>
      <c r="AH308" s="4"/>
      <c r="AI308" s="11" t="str">
        <f>IFERROR(INDEX(ShipPartShape!$A:$A,MATCH(AH308,ShipPartShape!$B:$B,0)),"-")</f>
        <v>-</v>
      </c>
      <c r="AJ308" s="11" t="s">
        <v>0</v>
      </c>
      <c r="AK308" s="11" t="s">
        <v>0</v>
      </c>
      <c r="AL308" s="11" t="s">
        <v>0</v>
      </c>
      <c r="AM308" s="11" t="s">
        <v>0</v>
      </c>
      <c r="AN308" s="11" t="s">
        <v>0</v>
      </c>
      <c r="AO308" s="11" t="s">
        <v>0</v>
      </c>
      <c r="AP308" s="11" t="s">
        <v>0</v>
      </c>
      <c r="AQ308" s="11" t="s">
        <v>0</v>
      </c>
      <c r="AR308" s="11" t="s">
        <v>0</v>
      </c>
      <c r="AS308" s="11" t="s">
        <v>0</v>
      </c>
      <c r="AT308" s="11" t="s">
        <v>0</v>
      </c>
      <c r="AU308" s="11">
        <v>47600018</v>
      </c>
      <c r="AV308" s="11" t="s">
        <v>0</v>
      </c>
      <c r="AW308" s="11" t="s">
        <v>0</v>
      </c>
      <c r="AX308" s="11">
        <v>1.5</v>
      </c>
    </row>
    <row r="309" spans="1:50" ht="15">
      <c r="A309" s="10">
        <f t="shared" si="4"/>
        <v>45000299</v>
      </c>
      <c r="B309" s="23" t="s">
        <v>3413</v>
      </c>
      <c r="C309" s="11" t="s">
        <v>840</v>
      </c>
      <c r="D309" s="4" t="s">
        <v>843</v>
      </c>
      <c r="E309" s="11">
        <v>700</v>
      </c>
      <c r="F309" s="11">
        <v>100</v>
      </c>
      <c r="G309" s="11">
        <v>10</v>
      </c>
      <c r="H309" s="11">
        <v>-40</v>
      </c>
      <c r="I309" s="11">
        <f>IFERROR(INDEX(ShipPartShape!$A:$A,MATCH(D309,ShipPartShape!$B:$B,0)),"-")</f>
        <v>46000081</v>
      </c>
      <c r="J309" s="4" t="s">
        <v>162</v>
      </c>
      <c r="K309" s="11">
        <f>IFERROR(INDEX(ShipPartShape!$A:$A,MATCH(J309,ShipPartShape!$B:$B,0)),"-")</f>
        <v>46700003</v>
      </c>
      <c r="L309" s="4" t="s">
        <v>69</v>
      </c>
      <c r="M309" s="11">
        <f>IFERROR(INDEX(ShipPartShape!$A:$A,MATCH(L309,ShipPartShape!$B:$B,0)),"-")</f>
        <v>46300001</v>
      </c>
      <c r="N309" s="4" t="s">
        <v>3410</v>
      </c>
      <c r="O309" s="11">
        <f>IFERROR(INDEX(ShipPartShape!$A:$A,MATCH(N309,ShipPartShape!$B:$B,0)),"-")</f>
        <v>46800007</v>
      </c>
      <c r="P309" s="4"/>
      <c r="Q309" s="11" t="str">
        <f>IFERROR(INDEX(ShipPartShape!$A:$A,MATCH(P309,ShipPartShape!$B:$B,0)),"-")</f>
        <v>-</v>
      </c>
      <c r="R309" s="4"/>
      <c r="S309" s="11" t="str">
        <f>IFERROR(INDEX(ShipPartShape!$A:$A,MATCH(R309,ShipPartShape!$B:$B,0)),"-")</f>
        <v>-</v>
      </c>
      <c r="T309" s="4" t="s">
        <v>605</v>
      </c>
      <c r="U309" s="11">
        <f>IFERROR(INDEX(ShipPartShape!$A:$A,MATCH(T309,ShipPartShape!$B:$B,0)),"-")</f>
        <v>46600009</v>
      </c>
      <c r="V309" s="4" t="s">
        <v>611</v>
      </c>
      <c r="W309" s="11">
        <f>IFERROR(INDEX(ShipPartShape!$A:$A,MATCH(V309,ShipPartShape!$B:$B,0)),"-")</f>
        <v>46600010</v>
      </c>
      <c r="X309" s="4"/>
      <c r="Y309" s="11" t="str">
        <f>IFERROR(INDEX(ShipPartShape!$A:$A,MATCH(X309,ShipPartShape!$B:$B,0)),"-")</f>
        <v>-</v>
      </c>
      <c r="Z309" s="4"/>
      <c r="AA309" s="11" t="str">
        <f>IFERROR(INDEX(ShipPartShape!$A:$A,MATCH(Z309,ShipPartShape!$B:$B,0)),"-")</f>
        <v>-</v>
      </c>
      <c r="AB309" s="4"/>
      <c r="AC309" s="11" t="str">
        <f>IFERROR(INDEX(ShipPartShape!$A:$A,MATCH(AB309,ShipPartShape!$B:$B,0)),"-")</f>
        <v>-</v>
      </c>
      <c r="AD309" s="4"/>
      <c r="AE309" s="11" t="str">
        <f>IFERROR(INDEX(ShipPartShape!$A:$A,MATCH(AD309,ShipPartShape!$B:$B,0)),"-")</f>
        <v>-</v>
      </c>
      <c r="AF309" s="4"/>
      <c r="AG309" s="11" t="str">
        <f>IFERROR(INDEX(ShipPartShape!$A:$A,MATCH(AF309,ShipPartShape!$B:$B,0)),"-")</f>
        <v>-</v>
      </c>
      <c r="AH309" s="4"/>
      <c r="AI309" s="11" t="str">
        <f>IFERROR(INDEX(ShipPartShape!$A:$A,MATCH(AH309,ShipPartShape!$B:$B,0)),"-")</f>
        <v>-</v>
      </c>
      <c r="AJ309" s="11" t="s">
        <v>0</v>
      </c>
      <c r="AK309" s="11" t="s">
        <v>0</v>
      </c>
      <c r="AL309" s="11" t="s">
        <v>0</v>
      </c>
      <c r="AM309" s="11" t="s">
        <v>0</v>
      </c>
      <c r="AN309" s="11" t="s">
        <v>0</v>
      </c>
      <c r="AO309" s="11" t="s">
        <v>0</v>
      </c>
      <c r="AP309" s="11" t="s">
        <v>0</v>
      </c>
      <c r="AQ309" s="11" t="s">
        <v>0</v>
      </c>
      <c r="AR309" s="11" t="s">
        <v>0</v>
      </c>
      <c r="AS309" s="11" t="s">
        <v>0</v>
      </c>
      <c r="AT309" s="11" t="s">
        <v>0</v>
      </c>
      <c r="AU309" s="11">
        <v>47600016</v>
      </c>
      <c r="AV309" s="11" t="s">
        <v>0</v>
      </c>
      <c r="AW309" s="11" t="s">
        <v>0</v>
      </c>
      <c r="AX309" s="11" t="s">
        <v>0</v>
      </c>
    </row>
    <row r="310" spans="1:50" ht="15">
      <c r="A310" s="10">
        <f t="shared" si="4"/>
        <v>45000300</v>
      </c>
      <c r="B310" s="22" t="s">
        <v>3445</v>
      </c>
      <c r="C310" s="11" t="s">
        <v>3446</v>
      </c>
      <c r="D310" s="4" t="s">
        <v>3442</v>
      </c>
      <c r="E310" s="11">
        <v>700</v>
      </c>
      <c r="F310" s="11">
        <v>150</v>
      </c>
      <c r="G310" s="11">
        <v>20</v>
      </c>
      <c r="H310" s="11">
        <v>-40</v>
      </c>
      <c r="I310" s="11">
        <f>IFERROR(INDEX(ShipPartShape!$A:$A,MATCH(D310,ShipPartShape!$B:$B,0)),"-")</f>
        <v>46000275</v>
      </c>
      <c r="J310" s="4" t="s">
        <v>1216</v>
      </c>
      <c r="K310" s="11">
        <f>IFERROR(INDEX(ShipPartShape!$A:$A,MATCH(J310,ShipPartShape!$B:$B,0)),"-")</f>
        <v>46700014</v>
      </c>
      <c r="L310" s="4"/>
      <c r="M310" s="11" t="str">
        <f>IFERROR(INDEX(ShipPartShape!$A:$A,MATCH(L310,ShipPartShape!$B:$B,0)),"-")</f>
        <v>-</v>
      </c>
      <c r="N310" s="4"/>
      <c r="O310" s="11" t="str">
        <f>IFERROR(INDEX(ShipPartShape!$A:$A,MATCH(N310,ShipPartShape!$B:$B,0)),"-")</f>
        <v>-</v>
      </c>
      <c r="P310" s="4"/>
      <c r="Q310" s="11" t="str">
        <f>IFERROR(INDEX(ShipPartShape!$A:$A,MATCH(P310,ShipPartShape!$B:$B,0)),"-")</f>
        <v>-</v>
      </c>
      <c r="R310" s="4"/>
      <c r="S310" s="11" t="str">
        <f>IFERROR(INDEX(ShipPartShape!$A:$A,MATCH(R310,ShipPartShape!$B:$B,0)),"-")</f>
        <v>-</v>
      </c>
      <c r="T310" s="4"/>
      <c r="U310" s="11" t="str">
        <f>IFERROR(INDEX(ShipPartShape!$A:$A,MATCH(T310,ShipPartShape!$B:$B,0)),"-")</f>
        <v>-</v>
      </c>
      <c r="V310" s="4"/>
      <c r="W310" s="11" t="str">
        <f>IFERROR(INDEX(ShipPartShape!$A:$A,MATCH(V310,ShipPartShape!$B:$B,0)),"-")</f>
        <v>-</v>
      </c>
      <c r="X310" s="4"/>
      <c r="Y310" s="11" t="str">
        <f>IFERROR(INDEX(ShipPartShape!$A:$A,MATCH(X310,ShipPartShape!$B:$B,0)),"-")</f>
        <v>-</v>
      </c>
      <c r="Z310" s="4"/>
      <c r="AA310" s="11" t="str">
        <f>IFERROR(INDEX(ShipPartShape!$A:$A,MATCH(Z310,ShipPartShape!$B:$B,0)),"-")</f>
        <v>-</v>
      </c>
      <c r="AB310" s="4"/>
      <c r="AC310" s="11" t="str">
        <f>IFERROR(INDEX(ShipPartShape!$A:$A,MATCH(AB310,ShipPartShape!$B:$B,0)),"-")</f>
        <v>-</v>
      </c>
      <c r="AD310" s="4"/>
      <c r="AE310" s="11" t="str">
        <f>IFERROR(INDEX(ShipPartShape!$A:$A,MATCH(AD310,ShipPartShape!$B:$B,0)),"-")</f>
        <v>-</v>
      </c>
      <c r="AF310" s="4"/>
      <c r="AG310" s="11" t="str">
        <f>IFERROR(INDEX(ShipPartShape!$A:$A,MATCH(AF310,ShipPartShape!$B:$B,0)),"-")</f>
        <v>-</v>
      </c>
      <c r="AH310" s="4"/>
      <c r="AI310" s="11" t="str">
        <f>IFERROR(INDEX(ShipPartShape!$A:$A,MATCH(AH310,ShipPartShape!$B:$B,0)),"-")</f>
        <v>-</v>
      </c>
      <c r="AJ310" s="11" t="s">
        <v>0</v>
      </c>
      <c r="AK310" s="11" t="s">
        <v>0</v>
      </c>
      <c r="AL310" s="11" t="s">
        <v>0</v>
      </c>
      <c r="AM310" s="11" t="s">
        <v>0</v>
      </c>
      <c r="AN310" s="11" t="s">
        <v>0</v>
      </c>
      <c r="AO310" s="11" t="s">
        <v>0</v>
      </c>
      <c r="AP310" s="11" t="s">
        <v>0</v>
      </c>
      <c r="AQ310" s="11" t="s">
        <v>0</v>
      </c>
      <c r="AR310" s="11" t="s">
        <v>0</v>
      </c>
      <c r="AS310" s="11" t="s">
        <v>0</v>
      </c>
      <c r="AT310" s="11" t="s">
        <v>0</v>
      </c>
      <c r="AU310" s="11">
        <v>47600018</v>
      </c>
      <c r="AV310" s="11" t="s">
        <v>0</v>
      </c>
      <c r="AW310" s="11" t="s">
        <v>0</v>
      </c>
      <c r="AX310" s="11">
        <v>1.5</v>
      </c>
    </row>
    <row r="311" spans="1:50" ht="15">
      <c r="A311" s="10">
        <f t="shared" si="4"/>
        <v>45000301</v>
      </c>
      <c r="B311" s="22" t="s">
        <v>3453</v>
      </c>
      <c r="C311" s="11" t="s">
        <v>3454</v>
      </c>
      <c r="D311" s="4" t="s">
        <v>3447</v>
      </c>
      <c r="E311" s="11">
        <v>700</v>
      </c>
      <c r="F311" s="11">
        <v>150</v>
      </c>
      <c r="G311" s="11">
        <v>20</v>
      </c>
      <c r="H311" s="11">
        <v>-40</v>
      </c>
      <c r="I311" s="11">
        <f>IFERROR(INDEX(ShipPartShape!$A:$A,MATCH(D311,ShipPartShape!$B:$B,0)),"-")</f>
        <v>46000276</v>
      </c>
      <c r="J311" s="4" t="s">
        <v>1212</v>
      </c>
      <c r="K311" s="11">
        <f>IFERROR(INDEX(ShipPartShape!$A:$A,MATCH(J311,ShipPartShape!$B:$B,0)),"-")</f>
        <v>46700005</v>
      </c>
      <c r="L311" s="4"/>
      <c r="M311" s="11" t="str">
        <f>IFERROR(INDEX(ShipPartShape!$A:$A,MATCH(L311,ShipPartShape!$B:$B,0)),"-")</f>
        <v>-</v>
      </c>
      <c r="N311" s="4" t="s">
        <v>3450</v>
      </c>
      <c r="O311" s="11">
        <f>IFERROR(INDEX(ShipPartShape!$A:$A,MATCH(N311,ShipPartShape!$B:$B,0)),"-")</f>
        <v>46500057</v>
      </c>
      <c r="P311" s="4"/>
      <c r="Q311" s="11" t="str">
        <f>IFERROR(INDEX(ShipPartShape!$A:$A,MATCH(P311,ShipPartShape!$B:$B,0)),"-")</f>
        <v>-</v>
      </c>
      <c r="R311" s="4"/>
      <c r="S311" s="11" t="str">
        <f>IFERROR(INDEX(ShipPartShape!$A:$A,MATCH(R311,ShipPartShape!$B:$B,0)),"-")</f>
        <v>-</v>
      </c>
      <c r="T311" s="4"/>
      <c r="U311" s="11" t="str">
        <f>IFERROR(INDEX(ShipPartShape!$A:$A,MATCH(T311,ShipPartShape!$B:$B,0)),"-")</f>
        <v>-</v>
      </c>
      <c r="V311" s="4"/>
      <c r="W311" s="11" t="str">
        <f>IFERROR(INDEX(ShipPartShape!$A:$A,MATCH(V311,ShipPartShape!$B:$B,0)),"-")</f>
        <v>-</v>
      </c>
      <c r="X311" s="4"/>
      <c r="Y311" s="11" t="str">
        <f>IFERROR(INDEX(ShipPartShape!$A:$A,MATCH(X311,ShipPartShape!$B:$B,0)),"-")</f>
        <v>-</v>
      </c>
      <c r="Z311" s="4"/>
      <c r="AA311" s="11" t="str">
        <f>IFERROR(INDEX(ShipPartShape!$A:$A,MATCH(Z311,ShipPartShape!$B:$B,0)),"-")</f>
        <v>-</v>
      </c>
      <c r="AB311" s="4"/>
      <c r="AC311" s="11" t="str">
        <f>IFERROR(INDEX(ShipPartShape!$A:$A,MATCH(AB311,ShipPartShape!$B:$B,0)),"-")</f>
        <v>-</v>
      </c>
      <c r="AD311" s="4"/>
      <c r="AE311" s="11" t="str">
        <f>IFERROR(INDEX(ShipPartShape!$A:$A,MATCH(AD311,ShipPartShape!$B:$B,0)),"-")</f>
        <v>-</v>
      </c>
      <c r="AF311" s="4"/>
      <c r="AG311" s="11" t="str">
        <f>IFERROR(INDEX(ShipPartShape!$A:$A,MATCH(AF311,ShipPartShape!$B:$B,0)),"-")</f>
        <v>-</v>
      </c>
      <c r="AH311" s="4"/>
      <c r="AI311" s="11" t="str">
        <f>IFERROR(INDEX(ShipPartShape!$A:$A,MATCH(AH311,ShipPartShape!$B:$B,0)),"-")</f>
        <v>-</v>
      </c>
      <c r="AJ311" s="11" t="s">
        <v>0</v>
      </c>
      <c r="AK311" s="11" t="s">
        <v>0</v>
      </c>
      <c r="AL311" s="11" t="s">
        <v>0</v>
      </c>
      <c r="AM311" s="11" t="s">
        <v>0</v>
      </c>
      <c r="AN311" s="11" t="s">
        <v>0</v>
      </c>
      <c r="AO311" s="11" t="s">
        <v>0</v>
      </c>
      <c r="AP311" s="11" t="s">
        <v>0</v>
      </c>
      <c r="AQ311" s="11" t="s">
        <v>0</v>
      </c>
      <c r="AR311" s="11" t="s">
        <v>0</v>
      </c>
      <c r="AS311" s="11" t="s">
        <v>0</v>
      </c>
      <c r="AT311" s="11" t="s">
        <v>0</v>
      </c>
      <c r="AU311" s="11">
        <v>47600018</v>
      </c>
      <c r="AV311" s="11" t="s">
        <v>0</v>
      </c>
      <c r="AW311" s="11" t="s">
        <v>0</v>
      </c>
      <c r="AX311" s="11">
        <v>1.5</v>
      </c>
    </row>
    <row r="312" spans="1:50" ht="15">
      <c r="A312" s="10">
        <f t="shared" si="4"/>
        <v>45000302</v>
      </c>
      <c r="B312" s="22" t="s">
        <v>3464</v>
      </c>
      <c r="C312" s="11" t="s">
        <v>3465</v>
      </c>
      <c r="D312" s="4" t="s">
        <v>3457</v>
      </c>
      <c r="E312" s="11">
        <v>700</v>
      </c>
      <c r="F312" s="11">
        <v>150</v>
      </c>
      <c r="G312" s="11">
        <v>20</v>
      </c>
      <c r="H312" s="11">
        <v>-40</v>
      </c>
      <c r="I312" s="11">
        <f>IFERROR(INDEX(ShipPartShape!$A:$A,MATCH(D312,ShipPartShape!$B:$B,0)),"-")</f>
        <v>46000277</v>
      </c>
      <c r="J312" s="4" t="s">
        <v>1218</v>
      </c>
      <c r="K312" s="11">
        <f>IFERROR(INDEX(ShipPartShape!$A:$A,MATCH(J312,ShipPartShape!$B:$B,0)),"-")</f>
        <v>46700017</v>
      </c>
      <c r="L312" s="4" t="s">
        <v>1398</v>
      </c>
      <c r="M312" s="11">
        <f>IFERROR(INDEX(ShipPartShape!$A:$A,MATCH(L312,ShipPartShape!$B:$B,0)),"-")</f>
        <v>46300002</v>
      </c>
      <c r="N312" s="4" t="s">
        <v>3460</v>
      </c>
      <c r="O312" s="11">
        <f>IFERROR(INDEX(ShipPartShape!$A:$A,MATCH(N312,ShipPartShape!$B:$B,0)),"-")</f>
        <v>46500058</v>
      </c>
      <c r="P312" s="4"/>
      <c r="Q312" s="11" t="str">
        <f>IFERROR(INDEX(ShipPartShape!$A:$A,MATCH(P312,ShipPartShape!$B:$B,0)),"-")</f>
        <v>-</v>
      </c>
      <c r="R312" s="4"/>
      <c r="S312" s="11" t="str">
        <f>IFERROR(INDEX(ShipPartShape!$A:$A,MATCH(R312,ShipPartShape!$B:$B,0)),"-")</f>
        <v>-</v>
      </c>
      <c r="T312" s="4"/>
      <c r="U312" s="11" t="str">
        <f>IFERROR(INDEX(ShipPartShape!$A:$A,MATCH(T312,ShipPartShape!$B:$B,0)),"-")</f>
        <v>-</v>
      </c>
      <c r="V312" s="4"/>
      <c r="W312" s="11" t="str">
        <f>IFERROR(INDEX(ShipPartShape!$A:$A,MATCH(V312,ShipPartShape!$B:$B,0)),"-")</f>
        <v>-</v>
      </c>
      <c r="X312" s="4"/>
      <c r="Y312" s="11" t="str">
        <f>IFERROR(INDEX(ShipPartShape!$A:$A,MATCH(X312,ShipPartShape!$B:$B,0)),"-")</f>
        <v>-</v>
      </c>
      <c r="Z312" s="4"/>
      <c r="AA312" s="11" t="str">
        <f>IFERROR(INDEX(ShipPartShape!$A:$A,MATCH(Z312,ShipPartShape!$B:$B,0)),"-")</f>
        <v>-</v>
      </c>
      <c r="AB312" s="4"/>
      <c r="AC312" s="11" t="str">
        <f>IFERROR(INDEX(ShipPartShape!$A:$A,MATCH(AB312,ShipPartShape!$B:$B,0)),"-")</f>
        <v>-</v>
      </c>
      <c r="AD312" s="4"/>
      <c r="AE312" s="11" t="str">
        <f>IFERROR(INDEX(ShipPartShape!$A:$A,MATCH(AD312,ShipPartShape!$B:$B,0)),"-")</f>
        <v>-</v>
      </c>
      <c r="AF312" s="4"/>
      <c r="AG312" s="11" t="str">
        <f>IFERROR(INDEX(ShipPartShape!$A:$A,MATCH(AF312,ShipPartShape!$B:$B,0)),"-")</f>
        <v>-</v>
      </c>
      <c r="AH312" s="4"/>
      <c r="AI312" s="11" t="str">
        <f>IFERROR(INDEX(ShipPartShape!$A:$A,MATCH(AH312,ShipPartShape!$B:$B,0)),"-")</f>
        <v>-</v>
      </c>
      <c r="AJ312" s="11" t="s">
        <v>0</v>
      </c>
      <c r="AK312" s="11" t="s">
        <v>0</v>
      </c>
      <c r="AL312" s="11" t="s">
        <v>0</v>
      </c>
      <c r="AM312" s="11" t="s">
        <v>0</v>
      </c>
      <c r="AN312" s="11" t="s">
        <v>0</v>
      </c>
      <c r="AO312" s="11" t="s">
        <v>0</v>
      </c>
      <c r="AP312" s="11" t="s">
        <v>0</v>
      </c>
      <c r="AQ312" s="11" t="s">
        <v>0</v>
      </c>
      <c r="AR312" s="11" t="s">
        <v>0</v>
      </c>
      <c r="AS312" s="11" t="s">
        <v>0</v>
      </c>
      <c r="AT312" s="11" t="s">
        <v>0</v>
      </c>
      <c r="AU312" s="11">
        <v>47600018</v>
      </c>
      <c r="AV312" s="11" t="s">
        <v>0</v>
      </c>
      <c r="AW312" s="11" t="s">
        <v>0</v>
      </c>
      <c r="AX312" s="11" t="s">
        <v>3463</v>
      </c>
    </row>
    <row r="313" spans="1:50" ht="15">
      <c r="A313" s="10">
        <f t="shared" si="4"/>
        <v>45000303</v>
      </c>
      <c r="B313" s="22" t="s">
        <v>3510</v>
      </c>
      <c r="C313" s="11" t="s">
        <v>3512</v>
      </c>
      <c r="D313" s="4" t="s">
        <v>3498</v>
      </c>
      <c r="E313" s="11">
        <v>700</v>
      </c>
      <c r="F313" s="11">
        <v>150</v>
      </c>
      <c r="G313" s="11">
        <v>20</v>
      </c>
      <c r="H313" s="11">
        <v>-40</v>
      </c>
      <c r="I313" s="11">
        <f>IFERROR(INDEX(ShipPartShape!$A:$A,MATCH(D313,ShipPartShape!$B:$B,0)),"-")</f>
        <v>46000278</v>
      </c>
      <c r="J313" s="4" t="s">
        <v>1213</v>
      </c>
      <c r="K313" s="11">
        <f>IFERROR(INDEX(ShipPartShape!$A:$A,MATCH(J313,ShipPartShape!$B:$B,0)),"-")</f>
        <v>46700010</v>
      </c>
      <c r="L313" s="4"/>
      <c r="M313" s="11" t="str">
        <f>IFERROR(INDEX(ShipPartShape!$A:$A,MATCH(L313,ShipPartShape!$B:$B,0)),"-")</f>
        <v>-</v>
      </c>
      <c r="N313" s="4" t="s">
        <v>3502</v>
      </c>
      <c r="O313" s="11">
        <f>IFERROR(INDEX(ShipPartShape!$A:$A,MATCH(N313,ShipPartShape!$B:$B,0)),"-")</f>
        <v>46500059</v>
      </c>
      <c r="P313" s="4"/>
      <c r="Q313" s="11" t="str">
        <f>IFERROR(INDEX(ShipPartShape!$A:$A,MATCH(P313,ShipPartShape!$B:$B,0)),"-")</f>
        <v>-</v>
      </c>
      <c r="R313" s="4"/>
      <c r="S313" s="11" t="str">
        <f>IFERROR(INDEX(ShipPartShape!$A:$A,MATCH(R313,ShipPartShape!$B:$B,0)),"-")</f>
        <v>-</v>
      </c>
      <c r="T313" s="4"/>
      <c r="U313" s="11" t="str">
        <f>IFERROR(INDEX(ShipPartShape!$A:$A,MATCH(T313,ShipPartShape!$B:$B,0)),"-")</f>
        <v>-</v>
      </c>
      <c r="V313" s="4"/>
      <c r="W313" s="11" t="str">
        <f>IFERROR(INDEX(ShipPartShape!$A:$A,MATCH(V313,ShipPartShape!$B:$B,0)),"-")</f>
        <v>-</v>
      </c>
      <c r="X313" s="4"/>
      <c r="Y313" s="11" t="str">
        <f>IFERROR(INDEX(ShipPartShape!$A:$A,MATCH(X313,ShipPartShape!$B:$B,0)),"-")</f>
        <v>-</v>
      </c>
      <c r="Z313" s="4"/>
      <c r="AA313" s="11" t="str">
        <f>IFERROR(INDEX(ShipPartShape!$A:$A,MATCH(Z313,ShipPartShape!$B:$B,0)),"-")</f>
        <v>-</v>
      </c>
      <c r="AB313" s="4"/>
      <c r="AC313" s="11" t="str">
        <f>IFERROR(INDEX(ShipPartShape!$A:$A,MATCH(AB313,ShipPartShape!$B:$B,0)),"-")</f>
        <v>-</v>
      </c>
      <c r="AD313" s="4"/>
      <c r="AE313" s="11" t="str">
        <f>IFERROR(INDEX(ShipPartShape!$A:$A,MATCH(AD313,ShipPartShape!$B:$B,0)),"-")</f>
        <v>-</v>
      </c>
      <c r="AF313" s="4"/>
      <c r="AG313" s="11" t="str">
        <f>IFERROR(INDEX(ShipPartShape!$A:$A,MATCH(AF313,ShipPartShape!$B:$B,0)),"-")</f>
        <v>-</v>
      </c>
      <c r="AH313" s="4"/>
      <c r="AI313" s="11" t="str">
        <f>IFERROR(INDEX(ShipPartShape!$A:$A,MATCH(AH313,ShipPartShape!$B:$B,0)),"-")</f>
        <v>-</v>
      </c>
      <c r="AJ313" s="11" t="s">
        <v>0</v>
      </c>
      <c r="AK313" s="11" t="s">
        <v>0</v>
      </c>
      <c r="AL313" s="11" t="s">
        <v>0</v>
      </c>
      <c r="AM313" s="11" t="s">
        <v>0</v>
      </c>
      <c r="AN313" s="11" t="s">
        <v>0</v>
      </c>
      <c r="AO313" s="11" t="s">
        <v>0</v>
      </c>
      <c r="AP313" s="11" t="s">
        <v>0</v>
      </c>
      <c r="AQ313" s="11" t="s">
        <v>0</v>
      </c>
      <c r="AR313" s="11" t="s">
        <v>0</v>
      </c>
      <c r="AS313" s="11" t="s">
        <v>0</v>
      </c>
      <c r="AT313" s="11" t="s">
        <v>0</v>
      </c>
      <c r="AU313" s="11">
        <v>47600018</v>
      </c>
      <c r="AV313" s="11" t="s">
        <v>0</v>
      </c>
      <c r="AW313" s="11" t="s">
        <v>0</v>
      </c>
      <c r="AX313" s="11">
        <v>1.5</v>
      </c>
    </row>
    <row r="314" spans="1:50" ht="15">
      <c r="A314" s="10">
        <f t="shared" ref="A314:A363" si="5">A313+1</f>
        <v>45000304</v>
      </c>
      <c r="B314" s="22" t="s">
        <v>3511</v>
      </c>
      <c r="C314" s="11" t="s">
        <v>3513</v>
      </c>
      <c r="D314" s="4" t="s">
        <v>3506</v>
      </c>
      <c r="E314" s="11">
        <v>700</v>
      </c>
      <c r="F314" s="11">
        <v>150</v>
      </c>
      <c r="G314" s="11">
        <v>20</v>
      </c>
      <c r="H314" s="11">
        <v>-40</v>
      </c>
      <c r="I314" s="11">
        <f>IFERROR(INDEX(ShipPartShape!$A:$A,MATCH(D314,ShipPartShape!$B:$B,0)),"-")</f>
        <v>46000279</v>
      </c>
      <c r="J314" s="4" t="s">
        <v>1835</v>
      </c>
      <c r="K314" s="11">
        <f>IFERROR(INDEX(ShipPartShape!$A:$A,MATCH(J314,ShipPartShape!$B:$B,0)),"-")</f>
        <v>46700006</v>
      </c>
      <c r="L314" s="4" t="s">
        <v>69</v>
      </c>
      <c r="M314" s="11">
        <f>IFERROR(INDEX(ShipPartShape!$A:$A,MATCH(L314,ShipPartShape!$B:$B,0)),"-")</f>
        <v>46300001</v>
      </c>
      <c r="N314" s="4" t="s">
        <v>3504</v>
      </c>
      <c r="O314" s="11">
        <f>IFERROR(INDEX(ShipPartShape!$A:$A,MATCH(N314,ShipPartShape!$B:$B,0)),"-")</f>
        <v>46500060</v>
      </c>
      <c r="P314" s="4"/>
      <c r="Q314" s="11" t="str">
        <f>IFERROR(INDEX(ShipPartShape!$A:$A,MATCH(P314,ShipPartShape!$B:$B,0)),"-")</f>
        <v>-</v>
      </c>
      <c r="R314" s="4"/>
      <c r="S314" s="11" t="str">
        <f>IFERROR(INDEX(ShipPartShape!$A:$A,MATCH(R314,ShipPartShape!$B:$B,0)),"-")</f>
        <v>-</v>
      </c>
      <c r="T314" s="4"/>
      <c r="U314" s="11" t="str">
        <f>IFERROR(INDEX(ShipPartShape!$A:$A,MATCH(T314,ShipPartShape!$B:$B,0)),"-")</f>
        <v>-</v>
      </c>
      <c r="V314" s="4" t="s">
        <v>601</v>
      </c>
      <c r="W314" s="11">
        <f>IFERROR(INDEX(ShipPartShape!$A:$A,MATCH(V314,ShipPartShape!$B:$B,0)),"-")</f>
        <v>46600001</v>
      </c>
      <c r="X314" s="4" t="s">
        <v>602</v>
      </c>
      <c r="Y314" s="11">
        <f>IFERROR(INDEX(ShipPartShape!$A:$A,MATCH(X314,ShipPartShape!$B:$B,0)),"-")</f>
        <v>46600002</v>
      </c>
      <c r="Z314" s="4"/>
      <c r="AA314" s="11" t="str">
        <f>IFERROR(INDEX(ShipPartShape!$A:$A,MATCH(Z314,ShipPartShape!$B:$B,0)),"-")</f>
        <v>-</v>
      </c>
      <c r="AB314" s="4"/>
      <c r="AC314" s="11" t="str">
        <f>IFERROR(INDEX(ShipPartShape!$A:$A,MATCH(AB314,ShipPartShape!$B:$B,0)),"-")</f>
        <v>-</v>
      </c>
      <c r="AD314" s="4"/>
      <c r="AE314" s="11" t="str">
        <f>IFERROR(INDEX(ShipPartShape!$A:$A,MATCH(AD314,ShipPartShape!$B:$B,0)),"-")</f>
        <v>-</v>
      </c>
      <c r="AF314" s="4"/>
      <c r="AG314" s="11" t="str">
        <f>IFERROR(INDEX(ShipPartShape!$A:$A,MATCH(AF314,ShipPartShape!$B:$B,0)),"-")</f>
        <v>-</v>
      </c>
      <c r="AH314" s="4"/>
      <c r="AI314" s="11" t="str">
        <f>IFERROR(INDEX(ShipPartShape!$A:$A,MATCH(AH314,ShipPartShape!$B:$B,0)),"-")</f>
        <v>-</v>
      </c>
      <c r="AJ314" s="11" t="s">
        <v>0</v>
      </c>
      <c r="AK314" s="11" t="s">
        <v>0</v>
      </c>
      <c r="AL314" s="11" t="s">
        <v>0</v>
      </c>
      <c r="AM314" s="11" t="s">
        <v>0</v>
      </c>
      <c r="AN314" s="11" t="s">
        <v>0</v>
      </c>
      <c r="AO314" s="11" t="s">
        <v>0</v>
      </c>
      <c r="AP314" s="11" t="s">
        <v>0</v>
      </c>
      <c r="AQ314" s="11" t="s">
        <v>0</v>
      </c>
      <c r="AR314" s="11" t="s">
        <v>0</v>
      </c>
      <c r="AS314" s="11" t="s">
        <v>0</v>
      </c>
      <c r="AT314" s="11" t="s">
        <v>0</v>
      </c>
      <c r="AU314" s="11">
        <v>47600018</v>
      </c>
      <c r="AV314" s="11" t="s">
        <v>0</v>
      </c>
      <c r="AW314" s="11" t="s">
        <v>0</v>
      </c>
      <c r="AX314" s="11">
        <v>1.5</v>
      </c>
    </row>
    <row r="315" spans="1:50" ht="15">
      <c r="A315" s="10">
        <f t="shared" si="5"/>
        <v>45000305</v>
      </c>
      <c r="B315" s="22" t="s">
        <v>3545</v>
      </c>
      <c r="C315" s="11" t="s">
        <v>3552</v>
      </c>
      <c r="D315" s="4" t="s">
        <v>3529</v>
      </c>
      <c r="E315" s="11">
        <v>700</v>
      </c>
      <c r="F315" s="11">
        <v>150</v>
      </c>
      <c r="G315" s="11">
        <v>20</v>
      </c>
      <c r="H315" s="11">
        <v>-40</v>
      </c>
      <c r="I315" s="11">
        <f>IFERROR(INDEX(ShipPartShape!$A:$A,MATCH(D315,ShipPartShape!$B:$B,0)),"-")</f>
        <v>46000280</v>
      </c>
      <c r="J315" s="4" t="s">
        <v>1257</v>
      </c>
      <c r="K315" s="11">
        <f>IFERROR(INDEX(ShipPartShape!$A:$A,MATCH(J315,ShipPartShape!$B:$B,0)),"-")</f>
        <v>46700012</v>
      </c>
      <c r="L315" s="4" t="s">
        <v>69</v>
      </c>
      <c r="M315" s="11">
        <f>IFERROR(INDEX(ShipPartShape!$A:$A,MATCH(L315,ShipPartShape!$B:$B,0)),"-")</f>
        <v>46300001</v>
      </c>
      <c r="N315" s="4"/>
      <c r="O315" s="11" t="str">
        <f>IFERROR(INDEX(ShipPartShape!$A:$A,MATCH(N315,ShipPartShape!$B:$B,0)),"-")</f>
        <v>-</v>
      </c>
      <c r="P315" s="4"/>
      <c r="Q315" s="11" t="str">
        <f>IFERROR(INDEX(ShipPartShape!$A:$A,MATCH(P315,ShipPartShape!$B:$B,0)),"-")</f>
        <v>-</v>
      </c>
      <c r="R315" s="4"/>
      <c r="S315" s="11" t="str">
        <f>IFERROR(INDEX(ShipPartShape!$A:$A,MATCH(R315,ShipPartShape!$B:$B,0)),"-")</f>
        <v>-</v>
      </c>
      <c r="T315" s="4"/>
      <c r="U315" s="11" t="str">
        <f>IFERROR(INDEX(ShipPartShape!$A:$A,MATCH(T315,ShipPartShape!$B:$B,0)),"-")</f>
        <v>-</v>
      </c>
      <c r="V315" s="4"/>
      <c r="W315" s="11" t="str">
        <f>IFERROR(INDEX(ShipPartShape!$A:$A,MATCH(V315,ShipPartShape!$B:$B,0)),"-")</f>
        <v>-</v>
      </c>
      <c r="X315" s="4"/>
      <c r="Y315" s="11" t="str">
        <f>IFERROR(INDEX(ShipPartShape!$A:$A,MATCH(X315,ShipPartShape!$B:$B,0)),"-")</f>
        <v>-</v>
      </c>
      <c r="Z315" s="4"/>
      <c r="AA315" s="11" t="str">
        <f>IFERROR(INDEX(ShipPartShape!$A:$A,MATCH(Z315,ShipPartShape!$B:$B,0)),"-")</f>
        <v>-</v>
      </c>
      <c r="AB315" s="4"/>
      <c r="AC315" s="11" t="str">
        <f>IFERROR(INDEX(ShipPartShape!$A:$A,MATCH(AB315,ShipPartShape!$B:$B,0)),"-")</f>
        <v>-</v>
      </c>
      <c r="AD315" s="4"/>
      <c r="AE315" s="11" t="str">
        <f>IFERROR(INDEX(ShipPartShape!$A:$A,MATCH(AD315,ShipPartShape!$B:$B,0)),"-")</f>
        <v>-</v>
      </c>
      <c r="AF315" s="4"/>
      <c r="AG315" s="11" t="str">
        <f>IFERROR(INDEX(ShipPartShape!$A:$A,MATCH(AF315,ShipPartShape!$B:$B,0)),"-")</f>
        <v>-</v>
      </c>
      <c r="AH315" s="4"/>
      <c r="AI315" s="11" t="str">
        <f>IFERROR(INDEX(ShipPartShape!$A:$A,MATCH(AH315,ShipPartShape!$B:$B,0)),"-")</f>
        <v>-</v>
      </c>
      <c r="AJ315" s="11" t="s">
        <v>0</v>
      </c>
      <c r="AK315" s="11" t="s">
        <v>0</v>
      </c>
      <c r="AL315" s="11" t="s">
        <v>0</v>
      </c>
      <c r="AM315" s="11" t="s">
        <v>0</v>
      </c>
      <c r="AN315" s="11" t="s">
        <v>0</v>
      </c>
      <c r="AO315" s="11" t="s">
        <v>0</v>
      </c>
      <c r="AP315" s="11" t="s">
        <v>0</v>
      </c>
      <c r="AQ315" s="11" t="s">
        <v>0</v>
      </c>
      <c r="AR315" s="11" t="s">
        <v>0</v>
      </c>
      <c r="AS315" s="11" t="s">
        <v>0</v>
      </c>
      <c r="AT315" s="11" t="s">
        <v>0</v>
      </c>
      <c r="AU315" s="11">
        <v>47600018</v>
      </c>
      <c r="AV315" s="11" t="s">
        <v>0</v>
      </c>
      <c r="AW315" s="11" t="s">
        <v>0</v>
      </c>
      <c r="AX315" s="11">
        <v>1.5</v>
      </c>
    </row>
    <row r="316" spans="1:50" ht="15">
      <c r="A316" s="10">
        <f t="shared" si="5"/>
        <v>45000306</v>
      </c>
      <c r="B316" s="22" t="s">
        <v>3546</v>
      </c>
      <c r="C316" s="11" t="s">
        <v>3552</v>
      </c>
      <c r="D316" s="4" t="s">
        <v>3527</v>
      </c>
      <c r="E316" s="11">
        <v>700</v>
      </c>
      <c r="F316" s="11">
        <v>150</v>
      </c>
      <c r="G316" s="11">
        <v>20</v>
      </c>
      <c r="H316" s="11">
        <v>-40</v>
      </c>
      <c r="I316" s="11">
        <f>IFERROR(INDEX(ShipPartShape!$A:$A,MATCH(D316,ShipPartShape!$B:$B,0)),"-")</f>
        <v>46000281</v>
      </c>
      <c r="J316" s="4" t="s">
        <v>1257</v>
      </c>
      <c r="K316" s="11">
        <f>IFERROR(INDEX(ShipPartShape!$A:$A,MATCH(J316,ShipPartShape!$B:$B,0)),"-")</f>
        <v>46700012</v>
      </c>
      <c r="L316" s="4" t="s">
        <v>69</v>
      </c>
      <c r="M316" s="11">
        <f>IFERROR(INDEX(ShipPartShape!$A:$A,MATCH(L316,ShipPartShape!$B:$B,0)),"-")</f>
        <v>46300001</v>
      </c>
      <c r="N316" s="4"/>
      <c r="O316" s="11" t="str">
        <f>IFERROR(INDEX(ShipPartShape!$A:$A,MATCH(N316,ShipPartShape!$B:$B,0)),"-")</f>
        <v>-</v>
      </c>
      <c r="P316" s="4"/>
      <c r="Q316" s="11" t="str">
        <f>IFERROR(INDEX(ShipPartShape!$A:$A,MATCH(P316,ShipPartShape!$B:$B,0)),"-")</f>
        <v>-</v>
      </c>
      <c r="R316" s="4"/>
      <c r="S316" s="11" t="str">
        <f>IFERROR(INDEX(ShipPartShape!$A:$A,MATCH(R316,ShipPartShape!$B:$B,0)),"-")</f>
        <v>-</v>
      </c>
      <c r="T316" s="4"/>
      <c r="U316" s="11" t="str">
        <f>IFERROR(INDEX(ShipPartShape!$A:$A,MATCH(T316,ShipPartShape!$B:$B,0)),"-")</f>
        <v>-</v>
      </c>
      <c r="V316" s="4"/>
      <c r="W316" s="11" t="str">
        <f>IFERROR(INDEX(ShipPartShape!$A:$A,MATCH(V316,ShipPartShape!$B:$B,0)),"-")</f>
        <v>-</v>
      </c>
      <c r="X316" s="4"/>
      <c r="Y316" s="11" t="str">
        <f>IFERROR(INDEX(ShipPartShape!$A:$A,MATCH(X316,ShipPartShape!$B:$B,0)),"-")</f>
        <v>-</v>
      </c>
      <c r="Z316" s="4"/>
      <c r="AA316" s="11" t="str">
        <f>IFERROR(INDEX(ShipPartShape!$A:$A,MATCH(Z316,ShipPartShape!$B:$B,0)),"-")</f>
        <v>-</v>
      </c>
      <c r="AB316" s="4"/>
      <c r="AC316" s="11" t="str">
        <f>IFERROR(INDEX(ShipPartShape!$A:$A,MATCH(AB316,ShipPartShape!$B:$B,0)),"-")</f>
        <v>-</v>
      </c>
      <c r="AD316" s="4"/>
      <c r="AE316" s="11" t="str">
        <f>IFERROR(INDEX(ShipPartShape!$A:$A,MATCH(AD316,ShipPartShape!$B:$B,0)),"-")</f>
        <v>-</v>
      </c>
      <c r="AF316" s="4"/>
      <c r="AG316" s="11" t="str">
        <f>IFERROR(INDEX(ShipPartShape!$A:$A,MATCH(AF316,ShipPartShape!$B:$B,0)),"-")</f>
        <v>-</v>
      </c>
      <c r="AH316" s="4"/>
      <c r="AI316" s="11" t="str">
        <f>IFERROR(INDEX(ShipPartShape!$A:$A,MATCH(AH316,ShipPartShape!$B:$B,0)),"-")</f>
        <v>-</v>
      </c>
      <c r="AJ316" s="11" t="s">
        <v>0</v>
      </c>
      <c r="AK316" s="11" t="s">
        <v>0</v>
      </c>
      <c r="AL316" s="11" t="s">
        <v>0</v>
      </c>
      <c r="AM316" s="11" t="s">
        <v>0</v>
      </c>
      <c r="AN316" s="11" t="s">
        <v>0</v>
      </c>
      <c r="AO316" s="11" t="s">
        <v>0</v>
      </c>
      <c r="AP316" s="11" t="s">
        <v>0</v>
      </c>
      <c r="AQ316" s="11" t="s">
        <v>0</v>
      </c>
      <c r="AR316" s="11" t="s">
        <v>0</v>
      </c>
      <c r="AS316" s="11" t="s">
        <v>0</v>
      </c>
      <c r="AT316" s="11" t="s">
        <v>0</v>
      </c>
      <c r="AU316" s="11">
        <v>47600018</v>
      </c>
      <c r="AV316" s="11" t="s">
        <v>0</v>
      </c>
      <c r="AW316" s="11" t="s">
        <v>0</v>
      </c>
      <c r="AX316" s="11">
        <v>1.5</v>
      </c>
    </row>
    <row r="317" spans="1:50" ht="15">
      <c r="A317" s="10">
        <f t="shared" si="5"/>
        <v>45000307</v>
      </c>
      <c r="B317" s="22" t="s">
        <v>3547</v>
      </c>
      <c r="C317" s="11" t="s">
        <v>3552</v>
      </c>
      <c r="D317" s="4" t="s">
        <v>3531</v>
      </c>
      <c r="E317" s="11">
        <v>700</v>
      </c>
      <c r="F317" s="11">
        <v>150</v>
      </c>
      <c r="G317" s="11">
        <v>20</v>
      </c>
      <c r="H317" s="11">
        <v>-40</v>
      </c>
      <c r="I317" s="11">
        <f>IFERROR(INDEX(ShipPartShape!$A:$A,MATCH(D317,ShipPartShape!$B:$B,0)),"-")</f>
        <v>46000282</v>
      </c>
      <c r="J317" s="4" t="s">
        <v>1257</v>
      </c>
      <c r="K317" s="11">
        <f>IFERROR(INDEX(ShipPartShape!$A:$A,MATCH(J317,ShipPartShape!$B:$B,0)),"-")</f>
        <v>46700012</v>
      </c>
      <c r="L317" s="4" t="s">
        <v>69</v>
      </c>
      <c r="M317" s="11">
        <f>IFERROR(INDEX(ShipPartShape!$A:$A,MATCH(L317,ShipPartShape!$B:$B,0)),"-")</f>
        <v>46300001</v>
      </c>
      <c r="N317" s="4"/>
      <c r="O317" s="11" t="str">
        <f>IFERROR(INDEX(ShipPartShape!$A:$A,MATCH(N317,ShipPartShape!$B:$B,0)),"-")</f>
        <v>-</v>
      </c>
      <c r="P317" s="4"/>
      <c r="Q317" s="11" t="str">
        <f>IFERROR(INDEX(ShipPartShape!$A:$A,MATCH(P317,ShipPartShape!$B:$B,0)),"-")</f>
        <v>-</v>
      </c>
      <c r="R317" s="4"/>
      <c r="S317" s="11" t="str">
        <f>IFERROR(INDEX(ShipPartShape!$A:$A,MATCH(R317,ShipPartShape!$B:$B,0)),"-")</f>
        <v>-</v>
      </c>
      <c r="T317" s="4"/>
      <c r="U317" s="11" t="str">
        <f>IFERROR(INDEX(ShipPartShape!$A:$A,MATCH(T317,ShipPartShape!$B:$B,0)),"-")</f>
        <v>-</v>
      </c>
      <c r="V317" s="4"/>
      <c r="W317" s="11" t="str">
        <f>IFERROR(INDEX(ShipPartShape!$A:$A,MATCH(V317,ShipPartShape!$B:$B,0)),"-")</f>
        <v>-</v>
      </c>
      <c r="X317" s="4"/>
      <c r="Y317" s="11" t="str">
        <f>IFERROR(INDEX(ShipPartShape!$A:$A,MATCH(X317,ShipPartShape!$B:$B,0)),"-")</f>
        <v>-</v>
      </c>
      <c r="Z317" s="4"/>
      <c r="AA317" s="11" t="str">
        <f>IFERROR(INDEX(ShipPartShape!$A:$A,MATCH(Z317,ShipPartShape!$B:$B,0)),"-")</f>
        <v>-</v>
      </c>
      <c r="AB317" s="4"/>
      <c r="AC317" s="11" t="str">
        <f>IFERROR(INDEX(ShipPartShape!$A:$A,MATCH(AB317,ShipPartShape!$B:$B,0)),"-")</f>
        <v>-</v>
      </c>
      <c r="AD317" s="4"/>
      <c r="AE317" s="11" t="str">
        <f>IFERROR(INDEX(ShipPartShape!$A:$A,MATCH(AD317,ShipPartShape!$B:$B,0)),"-")</f>
        <v>-</v>
      </c>
      <c r="AF317" s="4"/>
      <c r="AG317" s="11" t="str">
        <f>IFERROR(INDEX(ShipPartShape!$A:$A,MATCH(AF317,ShipPartShape!$B:$B,0)),"-")</f>
        <v>-</v>
      </c>
      <c r="AH317" s="4"/>
      <c r="AI317" s="11" t="str">
        <f>IFERROR(INDEX(ShipPartShape!$A:$A,MATCH(AH317,ShipPartShape!$B:$B,0)),"-")</f>
        <v>-</v>
      </c>
      <c r="AJ317" s="11" t="s">
        <v>0</v>
      </c>
      <c r="AK317" s="11" t="s">
        <v>0</v>
      </c>
      <c r="AL317" s="11" t="s">
        <v>0</v>
      </c>
      <c r="AM317" s="11" t="s">
        <v>0</v>
      </c>
      <c r="AN317" s="11" t="s">
        <v>0</v>
      </c>
      <c r="AO317" s="11" t="s">
        <v>0</v>
      </c>
      <c r="AP317" s="11" t="s">
        <v>0</v>
      </c>
      <c r="AQ317" s="11" t="s">
        <v>0</v>
      </c>
      <c r="AR317" s="11" t="s">
        <v>0</v>
      </c>
      <c r="AS317" s="11" t="s">
        <v>0</v>
      </c>
      <c r="AT317" s="11" t="s">
        <v>0</v>
      </c>
      <c r="AU317" s="11">
        <v>47600018</v>
      </c>
      <c r="AV317" s="11" t="s">
        <v>0</v>
      </c>
      <c r="AW317" s="11" t="s">
        <v>0</v>
      </c>
      <c r="AX317" s="11">
        <v>1.5</v>
      </c>
    </row>
    <row r="318" spans="1:50" ht="15">
      <c r="A318" s="10">
        <f t="shared" si="5"/>
        <v>45000308</v>
      </c>
      <c r="B318" s="22" t="s">
        <v>3548</v>
      </c>
      <c r="C318" s="11" t="s">
        <v>3551</v>
      </c>
      <c r="D318" s="4" t="s">
        <v>3533</v>
      </c>
      <c r="E318" s="11">
        <v>700</v>
      </c>
      <c r="F318" s="11">
        <v>150</v>
      </c>
      <c r="G318" s="11">
        <v>20</v>
      </c>
      <c r="H318" s="11">
        <v>-40</v>
      </c>
      <c r="I318" s="11">
        <f>IFERROR(INDEX(ShipPartShape!$A:$A,MATCH(D318,ShipPartShape!$B:$B,0)),"-")</f>
        <v>46000283</v>
      </c>
      <c r="J318" s="4" t="s">
        <v>1257</v>
      </c>
      <c r="K318" s="11">
        <f>IFERROR(INDEX(ShipPartShape!$A:$A,MATCH(J318,ShipPartShape!$B:$B,0)),"-")</f>
        <v>46700012</v>
      </c>
      <c r="L318" s="4"/>
      <c r="M318" s="11" t="str">
        <f>IFERROR(INDEX(ShipPartShape!$A:$A,MATCH(L318,ShipPartShape!$B:$B,0)),"-")</f>
        <v>-</v>
      </c>
      <c r="N318" s="4"/>
      <c r="O318" s="11" t="str">
        <f>IFERROR(INDEX(ShipPartShape!$A:$A,MATCH(N318,ShipPartShape!$B:$B,0)),"-")</f>
        <v>-</v>
      </c>
      <c r="P318" s="4"/>
      <c r="Q318" s="11" t="str">
        <f>IFERROR(INDEX(ShipPartShape!$A:$A,MATCH(P318,ShipPartShape!$B:$B,0)),"-")</f>
        <v>-</v>
      </c>
      <c r="R318" s="4"/>
      <c r="S318" s="11" t="str">
        <f>IFERROR(INDEX(ShipPartShape!$A:$A,MATCH(R318,ShipPartShape!$B:$B,0)),"-")</f>
        <v>-</v>
      </c>
      <c r="T318" s="4"/>
      <c r="U318" s="11" t="str">
        <f>IFERROR(INDEX(ShipPartShape!$A:$A,MATCH(T318,ShipPartShape!$B:$B,0)),"-")</f>
        <v>-</v>
      </c>
      <c r="V318" s="4"/>
      <c r="W318" s="11" t="str">
        <f>IFERROR(INDEX(ShipPartShape!$A:$A,MATCH(V318,ShipPartShape!$B:$B,0)),"-")</f>
        <v>-</v>
      </c>
      <c r="X318" s="4"/>
      <c r="Y318" s="11" t="str">
        <f>IFERROR(INDEX(ShipPartShape!$A:$A,MATCH(X318,ShipPartShape!$B:$B,0)),"-")</f>
        <v>-</v>
      </c>
      <c r="Z318" s="4"/>
      <c r="AA318" s="11" t="str">
        <f>IFERROR(INDEX(ShipPartShape!$A:$A,MATCH(Z318,ShipPartShape!$B:$B,0)),"-")</f>
        <v>-</v>
      </c>
      <c r="AB318" s="4"/>
      <c r="AC318" s="11" t="str">
        <f>IFERROR(INDEX(ShipPartShape!$A:$A,MATCH(AB318,ShipPartShape!$B:$B,0)),"-")</f>
        <v>-</v>
      </c>
      <c r="AD318" s="4"/>
      <c r="AE318" s="11" t="str">
        <f>IFERROR(INDEX(ShipPartShape!$A:$A,MATCH(AD318,ShipPartShape!$B:$B,0)),"-")</f>
        <v>-</v>
      </c>
      <c r="AF318" s="4"/>
      <c r="AG318" s="11" t="str">
        <f>IFERROR(INDEX(ShipPartShape!$A:$A,MATCH(AF318,ShipPartShape!$B:$B,0)),"-")</f>
        <v>-</v>
      </c>
      <c r="AH318" s="4"/>
      <c r="AI318" s="11" t="str">
        <f>IFERROR(INDEX(ShipPartShape!$A:$A,MATCH(AH318,ShipPartShape!$B:$B,0)),"-")</f>
        <v>-</v>
      </c>
      <c r="AJ318" s="11" t="s">
        <v>0</v>
      </c>
      <c r="AK318" s="11" t="s">
        <v>0</v>
      </c>
      <c r="AL318" s="11" t="s">
        <v>0</v>
      </c>
      <c r="AM318" s="11" t="s">
        <v>0</v>
      </c>
      <c r="AN318" s="11" t="s">
        <v>0</v>
      </c>
      <c r="AO318" s="11" t="s">
        <v>0</v>
      </c>
      <c r="AP318" s="11" t="s">
        <v>0</v>
      </c>
      <c r="AQ318" s="11" t="s">
        <v>0</v>
      </c>
      <c r="AR318" s="11" t="s">
        <v>0</v>
      </c>
      <c r="AS318" s="11" t="s">
        <v>0</v>
      </c>
      <c r="AT318" s="11" t="s">
        <v>0</v>
      </c>
      <c r="AU318" s="11">
        <v>47600018</v>
      </c>
      <c r="AV318" s="11" t="s">
        <v>0</v>
      </c>
      <c r="AW318" s="11" t="s">
        <v>0</v>
      </c>
      <c r="AX318" s="11">
        <v>1.5</v>
      </c>
    </row>
    <row r="319" spans="1:50" ht="15">
      <c r="A319" s="10">
        <f t="shared" si="5"/>
        <v>45000309</v>
      </c>
      <c r="B319" s="22" t="s">
        <v>3549</v>
      </c>
      <c r="C319" s="11" t="s">
        <v>3551</v>
      </c>
      <c r="D319" s="4" t="s">
        <v>3535</v>
      </c>
      <c r="E319" s="11">
        <v>700</v>
      </c>
      <c r="F319" s="11">
        <v>150</v>
      </c>
      <c r="G319" s="11">
        <v>20</v>
      </c>
      <c r="H319" s="11">
        <v>-40</v>
      </c>
      <c r="I319" s="11">
        <f>IFERROR(INDEX(ShipPartShape!$A:$A,MATCH(D319,ShipPartShape!$B:$B,0)),"-")</f>
        <v>46000284</v>
      </c>
      <c r="J319" s="4" t="s">
        <v>1257</v>
      </c>
      <c r="K319" s="11">
        <f>IFERROR(INDEX(ShipPartShape!$A:$A,MATCH(J319,ShipPartShape!$B:$B,0)),"-")</f>
        <v>46700012</v>
      </c>
      <c r="L319" s="4"/>
      <c r="M319" s="11" t="str">
        <f>IFERROR(INDEX(ShipPartShape!$A:$A,MATCH(L319,ShipPartShape!$B:$B,0)),"-")</f>
        <v>-</v>
      </c>
      <c r="N319" s="4"/>
      <c r="O319" s="11" t="str">
        <f>IFERROR(INDEX(ShipPartShape!$A:$A,MATCH(N319,ShipPartShape!$B:$B,0)),"-")</f>
        <v>-</v>
      </c>
      <c r="P319" s="4"/>
      <c r="Q319" s="11" t="str">
        <f>IFERROR(INDEX(ShipPartShape!$A:$A,MATCH(P319,ShipPartShape!$B:$B,0)),"-")</f>
        <v>-</v>
      </c>
      <c r="R319" s="4"/>
      <c r="S319" s="11" t="str">
        <f>IFERROR(INDEX(ShipPartShape!$A:$A,MATCH(R319,ShipPartShape!$B:$B,0)),"-")</f>
        <v>-</v>
      </c>
      <c r="T319" s="4"/>
      <c r="U319" s="11" t="str">
        <f>IFERROR(INDEX(ShipPartShape!$A:$A,MATCH(T319,ShipPartShape!$B:$B,0)),"-")</f>
        <v>-</v>
      </c>
      <c r="V319" s="4"/>
      <c r="W319" s="11" t="str">
        <f>IFERROR(INDEX(ShipPartShape!$A:$A,MATCH(V319,ShipPartShape!$B:$B,0)),"-")</f>
        <v>-</v>
      </c>
      <c r="X319" s="4"/>
      <c r="Y319" s="11" t="str">
        <f>IFERROR(INDEX(ShipPartShape!$A:$A,MATCH(X319,ShipPartShape!$B:$B,0)),"-")</f>
        <v>-</v>
      </c>
      <c r="Z319" s="4"/>
      <c r="AA319" s="11" t="str">
        <f>IFERROR(INDEX(ShipPartShape!$A:$A,MATCH(Z319,ShipPartShape!$B:$B,0)),"-")</f>
        <v>-</v>
      </c>
      <c r="AB319" s="4"/>
      <c r="AC319" s="11" t="str">
        <f>IFERROR(INDEX(ShipPartShape!$A:$A,MATCH(AB319,ShipPartShape!$B:$B,0)),"-")</f>
        <v>-</v>
      </c>
      <c r="AD319" s="4"/>
      <c r="AE319" s="11" t="str">
        <f>IFERROR(INDEX(ShipPartShape!$A:$A,MATCH(AD319,ShipPartShape!$B:$B,0)),"-")</f>
        <v>-</v>
      </c>
      <c r="AF319" s="4"/>
      <c r="AG319" s="11" t="str">
        <f>IFERROR(INDEX(ShipPartShape!$A:$A,MATCH(AF319,ShipPartShape!$B:$B,0)),"-")</f>
        <v>-</v>
      </c>
      <c r="AH319" s="4"/>
      <c r="AI319" s="11" t="str">
        <f>IFERROR(INDEX(ShipPartShape!$A:$A,MATCH(AH319,ShipPartShape!$B:$B,0)),"-")</f>
        <v>-</v>
      </c>
      <c r="AJ319" s="11" t="s">
        <v>0</v>
      </c>
      <c r="AK319" s="11" t="s">
        <v>0</v>
      </c>
      <c r="AL319" s="11" t="s">
        <v>0</v>
      </c>
      <c r="AM319" s="11" t="s">
        <v>0</v>
      </c>
      <c r="AN319" s="11" t="s">
        <v>0</v>
      </c>
      <c r="AO319" s="11" t="s">
        <v>0</v>
      </c>
      <c r="AP319" s="11" t="s">
        <v>0</v>
      </c>
      <c r="AQ319" s="11" t="s">
        <v>0</v>
      </c>
      <c r="AR319" s="11" t="s">
        <v>0</v>
      </c>
      <c r="AS319" s="11" t="s">
        <v>0</v>
      </c>
      <c r="AT319" s="11" t="s">
        <v>0</v>
      </c>
      <c r="AU319" s="11">
        <v>47600018</v>
      </c>
      <c r="AV319" s="11" t="s">
        <v>0</v>
      </c>
      <c r="AW319" s="11" t="s">
        <v>0</v>
      </c>
      <c r="AX319" s="11">
        <v>1.5</v>
      </c>
    </row>
    <row r="320" spans="1:50" ht="15">
      <c r="A320" s="10">
        <f t="shared" si="5"/>
        <v>45000310</v>
      </c>
      <c r="B320" s="22" t="s">
        <v>3550</v>
      </c>
      <c r="C320" s="11" t="s">
        <v>3551</v>
      </c>
      <c r="D320" s="4" t="s">
        <v>3537</v>
      </c>
      <c r="E320" s="11">
        <v>700</v>
      </c>
      <c r="F320" s="11">
        <v>150</v>
      </c>
      <c r="G320" s="11">
        <v>20</v>
      </c>
      <c r="H320" s="11">
        <v>-40</v>
      </c>
      <c r="I320" s="11">
        <f>IFERROR(INDEX(ShipPartShape!$A:$A,MATCH(D320,ShipPartShape!$B:$B,0)),"-")</f>
        <v>46000285</v>
      </c>
      <c r="J320" s="4" t="s">
        <v>1257</v>
      </c>
      <c r="K320" s="11">
        <f>IFERROR(INDEX(ShipPartShape!$A:$A,MATCH(J320,ShipPartShape!$B:$B,0)),"-")</f>
        <v>46700012</v>
      </c>
      <c r="L320" s="4"/>
      <c r="M320" s="11" t="str">
        <f>IFERROR(INDEX(ShipPartShape!$A:$A,MATCH(L320,ShipPartShape!$B:$B,0)),"-")</f>
        <v>-</v>
      </c>
      <c r="N320" s="4"/>
      <c r="O320" s="11" t="str">
        <f>IFERROR(INDEX(ShipPartShape!$A:$A,MATCH(N320,ShipPartShape!$B:$B,0)),"-")</f>
        <v>-</v>
      </c>
      <c r="P320" s="4"/>
      <c r="Q320" s="11" t="str">
        <f>IFERROR(INDEX(ShipPartShape!$A:$A,MATCH(P320,ShipPartShape!$B:$B,0)),"-")</f>
        <v>-</v>
      </c>
      <c r="R320" s="4"/>
      <c r="S320" s="11" t="str">
        <f>IFERROR(INDEX(ShipPartShape!$A:$A,MATCH(R320,ShipPartShape!$B:$B,0)),"-")</f>
        <v>-</v>
      </c>
      <c r="T320" s="4"/>
      <c r="U320" s="11" t="str">
        <f>IFERROR(INDEX(ShipPartShape!$A:$A,MATCH(T320,ShipPartShape!$B:$B,0)),"-")</f>
        <v>-</v>
      </c>
      <c r="V320" s="4"/>
      <c r="W320" s="11" t="str">
        <f>IFERROR(INDEX(ShipPartShape!$A:$A,MATCH(V320,ShipPartShape!$B:$B,0)),"-")</f>
        <v>-</v>
      </c>
      <c r="X320" s="4"/>
      <c r="Y320" s="11" t="str">
        <f>IFERROR(INDEX(ShipPartShape!$A:$A,MATCH(X320,ShipPartShape!$B:$B,0)),"-")</f>
        <v>-</v>
      </c>
      <c r="Z320" s="4"/>
      <c r="AA320" s="11" t="str">
        <f>IFERROR(INDEX(ShipPartShape!$A:$A,MATCH(Z320,ShipPartShape!$B:$B,0)),"-")</f>
        <v>-</v>
      </c>
      <c r="AB320" s="4"/>
      <c r="AC320" s="11" t="str">
        <f>IFERROR(INDEX(ShipPartShape!$A:$A,MATCH(AB320,ShipPartShape!$B:$B,0)),"-")</f>
        <v>-</v>
      </c>
      <c r="AD320" s="4"/>
      <c r="AE320" s="11" t="str">
        <f>IFERROR(INDEX(ShipPartShape!$A:$A,MATCH(AD320,ShipPartShape!$B:$B,0)),"-")</f>
        <v>-</v>
      </c>
      <c r="AF320" s="4"/>
      <c r="AG320" s="11" t="str">
        <f>IFERROR(INDEX(ShipPartShape!$A:$A,MATCH(AF320,ShipPartShape!$B:$B,0)),"-")</f>
        <v>-</v>
      </c>
      <c r="AH320" s="4"/>
      <c r="AI320" s="11" t="str">
        <f>IFERROR(INDEX(ShipPartShape!$A:$A,MATCH(AH320,ShipPartShape!$B:$B,0)),"-")</f>
        <v>-</v>
      </c>
      <c r="AJ320" s="11" t="s">
        <v>0</v>
      </c>
      <c r="AK320" s="11" t="s">
        <v>0</v>
      </c>
      <c r="AL320" s="11" t="s">
        <v>0</v>
      </c>
      <c r="AM320" s="11" t="s">
        <v>0</v>
      </c>
      <c r="AN320" s="11" t="s">
        <v>0</v>
      </c>
      <c r="AO320" s="11" t="s">
        <v>0</v>
      </c>
      <c r="AP320" s="11" t="s">
        <v>0</v>
      </c>
      <c r="AQ320" s="11" t="s">
        <v>0</v>
      </c>
      <c r="AR320" s="11" t="s">
        <v>0</v>
      </c>
      <c r="AS320" s="11" t="s">
        <v>0</v>
      </c>
      <c r="AT320" s="11" t="s">
        <v>0</v>
      </c>
      <c r="AU320" s="11">
        <v>47600018</v>
      </c>
      <c r="AV320" s="11" t="s">
        <v>0</v>
      </c>
      <c r="AW320" s="11" t="s">
        <v>0</v>
      </c>
      <c r="AX320" s="11">
        <v>1.5</v>
      </c>
    </row>
    <row r="321" spans="1:50" ht="15">
      <c r="A321" s="10">
        <f t="shared" si="5"/>
        <v>45000311</v>
      </c>
      <c r="B321" s="22" t="s">
        <v>3564</v>
      </c>
      <c r="C321" s="11" t="s">
        <v>3567</v>
      </c>
      <c r="D321" s="4" t="s">
        <v>3565</v>
      </c>
      <c r="E321" s="11">
        <v>700</v>
      </c>
      <c r="F321" s="11">
        <v>150</v>
      </c>
      <c r="G321" s="11">
        <v>30</v>
      </c>
      <c r="H321" s="11">
        <v>-40</v>
      </c>
      <c r="I321" s="11">
        <f>IFERROR(INDEX(ShipPartShape!$A:$A,MATCH(D321,ShipPartShape!$B:$B,0)),"-")</f>
        <v>46000286</v>
      </c>
      <c r="J321" s="4" t="s">
        <v>1256</v>
      </c>
      <c r="K321" s="11">
        <f>IFERROR(INDEX(ShipPartShape!$A:$A,MATCH(J321,ShipPartShape!$B:$B,0)),"-")</f>
        <v>46700015</v>
      </c>
      <c r="L321" s="4"/>
      <c r="M321" s="11" t="str">
        <f>IFERROR(INDEX(ShipPartShape!$A:$A,MATCH(L321,ShipPartShape!$B:$B,0)),"-")</f>
        <v>-</v>
      </c>
      <c r="N321" s="4"/>
      <c r="O321" s="11" t="str">
        <f>IFERROR(INDEX(ShipPartShape!$A:$A,MATCH(N321,ShipPartShape!$B:$B,0)),"-")</f>
        <v>-</v>
      </c>
      <c r="P321" s="4"/>
      <c r="Q321" s="11" t="str">
        <f>IFERROR(INDEX(ShipPartShape!$A:$A,MATCH(P321,ShipPartShape!$B:$B,0)),"-")</f>
        <v>-</v>
      </c>
      <c r="R321" s="4"/>
      <c r="S321" s="11" t="str">
        <f>IFERROR(INDEX(ShipPartShape!$A:$A,MATCH(R321,ShipPartShape!$B:$B,0)),"-")</f>
        <v>-</v>
      </c>
      <c r="T321" s="4" t="s">
        <v>609</v>
      </c>
      <c r="U321" s="11">
        <f>IFERROR(INDEX(ShipPartShape!$A:$A,MATCH(T321,ShipPartShape!$B:$B,0)),"-")</f>
        <v>46600011</v>
      </c>
      <c r="V321" s="4" t="s">
        <v>611</v>
      </c>
      <c r="W321" s="11">
        <f>IFERROR(INDEX(ShipPartShape!$A:$A,MATCH(V321,ShipPartShape!$B:$B,0)),"-")</f>
        <v>46600010</v>
      </c>
      <c r="X321" s="4" t="s">
        <v>606</v>
      </c>
      <c r="Y321" s="11">
        <f>IFERROR(INDEX(ShipPartShape!$A:$A,MATCH(X321,ShipPartShape!$B:$B,0)),"-")</f>
        <v>46600003</v>
      </c>
      <c r="Z321" s="4" t="s">
        <v>601</v>
      </c>
      <c r="AA321" s="11">
        <f>IFERROR(INDEX(ShipPartShape!$A:$A,MATCH(Z321,ShipPartShape!$B:$B,0)),"-")</f>
        <v>46600001</v>
      </c>
      <c r="AB321" s="4"/>
      <c r="AC321" s="11" t="str">
        <f>IFERROR(INDEX(ShipPartShape!$A:$A,MATCH(AB321,ShipPartShape!$B:$B,0)),"-")</f>
        <v>-</v>
      </c>
      <c r="AD321" s="4"/>
      <c r="AE321" s="11" t="str">
        <f>IFERROR(INDEX(ShipPartShape!$A:$A,MATCH(AD321,ShipPartShape!$B:$B,0)),"-")</f>
        <v>-</v>
      </c>
      <c r="AF321" s="4"/>
      <c r="AG321" s="11" t="str">
        <f>IFERROR(INDEX(ShipPartShape!$A:$A,MATCH(AF321,ShipPartShape!$B:$B,0)),"-")</f>
        <v>-</v>
      </c>
      <c r="AH321" s="4"/>
      <c r="AI321" s="11" t="str">
        <f>IFERROR(INDEX(ShipPartShape!$A:$A,MATCH(AH321,ShipPartShape!$B:$B,0)),"-")</f>
        <v>-</v>
      </c>
      <c r="AJ321" s="11" t="s">
        <v>0</v>
      </c>
      <c r="AK321" s="11" t="s">
        <v>0</v>
      </c>
      <c r="AL321" s="11" t="s">
        <v>0</v>
      </c>
      <c r="AM321" s="11" t="s">
        <v>0</v>
      </c>
      <c r="AN321" s="11" t="s">
        <v>0</v>
      </c>
      <c r="AO321" s="11" t="s">
        <v>0</v>
      </c>
      <c r="AP321" s="11" t="s">
        <v>0</v>
      </c>
      <c r="AQ321" s="11" t="s">
        <v>0</v>
      </c>
      <c r="AR321" s="11" t="s">
        <v>0</v>
      </c>
      <c r="AS321" s="11" t="s">
        <v>0</v>
      </c>
      <c r="AT321" s="11" t="s">
        <v>0</v>
      </c>
      <c r="AU321" s="11">
        <v>47600018</v>
      </c>
      <c r="AV321" s="11" t="s">
        <v>0</v>
      </c>
      <c r="AW321" s="11" t="s">
        <v>0</v>
      </c>
      <c r="AX321" s="11">
        <v>1.5</v>
      </c>
    </row>
    <row r="322" spans="1:50" ht="15">
      <c r="A322" s="10">
        <f t="shared" si="5"/>
        <v>45000312</v>
      </c>
      <c r="B322" s="23" t="s">
        <v>3575</v>
      </c>
      <c r="C322" s="11" t="s">
        <v>3582</v>
      </c>
      <c r="D322" s="4" t="s">
        <v>3577</v>
      </c>
      <c r="E322" s="11">
        <v>700</v>
      </c>
      <c r="F322" s="11">
        <v>150</v>
      </c>
      <c r="G322" s="11">
        <v>20</v>
      </c>
      <c r="H322" s="11">
        <v>-40</v>
      </c>
      <c r="I322" s="11">
        <f>IFERROR(INDEX(ShipPartShape!$A:$A,MATCH(D322,ShipPartShape!$B:$B,0)),"-")</f>
        <v>46000287</v>
      </c>
      <c r="J322" s="4" t="s">
        <v>1257</v>
      </c>
      <c r="K322" s="11">
        <f>IFERROR(INDEX(ShipPartShape!$A:$A,MATCH(J322,ShipPartShape!$B:$B,0)),"-")</f>
        <v>46700012</v>
      </c>
      <c r="L322" s="4" t="s">
        <v>69</v>
      </c>
      <c r="M322" s="11">
        <f>IFERROR(INDEX(ShipPartShape!$A:$A,MATCH(L322,ShipPartShape!$B:$B,0)),"-")</f>
        <v>46300001</v>
      </c>
      <c r="N322" s="4" t="s">
        <v>3579</v>
      </c>
      <c r="O322" s="11">
        <f>IFERROR(INDEX(ShipPartShape!$A:$A,MATCH(N322,ShipPartShape!$B:$B,0)),"-")</f>
        <v>46500061</v>
      </c>
      <c r="P322" s="4"/>
      <c r="Q322" s="11" t="str">
        <f>IFERROR(INDEX(ShipPartShape!$A:$A,MATCH(P322,ShipPartShape!$B:$B,0)),"-")</f>
        <v>-</v>
      </c>
      <c r="R322" s="4"/>
      <c r="S322" s="11" t="str">
        <f>IFERROR(INDEX(ShipPartShape!$A:$A,MATCH(R322,ShipPartShape!$B:$B,0)),"-")</f>
        <v>-</v>
      </c>
      <c r="T322" s="4" t="s">
        <v>602</v>
      </c>
      <c r="U322" s="11">
        <f>IFERROR(INDEX(ShipPartShape!$A:$A,MATCH(T322,ShipPartShape!$B:$B,0)),"-")</f>
        <v>46600002</v>
      </c>
      <c r="V322" s="4" t="s">
        <v>604</v>
      </c>
      <c r="W322" s="11">
        <f>IFERROR(INDEX(ShipPartShape!$A:$A,MATCH(V322,ShipPartShape!$B:$B,0)),"-")</f>
        <v>46600005</v>
      </c>
      <c r="X322" s="4" t="s">
        <v>611</v>
      </c>
      <c r="Y322" s="11">
        <f>IFERROR(INDEX(ShipPartShape!$A:$A,MATCH(X322,ShipPartShape!$B:$B,0)),"-")</f>
        <v>46600010</v>
      </c>
      <c r="Z322" s="4" t="s">
        <v>609</v>
      </c>
      <c r="AA322" s="11">
        <f>IFERROR(INDEX(ShipPartShape!$A:$A,MATCH(Z322,ShipPartShape!$B:$B,0)),"-")</f>
        <v>46600011</v>
      </c>
      <c r="AB322" s="4"/>
      <c r="AC322" s="11" t="str">
        <f>IFERROR(INDEX(ShipPartShape!$A:$A,MATCH(AB322,ShipPartShape!$B:$B,0)),"-")</f>
        <v>-</v>
      </c>
      <c r="AD322" s="4"/>
      <c r="AE322" s="11" t="str">
        <f>IFERROR(INDEX(ShipPartShape!$A:$A,MATCH(AD322,ShipPartShape!$B:$B,0)),"-")</f>
        <v>-</v>
      </c>
      <c r="AF322" s="4"/>
      <c r="AG322" s="11" t="str">
        <f>IFERROR(INDEX(ShipPartShape!$A:$A,MATCH(AF322,ShipPartShape!$B:$B,0)),"-")</f>
        <v>-</v>
      </c>
      <c r="AH322" s="4"/>
      <c r="AI322" s="11" t="str">
        <f>IFERROR(INDEX(ShipPartShape!$A:$A,MATCH(AH322,ShipPartShape!$B:$B,0)),"-")</f>
        <v>-</v>
      </c>
      <c r="AJ322" s="11" t="s">
        <v>0</v>
      </c>
      <c r="AK322" s="11" t="s">
        <v>0</v>
      </c>
      <c r="AL322" s="11" t="s">
        <v>0</v>
      </c>
      <c r="AM322" s="11" t="s">
        <v>0</v>
      </c>
      <c r="AN322" s="11" t="s">
        <v>0</v>
      </c>
      <c r="AO322" s="11" t="s">
        <v>0</v>
      </c>
      <c r="AP322" s="11" t="s">
        <v>0</v>
      </c>
      <c r="AQ322" s="11" t="s">
        <v>0</v>
      </c>
      <c r="AR322" s="11" t="s">
        <v>0</v>
      </c>
      <c r="AS322" s="11" t="s">
        <v>0</v>
      </c>
      <c r="AT322" s="11" t="s">
        <v>0</v>
      </c>
      <c r="AU322" s="11">
        <v>47600018</v>
      </c>
      <c r="AV322" s="11" t="s">
        <v>0</v>
      </c>
      <c r="AW322" s="11" t="s">
        <v>0</v>
      </c>
      <c r="AX322" s="11">
        <v>1.5</v>
      </c>
    </row>
    <row r="323" spans="1:50" ht="15">
      <c r="A323" s="10">
        <f t="shared" si="5"/>
        <v>45000313</v>
      </c>
      <c r="B323" s="22" t="s">
        <v>3587</v>
      </c>
      <c r="C323" s="11" t="s">
        <v>3586</v>
      </c>
      <c r="D323" s="4" t="s">
        <v>3583</v>
      </c>
      <c r="E323" s="11">
        <v>700</v>
      </c>
      <c r="F323" s="11">
        <v>150</v>
      </c>
      <c r="G323" s="11">
        <v>20</v>
      </c>
      <c r="H323" s="11">
        <v>-40</v>
      </c>
      <c r="I323" s="11">
        <f>IFERROR(INDEX(ShipPartShape!$A:$A,MATCH(D323,ShipPartShape!$B:$B,0)),"-")</f>
        <v>46000288</v>
      </c>
      <c r="J323" s="4" t="s">
        <v>1257</v>
      </c>
      <c r="K323" s="11">
        <f>IFERROR(INDEX(ShipPartShape!$A:$A,MATCH(J323,ShipPartShape!$B:$B,0)),"-")</f>
        <v>46700012</v>
      </c>
      <c r="L323" s="4"/>
      <c r="M323" s="11" t="str">
        <f>IFERROR(INDEX(ShipPartShape!$A:$A,MATCH(L323,ShipPartShape!$B:$B,0)),"-")</f>
        <v>-</v>
      </c>
      <c r="N323" s="4"/>
      <c r="O323" s="11" t="str">
        <f>IFERROR(INDEX(ShipPartShape!$A:$A,MATCH(N323,ShipPartShape!$B:$B,0)),"-")</f>
        <v>-</v>
      </c>
      <c r="P323" s="4"/>
      <c r="Q323" s="11" t="str">
        <f>IFERROR(INDEX(ShipPartShape!$A:$A,MATCH(P323,ShipPartShape!$B:$B,0)),"-")</f>
        <v>-</v>
      </c>
      <c r="R323" s="4"/>
      <c r="S323" s="11" t="str">
        <f>IFERROR(INDEX(ShipPartShape!$A:$A,MATCH(R323,ShipPartShape!$B:$B,0)),"-")</f>
        <v>-</v>
      </c>
      <c r="T323" s="4" t="s">
        <v>603</v>
      </c>
      <c r="U323" s="11">
        <f>IFERROR(INDEX(ShipPartShape!$A:$A,MATCH(T323,ShipPartShape!$B:$B,0)),"-")</f>
        <v>46600007</v>
      </c>
      <c r="V323" s="4" t="s">
        <v>606</v>
      </c>
      <c r="W323" s="11">
        <f>IFERROR(INDEX(ShipPartShape!$A:$A,MATCH(V323,ShipPartShape!$B:$B,0)),"-")</f>
        <v>46600003</v>
      </c>
      <c r="X323" s="4" t="s">
        <v>605</v>
      </c>
      <c r="Y323" s="11">
        <f>IFERROR(INDEX(ShipPartShape!$A:$A,MATCH(X323,ShipPartShape!$B:$B,0)),"-")</f>
        <v>46600009</v>
      </c>
      <c r="Z323" s="4" t="s">
        <v>602</v>
      </c>
      <c r="AA323" s="11">
        <f>IFERROR(INDEX(ShipPartShape!$A:$A,MATCH(Z323,ShipPartShape!$B:$B,0)),"-")</f>
        <v>46600002</v>
      </c>
      <c r="AB323" s="4"/>
      <c r="AC323" s="11" t="str">
        <f>IFERROR(INDEX(ShipPartShape!$A:$A,MATCH(AB323,ShipPartShape!$B:$B,0)),"-")</f>
        <v>-</v>
      </c>
      <c r="AD323" s="4"/>
      <c r="AE323" s="11" t="str">
        <f>IFERROR(INDEX(ShipPartShape!$A:$A,MATCH(AD323,ShipPartShape!$B:$B,0)),"-")</f>
        <v>-</v>
      </c>
      <c r="AF323" s="4"/>
      <c r="AG323" s="11" t="str">
        <f>IFERROR(INDEX(ShipPartShape!$A:$A,MATCH(AF323,ShipPartShape!$B:$B,0)),"-")</f>
        <v>-</v>
      </c>
      <c r="AH323" s="4"/>
      <c r="AI323" s="11" t="str">
        <f>IFERROR(INDEX(ShipPartShape!$A:$A,MATCH(AH323,ShipPartShape!$B:$B,0)),"-")</f>
        <v>-</v>
      </c>
      <c r="AJ323" s="11" t="s">
        <v>0</v>
      </c>
      <c r="AK323" s="11" t="s">
        <v>0</v>
      </c>
      <c r="AL323" s="11" t="s">
        <v>0</v>
      </c>
      <c r="AM323" s="11" t="s">
        <v>0</v>
      </c>
      <c r="AN323" s="11" t="s">
        <v>0</v>
      </c>
      <c r="AO323" s="11" t="s">
        <v>0</v>
      </c>
      <c r="AP323" s="11" t="s">
        <v>0</v>
      </c>
      <c r="AQ323" s="11" t="s">
        <v>0</v>
      </c>
      <c r="AR323" s="11" t="s">
        <v>0</v>
      </c>
      <c r="AS323" s="11" t="s">
        <v>0</v>
      </c>
      <c r="AT323" s="11" t="s">
        <v>0</v>
      </c>
      <c r="AU323" s="11">
        <v>47600018</v>
      </c>
      <c r="AV323" s="11" t="s">
        <v>0</v>
      </c>
      <c r="AW323" s="11" t="s">
        <v>0</v>
      </c>
      <c r="AX323" s="11">
        <v>1.5</v>
      </c>
    </row>
    <row r="324" spans="1:50" ht="15">
      <c r="A324" s="10">
        <f t="shared" si="5"/>
        <v>45000314</v>
      </c>
      <c r="B324" s="22" t="s">
        <v>3594</v>
      </c>
      <c r="C324" s="11" t="s">
        <v>3595</v>
      </c>
      <c r="D324" s="4" t="s">
        <v>3591</v>
      </c>
      <c r="E324" s="11">
        <v>700</v>
      </c>
      <c r="F324" s="11">
        <v>150</v>
      </c>
      <c r="G324" s="11">
        <v>20</v>
      </c>
      <c r="H324" s="11">
        <v>-40</v>
      </c>
      <c r="I324" s="11">
        <f>IFERROR(INDEX(ShipPartShape!$A:$A,MATCH(D324,ShipPartShape!$B:$B,0)),"-")</f>
        <v>46000289</v>
      </c>
      <c r="J324" s="4" t="s">
        <v>2831</v>
      </c>
      <c r="K324" s="11">
        <f>IFERROR(INDEX(ShipPartShape!$A:$A,MATCH(J324,ShipPartShape!$B:$B,0)),"-")</f>
        <v>46700012</v>
      </c>
      <c r="L324" s="4" t="s">
        <v>69</v>
      </c>
      <c r="M324" s="11">
        <f>IFERROR(INDEX(ShipPartShape!$A:$A,MATCH(L324,ShipPartShape!$B:$B,0)),"-")</f>
        <v>46300001</v>
      </c>
      <c r="N324" s="4"/>
      <c r="O324" s="11" t="str">
        <f>IFERROR(INDEX(ShipPartShape!$A:$A,MATCH(N324,ShipPartShape!$B:$B,0)),"-")</f>
        <v>-</v>
      </c>
      <c r="P324" s="4"/>
      <c r="Q324" s="11" t="str">
        <f>IFERROR(INDEX(ShipPartShape!$A:$A,MATCH(P324,ShipPartShape!$B:$B,0)),"-")</f>
        <v>-</v>
      </c>
      <c r="R324" s="4"/>
      <c r="S324" s="11" t="str">
        <f>IFERROR(INDEX(ShipPartShape!$A:$A,MATCH(R324,ShipPartShape!$B:$B,0)),"-")</f>
        <v>-</v>
      </c>
      <c r="T324" s="4"/>
      <c r="U324" s="11" t="str">
        <f>IFERROR(INDEX(ShipPartShape!$A:$A,MATCH(T324,ShipPartShape!$B:$B,0)),"-")</f>
        <v>-</v>
      </c>
      <c r="V324" s="4"/>
      <c r="W324" s="11" t="str">
        <f>IFERROR(INDEX(ShipPartShape!$A:$A,MATCH(V324,ShipPartShape!$B:$B,0)),"-")</f>
        <v>-</v>
      </c>
      <c r="X324" s="4"/>
      <c r="Y324" s="11" t="str">
        <f>IFERROR(INDEX(ShipPartShape!$A:$A,MATCH(X324,ShipPartShape!$B:$B,0)),"-")</f>
        <v>-</v>
      </c>
      <c r="Z324" s="4"/>
      <c r="AA324" s="11" t="str">
        <f>IFERROR(INDEX(ShipPartShape!$A:$A,MATCH(Z324,ShipPartShape!$B:$B,0)),"-")</f>
        <v>-</v>
      </c>
      <c r="AB324" s="4"/>
      <c r="AC324" s="11" t="str">
        <f>IFERROR(INDEX(ShipPartShape!$A:$A,MATCH(AB324,ShipPartShape!$B:$B,0)),"-")</f>
        <v>-</v>
      </c>
      <c r="AD324" s="4"/>
      <c r="AE324" s="11" t="str">
        <f>IFERROR(INDEX(ShipPartShape!$A:$A,MATCH(AD324,ShipPartShape!$B:$B,0)),"-")</f>
        <v>-</v>
      </c>
      <c r="AF324" s="4"/>
      <c r="AG324" s="11" t="str">
        <f>IFERROR(INDEX(ShipPartShape!$A:$A,MATCH(AF324,ShipPartShape!$B:$B,0)),"-")</f>
        <v>-</v>
      </c>
      <c r="AH324" s="4"/>
      <c r="AI324" s="11" t="str">
        <f>IFERROR(INDEX(ShipPartShape!$A:$A,MATCH(AH324,ShipPartShape!$B:$B,0)),"-")</f>
        <v>-</v>
      </c>
      <c r="AJ324" s="11" t="s">
        <v>0</v>
      </c>
      <c r="AK324" s="11" t="s">
        <v>0</v>
      </c>
      <c r="AL324" s="11" t="s">
        <v>0</v>
      </c>
      <c r="AM324" s="11" t="s">
        <v>0</v>
      </c>
      <c r="AN324" s="11" t="s">
        <v>0</v>
      </c>
      <c r="AO324" s="11" t="s">
        <v>0</v>
      </c>
      <c r="AP324" s="11" t="s">
        <v>0</v>
      </c>
      <c r="AQ324" s="11" t="s">
        <v>0</v>
      </c>
      <c r="AR324" s="11" t="s">
        <v>0</v>
      </c>
      <c r="AS324" s="11" t="s">
        <v>0</v>
      </c>
      <c r="AT324" s="11" t="s">
        <v>0</v>
      </c>
      <c r="AU324" s="11">
        <v>47600018</v>
      </c>
      <c r="AV324" s="11" t="s">
        <v>0</v>
      </c>
      <c r="AW324" s="11" t="s">
        <v>0</v>
      </c>
      <c r="AX324" s="11" t="s">
        <v>0</v>
      </c>
    </row>
    <row r="325" spans="1:50" ht="15">
      <c r="A325" s="10">
        <f t="shared" si="5"/>
        <v>45000315</v>
      </c>
      <c r="B325" s="22" t="s">
        <v>3599</v>
      </c>
      <c r="C325" s="11" t="s">
        <v>3598</v>
      </c>
      <c r="D325" s="4" t="s">
        <v>3600</v>
      </c>
      <c r="E325" s="11">
        <v>700</v>
      </c>
      <c r="F325" s="11">
        <v>150</v>
      </c>
      <c r="G325" s="11">
        <v>20</v>
      </c>
      <c r="H325" s="11">
        <v>-40</v>
      </c>
      <c r="I325" s="11">
        <f>IFERROR(INDEX(ShipPartShape!$A:$A,MATCH(D325,ShipPartShape!$B:$B,0)),"-")</f>
        <v>46000290</v>
      </c>
      <c r="J325" s="4" t="s">
        <v>1215</v>
      </c>
      <c r="K325" s="11">
        <f>IFERROR(INDEX(ShipPartShape!$A:$A,MATCH(J325,ShipPartShape!$B:$B,0)),"-")</f>
        <v>46700013</v>
      </c>
      <c r="L325" s="4" t="s">
        <v>69</v>
      </c>
      <c r="M325" s="11">
        <f>IFERROR(INDEX(ShipPartShape!$A:$A,MATCH(L325,ShipPartShape!$B:$B,0)),"-")</f>
        <v>46300001</v>
      </c>
      <c r="N325" s="4"/>
      <c r="O325" s="11" t="str">
        <f>IFERROR(INDEX(ShipPartShape!$A:$A,MATCH(N325,ShipPartShape!$B:$B,0)),"-")</f>
        <v>-</v>
      </c>
      <c r="P325" s="4"/>
      <c r="Q325" s="11" t="str">
        <f>IFERROR(INDEX(ShipPartShape!$A:$A,MATCH(P325,ShipPartShape!$B:$B,0)),"-")</f>
        <v>-</v>
      </c>
      <c r="R325" s="4"/>
      <c r="S325" s="11" t="str">
        <f>IFERROR(INDEX(ShipPartShape!$A:$A,MATCH(R325,ShipPartShape!$B:$B,0)),"-")</f>
        <v>-</v>
      </c>
      <c r="T325" s="4"/>
      <c r="U325" s="11" t="str">
        <f>IFERROR(INDEX(ShipPartShape!$A:$A,MATCH(T325,ShipPartShape!$B:$B,0)),"-")</f>
        <v>-</v>
      </c>
      <c r="V325" s="4"/>
      <c r="W325" s="11" t="str">
        <f>IFERROR(INDEX(ShipPartShape!$A:$A,MATCH(V325,ShipPartShape!$B:$B,0)),"-")</f>
        <v>-</v>
      </c>
      <c r="X325" s="4"/>
      <c r="Y325" s="11" t="str">
        <f>IFERROR(INDEX(ShipPartShape!$A:$A,MATCH(X325,ShipPartShape!$B:$B,0)),"-")</f>
        <v>-</v>
      </c>
      <c r="Z325" s="4"/>
      <c r="AA325" s="11" t="str">
        <f>IFERROR(INDEX(ShipPartShape!$A:$A,MATCH(Z325,ShipPartShape!$B:$B,0)),"-")</f>
        <v>-</v>
      </c>
      <c r="AB325" s="4"/>
      <c r="AC325" s="11" t="str">
        <f>IFERROR(INDEX(ShipPartShape!$A:$A,MATCH(AB325,ShipPartShape!$B:$B,0)),"-")</f>
        <v>-</v>
      </c>
      <c r="AD325" s="4"/>
      <c r="AE325" s="11" t="str">
        <f>IFERROR(INDEX(ShipPartShape!$A:$A,MATCH(AD325,ShipPartShape!$B:$B,0)),"-")</f>
        <v>-</v>
      </c>
      <c r="AF325" s="4"/>
      <c r="AG325" s="11" t="str">
        <f>IFERROR(INDEX(ShipPartShape!$A:$A,MATCH(AF325,ShipPartShape!$B:$B,0)),"-")</f>
        <v>-</v>
      </c>
      <c r="AH325" s="4"/>
      <c r="AI325" s="11" t="str">
        <f>IFERROR(INDEX(ShipPartShape!$A:$A,MATCH(AH325,ShipPartShape!$B:$B,0)),"-")</f>
        <v>-</v>
      </c>
      <c r="AJ325" s="11" t="s">
        <v>0</v>
      </c>
      <c r="AK325" s="11" t="s">
        <v>0</v>
      </c>
      <c r="AL325" s="11" t="s">
        <v>0</v>
      </c>
      <c r="AM325" s="11" t="s">
        <v>0</v>
      </c>
      <c r="AN325" s="11" t="s">
        <v>0</v>
      </c>
      <c r="AO325" s="11" t="s">
        <v>0</v>
      </c>
      <c r="AP325" s="11" t="s">
        <v>0</v>
      </c>
      <c r="AQ325" s="11" t="s">
        <v>0</v>
      </c>
      <c r="AR325" s="11" t="s">
        <v>0</v>
      </c>
      <c r="AS325" s="11" t="s">
        <v>0</v>
      </c>
      <c r="AT325" s="11" t="s">
        <v>0</v>
      </c>
      <c r="AU325" s="11">
        <v>47600018</v>
      </c>
      <c r="AV325" s="11" t="s">
        <v>0</v>
      </c>
      <c r="AW325" s="11" t="s">
        <v>0</v>
      </c>
      <c r="AX325" s="11">
        <v>1.5</v>
      </c>
    </row>
    <row r="326" spans="1:50" ht="15">
      <c r="A326" s="10">
        <f t="shared" si="5"/>
        <v>45000316</v>
      </c>
      <c r="B326" s="22" t="s">
        <v>3590</v>
      </c>
      <c r="C326" s="11" t="s">
        <v>3603</v>
      </c>
      <c r="D326" s="4" t="s">
        <v>3604</v>
      </c>
      <c r="E326" s="11">
        <v>700</v>
      </c>
      <c r="F326" s="11">
        <v>150</v>
      </c>
      <c r="G326" s="11">
        <v>20</v>
      </c>
      <c r="H326" s="11">
        <v>-40</v>
      </c>
      <c r="I326" s="11">
        <f>IFERROR(INDEX(ShipPartShape!$A:$A,MATCH(D326,ShipPartShape!$B:$B,0)),"-")</f>
        <v>46000291</v>
      </c>
      <c r="J326" s="4"/>
      <c r="K326" s="11" t="str">
        <f>IFERROR(INDEX(ShipPartShape!$A:$A,MATCH(J326,ShipPartShape!$B:$B,0)),"-")</f>
        <v>-</v>
      </c>
      <c r="L326" s="4"/>
      <c r="M326" s="11" t="str">
        <f>IFERROR(INDEX(ShipPartShape!$A:$A,MATCH(L326,ShipPartShape!$B:$B,0)),"-")</f>
        <v>-</v>
      </c>
      <c r="N326" s="4"/>
      <c r="O326" s="11" t="str">
        <f>IFERROR(INDEX(ShipPartShape!$A:$A,MATCH(N326,ShipPartShape!$B:$B,0)),"-")</f>
        <v>-</v>
      </c>
      <c r="P326" s="4"/>
      <c r="Q326" s="11" t="str">
        <f>IFERROR(INDEX(ShipPartShape!$A:$A,MATCH(P326,ShipPartShape!$B:$B,0)),"-")</f>
        <v>-</v>
      </c>
      <c r="R326" s="4"/>
      <c r="S326" s="11" t="str">
        <f>IFERROR(INDEX(ShipPartShape!$A:$A,MATCH(R326,ShipPartShape!$B:$B,0)),"-")</f>
        <v>-</v>
      </c>
      <c r="T326" s="4"/>
      <c r="U326" s="11" t="str">
        <f>IFERROR(INDEX(ShipPartShape!$A:$A,MATCH(T326,ShipPartShape!$B:$B,0)),"-")</f>
        <v>-</v>
      </c>
      <c r="V326" s="4"/>
      <c r="W326" s="11" t="str">
        <f>IFERROR(INDEX(ShipPartShape!$A:$A,MATCH(V326,ShipPartShape!$B:$B,0)),"-")</f>
        <v>-</v>
      </c>
      <c r="X326" s="4"/>
      <c r="Y326" s="11" t="str">
        <f>IFERROR(INDEX(ShipPartShape!$A:$A,MATCH(X326,ShipPartShape!$B:$B,0)),"-")</f>
        <v>-</v>
      </c>
      <c r="Z326" s="4"/>
      <c r="AA326" s="11" t="str">
        <f>IFERROR(INDEX(ShipPartShape!$A:$A,MATCH(Z326,ShipPartShape!$B:$B,0)),"-")</f>
        <v>-</v>
      </c>
      <c r="AB326" s="4"/>
      <c r="AC326" s="11" t="str">
        <f>IFERROR(INDEX(ShipPartShape!$A:$A,MATCH(AB326,ShipPartShape!$B:$B,0)),"-")</f>
        <v>-</v>
      </c>
      <c r="AD326" s="4"/>
      <c r="AE326" s="11" t="str">
        <f>IFERROR(INDEX(ShipPartShape!$A:$A,MATCH(AD326,ShipPartShape!$B:$B,0)),"-")</f>
        <v>-</v>
      </c>
      <c r="AF326" s="4"/>
      <c r="AG326" s="11" t="str">
        <f>IFERROR(INDEX(ShipPartShape!$A:$A,MATCH(AF326,ShipPartShape!$B:$B,0)),"-")</f>
        <v>-</v>
      </c>
      <c r="AH326" s="4"/>
      <c r="AI326" s="11" t="str">
        <f>IFERROR(INDEX(ShipPartShape!$A:$A,MATCH(AH326,ShipPartShape!$B:$B,0)),"-")</f>
        <v>-</v>
      </c>
      <c r="AJ326" s="11" t="s">
        <v>0</v>
      </c>
      <c r="AK326" s="11" t="s">
        <v>0</v>
      </c>
      <c r="AL326" s="11" t="s">
        <v>0</v>
      </c>
      <c r="AM326" s="11" t="s">
        <v>0</v>
      </c>
      <c r="AN326" s="11" t="s">
        <v>0</v>
      </c>
      <c r="AO326" s="11" t="s">
        <v>0</v>
      </c>
      <c r="AP326" s="11" t="s">
        <v>0</v>
      </c>
      <c r="AQ326" s="11" t="s">
        <v>0</v>
      </c>
      <c r="AR326" s="11" t="s">
        <v>0</v>
      </c>
      <c r="AS326" s="11" t="s">
        <v>0</v>
      </c>
      <c r="AT326" s="11" t="s">
        <v>0</v>
      </c>
      <c r="AU326" s="11">
        <v>47600018</v>
      </c>
      <c r="AV326" s="11" t="s">
        <v>0</v>
      </c>
      <c r="AW326" s="11" t="s">
        <v>0</v>
      </c>
      <c r="AX326" s="11" t="s">
        <v>0</v>
      </c>
    </row>
    <row r="327" spans="1:50" ht="15">
      <c r="A327" s="10">
        <f t="shared" si="5"/>
        <v>45000317</v>
      </c>
      <c r="B327" s="22" t="s">
        <v>3609</v>
      </c>
      <c r="C327" s="11" t="s">
        <v>3606</v>
      </c>
      <c r="D327" s="4" t="s">
        <v>3607</v>
      </c>
      <c r="E327" s="11">
        <v>700</v>
      </c>
      <c r="F327" s="11">
        <v>150</v>
      </c>
      <c r="G327" s="11">
        <v>20</v>
      </c>
      <c r="H327" s="11">
        <v>-40</v>
      </c>
      <c r="I327" s="11">
        <f>IFERROR(INDEX(ShipPartShape!$A:$A,MATCH(D327,ShipPartShape!$B:$B,0)),"-")</f>
        <v>46000292</v>
      </c>
      <c r="J327" s="4" t="s">
        <v>1215</v>
      </c>
      <c r="K327" s="11">
        <f>IFERROR(INDEX(ShipPartShape!$A:$A,MATCH(J327,ShipPartShape!$B:$B,0)),"-")</f>
        <v>46700013</v>
      </c>
      <c r="L327" s="4"/>
      <c r="M327" s="11" t="str">
        <f>IFERROR(INDEX(ShipPartShape!$A:$A,MATCH(L327,ShipPartShape!$B:$B,0)),"-")</f>
        <v>-</v>
      </c>
      <c r="N327" s="4"/>
      <c r="O327" s="11" t="str">
        <f>IFERROR(INDEX(ShipPartShape!$A:$A,MATCH(N327,ShipPartShape!$B:$B,0)),"-")</f>
        <v>-</v>
      </c>
      <c r="P327" s="4"/>
      <c r="Q327" s="11" t="str">
        <f>IFERROR(INDEX(ShipPartShape!$A:$A,MATCH(P327,ShipPartShape!$B:$B,0)),"-")</f>
        <v>-</v>
      </c>
      <c r="R327" s="4"/>
      <c r="S327" s="11" t="str">
        <f>IFERROR(INDEX(ShipPartShape!$A:$A,MATCH(R327,ShipPartShape!$B:$B,0)),"-")</f>
        <v>-</v>
      </c>
      <c r="T327" s="4"/>
      <c r="U327" s="11" t="str">
        <f>IFERROR(INDEX(ShipPartShape!$A:$A,MATCH(T327,ShipPartShape!$B:$B,0)),"-")</f>
        <v>-</v>
      </c>
      <c r="V327" s="4"/>
      <c r="W327" s="11" t="str">
        <f>IFERROR(INDEX(ShipPartShape!$A:$A,MATCH(V327,ShipPartShape!$B:$B,0)),"-")</f>
        <v>-</v>
      </c>
      <c r="X327" s="4"/>
      <c r="Y327" s="11" t="str">
        <f>IFERROR(INDEX(ShipPartShape!$A:$A,MATCH(X327,ShipPartShape!$B:$B,0)),"-")</f>
        <v>-</v>
      </c>
      <c r="Z327" s="4"/>
      <c r="AA327" s="11" t="str">
        <f>IFERROR(INDEX(ShipPartShape!$A:$A,MATCH(Z327,ShipPartShape!$B:$B,0)),"-")</f>
        <v>-</v>
      </c>
      <c r="AB327" s="4"/>
      <c r="AC327" s="11" t="str">
        <f>IFERROR(INDEX(ShipPartShape!$A:$A,MATCH(AB327,ShipPartShape!$B:$B,0)),"-")</f>
        <v>-</v>
      </c>
      <c r="AD327" s="4"/>
      <c r="AE327" s="11" t="str">
        <f>IFERROR(INDEX(ShipPartShape!$A:$A,MATCH(AD327,ShipPartShape!$B:$B,0)),"-")</f>
        <v>-</v>
      </c>
      <c r="AF327" s="4"/>
      <c r="AG327" s="11" t="str">
        <f>IFERROR(INDEX(ShipPartShape!$A:$A,MATCH(AF327,ShipPartShape!$B:$B,0)),"-")</f>
        <v>-</v>
      </c>
      <c r="AH327" s="4"/>
      <c r="AI327" s="11" t="str">
        <f>IFERROR(INDEX(ShipPartShape!$A:$A,MATCH(AH327,ShipPartShape!$B:$B,0)),"-")</f>
        <v>-</v>
      </c>
      <c r="AJ327" s="11" t="s">
        <v>0</v>
      </c>
      <c r="AK327" s="11" t="s">
        <v>0</v>
      </c>
      <c r="AL327" s="11" t="s">
        <v>0</v>
      </c>
      <c r="AM327" s="11" t="s">
        <v>0</v>
      </c>
      <c r="AN327" s="11" t="s">
        <v>0</v>
      </c>
      <c r="AO327" s="11" t="s">
        <v>0</v>
      </c>
      <c r="AP327" s="11" t="s">
        <v>0</v>
      </c>
      <c r="AQ327" s="11" t="s">
        <v>0</v>
      </c>
      <c r="AR327" s="11" t="s">
        <v>0</v>
      </c>
      <c r="AS327" s="11" t="s">
        <v>0</v>
      </c>
      <c r="AT327" s="11" t="s">
        <v>0</v>
      </c>
      <c r="AU327" s="11">
        <v>47600018</v>
      </c>
      <c r="AV327" s="11" t="s">
        <v>0</v>
      </c>
      <c r="AW327" s="11" t="s">
        <v>0</v>
      </c>
      <c r="AX327" s="11">
        <v>1.5</v>
      </c>
    </row>
    <row r="328" spans="1:50" ht="15">
      <c r="A328" s="10">
        <f t="shared" si="5"/>
        <v>45000318</v>
      </c>
      <c r="B328" s="22" t="s">
        <v>3617</v>
      </c>
      <c r="C328" s="11" t="s">
        <v>3618</v>
      </c>
      <c r="D328" s="4" t="s">
        <v>3614</v>
      </c>
      <c r="E328" s="11">
        <v>700</v>
      </c>
      <c r="F328" s="11">
        <v>150</v>
      </c>
      <c r="G328" s="11">
        <v>20</v>
      </c>
      <c r="H328" s="11">
        <v>-40</v>
      </c>
      <c r="I328" s="11">
        <f>IFERROR(INDEX(ShipPartShape!$A:$A,MATCH(D328,ShipPartShape!$B:$B,0)),"-")</f>
        <v>46000293</v>
      </c>
      <c r="J328" s="4" t="s">
        <v>1212</v>
      </c>
      <c r="K328" s="11">
        <f>IFERROR(INDEX(ShipPartShape!$A:$A,MATCH(J328,ShipPartShape!$B:$B,0)),"-")</f>
        <v>46700005</v>
      </c>
      <c r="L328" s="4" t="s">
        <v>69</v>
      </c>
      <c r="M328" s="11">
        <f>IFERROR(INDEX(ShipPartShape!$A:$A,MATCH(L328,ShipPartShape!$B:$B,0)),"-")</f>
        <v>46300001</v>
      </c>
      <c r="N328" s="4"/>
      <c r="O328" s="11" t="str">
        <f>IFERROR(INDEX(ShipPartShape!$A:$A,MATCH(N328,ShipPartShape!$B:$B,0)),"-")</f>
        <v>-</v>
      </c>
      <c r="P328" s="4"/>
      <c r="Q328" s="11" t="str">
        <f>IFERROR(INDEX(ShipPartShape!$A:$A,MATCH(P328,ShipPartShape!$B:$B,0)),"-")</f>
        <v>-</v>
      </c>
      <c r="R328" s="4"/>
      <c r="S328" s="11" t="str">
        <f>IFERROR(INDEX(ShipPartShape!$A:$A,MATCH(R328,ShipPartShape!$B:$B,0)),"-")</f>
        <v>-</v>
      </c>
      <c r="T328" s="4"/>
      <c r="U328" s="11" t="str">
        <f>IFERROR(INDEX(ShipPartShape!$A:$A,MATCH(T328,ShipPartShape!$B:$B,0)),"-")</f>
        <v>-</v>
      </c>
      <c r="V328" s="4"/>
      <c r="W328" s="11" t="str">
        <f>IFERROR(INDEX(ShipPartShape!$A:$A,MATCH(V328,ShipPartShape!$B:$B,0)),"-")</f>
        <v>-</v>
      </c>
      <c r="X328" s="4"/>
      <c r="Y328" s="11" t="str">
        <f>IFERROR(INDEX(ShipPartShape!$A:$A,MATCH(X328,ShipPartShape!$B:$B,0)),"-")</f>
        <v>-</v>
      </c>
      <c r="Z328" s="4"/>
      <c r="AA328" s="11" t="str">
        <f>IFERROR(INDEX(ShipPartShape!$A:$A,MATCH(Z328,ShipPartShape!$B:$B,0)),"-")</f>
        <v>-</v>
      </c>
      <c r="AB328" s="4"/>
      <c r="AC328" s="11" t="str">
        <f>IFERROR(INDEX(ShipPartShape!$A:$A,MATCH(AB328,ShipPartShape!$B:$B,0)),"-")</f>
        <v>-</v>
      </c>
      <c r="AD328" s="4"/>
      <c r="AE328" s="11" t="str">
        <f>IFERROR(INDEX(ShipPartShape!$A:$A,MATCH(AD328,ShipPartShape!$B:$B,0)),"-")</f>
        <v>-</v>
      </c>
      <c r="AF328" s="4"/>
      <c r="AG328" s="11" t="str">
        <f>IFERROR(INDEX(ShipPartShape!$A:$A,MATCH(AF328,ShipPartShape!$B:$B,0)),"-")</f>
        <v>-</v>
      </c>
      <c r="AH328" s="4"/>
      <c r="AI328" s="11" t="str">
        <f>IFERROR(INDEX(ShipPartShape!$A:$A,MATCH(AH328,ShipPartShape!$B:$B,0)),"-")</f>
        <v>-</v>
      </c>
      <c r="AJ328" s="11" t="s">
        <v>0</v>
      </c>
      <c r="AK328" s="11" t="s">
        <v>0</v>
      </c>
      <c r="AL328" s="11" t="s">
        <v>0</v>
      </c>
      <c r="AM328" s="11" t="s">
        <v>0</v>
      </c>
      <c r="AN328" s="11" t="s">
        <v>0</v>
      </c>
      <c r="AO328" s="11" t="s">
        <v>0</v>
      </c>
      <c r="AP328" s="11" t="s">
        <v>0</v>
      </c>
      <c r="AQ328" s="11" t="s">
        <v>0</v>
      </c>
      <c r="AR328" s="11" t="s">
        <v>0</v>
      </c>
      <c r="AS328" s="11" t="s">
        <v>0</v>
      </c>
      <c r="AT328" s="11" t="s">
        <v>0</v>
      </c>
      <c r="AU328" s="11">
        <v>47600018</v>
      </c>
      <c r="AV328" s="11" t="s">
        <v>0</v>
      </c>
      <c r="AW328" s="11" t="s">
        <v>0</v>
      </c>
      <c r="AX328" s="11">
        <v>1.5</v>
      </c>
    </row>
    <row r="329" spans="1:50" ht="15">
      <c r="A329" s="10">
        <f t="shared" si="5"/>
        <v>45000319</v>
      </c>
      <c r="B329" s="22" t="s">
        <v>3631</v>
      </c>
      <c r="C329" s="11" t="s">
        <v>3632</v>
      </c>
      <c r="D329" s="4" t="s">
        <v>3625</v>
      </c>
      <c r="E329" s="11">
        <v>700</v>
      </c>
      <c r="F329" s="11">
        <v>150</v>
      </c>
      <c r="G329" s="11">
        <v>20</v>
      </c>
      <c r="H329" s="11">
        <v>-40</v>
      </c>
      <c r="I329" s="11">
        <f>IFERROR(INDEX(ShipPartShape!$A:$A,MATCH(D329,ShipPartShape!$B:$B,0)),"-")</f>
        <v>46000294</v>
      </c>
      <c r="J329" s="4" t="s">
        <v>1215</v>
      </c>
      <c r="K329" s="11">
        <f>IFERROR(INDEX(ShipPartShape!$A:$A,MATCH(J329,ShipPartShape!$B:$B,0)),"-")</f>
        <v>46700013</v>
      </c>
      <c r="L329" s="4" t="s">
        <v>1398</v>
      </c>
      <c r="M329" s="11">
        <f>IFERROR(INDEX(ShipPartShape!$A:$A,MATCH(L329,ShipPartShape!$B:$B,0)),"-")</f>
        <v>46300002</v>
      </c>
      <c r="N329" s="4" t="s">
        <v>3628</v>
      </c>
      <c r="O329" s="11">
        <f>IFERROR(INDEX(ShipPartShape!$A:$A,MATCH(N329,ShipPartShape!$B:$B,0)),"-")</f>
        <v>46500062</v>
      </c>
      <c r="P329" s="4"/>
      <c r="Q329" s="11" t="str">
        <f>IFERROR(INDEX(ShipPartShape!$A:$A,MATCH(P329,ShipPartShape!$B:$B,0)),"-")</f>
        <v>-</v>
      </c>
      <c r="R329" s="4"/>
      <c r="S329" s="11" t="str">
        <f>IFERROR(INDEX(ShipPartShape!$A:$A,MATCH(R329,ShipPartShape!$B:$B,0)),"-")</f>
        <v>-</v>
      </c>
      <c r="T329" s="4"/>
      <c r="U329" s="11" t="str">
        <f>IFERROR(INDEX(ShipPartShape!$A:$A,MATCH(T329,ShipPartShape!$B:$B,0)),"-")</f>
        <v>-</v>
      </c>
      <c r="V329" s="4" t="s">
        <v>606</v>
      </c>
      <c r="W329" s="11">
        <f>IFERROR(INDEX(ShipPartShape!$A:$A,MATCH(V329,ShipPartShape!$B:$B,0)),"-")</f>
        <v>46600003</v>
      </c>
      <c r="X329" s="4" t="s">
        <v>603</v>
      </c>
      <c r="Y329" s="11">
        <f>IFERROR(INDEX(ShipPartShape!$A:$A,MATCH(X329,ShipPartShape!$B:$B,0)),"-")</f>
        <v>46600007</v>
      </c>
      <c r="Z329" s="4"/>
      <c r="AA329" s="11" t="str">
        <f>IFERROR(INDEX(ShipPartShape!$A:$A,MATCH(Z329,ShipPartShape!$B:$B,0)),"-")</f>
        <v>-</v>
      </c>
      <c r="AB329" s="4"/>
      <c r="AC329" s="11" t="str">
        <f>IFERROR(INDEX(ShipPartShape!$A:$A,MATCH(AB329,ShipPartShape!$B:$B,0)),"-")</f>
        <v>-</v>
      </c>
      <c r="AD329" s="4"/>
      <c r="AE329" s="11" t="str">
        <f>IFERROR(INDEX(ShipPartShape!$A:$A,MATCH(AD329,ShipPartShape!$B:$B,0)),"-")</f>
        <v>-</v>
      </c>
      <c r="AF329" s="4"/>
      <c r="AG329" s="11" t="str">
        <f>IFERROR(INDEX(ShipPartShape!$A:$A,MATCH(AF329,ShipPartShape!$B:$B,0)),"-")</f>
        <v>-</v>
      </c>
      <c r="AH329" s="4"/>
      <c r="AI329" s="11" t="str">
        <f>IFERROR(INDEX(ShipPartShape!$A:$A,MATCH(AH329,ShipPartShape!$B:$B,0)),"-")</f>
        <v>-</v>
      </c>
      <c r="AJ329" s="11" t="s">
        <v>0</v>
      </c>
      <c r="AK329" s="11" t="s">
        <v>0</v>
      </c>
      <c r="AL329" s="11" t="s">
        <v>0</v>
      </c>
      <c r="AM329" s="11" t="s">
        <v>0</v>
      </c>
      <c r="AN329" s="11" t="s">
        <v>0</v>
      </c>
      <c r="AO329" s="11" t="s">
        <v>0</v>
      </c>
      <c r="AP329" s="11" t="s">
        <v>0</v>
      </c>
      <c r="AQ329" s="11" t="s">
        <v>0</v>
      </c>
      <c r="AR329" s="11" t="s">
        <v>0</v>
      </c>
      <c r="AS329" s="11" t="s">
        <v>0</v>
      </c>
      <c r="AT329" s="11" t="s">
        <v>0</v>
      </c>
      <c r="AU329" s="11">
        <v>47600018</v>
      </c>
      <c r="AV329" s="11" t="s">
        <v>0</v>
      </c>
      <c r="AW329" s="11" t="s">
        <v>0</v>
      </c>
      <c r="AX329" s="11">
        <v>1.5</v>
      </c>
    </row>
    <row r="330" spans="1:50" ht="15">
      <c r="A330" s="10">
        <f t="shared" si="5"/>
        <v>45000320</v>
      </c>
      <c r="B330" s="22" t="s">
        <v>3642</v>
      </c>
      <c r="C330" s="11" t="s">
        <v>3645</v>
      </c>
      <c r="D330" s="4" t="s">
        <v>3633</v>
      </c>
      <c r="E330" s="11">
        <v>700</v>
      </c>
      <c r="F330" s="11">
        <v>150</v>
      </c>
      <c r="G330" s="11">
        <v>20</v>
      </c>
      <c r="H330" s="11">
        <v>-40</v>
      </c>
      <c r="I330" s="11">
        <f>IFERROR(INDEX(ShipPartShape!$A:$A,MATCH(D330,ShipPartShape!$B:$B,0)),"-")</f>
        <v>46000295</v>
      </c>
      <c r="J330" s="4" t="s">
        <v>2831</v>
      </c>
      <c r="K330" s="11">
        <f>IFERROR(INDEX(ShipPartShape!$A:$A,MATCH(J330,ShipPartShape!$B:$B,0)),"-")</f>
        <v>46700012</v>
      </c>
      <c r="L330" s="4"/>
      <c r="M330" s="11" t="str">
        <f>IFERROR(INDEX(ShipPartShape!$A:$A,MATCH(L330,ShipPartShape!$B:$B,0)),"-")</f>
        <v>-</v>
      </c>
      <c r="N330" s="4"/>
      <c r="O330" s="11" t="str">
        <f>IFERROR(INDEX(ShipPartShape!$A:$A,MATCH(N330,ShipPartShape!$B:$B,0)),"-")</f>
        <v>-</v>
      </c>
      <c r="P330" s="4"/>
      <c r="Q330" s="11" t="str">
        <f>IFERROR(INDEX(ShipPartShape!$A:$A,MATCH(P330,ShipPartShape!$B:$B,0)),"-")</f>
        <v>-</v>
      </c>
      <c r="R330" s="4"/>
      <c r="S330" s="11" t="str">
        <f>IFERROR(INDEX(ShipPartShape!$A:$A,MATCH(R330,ShipPartShape!$B:$B,0)),"-")</f>
        <v>-</v>
      </c>
      <c r="T330" s="4"/>
      <c r="U330" s="11" t="str">
        <f>IFERROR(INDEX(ShipPartShape!$A:$A,MATCH(T330,ShipPartShape!$B:$B,0)),"-")</f>
        <v>-</v>
      </c>
      <c r="V330" s="4"/>
      <c r="W330" s="11" t="str">
        <f>IFERROR(INDEX(ShipPartShape!$A:$A,MATCH(V330,ShipPartShape!$B:$B,0)),"-")</f>
        <v>-</v>
      </c>
      <c r="X330" s="4"/>
      <c r="Y330" s="11" t="str">
        <f>IFERROR(INDEX(ShipPartShape!$A:$A,MATCH(X330,ShipPartShape!$B:$B,0)),"-")</f>
        <v>-</v>
      </c>
      <c r="Z330" s="4"/>
      <c r="AA330" s="11" t="str">
        <f>IFERROR(INDEX(ShipPartShape!$A:$A,MATCH(Z330,ShipPartShape!$B:$B,0)),"-")</f>
        <v>-</v>
      </c>
      <c r="AB330" s="4"/>
      <c r="AC330" s="11" t="str">
        <f>IFERROR(INDEX(ShipPartShape!$A:$A,MATCH(AB330,ShipPartShape!$B:$B,0)),"-")</f>
        <v>-</v>
      </c>
      <c r="AD330" s="4"/>
      <c r="AE330" s="11" t="str">
        <f>IFERROR(INDEX(ShipPartShape!$A:$A,MATCH(AD330,ShipPartShape!$B:$B,0)),"-")</f>
        <v>-</v>
      </c>
      <c r="AF330" s="4"/>
      <c r="AG330" s="11" t="str">
        <f>IFERROR(INDEX(ShipPartShape!$A:$A,MATCH(AF330,ShipPartShape!$B:$B,0)),"-")</f>
        <v>-</v>
      </c>
      <c r="AH330" s="4"/>
      <c r="AI330" s="11" t="str">
        <f>IFERROR(INDEX(ShipPartShape!$A:$A,MATCH(AH330,ShipPartShape!$B:$B,0)),"-")</f>
        <v>-</v>
      </c>
      <c r="AJ330" s="11" t="s">
        <v>0</v>
      </c>
      <c r="AK330" s="11" t="s">
        <v>0</v>
      </c>
      <c r="AL330" s="11" t="s">
        <v>0</v>
      </c>
      <c r="AM330" s="11" t="s">
        <v>0</v>
      </c>
      <c r="AN330" s="11" t="s">
        <v>0</v>
      </c>
      <c r="AO330" s="11" t="s">
        <v>0</v>
      </c>
      <c r="AP330" s="11" t="s">
        <v>0</v>
      </c>
      <c r="AQ330" s="11" t="s">
        <v>0</v>
      </c>
      <c r="AR330" s="11" t="s">
        <v>0</v>
      </c>
      <c r="AS330" s="11" t="s">
        <v>0</v>
      </c>
      <c r="AT330" s="11" t="s">
        <v>0</v>
      </c>
      <c r="AU330" s="11">
        <v>47600018</v>
      </c>
      <c r="AV330" s="11" t="s">
        <v>0</v>
      </c>
      <c r="AW330" s="11" t="s">
        <v>0</v>
      </c>
      <c r="AX330" s="11" t="s">
        <v>0</v>
      </c>
    </row>
    <row r="331" spans="1:50" ht="15">
      <c r="A331" s="10">
        <f t="shared" si="5"/>
        <v>45000321</v>
      </c>
      <c r="B331" s="22" t="s">
        <v>3643</v>
      </c>
      <c r="C331" s="11" t="s">
        <v>3645</v>
      </c>
      <c r="D331" s="4" t="s">
        <v>3635</v>
      </c>
      <c r="E331" s="11">
        <v>700</v>
      </c>
      <c r="F331" s="11">
        <v>150</v>
      </c>
      <c r="G331" s="11">
        <v>20</v>
      </c>
      <c r="H331" s="11">
        <v>-40</v>
      </c>
      <c r="I331" s="11">
        <f>IFERROR(INDEX(ShipPartShape!$A:$A,MATCH(D331,ShipPartShape!$B:$B,0)),"-")</f>
        <v>46000296</v>
      </c>
      <c r="J331" s="4" t="s">
        <v>2831</v>
      </c>
      <c r="K331" s="11">
        <f>IFERROR(INDEX(ShipPartShape!$A:$A,MATCH(J331,ShipPartShape!$B:$B,0)),"-")</f>
        <v>46700012</v>
      </c>
      <c r="L331" s="4"/>
      <c r="M331" s="11" t="str">
        <f>IFERROR(INDEX(ShipPartShape!$A:$A,MATCH(L331,ShipPartShape!$B:$B,0)),"-")</f>
        <v>-</v>
      </c>
      <c r="N331" s="4"/>
      <c r="O331" s="11" t="str">
        <f>IFERROR(INDEX(ShipPartShape!$A:$A,MATCH(N331,ShipPartShape!$B:$B,0)),"-")</f>
        <v>-</v>
      </c>
      <c r="P331" s="4"/>
      <c r="Q331" s="11" t="str">
        <f>IFERROR(INDEX(ShipPartShape!$A:$A,MATCH(P331,ShipPartShape!$B:$B,0)),"-")</f>
        <v>-</v>
      </c>
      <c r="R331" s="4"/>
      <c r="S331" s="11" t="str">
        <f>IFERROR(INDEX(ShipPartShape!$A:$A,MATCH(R331,ShipPartShape!$B:$B,0)),"-")</f>
        <v>-</v>
      </c>
      <c r="T331" s="4"/>
      <c r="U331" s="11" t="str">
        <f>IFERROR(INDEX(ShipPartShape!$A:$A,MATCH(T331,ShipPartShape!$B:$B,0)),"-")</f>
        <v>-</v>
      </c>
      <c r="V331" s="4"/>
      <c r="W331" s="11" t="str">
        <f>IFERROR(INDEX(ShipPartShape!$A:$A,MATCH(V331,ShipPartShape!$B:$B,0)),"-")</f>
        <v>-</v>
      </c>
      <c r="X331" s="4"/>
      <c r="Y331" s="11" t="str">
        <f>IFERROR(INDEX(ShipPartShape!$A:$A,MATCH(X331,ShipPartShape!$B:$B,0)),"-")</f>
        <v>-</v>
      </c>
      <c r="Z331" s="4"/>
      <c r="AA331" s="11" t="str">
        <f>IFERROR(INDEX(ShipPartShape!$A:$A,MATCH(Z331,ShipPartShape!$B:$B,0)),"-")</f>
        <v>-</v>
      </c>
      <c r="AB331" s="4"/>
      <c r="AC331" s="11" t="str">
        <f>IFERROR(INDEX(ShipPartShape!$A:$A,MATCH(AB331,ShipPartShape!$B:$B,0)),"-")</f>
        <v>-</v>
      </c>
      <c r="AD331" s="4"/>
      <c r="AE331" s="11" t="str">
        <f>IFERROR(INDEX(ShipPartShape!$A:$A,MATCH(AD331,ShipPartShape!$B:$B,0)),"-")</f>
        <v>-</v>
      </c>
      <c r="AF331" s="4"/>
      <c r="AG331" s="11" t="str">
        <f>IFERROR(INDEX(ShipPartShape!$A:$A,MATCH(AF331,ShipPartShape!$B:$B,0)),"-")</f>
        <v>-</v>
      </c>
      <c r="AH331" s="4"/>
      <c r="AI331" s="11" t="str">
        <f>IFERROR(INDEX(ShipPartShape!$A:$A,MATCH(AH331,ShipPartShape!$B:$B,0)),"-")</f>
        <v>-</v>
      </c>
      <c r="AJ331" s="11" t="s">
        <v>0</v>
      </c>
      <c r="AK331" s="11" t="s">
        <v>0</v>
      </c>
      <c r="AL331" s="11" t="s">
        <v>0</v>
      </c>
      <c r="AM331" s="11" t="s">
        <v>0</v>
      </c>
      <c r="AN331" s="11" t="s">
        <v>0</v>
      </c>
      <c r="AO331" s="11" t="s">
        <v>0</v>
      </c>
      <c r="AP331" s="11" t="s">
        <v>0</v>
      </c>
      <c r="AQ331" s="11" t="s">
        <v>0</v>
      </c>
      <c r="AR331" s="11" t="s">
        <v>0</v>
      </c>
      <c r="AS331" s="11" t="s">
        <v>0</v>
      </c>
      <c r="AT331" s="11" t="s">
        <v>0</v>
      </c>
      <c r="AU331" s="11">
        <v>47600018</v>
      </c>
      <c r="AV331" s="11" t="s">
        <v>0</v>
      </c>
      <c r="AW331" s="11" t="s">
        <v>0</v>
      </c>
      <c r="AX331" s="11" t="s">
        <v>0</v>
      </c>
    </row>
    <row r="332" spans="1:50" ht="15">
      <c r="A332" s="10">
        <f t="shared" si="5"/>
        <v>45000322</v>
      </c>
      <c r="B332" s="22" t="s">
        <v>3644</v>
      </c>
      <c r="C332" s="11" t="s">
        <v>3645</v>
      </c>
      <c r="D332" s="4" t="s">
        <v>3637</v>
      </c>
      <c r="E332" s="11">
        <v>700</v>
      </c>
      <c r="F332" s="11">
        <v>150</v>
      </c>
      <c r="G332" s="11">
        <v>20</v>
      </c>
      <c r="H332" s="11">
        <v>-40</v>
      </c>
      <c r="I332" s="11">
        <f>IFERROR(INDEX(ShipPartShape!$A:$A,MATCH(D332,ShipPartShape!$B:$B,0)),"-")</f>
        <v>46000297</v>
      </c>
      <c r="J332" s="4" t="s">
        <v>2831</v>
      </c>
      <c r="K332" s="11">
        <f>IFERROR(INDEX(ShipPartShape!$A:$A,MATCH(J332,ShipPartShape!$B:$B,0)),"-")</f>
        <v>46700012</v>
      </c>
      <c r="L332" s="4"/>
      <c r="M332" s="11" t="str">
        <f>IFERROR(INDEX(ShipPartShape!$A:$A,MATCH(L332,ShipPartShape!$B:$B,0)),"-")</f>
        <v>-</v>
      </c>
      <c r="N332" s="4"/>
      <c r="O332" s="11" t="str">
        <f>IFERROR(INDEX(ShipPartShape!$A:$A,MATCH(N332,ShipPartShape!$B:$B,0)),"-")</f>
        <v>-</v>
      </c>
      <c r="P332" s="4"/>
      <c r="Q332" s="11" t="str">
        <f>IFERROR(INDEX(ShipPartShape!$A:$A,MATCH(P332,ShipPartShape!$B:$B,0)),"-")</f>
        <v>-</v>
      </c>
      <c r="R332" s="4"/>
      <c r="S332" s="11" t="str">
        <f>IFERROR(INDEX(ShipPartShape!$A:$A,MATCH(R332,ShipPartShape!$B:$B,0)),"-")</f>
        <v>-</v>
      </c>
      <c r="T332" s="4"/>
      <c r="U332" s="11" t="str">
        <f>IFERROR(INDEX(ShipPartShape!$A:$A,MATCH(T332,ShipPartShape!$B:$B,0)),"-")</f>
        <v>-</v>
      </c>
      <c r="V332" s="4"/>
      <c r="W332" s="11" t="str">
        <f>IFERROR(INDEX(ShipPartShape!$A:$A,MATCH(V332,ShipPartShape!$B:$B,0)),"-")</f>
        <v>-</v>
      </c>
      <c r="X332" s="4"/>
      <c r="Y332" s="11" t="str">
        <f>IFERROR(INDEX(ShipPartShape!$A:$A,MATCH(X332,ShipPartShape!$B:$B,0)),"-")</f>
        <v>-</v>
      </c>
      <c r="Z332" s="4"/>
      <c r="AA332" s="11" t="str">
        <f>IFERROR(INDEX(ShipPartShape!$A:$A,MATCH(Z332,ShipPartShape!$B:$B,0)),"-")</f>
        <v>-</v>
      </c>
      <c r="AB332" s="4"/>
      <c r="AC332" s="11" t="str">
        <f>IFERROR(INDEX(ShipPartShape!$A:$A,MATCH(AB332,ShipPartShape!$B:$B,0)),"-")</f>
        <v>-</v>
      </c>
      <c r="AD332" s="4"/>
      <c r="AE332" s="11" t="str">
        <f>IFERROR(INDEX(ShipPartShape!$A:$A,MATCH(AD332,ShipPartShape!$B:$B,0)),"-")</f>
        <v>-</v>
      </c>
      <c r="AF332" s="4"/>
      <c r="AG332" s="11" t="str">
        <f>IFERROR(INDEX(ShipPartShape!$A:$A,MATCH(AF332,ShipPartShape!$B:$B,0)),"-")</f>
        <v>-</v>
      </c>
      <c r="AH332" s="4"/>
      <c r="AI332" s="11" t="str">
        <f>IFERROR(INDEX(ShipPartShape!$A:$A,MATCH(AH332,ShipPartShape!$B:$B,0)),"-")</f>
        <v>-</v>
      </c>
      <c r="AJ332" s="11" t="s">
        <v>0</v>
      </c>
      <c r="AK332" s="11" t="s">
        <v>0</v>
      </c>
      <c r="AL332" s="11" t="s">
        <v>0</v>
      </c>
      <c r="AM332" s="11" t="s">
        <v>0</v>
      </c>
      <c r="AN332" s="11" t="s">
        <v>0</v>
      </c>
      <c r="AO332" s="11" t="s">
        <v>0</v>
      </c>
      <c r="AP332" s="11" t="s">
        <v>0</v>
      </c>
      <c r="AQ332" s="11" t="s">
        <v>0</v>
      </c>
      <c r="AR332" s="11" t="s">
        <v>0</v>
      </c>
      <c r="AS332" s="11" t="s">
        <v>0</v>
      </c>
      <c r="AT332" s="11" t="s">
        <v>0</v>
      </c>
      <c r="AU332" s="11">
        <v>47600018</v>
      </c>
      <c r="AV332" s="11" t="s">
        <v>0</v>
      </c>
      <c r="AW332" s="11" t="s">
        <v>0</v>
      </c>
      <c r="AX332" s="11" t="s">
        <v>0</v>
      </c>
    </row>
    <row r="333" spans="1:50" ht="15">
      <c r="A333" s="10">
        <f t="shared" si="5"/>
        <v>45000323</v>
      </c>
      <c r="B333" s="22" t="s">
        <v>3648</v>
      </c>
      <c r="C333" s="11" t="s">
        <v>3647</v>
      </c>
      <c r="D333" s="4" t="s">
        <v>3649</v>
      </c>
      <c r="E333" s="11">
        <v>700</v>
      </c>
      <c r="F333" s="11">
        <v>150</v>
      </c>
      <c r="G333" s="11">
        <v>20</v>
      </c>
      <c r="H333" s="11">
        <v>-40</v>
      </c>
      <c r="I333" s="11">
        <f>IFERROR(INDEX(ShipPartShape!$A:$A,MATCH(D333,ShipPartShape!$B:$B,0)),"-")</f>
        <v>46000298</v>
      </c>
      <c r="J333" s="4" t="s">
        <v>1257</v>
      </c>
      <c r="K333" s="11">
        <f>IFERROR(INDEX(ShipPartShape!$A:$A,MATCH(J333,ShipPartShape!$B:$B,0)),"-")</f>
        <v>46700012</v>
      </c>
      <c r="L333" s="4"/>
      <c r="M333" s="11" t="str">
        <f>IFERROR(INDEX(ShipPartShape!$A:$A,MATCH(L333,ShipPartShape!$B:$B,0)),"-")</f>
        <v>-</v>
      </c>
      <c r="N333" s="4"/>
      <c r="O333" s="11" t="str">
        <f>IFERROR(INDEX(ShipPartShape!$A:$A,MATCH(N333,ShipPartShape!$B:$B,0)),"-")</f>
        <v>-</v>
      </c>
      <c r="P333" s="4"/>
      <c r="Q333" s="11" t="str">
        <f>IFERROR(INDEX(ShipPartShape!$A:$A,MATCH(P333,ShipPartShape!$B:$B,0)),"-")</f>
        <v>-</v>
      </c>
      <c r="R333" s="4"/>
      <c r="S333" s="11" t="str">
        <f>IFERROR(INDEX(ShipPartShape!$A:$A,MATCH(R333,ShipPartShape!$B:$B,0)),"-")</f>
        <v>-</v>
      </c>
      <c r="T333" s="4" t="s">
        <v>602</v>
      </c>
      <c r="U333" s="11">
        <f>IFERROR(INDEX(ShipPartShape!$A:$A,MATCH(T333,ShipPartShape!$B:$B,0)),"-")</f>
        <v>46600002</v>
      </c>
      <c r="V333" s="4" t="s">
        <v>603</v>
      </c>
      <c r="W333" s="11">
        <f>IFERROR(INDEX(ShipPartShape!$A:$A,MATCH(V333,ShipPartShape!$B:$B,0)),"-")</f>
        <v>46600007</v>
      </c>
      <c r="X333" s="4" t="s">
        <v>606</v>
      </c>
      <c r="Y333" s="11">
        <f>IFERROR(INDEX(ShipPartShape!$A:$A,MATCH(X333,ShipPartShape!$B:$B,0)),"-")</f>
        <v>46600003</v>
      </c>
      <c r="Z333" s="4" t="s">
        <v>604</v>
      </c>
      <c r="AA333" s="11">
        <f>IFERROR(INDEX(ShipPartShape!$A:$A,MATCH(Z333,ShipPartShape!$B:$B,0)),"-")</f>
        <v>46600005</v>
      </c>
      <c r="AB333" s="4"/>
      <c r="AC333" s="11" t="str">
        <f>IFERROR(INDEX(ShipPartShape!$A:$A,MATCH(AB333,ShipPartShape!$B:$B,0)),"-")</f>
        <v>-</v>
      </c>
      <c r="AD333" s="4"/>
      <c r="AE333" s="11" t="str">
        <f>IFERROR(INDEX(ShipPartShape!$A:$A,MATCH(AD333,ShipPartShape!$B:$B,0)),"-")</f>
        <v>-</v>
      </c>
      <c r="AF333" s="4"/>
      <c r="AG333" s="11" t="str">
        <f>IFERROR(INDEX(ShipPartShape!$A:$A,MATCH(AF333,ShipPartShape!$B:$B,0)),"-")</f>
        <v>-</v>
      </c>
      <c r="AH333" s="4"/>
      <c r="AI333" s="11" t="str">
        <f>IFERROR(INDEX(ShipPartShape!$A:$A,MATCH(AH333,ShipPartShape!$B:$B,0)),"-")</f>
        <v>-</v>
      </c>
      <c r="AJ333" s="11" t="s">
        <v>0</v>
      </c>
      <c r="AK333" s="11" t="s">
        <v>0</v>
      </c>
      <c r="AL333" s="11" t="s">
        <v>0</v>
      </c>
      <c r="AM333" s="11" t="s">
        <v>0</v>
      </c>
      <c r="AN333" s="11" t="s">
        <v>0</v>
      </c>
      <c r="AO333" s="11" t="s">
        <v>0</v>
      </c>
      <c r="AP333" s="11" t="s">
        <v>0</v>
      </c>
      <c r="AQ333" s="11" t="s">
        <v>0</v>
      </c>
      <c r="AR333" s="11" t="s">
        <v>0</v>
      </c>
      <c r="AS333" s="11" t="s">
        <v>0</v>
      </c>
      <c r="AT333" s="11" t="s">
        <v>0</v>
      </c>
      <c r="AU333" s="11">
        <v>47600018</v>
      </c>
      <c r="AV333" s="11" t="s">
        <v>0</v>
      </c>
      <c r="AW333" s="11" t="s">
        <v>0</v>
      </c>
      <c r="AX333" s="11">
        <v>1.5</v>
      </c>
    </row>
    <row r="334" spans="1:50" ht="15">
      <c r="A334" s="10">
        <f t="shared" si="5"/>
        <v>45000324</v>
      </c>
      <c r="B334" s="22" t="s">
        <v>3654</v>
      </c>
      <c r="C334" s="11" t="s">
        <v>3655</v>
      </c>
      <c r="D334" s="4" t="s">
        <v>3651</v>
      </c>
      <c r="E334" s="11">
        <v>600</v>
      </c>
      <c r="F334" s="11">
        <v>150</v>
      </c>
      <c r="G334" s="11">
        <v>20</v>
      </c>
      <c r="H334" s="11">
        <v>-40</v>
      </c>
      <c r="I334" s="11">
        <f>IFERROR(INDEX(ShipPartShape!$A:$A,MATCH(D334,ShipPartShape!$B:$B,0)),"-")</f>
        <v>46000299</v>
      </c>
      <c r="J334" s="4" t="s">
        <v>1215</v>
      </c>
      <c r="K334" s="11">
        <f>IFERROR(INDEX(ShipPartShape!$A:$A,MATCH(J334,ShipPartShape!$B:$B,0)),"-")</f>
        <v>46700013</v>
      </c>
      <c r="L334" s="4"/>
      <c r="M334" s="11" t="str">
        <f>IFERROR(INDEX(ShipPartShape!$A:$A,MATCH(L334,ShipPartShape!$B:$B,0)),"-")</f>
        <v>-</v>
      </c>
      <c r="N334" s="4"/>
      <c r="O334" s="11" t="str">
        <f>IFERROR(INDEX(ShipPartShape!$A:$A,MATCH(N334,ShipPartShape!$B:$B,0)),"-")</f>
        <v>-</v>
      </c>
      <c r="P334" s="4"/>
      <c r="Q334" s="11" t="str">
        <f>IFERROR(INDEX(ShipPartShape!$A:$A,MATCH(P334,ShipPartShape!$B:$B,0)),"-")</f>
        <v>-</v>
      </c>
      <c r="R334" s="4"/>
      <c r="S334" s="11" t="str">
        <f>IFERROR(INDEX(ShipPartShape!$A:$A,MATCH(R334,ShipPartShape!$B:$B,0)),"-")</f>
        <v>-</v>
      </c>
      <c r="T334" s="4"/>
      <c r="U334" s="11" t="str">
        <f>IFERROR(INDEX(ShipPartShape!$A:$A,MATCH(T334,ShipPartShape!$B:$B,0)),"-")</f>
        <v>-</v>
      </c>
      <c r="V334" s="4"/>
      <c r="W334" s="11" t="str">
        <f>IFERROR(INDEX(ShipPartShape!$A:$A,MATCH(V334,ShipPartShape!$B:$B,0)),"-")</f>
        <v>-</v>
      </c>
      <c r="X334" s="4"/>
      <c r="Y334" s="11" t="str">
        <f>IFERROR(INDEX(ShipPartShape!$A:$A,MATCH(X334,ShipPartShape!$B:$B,0)),"-")</f>
        <v>-</v>
      </c>
      <c r="Z334" s="4"/>
      <c r="AA334" s="11" t="str">
        <f>IFERROR(INDEX(ShipPartShape!$A:$A,MATCH(Z334,ShipPartShape!$B:$B,0)),"-")</f>
        <v>-</v>
      </c>
      <c r="AB334" s="4"/>
      <c r="AC334" s="11" t="str">
        <f>IFERROR(INDEX(ShipPartShape!$A:$A,MATCH(AB334,ShipPartShape!$B:$B,0)),"-")</f>
        <v>-</v>
      </c>
      <c r="AD334" s="4"/>
      <c r="AE334" s="11" t="str">
        <f>IFERROR(INDEX(ShipPartShape!$A:$A,MATCH(AD334,ShipPartShape!$B:$B,0)),"-")</f>
        <v>-</v>
      </c>
      <c r="AF334" s="4"/>
      <c r="AG334" s="11" t="str">
        <f>IFERROR(INDEX(ShipPartShape!$A:$A,MATCH(AF334,ShipPartShape!$B:$B,0)),"-")</f>
        <v>-</v>
      </c>
      <c r="AH334" s="4"/>
      <c r="AI334" s="11" t="str">
        <f>IFERROR(INDEX(ShipPartShape!$A:$A,MATCH(AH334,ShipPartShape!$B:$B,0)),"-")</f>
        <v>-</v>
      </c>
      <c r="AJ334" s="11" t="s">
        <v>0</v>
      </c>
      <c r="AK334" s="11" t="s">
        <v>0</v>
      </c>
      <c r="AL334" s="11" t="s">
        <v>0</v>
      </c>
      <c r="AM334" s="11" t="s">
        <v>0</v>
      </c>
      <c r="AN334" s="11" t="s">
        <v>0</v>
      </c>
      <c r="AO334" s="11" t="s">
        <v>0</v>
      </c>
      <c r="AP334" s="11" t="s">
        <v>0</v>
      </c>
      <c r="AQ334" s="11" t="s">
        <v>0</v>
      </c>
      <c r="AR334" s="11" t="s">
        <v>0</v>
      </c>
      <c r="AS334" s="11" t="s">
        <v>0</v>
      </c>
      <c r="AT334" s="11" t="s">
        <v>0</v>
      </c>
      <c r="AU334" s="11">
        <v>47600018</v>
      </c>
      <c r="AV334" s="11" t="s">
        <v>0</v>
      </c>
      <c r="AW334" s="11" t="s">
        <v>0</v>
      </c>
      <c r="AX334" s="11">
        <v>1.5</v>
      </c>
    </row>
    <row r="335" spans="1:50" ht="15">
      <c r="A335" s="10">
        <f t="shared" si="5"/>
        <v>45000325</v>
      </c>
      <c r="B335" s="22" t="s">
        <v>3673</v>
      </c>
      <c r="C335" s="11" t="s">
        <v>3678</v>
      </c>
      <c r="D335" s="4" t="s">
        <v>3674</v>
      </c>
      <c r="E335" s="11">
        <v>700</v>
      </c>
      <c r="F335" s="11">
        <v>150</v>
      </c>
      <c r="G335" s="11">
        <v>20</v>
      </c>
      <c r="H335" s="11">
        <v>-40</v>
      </c>
      <c r="I335" s="11">
        <f>IFERROR(INDEX(ShipPartShape!$A:$A,MATCH(D335,ShipPartShape!$B:$B,0)),"-")</f>
        <v>46000300</v>
      </c>
      <c r="J335" s="4" t="s">
        <v>1374</v>
      </c>
      <c r="K335" s="11">
        <f>IFERROR(INDEX(ShipPartShape!$A:$A,MATCH(J335,ShipPartShape!$B:$B,0)),"-")</f>
        <v>46700008</v>
      </c>
      <c r="L335" s="4"/>
      <c r="M335" s="11" t="str">
        <f>IFERROR(INDEX(ShipPartShape!$A:$A,MATCH(L335,ShipPartShape!$B:$B,0)),"-")</f>
        <v>-</v>
      </c>
      <c r="N335" s="4"/>
      <c r="O335" s="11" t="str">
        <f>IFERROR(INDEX(ShipPartShape!$A:$A,MATCH(N335,ShipPartShape!$B:$B,0)),"-")</f>
        <v>-</v>
      </c>
      <c r="P335" s="4"/>
      <c r="Q335" s="11" t="str">
        <f>IFERROR(INDEX(ShipPartShape!$A:$A,MATCH(P335,ShipPartShape!$B:$B,0)),"-")</f>
        <v>-</v>
      </c>
      <c r="R335" s="4"/>
      <c r="S335" s="11" t="str">
        <f>IFERROR(INDEX(ShipPartShape!$A:$A,MATCH(R335,ShipPartShape!$B:$B,0)),"-")</f>
        <v>-</v>
      </c>
      <c r="T335" s="4" t="s">
        <v>601</v>
      </c>
      <c r="U335" s="11">
        <f>IFERROR(INDEX(ShipPartShape!$A:$A,MATCH(T335,ShipPartShape!$B:$B,0)),"-")</f>
        <v>46600001</v>
      </c>
      <c r="V335" s="4" t="s">
        <v>602</v>
      </c>
      <c r="W335" s="11">
        <f>IFERROR(INDEX(ShipPartShape!$A:$A,MATCH(V335,ShipPartShape!$B:$B,0)),"-")</f>
        <v>46600002</v>
      </c>
      <c r="X335" s="4"/>
      <c r="Y335" s="11" t="str">
        <f>IFERROR(INDEX(ShipPartShape!$A:$A,MATCH(X335,ShipPartShape!$B:$B,0)),"-")</f>
        <v>-</v>
      </c>
      <c r="Z335" s="4"/>
      <c r="AA335" s="11" t="str">
        <f>IFERROR(INDEX(ShipPartShape!$A:$A,MATCH(Z335,ShipPartShape!$B:$B,0)),"-")</f>
        <v>-</v>
      </c>
      <c r="AB335" s="4"/>
      <c r="AC335" s="11" t="str">
        <f>IFERROR(INDEX(ShipPartShape!$A:$A,MATCH(AB335,ShipPartShape!$B:$B,0)),"-")</f>
        <v>-</v>
      </c>
      <c r="AD335" s="4"/>
      <c r="AE335" s="11" t="str">
        <f>IFERROR(INDEX(ShipPartShape!$A:$A,MATCH(AD335,ShipPartShape!$B:$B,0)),"-")</f>
        <v>-</v>
      </c>
      <c r="AF335" s="4"/>
      <c r="AG335" s="11" t="str">
        <f>IFERROR(INDEX(ShipPartShape!$A:$A,MATCH(AF335,ShipPartShape!$B:$B,0)),"-")</f>
        <v>-</v>
      </c>
      <c r="AH335" s="4"/>
      <c r="AI335" s="11" t="str">
        <f>IFERROR(INDEX(ShipPartShape!$A:$A,MATCH(AH335,ShipPartShape!$B:$B,0)),"-")</f>
        <v>-</v>
      </c>
      <c r="AJ335" s="11" t="s">
        <v>0</v>
      </c>
      <c r="AK335" s="11" t="s">
        <v>0</v>
      </c>
      <c r="AL335" s="11" t="s">
        <v>0</v>
      </c>
      <c r="AM335" s="11" t="s">
        <v>0</v>
      </c>
      <c r="AN335" s="11" t="s">
        <v>0</v>
      </c>
      <c r="AO335" s="11" t="s">
        <v>0</v>
      </c>
      <c r="AP335" s="11" t="s">
        <v>0</v>
      </c>
      <c r="AQ335" s="11" t="s">
        <v>0</v>
      </c>
      <c r="AR335" s="11" t="s">
        <v>0</v>
      </c>
      <c r="AS335" s="11" t="s">
        <v>0</v>
      </c>
      <c r="AT335" s="11" t="s">
        <v>0</v>
      </c>
      <c r="AU335" s="11">
        <v>47600018</v>
      </c>
      <c r="AV335" s="11" t="s">
        <v>0</v>
      </c>
      <c r="AW335" s="11" t="s">
        <v>0</v>
      </c>
      <c r="AX335" s="11">
        <v>1.5</v>
      </c>
    </row>
    <row r="336" spans="1:50" ht="15">
      <c r="A336" s="10">
        <f t="shared" si="5"/>
        <v>45000326</v>
      </c>
      <c r="B336" s="23" t="s">
        <v>3679</v>
      </c>
      <c r="C336" s="11" t="s">
        <v>3680</v>
      </c>
      <c r="D336" s="4" t="s">
        <v>3676</v>
      </c>
      <c r="E336" s="11">
        <v>700</v>
      </c>
      <c r="F336" s="11">
        <v>150</v>
      </c>
      <c r="G336" s="11">
        <v>20</v>
      </c>
      <c r="H336" s="11">
        <v>-40</v>
      </c>
      <c r="I336" s="11">
        <f>IFERROR(INDEX(ShipPartShape!$A:$A,MATCH(D336,ShipPartShape!$B:$B,0)),"-")</f>
        <v>46000301</v>
      </c>
      <c r="J336" s="4" t="s">
        <v>1213</v>
      </c>
      <c r="K336" s="11">
        <f>IFERROR(INDEX(ShipPartShape!$A:$A,MATCH(J336,ShipPartShape!$B:$B,0)),"-")</f>
        <v>46700010</v>
      </c>
      <c r="L336" s="4" t="s">
        <v>69</v>
      </c>
      <c r="M336" s="11">
        <f>IFERROR(INDEX(ShipPartShape!$A:$A,MATCH(L336,ShipPartShape!$B:$B,0)),"-")</f>
        <v>46300001</v>
      </c>
      <c r="N336" s="4" t="s">
        <v>158</v>
      </c>
      <c r="O336" s="11">
        <f>IFERROR(INDEX(ShipPartShape!$A:$A,MATCH(N336,ShipPartShape!$B:$B,0)),"-")</f>
        <v>46550001</v>
      </c>
      <c r="P336" s="4"/>
      <c r="Q336" s="11" t="str">
        <f>IFERROR(INDEX(ShipPartShape!$A:$A,MATCH(P336,ShipPartShape!$B:$B,0)),"-")</f>
        <v>-</v>
      </c>
      <c r="R336" s="4"/>
      <c r="S336" s="11" t="str">
        <f>IFERROR(INDEX(ShipPartShape!$A:$A,MATCH(R336,ShipPartShape!$B:$B,0)),"-")</f>
        <v>-</v>
      </c>
      <c r="T336" s="4"/>
      <c r="U336" s="11" t="str">
        <f>IFERROR(INDEX(ShipPartShape!$A:$A,MATCH(T336,ShipPartShape!$B:$B,0)),"-")</f>
        <v>-</v>
      </c>
      <c r="V336" s="4"/>
      <c r="W336" s="11" t="str">
        <f>IFERROR(INDEX(ShipPartShape!$A:$A,MATCH(V336,ShipPartShape!$B:$B,0)),"-")</f>
        <v>-</v>
      </c>
      <c r="X336" s="4"/>
      <c r="Y336" s="11" t="str">
        <f>IFERROR(INDEX(ShipPartShape!$A:$A,MATCH(X336,ShipPartShape!$B:$B,0)),"-")</f>
        <v>-</v>
      </c>
      <c r="Z336" s="4"/>
      <c r="AA336" s="11" t="str">
        <f>IFERROR(INDEX(ShipPartShape!$A:$A,MATCH(Z336,ShipPartShape!$B:$B,0)),"-")</f>
        <v>-</v>
      </c>
      <c r="AB336" s="4"/>
      <c r="AC336" s="11" t="str">
        <f>IFERROR(INDEX(ShipPartShape!$A:$A,MATCH(AB336,ShipPartShape!$B:$B,0)),"-")</f>
        <v>-</v>
      </c>
      <c r="AD336" s="4"/>
      <c r="AE336" s="11" t="str">
        <f>IFERROR(INDEX(ShipPartShape!$A:$A,MATCH(AD336,ShipPartShape!$B:$B,0)),"-")</f>
        <v>-</v>
      </c>
      <c r="AF336" s="4"/>
      <c r="AG336" s="11" t="str">
        <f>IFERROR(INDEX(ShipPartShape!$A:$A,MATCH(AF336,ShipPartShape!$B:$B,0)),"-")</f>
        <v>-</v>
      </c>
      <c r="AH336" s="4"/>
      <c r="AI336" s="11" t="str">
        <f>IFERROR(INDEX(ShipPartShape!$A:$A,MATCH(AH336,ShipPartShape!$B:$B,0)),"-")</f>
        <v>-</v>
      </c>
      <c r="AJ336" s="11" t="s">
        <v>0</v>
      </c>
      <c r="AK336" s="11" t="s">
        <v>0</v>
      </c>
      <c r="AL336" s="11" t="s">
        <v>0</v>
      </c>
      <c r="AM336" s="11" t="s">
        <v>0</v>
      </c>
      <c r="AN336" s="11" t="s">
        <v>0</v>
      </c>
      <c r="AO336" s="11" t="s">
        <v>0</v>
      </c>
      <c r="AP336" s="11" t="s">
        <v>0</v>
      </c>
      <c r="AQ336" s="11" t="s">
        <v>0</v>
      </c>
      <c r="AR336" s="11" t="s">
        <v>0</v>
      </c>
      <c r="AS336" s="11" t="s">
        <v>0</v>
      </c>
      <c r="AT336" s="11" t="s">
        <v>0</v>
      </c>
      <c r="AU336" s="11">
        <v>47600018</v>
      </c>
      <c r="AV336" s="11" t="s">
        <v>0</v>
      </c>
      <c r="AW336" s="11" t="s">
        <v>0</v>
      </c>
      <c r="AX336" s="11">
        <v>1.5</v>
      </c>
    </row>
    <row r="337" spans="1:50" ht="15">
      <c r="A337" s="10">
        <f t="shared" si="5"/>
        <v>45000327</v>
      </c>
      <c r="B337" s="23" t="s">
        <v>3690</v>
      </c>
      <c r="C337" s="11" t="s">
        <v>3697</v>
      </c>
      <c r="D337" s="4" t="s">
        <v>3684</v>
      </c>
      <c r="E337" s="11">
        <v>700</v>
      </c>
      <c r="F337" s="11">
        <v>100</v>
      </c>
      <c r="G337" s="11">
        <v>20</v>
      </c>
      <c r="H337" s="11">
        <v>-40</v>
      </c>
      <c r="I337" s="11">
        <f>IFERROR(INDEX(ShipPartShape!$A:$A,MATCH(D337,ShipPartShape!$B:$B,0)),"-")</f>
        <v>46000302</v>
      </c>
      <c r="J337" s="4" t="s">
        <v>1216</v>
      </c>
      <c r="K337" s="11">
        <f>IFERROR(INDEX(ShipPartShape!$A:$A,MATCH(J337,ShipPartShape!$B:$B,0)),"-")</f>
        <v>46700014</v>
      </c>
      <c r="L337" s="4" t="s">
        <v>69</v>
      </c>
      <c r="M337" s="11">
        <f>IFERROR(INDEX(ShipPartShape!$A:$A,MATCH(L337,ShipPartShape!$B:$B,0)),"-")</f>
        <v>46300001</v>
      </c>
      <c r="N337" s="4"/>
      <c r="O337" s="11" t="str">
        <f>IFERROR(INDEX(ShipPartShape!$A:$A,MATCH(N337,ShipPartShape!$B:$B,0)),"-")</f>
        <v>-</v>
      </c>
      <c r="P337" s="4"/>
      <c r="Q337" s="11" t="str">
        <f>IFERROR(INDEX(ShipPartShape!$A:$A,MATCH(P337,ShipPartShape!$B:$B,0)),"-")</f>
        <v>-</v>
      </c>
      <c r="R337" s="4"/>
      <c r="S337" s="11" t="str">
        <f>IFERROR(INDEX(ShipPartShape!$A:$A,MATCH(R337,ShipPartShape!$B:$B,0)),"-")</f>
        <v>-</v>
      </c>
      <c r="T337" s="4" t="s">
        <v>603</v>
      </c>
      <c r="U337" s="11">
        <f>IFERROR(INDEX(ShipPartShape!$A:$A,MATCH(T337,ShipPartShape!$B:$B,0)),"-")</f>
        <v>46600007</v>
      </c>
      <c r="V337" s="4" t="s">
        <v>602</v>
      </c>
      <c r="W337" s="11">
        <f>IFERROR(INDEX(ShipPartShape!$A:$A,MATCH(V337,ShipPartShape!$B:$B,0)),"-")</f>
        <v>46600002</v>
      </c>
      <c r="X337" s="4" t="s">
        <v>604</v>
      </c>
      <c r="Y337" s="11">
        <f>IFERROR(INDEX(ShipPartShape!$A:$A,MATCH(X337,ShipPartShape!$B:$B,0)),"-")</f>
        <v>46600005</v>
      </c>
      <c r="Z337" s="4"/>
      <c r="AA337" s="11" t="str">
        <f>IFERROR(INDEX(ShipPartShape!$A:$A,MATCH(Z337,ShipPartShape!$B:$B,0)),"-")</f>
        <v>-</v>
      </c>
      <c r="AB337" s="4"/>
      <c r="AC337" s="11" t="str">
        <f>IFERROR(INDEX(ShipPartShape!$A:$A,MATCH(AB337,ShipPartShape!$B:$B,0)),"-")</f>
        <v>-</v>
      </c>
      <c r="AD337" s="4"/>
      <c r="AE337" s="11" t="str">
        <f>IFERROR(INDEX(ShipPartShape!$A:$A,MATCH(AD337,ShipPartShape!$B:$B,0)),"-")</f>
        <v>-</v>
      </c>
      <c r="AF337" s="4"/>
      <c r="AG337" s="11" t="str">
        <f>IFERROR(INDEX(ShipPartShape!$A:$A,MATCH(AF337,ShipPartShape!$B:$B,0)),"-")</f>
        <v>-</v>
      </c>
      <c r="AH337" s="4"/>
      <c r="AI337" s="11" t="str">
        <f>IFERROR(INDEX(ShipPartShape!$A:$A,MATCH(AH337,ShipPartShape!$B:$B,0)),"-")</f>
        <v>-</v>
      </c>
      <c r="AJ337" s="11" t="s">
        <v>0</v>
      </c>
      <c r="AK337" s="11" t="s">
        <v>0</v>
      </c>
      <c r="AL337" s="11" t="s">
        <v>0</v>
      </c>
      <c r="AM337" s="11" t="s">
        <v>0</v>
      </c>
      <c r="AN337" s="11" t="s">
        <v>0</v>
      </c>
      <c r="AO337" s="11" t="s">
        <v>0</v>
      </c>
      <c r="AP337" s="11" t="s">
        <v>0</v>
      </c>
      <c r="AQ337" s="11" t="s">
        <v>0</v>
      </c>
      <c r="AR337" s="11" t="s">
        <v>0</v>
      </c>
      <c r="AS337" s="11" t="s">
        <v>0</v>
      </c>
      <c r="AT337" s="11" t="s">
        <v>0</v>
      </c>
      <c r="AU337" s="11">
        <v>47600018</v>
      </c>
      <c r="AV337" s="11" t="s">
        <v>0</v>
      </c>
      <c r="AW337" s="11" t="s">
        <v>0</v>
      </c>
      <c r="AX337" s="11" t="s">
        <v>0</v>
      </c>
    </row>
    <row r="338" spans="1:50" ht="15">
      <c r="A338" s="10">
        <f t="shared" si="5"/>
        <v>45000328</v>
      </c>
      <c r="B338" s="23" t="s">
        <v>3691</v>
      </c>
      <c r="C338" s="11" t="s">
        <v>3697</v>
      </c>
      <c r="D338" s="4" t="s">
        <v>3686</v>
      </c>
      <c r="E338" s="11">
        <v>700</v>
      </c>
      <c r="F338" s="11">
        <v>100</v>
      </c>
      <c r="G338" s="11">
        <v>20</v>
      </c>
      <c r="H338" s="11">
        <v>-40</v>
      </c>
      <c r="I338" s="11">
        <f>IFERROR(INDEX(ShipPartShape!$A:$A,MATCH(D338,ShipPartShape!$B:$B,0)),"-")</f>
        <v>46000303</v>
      </c>
      <c r="J338" s="4" t="s">
        <v>1216</v>
      </c>
      <c r="K338" s="11">
        <f>IFERROR(INDEX(ShipPartShape!$A:$A,MATCH(J338,ShipPartShape!$B:$B,0)),"-")</f>
        <v>46700014</v>
      </c>
      <c r="L338" s="4" t="s">
        <v>69</v>
      </c>
      <c r="M338" s="11">
        <f>IFERROR(INDEX(ShipPartShape!$A:$A,MATCH(L338,ShipPartShape!$B:$B,0)),"-")</f>
        <v>46300001</v>
      </c>
      <c r="N338" s="4"/>
      <c r="O338" s="11" t="str">
        <f>IFERROR(INDEX(ShipPartShape!$A:$A,MATCH(N338,ShipPartShape!$B:$B,0)),"-")</f>
        <v>-</v>
      </c>
      <c r="P338" s="4"/>
      <c r="Q338" s="11" t="str">
        <f>IFERROR(INDEX(ShipPartShape!$A:$A,MATCH(P338,ShipPartShape!$B:$B,0)),"-")</f>
        <v>-</v>
      </c>
      <c r="R338" s="4"/>
      <c r="S338" s="11" t="str">
        <f>IFERROR(INDEX(ShipPartShape!$A:$A,MATCH(R338,ShipPartShape!$B:$B,0)),"-")</f>
        <v>-</v>
      </c>
      <c r="T338" s="4" t="s">
        <v>603</v>
      </c>
      <c r="U338" s="11">
        <f>IFERROR(INDEX(ShipPartShape!$A:$A,MATCH(T338,ShipPartShape!$B:$B,0)),"-")</f>
        <v>46600007</v>
      </c>
      <c r="V338" s="4" t="s">
        <v>602</v>
      </c>
      <c r="W338" s="11">
        <f>IFERROR(INDEX(ShipPartShape!$A:$A,MATCH(V338,ShipPartShape!$B:$B,0)),"-")</f>
        <v>46600002</v>
      </c>
      <c r="X338" s="4" t="s">
        <v>604</v>
      </c>
      <c r="Y338" s="11">
        <f>IFERROR(INDEX(ShipPartShape!$A:$A,MATCH(X338,ShipPartShape!$B:$B,0)),"-")</f>
        <v>46600005</v>
      </c>
      <c r="Z338" s="4"/>
      <c r="AA338" s="11" t="str">
        <f>IFERROR(INDEX(ShipPartShape!$A:$A,MATCH(Z338,ShipPartShape!$B:$B,0)),"-")</f>
        <v>-</v>
      </c>
      <c r="AB338" s="4"/>
      <c r="AC338" s="11" t="str">
        <f>IFERROR(INDEX(ShipPartShape!$A:$A,MATCH(AB338,ShipPartShape!$B:$B,0)),"-")</f>
        <v>-</v>
      </c>
      <c r="AD338" s="4"/>
      <c r="AE338" s="11" t="str">
        <f>IFERROR(INDEX(ShipPartShape!$A:$A,MATCH(AD338,ShipPartShape!$B:$B,0)),"-")</f>
        <v>-</v>
      </c>
      <c r="AF338" s="4"/>
      <c r="AG338" s="11" t="str">
        <f>IFERROR(INDEX(ShipPartShape!$A:$A,MATCH(AF338,ShipPartShape!$B:$B,0)),"-")</f>
        <v>-</v>
      </c>
      <c r="AH338" s="4"/>
      <c r="AI338" s="11" t="str">
        <f>IFERROR(INDEX(ShipPartShape!$A:$A,MATCH(AH338,ShipPartShape!$B:$B,0)),"-")</f>
        <v>-</v>
      </c>
      <c r="AJ338" s="11" t="s">
        <v>0</v>
      </c>
      <c r="AK338" s="11" t="s">
        <v>0</v>
      </c>
      <c r="AL338" s="11" t="s">
        <v>0</v>
      </c>
      <c r="AM338" s="11" t="s">
        <v>0</v>
      </c>
      <c r="AN338" s="11" t="s">
        <v>0</v>
      </c>
      <c r="AO338" s="11" t="s">
        <v>0</v>
      </c>
      <c r="AP338" s="11" t="s">
        <v>0</v>
      </c>
      <c r="AQ338" s="11" t="s">
        <v>0</v>
      </c>
      <c r="AR338" s="11" t="s">
        <v>0</v>
      </c>
      <c r="AS338" s="11" t="s">
        <v>0</v>
      </c>
      <c r="AT338" s="11" t="s">
        <v>0</v>
      </c>
      <c r="AU338" s="11">
        <v>47600018</v>
      </c>
      <c r="AV338" s="11" t="s">
        <v>0</v>
      </c>
      <c r="AW338" s="11" t="s">
        <v>0</v>
      </c>
      <c r="AX338" s="11" t="s">
        <v>0</v>
      </c>
    </row>
    <row r="339" spans="1:50" ht="15">
      <c r="A339" s="10">
        <f t="shared" si="5"/>
        <v>45000329</v>
      </c>
      <c r="B339" s="23" t="s">
        <v>3692</v>
      </c>
      <c r="C339" s="11" t="s">
        <v>3697</v>
      </c>
      <c r="D339" s="4" t="s">
        <v>3688</v>
      </c>
      <c r="E339" s="11">
        <v>700</v>
      </c>
      <c r="F339" s="11">
        <v>100</v>
      </c>
      <c r="G339" s="11">
        <v>20</v>
      </c>
      <c r="H339" s="11">
        <v>-40</v>
      </c>
      <c r="I339" s="11">
        <f>IFERROR(INDEX(ShipPartShape!$A:$A,MATCH(D339,ShipPartShape!$B:$B,0)),"-")</f>
        <v>46000304</v>
      </c>
      <c r="J339" s="4" t="s">
        <v>1216</v>
      </c>
      <c r="K339" s="11">
        <f>IFERROR(INDEX(ShipPartShape!$A:$A,MATCH(J339,ShipPartShape!$B:$B,0)),"-")</f>
        <v>46700014</v>
      </c>
      <c r="L339" s="4" t="s">
        <v>69</v>
      </c>
      <c r="M339" s="11">
        <f>IFERROR(INDEX(ShipPartShape!$A:$A,MATCH(L339,ShipPartShape!$B:$B,0)),"-")</f>
        <v>46300001</v>
      </c>
      <c r="N339" s="4"/>
      <c r="O339" s="11" t="str">
        <f>IFERROR(INDEX(ShipPartShape!$A:$A,MATCH(N339,ShipPartShape!$B:$B,0)),"-")</f>
        <v>-</v>
      </c>
      <c r="P339" s="4"/>
      <c r="Q339" s="11" t="str">
        <f>IFERROR(INDEX(ShipPartShape!$A:$A,MATCH(P339,ShipPartShape!$B:$B,0)),"-")</f>
        <v>-</v>
      </c>
      <c r="R339" s="4"/>
      <c r="S339" s="11" t="str">
        <f>IFERROR(INDEX(ShipPartShape!$A:$A,MATCH(R339,ShipPartShape!$B:$B,0)),"-")</f>
        <v>-</v>
      </c>
      <c r="T339" s="4" t="s">
        <v>603</v>
      </c>
      <c r="U339" s="11">
        <f>IFERROR(INDEX(ShipPartShape!$A:$A,MATCH(T339,ShipPartShape!$B:$B,0)),"-")</f>
        <v>46600007</v>
      </c>
      <c r="V339" s="4" t="s">
        <v>602</v>
      </c>
      <c r="W339" s="11">
        <f>IFERROR(INDEX(ShipPartShape!$A:$A,MATCH(V339,ShipPartShape!$B:$B,0)),"-")</f>
        <v>46600002</v>
      </c>
      <c r="X339" s="4" t="s">
        <v>604</v>
      </c>
      <c r="Y339" s="11">
        <f>IFERROR(INDEX(ShipPartShape!$A:$A,MATCH(X339,ShipPartShape!$B:$B,0)),"-")</f>
        <v>46600005</v>
      </c>
      <c r="Z339" s="4"/>
      <c r="AA339" s="11" t="str">
        <f>IFERROR(INDEX(ShipPartShape!$A:$A,MATCH(Z339,ShipPartShape!$B:$B,0)),"-")</f>
        <v>-</v>
      </c>
      <c r="AB339" s="4"/>
      <c r="AC339" s="11" t="str">
        <f>IFERROR(INDEX(ShipPartShape!$A:$A,MATCH(AB339,ShipPartShape!$B:$B,0)),"-")</f>
        <v>-</v>
      </c>
      <c r="AD339" s="4"/>
      <c r="AE339" s="11" t="str">
        <f>IFERROR(INDEX(ShipPartShape!$A:$A,MATCH(AD339,ShipPartShape!$B:$B,0)),"-")</f>
        <v>-</v>
      </c>
      <c r="AF339" s="4"/>
      <c r="AG339" s="11" t="str">
        <f>IFERROR(INDEX(ShipPartShape!$A:$A,MATCH(AF339,ShipPartShape!$B:$B,0)),"-")</f>
        <v>-</v>
      </c>
      <c r="AH339" s="4"/>
      <c r="AI339" s="11" t="str">
        <f>IFERROR(INDEX(ShipPartShape!$A:$A,MATCH(AH339,ShipPartShape!$B:$B,0)),"-")</f>
        <v>-</v>
      </c>
      <c r="AJ339" s="11" t="s">
        <v>0</v>
      </c>
      <c r="AK339" s="11" t="s">
        <v>0</v>
      </c>
      <c r="AL339" s="11" t="s">
        <v>0</v>
      </c>
      <c r="AM339" s="11" t="s">
        <v>0</v>
      </c>
      <c r="AN339" s="11" t="s">
        <v>0</v>
      </c>
      <c r="AO339" s="11" t="s">
        <v>0</v>
      </c>
      <c r="AP339" s="11" t="s">
        <v>0</v>
      </c>
      <c r="AQ339" s="11" t="s">
        <v>0</v>
      </c>
      <c r="AR339" s="11" t="s">
        <v>0</v>
      </c>
      <c r="AS339" s="11" t="s">
        <v>0</v>
      </c>
      <c r="AT339" s="11" t="s">
        <v>0</v>
      </c>
      <c r="AU339" s="11">
        <v>47600018</v>
      </c>
      <c r="AV339" s="11" t="s">
        <v>0</v>
      </c>
      <c r="AW339" s="11" t="s">
        <v>0</v>
      </c>
      <c r="AX339" s="11" t="s">
        <v>0</v>
      </c>
    </row>
    <row r="340" spans="1:50" ht="15">
      <c r="A340" s="10">
        <f t="shared" si="5"/>
        <v>45000330</v>
      </c>
      <c r="B340" s="23" t="s">
        <v>3693</v>
      </c>
      <c r="C340" s="11" t="s">
        <v>3696</v>
      </c>
      <c r="D340" s="4" t="s">
        <v>3684</v>
      </c>
      <c r="E340" s="11">
        <v>700</v>
      </c>
      <c r="F340" s="11">
        <v>100</v>
      </c>
      <c r="G340" s="11">
        <v>20</v>
      </c>
      <c r="H340" s="11">
        <v>-40</v>
      </c>
      <c r="I340" s="11">
        <f>IFERROR(INDEX(ShipPartShape!$A:$A,MATCH(D340,ShipPartShape!$B:$B,0)),"-")</f>
        <v>46000302</v>
      </c>
      <c r="J340" s="4" t="s">
        <v>1216</v>
      </c>
      <c r="K340" s="11">
        <f>IFERROR(INDEX(ShipPartShape!$A:$A,MATCH(J340,ShipPartShape!$B:$B,0)),"-")</f>
        <v>46700014</v>
      </c>
      <c r="L340" s="4" t="s">
        <v>69</v>
      </c>
      <c r="M340" s="11">
        <f>IFERROR(INDEX(ShipPartShape!$A:$A,MATCH(L340,ShipPartShape!$B:$B,0)),"-")</f>
        <v>46300001</v>
      </c>
      <c r="N340" s="4"/>
      <c r="O340" s="11" t="str">
        <f>IFERROR(INDEX(ShipPartShape!$A:$A,MATCH(N340,ShipPartShape!$B:$B,0)),"-")</f>
        <v>-</v>
      </c>
      <c r="P340" s="4"/>
      <c r="Q340" s="11" t="str">
        <f>IFERROR(INDEX(ShipPartShape!$A:$A,MATCH(P340,ShipPartShape!$B:$B,0)),"-")</f>
        <v>-</v>
      </c>
      <c r="R340" s="4"/>
      <c r="S340" s="11" t="str">
        <f>IFERROR(INDEX(ShipPartShape!$A:$A,MATCH(R340,ShipPartShape!$B:$B,0)),"-")</f>
        <v>-</v>
      </c>
      <c r="T340" s="4" t="s">
        <v>603</v>
      </c>
      <c r="U340" s="11">
        <f>IFERROR(INDEX(ShipPartShape!$A:$A,MATCH(T340,ShipPartShape!$B:$B,0)),"-")</f>
        <v>46600007</v>
      </c>
      <c r="V340" s="4" t="s">
        <v>602</v>
      </c>
      <c r="W340" s="11">
        <f>IFERROR(INDEX(ShipPartShape!$A:$A,MATCH(V340,ShipPartShape!$B:$B,0)),"-")</f>
        <v>46600002</v>
      </c>
      <c r="X340" s="4" t="s">
        <v>604</v>
      </c>
      <c r="Y340" s="11">
        <f>IFERROR(INDEX(ShipPartShape!$A:$A,MATCH(X340,ShipPartShape!$B:$B,0)),"-")</f>
        <v>46600005</v>
      </c>
      <c r="Z340" s="4"/>
      <c r="AA340" s="11" t="str">
        <f>IFERROR(INDEX(ShipPartShape!$A:$A,MATCH(Z340,ShipPartShape!$B:$B,0)),"-")</f>
        <v>-</v>
      </c>
      <c r="AB340" s="4"/>
      <c r="AC340" s="11" t="str">
        <f>IFERROR(INDEX(ShipPartShape!$A:$A,MATCH(AB340,ShipPartShape!$B:$B,0)),"-")</f>
        <v>-</v>
      </c>
      <c r="AD340" s="4"/>
      <c r="AE340" s="11" t="str">
        <f>IFERROR(INDEX(ShipPartShape!$A:$A,MATCH(AD340,ShipPartShape!$B:$B,0)),"-")</f>
        <v>-</v>
      </c>
      <c r="AF340" s="4"/>
      <c r="AG340" s="11" t="str">
        <f>IFERROR(INDEX(ShipPartShape!$A:$A,MATCH(AF340,ShipPartShape!$B:$B,0)),"-")</f>
        <v>-</v>
      </c>
      <c r="AH340" s="4"/>
      <c r="AI340" s="11" t="str">
        <f>IFERROR(INDEX(ShipPartShape!$A:$A,MATCH(AH340,ShipPartShape!$B:$B,0)),"-")</f>
        <v>-</v>
      </c>
      <c r="AJ340" s="11" t="s">
        <v>0</v>
      </c>
      <c r="AK340" s="11" t="s">
        <v>0</v>
      </c>
      <c r="AL340" s="11" t="s">
        <v>0</v>
      </c>
      <c r="AM340" s="11" t="s">
        <v>0</v>
      </c>
      <c r="AN340" s="11" t="s">
        <v>0</v>
      </c>
      <c r="AO340" s="11" t="s">
        <v>0</v>
      </c>
      <c r="AP340" s="11" t="s">
        <v>0</v>
      </c>
      <c r="AQ340" s="11" t="s">
        <v>0</v>
      </c>
      <c r="AR340" s="11" t="s">
        <v>0</v>
      </c>
      <c r="AS340" s="11" t="s">
        <v>0</v>
      </c>
      <c r="AT340" s="11" t="s">
        <v>0</v>
      </c>
      <c r="AU340" s="11">
        <v>47600018</v>
      </c>
      <c r="AV340" s="11" t="s">
        <v>0</v>
      </c>
      <c r="AW340" s="11" t="s">
        <v>0</v>
      </c>
      <c r="AX340" s="11" t="s">
        <v>0</v>
      </c>
    </row>
    <row r="341" spans="1:50" ht="15">
      <c r="A341" s="10">
        <f t="shared" si="5"/>
        <v>45000331</v>
      </c>
      <c r="B341" s="23" t="s">
        <v>3694</v>
      </c>
      <c r="C341" s="11" t="s">
        <v>3696</v>
      </c>
      <c r="D341" s="4" t="s">
        <v>3686</v>
      </c>
      <c r="E341" s="11">
        <v>700</v>
      </c>
      <c r="F341" s="11">
        <v>100</v>
      </c>
      <c r="G341" s="11">
        <v>20</v>
      </c>
      <c r="H341" s="11">
        <v>-40</v>
      </c>
      <c r="I341" s="11">
        <f>IFERROR(INDEX(ShipPartShape!$A:$A,MATCH(D341,ShipPartShape!$B:$B,0)),"-")</f>
        <v>46000303</v>
      </c>
      <c r="J341" s="4" t="s">
        <v>1216</v>
      </c>
      <c r="K341" s="11">
        <f>IFERROR(INDEX(ShipPartShape!$A:$A,MATCH(J341,ShipPartShape!$B:$B,0)),"-")</f>
        <v>46700014</v>
      </c>
      <c r="L341" s="4" t="s">
        <v>69</v>
      </c>
      <c r="M341" s="11">
        <f>IFERROR(INDEX(ShipPartShape!$A:$A,MATCH(L341,ShipPartShape!$B:$B,0)),"-")</f>
        <v>46300001</v>
      </c>
      <c r="N341" s="4"/>
      <c r="O341" s="11" t="str">
        <f>IFERROR(INDEX(ShipPartShape!$A:$A,MATCH(N341,ShipPartShape!$B:$B,0)),"-")</f>
        <v>-</v>
      </c>
      <c r="P341" s="4"/>
      <c r="Q341" s="11" t="str">
        <f>IFERROR(INDEX(ShipPartShape!$A:$A,MATCH(P341,ShipPartShape!$B:$B,0)),"-")</f>
        <v>-</v>
      </c>
      <c r="R341" s="4"/>
      <c r="S341" s="11" t="str">
        <f>IFERROR(INDEX(ShipPartShape!$A:$A,MATCH(R341,ShipPartShape!$B:$B,0)),"-")</f>
        <v>-</v>
      </c>
      <c r="T341" s="4" t="s">
        <v>603</v>
      </c>
      <c r="U341" s="11">
        <f>IFERROR(INDEX(ShipPartShape!$A:$A,MATCH(T341,ShipPartShape!$B:$B,0)),"-")</f>
        <v>46600007</v>
      </c>
      <c r="V341" s="4" t="s">
        <v>602</v>
      </c>
      <c r="W341" s="11">
        <f>IFERROR(INDEX(ShipPartShape!$A:$A,MATCH(V341,ShipPartShape!$B:$B,0)),"-")</f>
        <v>46600002</v>
      </c>
      <c r="X341" s="4" t="s">
        <v>604</v>
      </c>
      <c r="Y341" s="11">
        <f>IFERROR(INDEX(ShipPartShape!$A:$A,MATCH(X341,ShipPartShape!$B:$B,0)),"-")</f>
        <v>46600005</v>
      </c>
      <c r="Z341" s="4"/>
      <c r="AA341" s="11" t="str">
        <f>IFERROR(INDEX(ShipPartShape!$A:$A,MATCH(Z341,ShipPartShape!$B:$B,0)),"-")</f>
        <v>-</v>
      </c>
      <c r="AB341" s="4"/>
      <c r="AC341" s="11" t="str">
        <f>IFERROR(INDEX(ShipPartShape!$A:$A,MATCH(AB341,ShipPartShape!$B:$B,0)),"-")</f>
        <v>-</v>
      </c>
      <c r="AD341" s="4"/>
      <c r="AE341" s="11" t="str">
        <f>IFERROR(INDEX(ShipPartShape!$A:$A,MATCH(AD341,ShipPartShape!$B:$B,0)),"-")</f>
        <v>-</v>
      </c>
      <c r="AF341" s="4"/>
      <c r="AG341" s="11" t="str">
        <f>IFERROR(INDEX(ShipPartShape!$A:$A,MATCH(AF341,ShipPartShape!$B:$B,0)),"-")</f>
        <v>-</v>
      </c>
      <c r="AH341" s="4"/>
      <c r="AI341" s="11" t="str">
        <f>IFERROR(INDEX(ShipPartShape!$A:$A,MATCH(AH341,ShipPartShape!$B:$B,0)),"-")</f>
        <v>-</v>
      </c>
      <c r="AJ341" s="11" t="s">
        <v>0</v>
      </c>
      <c r="AK341" s="11" t="s">
        <v>0</v>
      </c>
      <c r="AL341" s="11" t="s">
        <v>0</v>
      </c>
      <c r="AM341" s="11" t="s">
        <v>0</v>
      </c>
      <c r="AN341" s="11" t="s">
        <v>0</v>
      </c>
      <c r="AO341" s="11" t="s">
        <v>0</v>
      </c>
      <c r="AP341" s="11" t="s">
        <v>0</v>
      </c>
      <c r="AQ341" s="11" t="s">
        <v>0</v>
      </c>
      <c r="AR341" s="11" t="s">
        <v>0</v>
      </c>
      <c r="AS341" s="11" t="s">
        <v>0</v>
      </c>
      <c r="AT341" s="11" t="s">
        <v>0</v>
      </c>
      <c r="AU341" s="11">
        <v>47600018</v>
      </c>
      <c r="AV341" s="11" t="s">
        <v>0</v>
      </c>
      <c r="AW341" s="11" t="s">
        <v>0</v>
      </c>
      <c r="AX341" s="11" t="s">
        <v>0</v>
      </c>
    </row>
    <row r="342" spans="1:50" ht="15">
      <c r="A342" s="10">
        <f t="shared" si="5"/>
        <v>45000332</v>
      </c>
      <c r="B342" s="23" t="s">
        <v>3695</v>
      </c>
      <c r="C342" s="11" t="s">
        <v>3696</v>
      </c>
      <c r="D342" s="4" t="s">
        <v>3688</v>
      </c>
      <c r="E342" s="11">
        <v>700</v>
      </c>
      <c r="F342" s="11">
        <v>100</v>
      </c>
      <c r="G342" s="11">
        <v>20</v>
      </c>
      <c r="H342" s="11">
        <v>-40</v>
      </c>
      <c r="I342" s="11">
        <f>IFERROR(INDEX(ShipPartShape!$A:$A,MATCH(D342,ShipPartShape!$B:$B,0)),"-")</f>
        <v>46000304</v>
      </c>
      <c r="J342" s="4" t="s">
        <v>1216</v>
      </c>
      <c r="K342" s="11">
        <f>IFERROR(INDEX(ShipPartShape!$A:$A,MATCH(J342,ShipPartShape!$B:$B,0)),"-")</f>
        <v>46700014</v>
      </c>
      <c r="L342" s="4" t="s">
        <v>69</v>
      </c>
      <c r="M342" s="11">
        <f>IFERROR(INDEX(ShipPartShape!$A:$A,MATCH(L342,ShipPartShape!$B:$B,0)),"-")</f>
        <v>46300001</v>
      </c>
      <c r="N342" s="4"/>
      <c r="O342" s="11" t="str">
        <f>IFERROR(INDEX(ShipPartShape!$A:$A,MATCH(N342,ShipPartShape!$B:$B,0)),"-")</f>
        <v>-</v>
      </c>
      <c r="P342" s="4"/>
      <c r="Q342" s="11" t="str">
        <f>IFERROR(INDEX(ShipPartShape!$A:$A,MATCH(P342,ShipPartShape!$B:$B,0)),"-")</f>
        <v>-</v>
      </c>
      <c r="R342" s="4"/>
      <c r="S342" s="11" t="str">
        <f>IFERROR(INDEX(ShipPartShape!$A:$A,MATCH(R342,ShipPartShape!$B:$B,0)),"-")</f>
        <v>-</v>
      </c>
      <c r="T342" s="4" t="s">
        <v>603</v>
      </c>
      <c r="U342" s="11">
        <f>IFERROR(INDEX(ShipPartShape!$A:$A,MATCH(T342,ShipPartShape!$B:$B,0)),"-")</f>
        <v>46600007</v>
      </c>
      <c r="V342" s="4" t="s">
        <v>602</v>
      </c>
      <c r="W342" s="11">
        <f>IFERROR(INDEX(ShipPartShape!$A:$A,MATCH(V342,ShipPartShape!$B:$B,0)),"-")</f>
        <v>46600002</v>
      </c>
      <c r="X342" s="4" t="s">
        <v>604</v>
      </c>
      <c r="Y342" s="11">
        <f>IFERROR(INDEX(ShipPartShape!$A:$A,MATCH(X342,ShipPartShape!$B:$B,0)),"-")</f>
        <v>46600005</v>
      </c>
      <c r="Z342" s="4"/>
      <c r="AA342" s="11" t="str">
        <f>IFERROR(INDEX(ShipPartShape!$A:$A,MATCH(Z342,ShipPartShape!$B:$B,0)),"-")</f>
        <v>-</v>
      </c>
      <c r="AB342" s="4"/>
      <c r="AC342" s="11" t="str">
        <f>IFERROR(INDEX(ShipPartShape!$A:$A,MATCH(AB342,ShipPartShape!$B:$B,0)),"-")</f>
        <v>-</v>
      </c>
      <c r="AD342" s="4"/>
      <c r="AE342" s="11" t="str">
        <f>IFERROR(INDEX(ShipPartShape!$A:$A,MATCH(AD342,ShipPartShape!$B:$B,0)),"-")</f>
        <v>-</v>
      </c>
      <c r="AF342" s="4"/>
      <c r="AG342" s="11" t="str">
        <f>IFERROR(INDEX(ShipPartShape!$A:$A,MATCH(AF342,ShipPartShape!$B:$B,0)),"-")</f>
        <v>-</v>
      </c>
      <c r="AH342" s="4"/>
      <c r="AI342" s="11" t="str">
        <f>IFERROR(INDEX(ShipPartShape!$A:$A,MATCH(AH342,ShipPartShape!$B:$B,0)),"-")</f>
        <v>-</v>
      </c>
      <c r="AJ342" s="11" t="s">
        <v>0</v>
      </c>
      <c r="AK342" s="11" t="s">
        <v>0</v>
      </c>
      <c r="AL342" s="11" t="s">
        <v>0</v>
      </c>
      <c r="AM342" s="11" t="s">
        <v>0</v>
      </c>
      <c r="AN342" s="11" t="s">
        <v>0</v>
      </c>
      <c r="AO342" s="11" t="s">
        <v>0</v>
      </c>
      <c r="AP342" s="11" t="s">
        <v>0</v>
      </c>
      <c r="AQ342" s="11" t="s">
        <v>0</v>
      </c>
      <c r="AR342" s="11" t="s">
        <v>0</v>
      </c>
      <c r="AS342" s="11" t="s">
        <v>0</v>
      </c>
      <c r="AT342" s="11" t="s">
        <v>0</v>
      </c>
      <c r="AU342" s="11">
        <v>47600018</v>
      </c>
      <c r="AV342" s="11" t="s">
        <v>0</v>
      </c>
      <c r="AW342" s="11" t="s">
        <v>0</v>
      </c>
      <c r="AX342" s="11" t="s">
        <v>0</v>
      </c>
    </row>
    <row r="343" spans="1:50" ht="15">
      <c r="A343" s="10">
        <f t="shared" si="5"/>
        <v>45000333</v>
      </c>
      <c r="B343" s="22" t="s">
        <v>3701</v>
      </c>
      <c r="C343" s="11" t="s">
        <v>3702</v>
      </c>
      <c r="D343" s="4" t="s">
        <v>3698</v>
      </c>
      <c r="E343" s="11">
        <v>700</v>
      </c>
      <c r="F343" s="11">
        <v>150</v>
      </c>
      <c r="G343" s="11">
        <v>20</v>
      </c>
      <c r="H343" s="11">
        <v>-40</v>
      </c>
      <c r="I343" s="11">
        <f>IFERROR(INDEX(ShipPartShape!$A:$A,MATCH(D343,ShipPartShape!$B:$B,0)),"-")</f>
        <v>46000305</v>
      </c>
      <c r="J343" s="4" t="s">
        <v>1257</v>
      </c>
      <c r="K343" s="11">
        <f>IFERROR(INDEX(ShipPartShape!$A:$A,MATCH(J343,ShipPartShape!$B:$B,0)),"-")</f>
        <v>46700012</v>
      </c>
      <c r="L343" s="4" t="s">
        <v>69</v>
      </c>
      <c r="M343" s="11">
        <f>IFERROR(INDEX(ShipPartShape!$A:$A,MATCH(L343,ShipPartShape!$B:$B,0)),"-")</f>
        <v>46300001</v>
      </c>
      <c r="N343" s="4"/>
      <c r="O343" s="11" t="str">
        <f>IFERROR(INDEX(ShipPartShape!$A:$A,MATCH(N343,ShipPartShape!$B:$B,0)),"-")</f>
        <v>-</v>
      </c>
      <c r="P343" s="4"/>
      <c r="Q343" s="11" t="str">
        <f>IFERROR(INDEX(ShipPartShape!$A:$A,MATCH(P343,ShipPartShape!$B:$B,0)),"-")</f>
        <v>-</v>
      </c>
      <c r="R343" s="4"/>
      <c r="S343" s="11" t="str">
        <f>IFERROR(INDEX(ShipPartShape!$A:$A,MATCH(R343,ShipPartShape!$B:$B,0)),"-")</f>
        <v>-</v>
      </c>
      <c r="T343" s="4" t="s">
        <v>601</v>
      </c>
      <c r="U343" s="11">
        <f>IFERROR(INDEX(ShipPartShape!$A:$A,MATCH(T343,ShipPartShape!$B:$B,0)),"-")</f>
        <v>46600001</v>
      </c>
      <c r="V343" s="4" t="s">
        <v>602</v>
      </c>
      <c r="W343" s="11">
        <f>IFERROR(INDEX(ShipPartShape!$A:$A,MATCH(V343,ShipPartShape!$B:$B,0)),"-")</f>
        <v>46600002</v>
      </c>
      <c r="X343" s="4" t="s">
        <v>608</v>
      </c>
      <c r="Y343" s="11">
        <f>IFERROR(INDEX(ShipPartShape!$A:$A,MATCH(X343,ShipPartShape!$B:$B,0)),"-")</f>
        <v>46600004</v>
      </c>
      <c r="Z343" s="4" t="s">
        <v>603</v>
      </c>
      <c r="AA343" s="11">
        <f>IFERROR(INDEX(ShipPartShape!$A:$A,MATCH(Z343,ShipPartShape!$B:$B,0)),"-")</f>
        <v>46600007</v>
      </c>
      <c r="AB343" s="4" t="s">
        <v>606</v>
      </c>
      <c r="AC343" s="11">
        <f>IFERROR(INDEX(ShipPartShape!$A:$A,MATCH(AB343,ShipPartShape!$B:$B,0)),"-")</f>
        <v>46600003</v>
      </c>
      <c r="AD343" s="4" t="s">
        <v>609</v>
      </c>
      <c r="AE343" s="11">
        <f>IFERROR(INDEX(ShipPartShape!$A:$A,MATCH(AD343,ShipPartShape!$B:$B,0)),"-")</f>
        <v>46600011</v>
      </c>
      <c r="AF343" s="4"/>
      <c r="AG343" s="11" t="str">
        <f>IFERROR(INDEX(ShipPartShape!$A:$A,MATCH(AF343,ShipPartShape!$B:$B,0)),"-")</f>
        <v>-</v>
      </c>
      <c r="AH343" s="4"/>
      <c r="AI343" s="11" t="str">
        <f>IFERROR(INDEX(ShipPartShape!$A:$A,MATCH(AH343,ShipPartShape!$B:$B,0)),"-")</f>
        <v>-</v>
      </c>
      <c r="AJ343" s="11" t="s">
        <v>0</v>
      </c>
      <c r="AK343" s="11" t="s">
        <v>0</v>
      </c>
      <c r="AL343" s="11" t="s">
        <v>0</v>
      </c>
      <c r="AM343" s="11" t="s">
        <v>0</v>
      </c>
      <c r="AN343" s="11" t="s">
        <v>0</v>
      </c>
      <c r="AO343" s="11" t="s">
        <v>0</v>
      </c>
      <c r="AP343" s="11" t="s">
        <v>0</v>
      </c>
      <c r="AQ343" s="11" t="s">
        <v>0</v>
      </c>
      <c r="AR343" s="11" t="s">
        <v>0</v>
      </c>
      <c r="AS343" s="11" t="s">
        <v>0</v>
      </c>
      <c r="AT343" s="11" t="s">
        <v>0</v>
      </c>
      <c r="AU343" s="11">
        <v>47600018</v>
      </c>
      <c r="AV343" s="11" t="s">
        <v>0</v>
      </c>
      <c r="AW343" s="11" t="s">
        <v>0</v>
      </c>
      <c r="AX343" s="11">
        <v>1.5</v>
      </c>
    </row>
    <row r="344" spans="1:50" ht="15">
      <c r="A344" s="10">
        <f t="shared" si="5"/>
        <v>45000334</v>
      </c>
      <c r="B344" s="208" t="s">
        <v>3714</v>
      </c>
      <c r="C344" s="11" t="s">
        <v>3715</v>
      </c>
      <c r="D344" s="4" t="s">
        <v>3712</v>
      </c>
      <c r="E344" s="11">
        <v>700</v>
      </c>
      <c r="F344" s="11">
        <v>100</v>
      </c>
      <c r="G344" s="11">
        <v>20</v>
      </c>
      <c r="H344" s="11">
        <v>-40</v>
      </c>
      <c r="I344" s="11">
        <f>IFERROR(INDEX(ShipPartShape!$A:$A,MATCH(D344,ShipPartShape!$B:$B,0)),"-")</f>
        <v>46000306</v>
      </c>
      <c r="J344" s="4"/>
      <c r="K344" s="11" t="str">
        <f>IFERROR(INDEX(ShipPartShape!$A:$A,MATCH(J344,ShipPartShape!$B:$B,0)),"-")</f>
        <v>-</v>
      </c>
      <c r="L344" s="4"/>
      <c r="M344" s="11" t="str">
        <f>IFERROR(INDEX(ShipPartShape!$A:$A,MATCH(L344,ShipPartShape!$B:$B,0)),"-")</f>
        <v>-</v>
      </c>
      <c r="N344" s="4"/>
      <c r="O344" s="11" t="str">
        <f>IFERROR(INDEX(ShipPartShape!$A:$A,MATCH(N344,ShipPartShape!$B:$B,0)),"-")</f>
        <v>-</v>
      </c>
      <c r="P344" s="4"/>
      <c r="Q344" s="11" t="str">
        <f>IFERROR(INDEX(ShipPartShape!$A:$A,MATCH(P344,ShipPartShape!$B:$B,0)),"-")</f>
        <v>-</v>
      </c>
      <c r="R344" s="4"/>
      <c r="S344" s="11" t="str">
        <f>IFERROR(INDEX(ShipPartShape!$A:$A,MATCH(R344,ShipPartShape!$B:$B,0)),"-")</f>
        <v>-</v>
      </c>
      <c r="T344" s="4"/>
      <c r="U344" s="11" t="str">
        <f>IFERROR(INDEX(ShipPartShape!$A:$A,MATCH(T344,ShipPartShape!$B:$B,0)),"-")</f>
        <v>-</v>
      </c>
      <c r="V344" s="4"/>
      <c r="W344" s="11" t="str">
        <f>IFERROR(INDEX(ShipPartShape!$A:$A,MATCH(V344,ShipPartShape!$B:$B,0)),"-")</f>
        <v>-</v>
      </c>
      <c r="X344" s="4"/>
      <c r="Y344" s="11" t="str">
        <f>IFERROR(INDEX(ShipPartShape!$A:$A,MATCH(X344,ShipPartShape!$B:$B,0)),"-")</f>
        <v>-</v>
      </c>
      <c r="Z344" s="4"/>
      <c r="AA344" s="11" t="str">
        <f>IFERROR(INDEX(ShipPartShape!$A:$A,MATCH(Z344,ShipPartShape!$B:$B,0)),"-")</f>
        <v>-</v>
      </c>
      <c r="AB344" s="4"/>
      <c r="AC344" s="11" t="str">
        <f>IFERROR(INDEX(ShipPartShape!$A:$A,MATCH(AB344,ShipPartShape!$B:$B,0)),"-")</f>
        <v>-</v>
      </c>
      <c r="AD344" s="4"/>
      <c r="AE344" s="11" t="str">
        <f>IFERROR(INDEX(ShipPartShape!$A:$A,MATCH(AD344,ShipPartShape!$B:$B,0)),"-")</f>
        <v>-</v>
      </c>
      <c r="AF344" s="4"/>
      <c r="AG344" s="11" t="str">
        <f>IFERROR(INDEX(ShipPartShape!$A:$A,MATCH(AF344,ShipPartShape!$B:$B,0)),"-")</f>
        <v>-</v>
      </c>
      <c r="AH344" s="4"/>
      <c r="AI344" s="11" t="str">
        <f>IFERROR(INDEX(ShipPartShape!$A:$A,MATCH(AH344,ShipPartShape!$B:$B,0)),"-")</f>
        <v>-</v>
      </c>
      <c r="AJ344" s="11" t="s">
        <v>0</v>
      </c>
      <c r="AK344" s="11" t="s">
        <v>0</v>
      </c>
      <c r="AL344" s="11" t="s">
        <v>0</v>
      </c>
      <c r="AM344" s="11" t="s">
        <v>0</v>
      </c>
      <c r="AN344" s="11" t="s">
        <v>0</v>
      </c>
      <c r="AO344" s="11" t="s">
        <v>0</v>
      </c>
      <c r="AP344" s="11" t="s">
        <v>0</v>
      </c>
      <c r="AQ344" s="11" t="s">
        <v>0</v>
      </c>
      <c r="AR344" s="11" t="s">
        <v>0</v>
      </c>
      <c r="AS344" s="11" t="s">
        <v>0</v>
      </c>
      <c r="AT344" s="11" t="s">
        <v>0</v>
      </c>
      <c r="AU344" s="11">
        <v>47600018</v>
      </c>
      <c r="AV344" s="11" t="s">
        <v>0</v>
      </c>
      <c r="AW344" s="11" t="s">
        <v>0</v>
      </c>
      <c r="AX344" s="11" t="s">
        <v>0</v>
      </c>
    </row>
    <row r="345" spans="1:50" ht="15">
      <c r="A345" s="10">
        <f t="shared" si="5"/>
        <v>45000335</v>
      </c>
      <c r="B345" s="208" t="s">
        <v>3725</v>
      </c>
      <c r="C345" s="11" t="s">
        <v>3728</v>
      </c>
      <c r="D345" s="4" t="s">
        <v>3719</v>
      </c>
      <c r="E345" s="11">
        <v>700</v>
      </c>
      <c r="F345" s="11">
        <v>100</v>
      </c>
      <c r="G345" s="11">
        <v>20</v>
      </c>
      <c r="H345" s="11">
        <v>-40</v>
      </c>
      <c r="I345" s="11">
        <f>IFERROR(INDEX(ShipPartShape!$A:$A,MATCH(D345,ShipPartShape!$B:$B,0)),"-")</f>
        <v>46000307</v>
      </c>
      <c r="J345" s="4" t="s">
        <v>1257</v>
      </c>
      <c r="K345" s="11">
        <f>IFERROR(INDEX(ShipPartShape!$A:$A,MATCH(J345,ShipPartShape!$B:$B,0)),"-")</f>
        <v>46700012</v>
      </c>
      <c r="L345" s="4" t="s">
        <v>69</v>
      </c>
      <c r="M345" s="11">
        <f>IFERROR(INDEX(ShipPartShape!$A:$A,MATCH(L345,ShipPartShape!$B:$B,0)),"-")</f>
        <v>46300001</v>
      </c>
      <c r="N345" s="4"/>
      <c r="O345" s="11" t="str">
        <f>IFERROR(INDEX(ShipPartShape!$A:$A,MATCH(N345,ShipPartShape!$B:$B,0)),"-")</f>
        <v>-</v>
      </c>
      <c r="P345" s="4"/>
      <c r="Q345" s="11" t="str">
        <f>IFERROR(INDEX(ShipPartShape!$A:$A,MATCH(P345,ShipPartShape!$B:$B,0)),"-")</f>
        <v>-</v>
      </c>
      <c r="R345" s="4"/>
      <c r="S345" s="11" t="str">
        <f>IFERROR(INDEX(ShipPartShape!$A:$A,MATCH(R345,ShipPartShape!$B:$B,0)),"-")</f>
        <v>-</v>
      </c>
      <c r="T345" s="4"/>
      <c r="U345" s="11" t="str">
        <f>IFERROR(INDEX(ShipPartShape!$A:$A,MATCH(T345,ShipPartShape!$B:$B,0)),"-")</f>
        <v>-</v>
      </c>
      <c r="V345" s="4"/>
      <c r="W345" s="11" t="str">
        <f>IFERROR(INDEX(ShipPartShape!$A:$A,MATCH(V345,ShipPartShape!$B:$B,0)),"-")</f>
        <v>-</v>
      </c>
      <c r="X345" s="4"/>
      <c r="Y345" s="11" t="str">
        <f>IFERROR(INDEX(ShipPartShape!$A:$A,MATCH(X345,ShipPartShape!$B:$B,0)),"-")</f>
        <v>-</v>
      </c>
      <c r="Z345" s="4"/>
      <c r="AA345" s="11" t="str">
        <f>IFERROR(INDEX(ShipPartShape!$A:$A,MATCH(Z345,ShipPartShape!$B:$B,0)),"-")</f>
        <v>-</v>
      </c>
      <c r="AB345" s="4"/>
      <c r="AC345" s="11" t="str">
        <f>IFERROR(INDEX(ShipPartShape!$A:$A,MATCH(AB345,ShipPartShape!$B:$B,0)),"-")</f>
        <v>-</v>
      </c>
      <c r="AD345" s="4"/>
      <c r="AE345" s="11" t="str">
        <f>IFERROR(INDEX(ShipPartShape!$A:$A,MATCH(AD345,ShipPartShape!$B:$B,0)),"-")</f>
        <v>-</v>
      </c>
      <c r="AF345" s="4"/>
      <c r="AG345" s="11" t="str">
        <f>IFERROR(INDEX(ShipPartShape!$A:$A,MATCH(AF345,ShipPartShape!$B:$B,0)),"-")</f>
        <v>-</v>
      </c>
      <c r="AH345" s="4"/>
      <c r="AI345" s="11" t="str">
        <f>IFERROR(INDEX(ShipPartShape!$A:$A,MATCH(AH345,ShipPartShape!$B:$B,0)),"-")</f>
        <v>-</v>
      </c>
      <c r="AJ345" s="11" t="s">
        <v>0</v>
      </c>
      <c r="AK345" s="11" t="s">
        <v>0</v>
      </c>
      <c r="AL345" s="11" t="s">
        <v>0</v>
      </c>
      <c r="AM345" s="11" t="s">
        <v>0</v>
      </c>
      <c r="AN345" s="11" t="s">
        <v>0</v>
      </c>
      <c r="AO345" s="11" t="s">
        <v>0</v>
      </c>
      <c r="AP345" s="11" t="s">
        <v>0</v>
      </c>
      <c r="AQ345" s="11" t="s">
        <v>0</v>
      </c>
      <c r="AR345" s="11" t="s">
        <v>0</v>
      </c>
      <c r="AS345" s="11" t="s">
        <v>0</v>
      </c>
      <c r="AT345" s="11" t="s">
        <v>0</v>
      </c>
      <c r="AU345" s="11">
        <v>47600018</v>
      </c>
      <c r="AV345" s="11" t="s">
        <v>0</v>
      </c>
      <c r="AW345" s="11" t="s">
        <v>0</v>
      </c>
      <c r="AX345" s="11" t="s">
        <v>0</v>
      </c>
    </row>
    <row r="346" spans="1:50" ht="15">
      <c r="A346" s="10">
        <f t="shared" si="5"/>
        <v>45000336</v>
      </c>
      <c r="B346" s="208" t="s">
        <v>3726</v>
      </c>
      <c r="C346" s="11" t="s">
        <v>3727</v>
      </c>
      <c r="D346" s="4" t="s">
        <v>3721</v>
      </c>
      <c r="E346" s="11">
        <v>700</v>
      </c>
      <c r="F346" s="11">
        <v>100</v>
      </c>
      <c r="G346" s="11">
        <v>20</v>
      </c>
      <c r="H346" s="11">
        <v>-40</v>
      </c>
      <c r="I346" s="11">
        <f>IFERROR(INDEX(ShipPartShape!$A:$A,MATCH(D346,ShipPartShape!$B:$B,0)),"-")</f>
        <v>46000308</v>
      </c>
      <c r="J346" s="4" t="s">
        <v>1257</v>
      </c>
      <c r="K346" s="11">
        <f>IFERROR(INDEX(ShipPartShape!$A:$A,MATCH(J346,ShipPartShape!$B:$B,0)),"-")</f>
        <v>46700012</v>
      </c>
      <c r="L346" s="4" t="s">
        <v>69</v>
      </c>
      <c r="M346" s="11">
        <f>IFERROR(INDEX(ShipPartShape!$A:$A,MATCH(L346,ShipPartShape!$B:$B,0)),"-")</f>
        <v>46300001</v>
      </c>
      <c r="N346" s="4"/>
      <c r="O346" s="11" t="str">
        <f>IFERROR(INDEX(ShipPartShape!$A:$A,MATCH(N346,ShipPartShape!$B:$B,0)),"-")</f>
        <v>-</v>
      </c>
      <c r="P346" s="4"/>
      <c r="Q346" s="11" t="str">
        <f>IFERROR(INDEX(ShipPartShape!$A:$A,MATCH(P346,ShipPartShape!$B:$B,0)),"-")</f>
        <v>-</v>
      </c>
      <c r="R346" s="4"/>
      <c r="S346" s="11" t="str">
        <f>IFERROR(INDEX(ShipPartShape!$A:$A,MATCH(R346,ShipPartShape!$B:$B,0)),"-")</f>
        <v>-</v>
      </c>
      <c r="T346" s="4"/>
      <c r="U346" s="11" t="str">
        <f>IFERROR(INDEX(ShipPartShape!$A:$A,MATCH(T346,ShipPartShape!$B:$B,0)),"-")</f>
        <v>-</v>
      </c>
      <c r="V346" s="4"/>
      <c r="W346" s="11" t="str">
        <f>IFERROR(INDEX(ShipPartShape!$A:$A,MATCH(V346,ShipPartShape!$B:$B,0)),"-")</f>
        <v>-</v>
      </c>
      <c r="X346" s="4"/>
      <c r="Y346" s="11" t="str">
        <f>IFERROR(INDEX(ShipPartShape!$A:$A,MATCH(X346,ShipPartShape!$B:$B,0)),"-")</f>
        <v>-</v>
      </c>
      <c r="Z346" s="4"/>
      <c r="AA346" s="11" t="str">
        <f>IFERROR(INDEX(ShipPartShape!$A:$A,MATCH(Z346,ShipPartShape!$B:$B,0)),"-")</f>
        <v>-</v>
      </c>
      <c r="AB346" s="4"/>
      <c r="AC346" s="11" t="str">
        <f>IFERROR(INDEX(ShipPartShape!$A:$A,MATCH(AB346,ShipPartShape!$B:$B,0)),"-")</f>
        <v>-</v>
      </c>
      <c r="AD346" s="4"/>
      <c r="AE346" s="11" t="str">
        <f>IFERROR(INDEX(ShipPartShape!$A:$A,MATCH(AD346,ShipPartShape!$B:$B,0)),"-")</f>
        <v>-</v>
      </c>
      <c r="AF346" s="4"/>
      <c r="AG346" s="11" t="str">
        <f>IFERROR(INDEX(ShipPartShape!$A:$A,MATCH(AF346,ShipPartShape!$B:$B,0)),"-")</f>
        <v>-</v>
      </c>
      <c r="AH346" s="4"/>
      <c r="AI346" s="11" t="str">
        <f>IFERROR(INDEX(ShipPartShape!$A:$A,MATCH(AH346,ShipPartShape!$B:$B,0)),"-")</f>
        <v>-</v>
      </c>
      <c r="AJ346" s="11" t="s">
        <v>0</v>
      </c>
      <c r="AK346" s="11" t="s">
        <v>0</v>
      </c>
      <c r="AL346" s="11" t="s">
        <v>0</v>
      </c>
      <c r="AM346" s="11" t="s">
        <v>0</v>
      </c>
      <c r="AN346" s="11" t="s">
        <v>0</v>
      </c>
      <c r="AO346" s="11" t="s">
        <v>0</v>
      </c>
      <c r="AP346" s="11" t="s">
        <v>0</v>
      </c>
      <c r="AQ346" s="11" t="s">
        <v>0</v>
      </c>
      <c r="AR346" s="11" t="s">
        <v>0</v>
      </c>
      <c r="AS346" s="11" t="s">
        <v>0</v>
      </c>
      <c r="AT346" s="11" t="s">
        <v>0</v>
      </c>
      <c r="AU346" s="11">
        <v>47600018</v>
      </c>
      <c r="AV346" s="11" t="s">
        <v>0</v>
      </c>
      <c r="AW346" s="11" t="s">
        <v>0</v>
      </c>
      <c r="AX346" s="11">
        <v>1.5</v>
      </c>
    </row>
    <row r="347" spans="1:50" ht="15">
      <c r="A347" s="10">
        <f t="shared" si="5"/>
        <v>45000337</v>
      </c>
      <c r="B347" s="208" t="s">
        <v>3737</v>
      </c>
      <c r="C347" s="11" t="s">
        <v>3730</v>
      </c>
      <c r="D347" s="4" t="s">
        <v>3738</v>
      </c>
      <c r="E347" s="11">
        <v>700</v>
      </c>
      <c r="F347" s="11">
        <v>100</v>
      </c>
      <c r="G347" s="11">
        <v>20</v>
      </c>
      <c r="H347" s="11">
        <v>-40</v>
      </c>
      <c r="I347" s="11">
        <f>IFERROR(INDEX(ShipPartShape!$A:$A,MATCH(D347,ShipPartShape!$B:$B,0)),"-")</f>
        <v>46000309</v>
      </c>
      <c r="J347" s="4" t="s">
        <v>1257</v>
      </c>
      <c r="K347" s="11">
        <f>IFERROR(INDEX(ShipPartShape!$A:$A,MATCH(J347,ShipPartShape!$B:$B,0)),"-")</f>
        <v>46700012</v>
      </c>
      <c r="L347" s="4"/>
      <c r="M347" s="11" t="str">
        <f>IFERROR(INDEX(ShipPartShape!$A:$A,MATCH(L347,ShipPartShape!$B:$B,0)),"-")</f>
        <v>-</v>
      </c>
      <c r="N347" s="4"/>
      <c r="O347" s="11" t="str">
        <f>IFERROR(INDEX(ShipPartShape!$A:$A,MATCH(N347,ShipPartShape!$B:$B,0)),"-")</f>
        <v>-</v>
      </c>
      <c r="P347" s="4"/>
      <c r="Q347" s="11" t="str">
        <f>IFERROR(INDEX(ShipPartShape!$A:$A,MATCH(P347,ShipPartShape!$B:$B,0)),"-")</f>
        <v>-</v>
      </c>
      <c r="R347" s="4"/>
      <c r="S347" s="11" t="str">
        <f>IFERROR(INDEX(ShipPartShape!$A:$A,MATCH(R347,ShipPartShape!$B:$B,0)),"-")</f>
        <v>-</v>
      </c>
      <c r="T347" s="4"/>
      <c r="U347" s="11" t="str">
        <f>IFERROR(INDEX(ShipPartShape!$A:$A,MATCH(T347,ShipPartShape!$B:$B,0)),"-")</f>
        <v>-</v>
      </c>
      <c r="V347" s="4"/>
      <c r="W347" s="11" t="str">
        <f>IFERROR(INDEX(ShipPartShape!$A:$A,MATCH(V347,ShipPartShape!$B:$B,0)),"-")</f>
        <v>-</v>
      </c>
      <c r="X347" s="4"/>
      <c r="Y347" s="11" t="str">
        <f>IFERROR(INDEX(ShipPartShape!$A:$A,MATCH(X347,ShipPartShape!$B:$B,0)),"-")</f>
        <v>-</v>
      </c>
      <c r="Z347" s="4"/>
      <c r="AA347" s="11" t="str">
        <f>IFERROR(INDEX(ShipPartShape!$A:$A,MATCH(Z347,ShipPartShape!$B:$B,0)),"-")</f>
        <v>-</v>
      </c>
      <c r="AB347" s="4"/>
      <c r="AC347" s="11" t="str">
        <f>IFERROR(INDEX(ShipPartShape!$A:$A,MATCH(AB347,ShipPartShape!$B:$B,0)),"-")</f>
        <v>-</v>
      </c>
      <c r="AD347" s="4"/>
      <c r="AE347" s="11" t="str">
        <f>IFERROR(INDEX(ShipPartShape!$A:$A,MATCH(AD347,ShipPartShape!$B:$B,0)),"-")</f>
        <v>-</v>
      </c>
      <c r="AF347" s="4"/>
      <c r="AG347" s="11" t="str">
        <f>IFERROR(INDEX(ShipPartShape!$A:$A,MATCH(AF347,ShipPartShape!$B:$B,0)),"-")</f>
        <v>-</v>
      </c>
      <c r="AH347" s="4"/>
      <c r="AI347" s="11" t="str">
        <f>IFERROR(INDEX(ShipPartShape!$A:$A,MATCH(AH347,ShipPartShape!$B:$B,0)),"-")</f>
        <v>-</v>
      </c>
      <c r="AJ347" s="11" t="s">
        <v>0</v>
      </c>
      <c r="AK347" s="11" t="s">
        <v>0</v>
      </c>
      <c r="AL347" s="11" t="s">
        <v>0</v>
      </c>
      <c r="AM347" s="11" t="s">
        <v>0</v>
      </c>
      <c r="AN347" s="11" t="s">
        <v>0</v>
      </c>
      <c r="AO347" s="11" t="s">
        <v>0</v>
      </c>
      <c r="AP347" s="11" t="s">
        <v>0</v>
      </c>
      <c r="AQ347" s="11" t="s">
        <v>0</v>
      </c>
      <c r="AR347" s="11" t="s">
        <v>0</v>
      </c>
      <c r="AS347" s="11" t="s">
        <v>0</v>
      </c>
      <c r="AT347" s="11" t="s">
        <v>0</v>
      </c>
      <c r="AU347" s="11">
        <v>47600018</v>
      </c>
      <c r="AV347" s="11" t="s">
        <v>0</v>
      </c>
      <c r="AW347" s="11" t="s">
        <v>0</v>
      </c>
      <c r="AX347" s="11" t="s">
        <v>0</v>
      </c>
    </row>
    <row r="348" spans="1:50" ht="15">
      <c r="A348" s="10">
        <f t="shared" si="5"/>
        <v>45000338</v>
      </c>
      <c r="B348" s="208" t="s">
        <v>3733</v>
      </c>
      <c r="C348" s="11" t="s">
        <v>3732</v>
      </c>
      <c r="D348" s="4" t="s">
        <v>3734</v>
      </c>
      <c r="E348" s="11">
        <v>700</v>
      </c>
      <c r="F348" s="11">
        <v>100</v>
      </c>
      <c r="G348" s="11">
        <v>20</v>
      </c>
      <c r="H348" s="11">
        <v>-40</v>
      </c>
      <c r="I348" s="11">
        <f>IFERROR(INDEX(ShipPartShape!$A:$A,MATCH(D348,ShipPartShape!$B:$B,0)),"-")</f>
        <v>46000310</v>
      </c>
      <c r="J348" s="4" t="s">
        <v>1215</v>
      </c>
      <c r="K348" s="11">
        <f>IFERROR(INDEX(ShipPartShape!$A:$A,MATCH(J348,ShipPartShape!$B:$B,0)),"-")</f>
        <v>46700013</v>
      </c>
      <c r="L348" s="4"/>
      <c r="M348" s="11" t="str">
        <f>IFERROR(INDEX(ShipPartShape!$A:$A,MATCH(L348,ShipPartShape!$B:$B,0)),"-")</f>
        <v>-</v>
      </c>
      <c r="N348" s="4"/>
      <c r="O348" s="11" t="str">
        <f>IFERROR(INDEX(ShipPartShape!$A:$A,MATCH(N348,ShipPartShape!$B:$B,0)),"-")</f>
        <v>-</v>
      </c>
      <c r="P348" s="4"/>
      <c r="Q348" s="11" t="str">
        <f>IFERROR(INDEX(ShipPartShape!$A:$A,MATCH(P348,ShipPartShape!$B:$B,0)),"-")</f>
        <v>-</v>
      </c>
      <c r="R348" s="4"/>
      <c r="S348" s="11" t="str">
        <f>IFERROR(INDEX(ShipPartShape!$A:$A,MATCH(R348,ShipPartShape!$B:$B,0)),"-")</f>
        <v>-</v>
      </c>
      <c r="T348" s="4"/>
      <c r="U348" s="11" t="str">
        <f>IFERROR(INDEX(ShipPartShape!$A:$A,MATCH(T348,ShipPartShape!$B:$B,0)),"-")</f>
        <v>-</v>
      </c>
      <c r="V348" s="4"/>
      <c r="W348" s="11" t="str">
        <f>IFERROR(INDEX(ShipPartShape!$A:$A,MATCH(V348,ShipPartShape!$B:$B,0)),"-")</f>
        <v>-</v>
      </c>
      <c r="X348" s="4"/>
      <c r="Y348" s="11" t="str">
        <f>IFERROR(INDEX(ShipPartShape!$A:$A,MATCH(X348,ShipPartShape!$B:$B,0)),"-")</f>
        <v>-</v>
      </c>
      <c r="Z348" s="4"/>
      <c r="AA348" s="11" t="str">
        <f>IFERROR(INDEX(ShipPartShape!$A:$A,MATCH(Z348,ShipPartShape!$B:$B,0)),"-")</f>
        <v>-</v>
      </c>
      <c r="AB348" s="4"/>
      <c r="AC348" s="11" t="str">
        <f>IFERROR(INDEX(ShipPartShape!$A:$A,MATCH(AB348,ShipPartShape!$B:$B,0)),"-")</f>
        <v>-</v>
      </c>
      <c r="AD348" s="4"/>
      <c r="AE348" s="11" t="str">
        <f>IFERROR(INDEX(ShipPartShape!$A:$A,MATCH(AD348,ShipPartShape!$B:$B,0)),"-")</f>
        <v>-</v>
      </c>
      <c r="AF348" s="4"/>
      <c r="AG348" s="11" t="str">
        <f>IFERROR(INDEX(ShipPartShape!$A:$A,MATCH(AF348,ShipPartShape!$B:$B,0)),"-")</f>
        <v>-</v>
      </c>
      <c r="AH348" s="4"/>
      <c r="AI348" s="11" t="str">
        <f>IFERROR(INDEX(ShipPartShape!$A:$A,MATCH(AH348,ShipPartShape!$B:$B,0)),"-")</f>
        <v>-</v>
      </c>
      <c r="AJ348" s="11" t="s">
        <v>0</v>
      </c>
      <c r="AK348" s="11" t="s">
        <v>0</v>
      </c>
      <c r="AL348" s="11" t="s">
        <v>0</v>
      </c>
      <c r="AM348" s="11" t="s">
        <v>0</v>
      </c>
      <c r="AN348" s="11" t="s">
        <v>0</v>
      </c>
      <c r="AO348" s="11" t="s">
        <v>0</v>
      </c>
      <c r="AP348" s="11" t="s">
        <v>0</v>
      </c>
      <c r="AQ348" s="11" t="s">
        <v>0</v>
      </c>
      <c r="AR348" s="11" t="s">
        <v>0</v>
      </c>
      <c r="AS348" s="11" t="s">
        <v>0</v>
      </c>
      <c r="AT348" s="11" t="s">
        <v>0</v>
      </c>
      <c r="AU348" s="11">
        <v>47600018</v>
      </c>
      <c r="AV348" s="11" t="s">
        <v>0</v>
      </c>
      <c r="AW348" s="11" t="s">
        <v>0</v>
      </c>
      <c r="AX348" s="11" t="s">
        <v>0</v>
      </c>
    </row>
    <row r="349" spans="1:50" ht="15">
      <c r="A349" s="10">
        <f t="shared" si="5"/>
        <v>45000339</v>
      </c>
      <c r="B349" s="22" t="s">
        <v>3751</v>
      </c>
      <c r="C349" s="11" t="s">
        <v>3752</v>
      </c>
      <c r="D349" s="4" t="s">
        <v>3746</v>
      </c>
      <c r="E349" s="11">
        <v>700</v>
      </c>
      <c r="F349" s="11">
        <v>150</v>
      </c>
      <c r="G349" s="11">
        <v>20</v>
      </c>
      <c r="H349" s="11">
        <v>-40</v>
      </c>
      <c r="I349" s="11">
        <f>IFERROR(INDEX(ShipPartShape!$A:$A,MATCH(D349,ShipPartShape!$B:$B,0)),"-")</f>
        <v>46000311</v>
      </c>
      <c r="J349" s="4" t="s">
        <v>1256</v>
      </c>
      <c r="K349" s="11">
        <f>IFERROR(INDEX(ShipPartShape!$A:$A,MATCH(J349,ShipPartShape!$B:$B,0)),"-")</f>
        <v>46700015</v>
      </c>
      <c r="L349" s="4"/>
      <c r="M349" s="11" t="str">
        <f>IFERROR(INDEX(ShipPartShape!$A:$A,MATCH(L349,ShipPartShape!$B:$B,0)),"-")</f>
        <v>-</v>
      </c>
      <c r="N349" s="4" t="s">
        <v>3749</v>
      </c>
      <c r="O349" s="11">
        <f>IFERROR(INDEX(ShipPartShape!$A:$A,MATCH(N349,ShipPartShape!$B:$B,0)),"-")</f>
        <v>46500063</v>
      </c>
      <c r="P349" s="4"/>
      <c r="Q349" s="11" t="str">
        <f>IFERROR(INDEX(ShipPartShape!$A:$A,MATCH(P349,ShipPartShape!$B:$B,0)),"-")</f>
        <v>-</v>
      </c>
      <c r="R349" s="4"/>
      <c r="S349" s="11" t="str">
        <f>IFERROR(INDEX(ShipPartShape!$A:$A,MATCH(R349,ShipPartShape!$B:$B,0)),"-")</f>
        <v>-</v>
      </c>
      <c r="T349" s="4"/>
      <c r="U349" s="11" t="str">
        <f>IFERROR(INDEX(ShipPartShape!$A:$A,MATCH(T349,ShipPartShape!$B:$B,0)),"-")</f>
        <v>-</v>
      </c>
      <c r="V349" s="4"/>
      <c r="W349" s="11" t="str">
        <f>IFERROR(INDEX(ShipPartShape!$A:$A,MATCH(V349,ShipPartShape!$B:$B,0)),"-")</f>
        <v>-</v>
      </c>
      <c r="X349" s="4"/>
      <c r="Y349" s="11" t="str">
        <f>IFERROR(INDEX(ShipPartShape!$A:$A,MATCH(X349,ShipPartShape!$B:$B,0)),"-")</f>
        <v>-</v>
      </c>
      <c r="Z349" s="4"/>
      <c r="AA349" s="11" t="str">
        <f>IFERROR(INDEX(ShipPartShape!$A:$A,MATCH(Z349,ShipPartShape!$B:$B,0)),"-")</f>
        <v>-</v>
      </c>
      <c r="AB349" s="4"/>
      <c r="AC349" s="11" t="str">
        <f>IFERROR(INDEX(ShipPartShape!$A:$A,MATCH(AB349,ShipPartShape!$B:$B,0)),"-")</f>
        <v>-</v>
      </c>
      <c r="AD349" s="4"/>
      <c r="AE349" s="11" t="str">
        <f>IFERROR(INDEX(ShipPartShape!$A:$A,MATCH(AD349,ShipPartShape!$B:$B,0)),"-")</f>
        <v>-</v>
      </c>
      <c r="AF349" s="4"/>
      <c r="AG349" s="11" t="str">
        <f>IFERROR(INDEX(ShipPartShape!$A:$A,MATCH(AF349,ShipPartShape!$B:$B,0)),"-")</f>
        <v>-</v>
      </c>
      <c r="AH349" s="4"/>
      <c r="AI349" s="11" t="str">
        <f>IFERROR(INDEX(ShipPartShape!$A:$A,MATCH(AH349,ShipPartShape!$B:$B,0)),"-")</f>
        <v>-</v>
      </c>
      <c r="AJ349" s="11" t="s">
        <v>0</v>
      </c>
      <c r="AK349" s="11" t="s">
        <v>0</v>
      </c>
      <c r="AL349" s="11" t="s">
        <v>0</v>
      </c>
      <c r="AM349" s="11" t="s">
        <v>0</v>
      </c>
      <c r="AN349" s="11" t="s">
        <v>0</v>
      </c>
      <c r="AO349" s="11" t="s">
        <v>0</v>
      </c>
      <c r="AP349" s="11" t="s">
        <v>0</v>
      </c>
      <c r="AQ349" s="11" t="s">
        <v>0</v>
      </c>
      <c r="AR349" s="11" t="s">
        <v>0</v>
      </c>
      <c r="AS349" s="11" t="s">
        <v>0</v>
      </c>
      <c r="AT349" s="11" t="s">
        <v>0</v>
      </c>
      <c r="AU349" s="11">
        <v>47600018</v>
      </c>
      <c r="AV349" s="11" t="s">
        <v>0</v>
      </c>
      <c r="AW349" s="11" t="s">
        <v>0</v>
      </c>
      <c r="AX349" s="11">
        <v>1.5</v>
      </c>
    </row>
    <row r="350" spans="1:50" ht="15">
      <c r="A350" s="10">
        <f t="shared" si="5"/>
        <v>45000340</v>
      </c>
      <c r="B350" s="22" t="s">
        <v>3761</v>
      </c>
      <c r="C350" s="11" t="s">
        <v>3762</v>
      </c>
      <c r="D350" s="4" t="s">
        <v>3759</v>
      </c>
      <c r="E350" s="11">
        <v>700</v>
      </c>
      <c r="F350" s="11">
        <v>150</v>
      </c>
      <c r="G350" s="11">
        <v>20</v>
      </c>
      <c r="H350" s="11">
        <v>-40</v>
      </c>
      <c r="I350" s="11">
        <f>IFERROR(INDEX(ShipPartShape!$A:$A,MATCH(D350,ShipPartShape!$B:$B,0)),"-")</f>
        <v>46000312</v>
      </c>
      <c r="J350" s="4" t="s">
        <v>1257</v>
      </c>
      <c r="K350" s="11">
        <f>IFERROR(INDEX(ShipPartShape!$A:$A,MATCH(J350,ShipPartShape!$B:$B,0)),"-")</f>
        <v>46700012</v>
      </c>
      <c r="L350" s="4"/>
      <c r="M350" s="11" t="str">
        <f>IFERROR(INDEX(ShipPartShape!$A:$A,MATCH(L350,ShipPartShape!$B:$B,0)),"-")</f>
        <v>-</v>
      </c>
      <c r="N350" s="4"/>
      <c r="O350" s="11" t="str">
        <f>IFERROR(INDEX(ShipPartShape!$A:$A,MATCH(N350,ShipPartShape!$B:$B,0)),"-")</f>
        <v>-</v>
      </c>
      <c r="P350" s="4"/>
      <c r="Q350" s="11" t="str">
        <f>IFERROR(INDEX(ShipPartShape!$A:$A,MATCH(P350,ShipPartShape!$B:$B,0)),"-")</f>
        <v>-</v>
      </c>
      <c r="R350" s="4"/>
      <c r="S350" s="11" t="str">
        <f>IFERROR(INDEX(ShipPartShape!$A:$A,MATCH(R350,ShipPartShape!$B:$B,0)),"-")</f>
        <v>-</v>
      </c>
      <c r="T350" s="4"/>
      <c r="U350" s="11" t="str">
        <f>IFERROR(INDEX(ShipPartShape!$A:$A,MATCH(T350,ShipPartShape!$B:$B,0)),"-")</f>
        <v>-</v>
      </c>
      <c r="V350" s="4" t="s">
        <v>602</v>
      </c>
      <c r="W350" s="11">
        <f>IFERROR(INDEX(ShipPartShape!$A:$A,MATCH(V350,ShipPartShape!$B:$B,0)),"-")</f>
        <v>46600002</v>
      </c>
      <c r="X350" s="4" t="s">
        <v>603</v>
      </c>
      <c r="Y350" s="11">
        <f>IFERROR(INDEX(ShipPartShape!$A:$A,MATCH(X350,ShipPartShape!$B:$B,0)),"-")</f>
        <v>46600007</v>
      </c>
      <c r="Z350" s="4"/>
      <c r="AA350" s="11" t="str">
        <f>IFERROR(INDEX(ShipPartShape!$A:$A,MATCH(Z350,ShipPartShape!$B:$B,0)),"-")</f>
        <v>-</v>
      </c>
      <c r="AB350" s="4"/>
      <c r="AC350" s="11" t="str">
        <f>IFERROR(INDEX(ShipPartShape!$A:$A,MATCH(AB350,ShipPartShape!$B:$B,0)),"-")</f>
        <v>-</v>
      </c>
      <c r="AD350" s="4"/>
      <c r="AE350" s="11" t="str">
        <f>IFERROR(INDEX(ShipPartShape!$A:$A,MATCH(AD350,ShipPartShape!$B:$B,0)),"-")</f>
        <v>-</v>
      </c>
      <c r="AF350" s="4"/>
      <c r="AG350" s="11" t="str">
        <f>IFERROR(INDEX(ShipPartShape!$A:$A,MATCH(AF350,ShipPartShape!$B:$B,0)),"-")</f>
        <v>-</v>
      </c>
      <c r="AH350" s="4"/>
      <c r="AI350" s="11" t="str">
        <f>IFERROR(INDEX(ShipPartShape!$A:$A,MATCH(AH350,ShipPartShape!$B:$B,0)),"-")</f>
        <v>-</v>
      </c>
      <c r="AJ350" s="11" t="s">
        <v>0</v>
      </c>
      <c r="AK350" s="11" t="s">
        <v>0</v>
      </c>
      <c r="AL350" s="11" t="s">
        <v>0</v>
      </c>
      <c r="AM350" s="11" t="s">
        <v>0</v>
      </c>
      <c r="AN350" s="11" t="s">
        <v>0</v>
      </c>
      <c r="AO350" s="11" t="s">
        <v>0</v>
      </c>
      <c r="AP350" s="11" t="s">
        <v>0</v>
      </c>
      <c r="AQ350" s="11" t="s">
        <v>0</v>
      </c>
      <c r="AR350" s="11" t="s">
        <v>0</v>
      </c>
      <c r="AS350" s="11" t="s">
        <v>0</v>
      </c>
      <c r="AT350" s="11" t="s">
        <v>0</v>
      </c>
      <c r="AU350" s="11">
        <v>47600018</v>
      </c>
      <c r="AV350" s="11" t="s">
        <v>0</v>
      </c>
      <c r="AW350" s="11" t="s">
        <v>0</v>
      </c>
      <c r="AX350" s="11">
        <v>1.5</v>
      </c>
    </row>
    <row r="351" spans="1:50" ht="15">
      <c r="A351" s="10">
        <f t="shared" si="5"/>
        <v>45000341</v>
      </c>
      <c r="B351" s="22" t="s">
        <v>3766</v>
      </c>
      <c r="C351" s="11" t="s">
        <v>3772</v>
      </c>
      <c r="D351" s="4" t="s">
        <v>3764</v>
      </c>
      <c r="E351" s="11">
        <v>700</v>
      </c>
      <c r="F351" s="11">
        <v>150</v>
      </c>
      <c r="G351" s="11">
        <v>20</v>
      </c>
      <c r="H351" s="11">
        <v>-40</v>
      </c>
      <c r="I351" s="11">
        <f>IFERROR(INDEX(ShipPartShape!$A:$A,MATCH(D351,ShipPartShape!$B:$B,0)),"-")</f>
        <v>46000313</v>
      </c>
      <c r="J351" s="4" t="s">
        <v>1215</v>
      </c>
      <c r="K351" s="11">
        <f>IFERROR(INDEX(ShipPartShape!$A:$A,MATCH(J351,ShipPartShape!$B:$B,0)),"-")</f>
        <v>46700013</v>
      </c>
      <c r="L351" s="4"/>
      <c r="M351" s="11" t="str">
        <f>IFERROR(INDEX(ShipPartShape!$A:$A,MATCH(L351,ShipPartShape!$B:$B,0)),"-")</f>
        <v>-</v>
      </c>
      <c r="N351" s="4"/>
      <c r="O351" s="11" t="str">
        <f>IFERROR(INDEX(ShipPartShape!$A:$A,MATCH(N351,ShipPartShape!$B:$B,0)),"-")</f>
        <v>-</v>
      </c>
      <c r="P351" s="4"/>
      <c r="Q351" s="11" t="str">
        <f>IFERROR(INDEX(ShipPartShape!$A:$A,MATCH(P351,ShipPartShape!$B:$B,0)),"-")</f>
        <v>-</v>
      </c>
      <c r="R351" s="4"/>
      <c r="S351" s="11" t="str">
        <f>IFERROR(INDEX(ShipPartShape!$A:$A,MATCH(R351,ShipPartShape!$B:$B,0)),"-")</f>
        <v>-</v>
      </c>
      <c r="T351" s="4"/>
      <c r="U351" s="11" t="str">
        <f>IFERROR(INDEX(ShipPartShape!$A:$A,MATCH(T351,ShipPartShape!$B:$B,0)),"-")</f>
        <v>-</v>
      </c>
      <c r="V351" s="4"/>
      <c r="W351" s="11" t="str">
        <f>IFERROR(INDEX(ShipPartShape!$A:$A,MATCH(V351,ShipPartShape!$B:$B,0)),"-")</f>
        <v>-</v>
      </c>
      <c r="X351" s="4" t="s">
        <v>609</v>
      </c>
      <c r="Y351" s="11">
        <f>IFERROR(INDEX(ShipPartShape!$A:$A,MATCH(X351,ShipPartShape!$B:$B,0)),"-")</f>
        <v>46600011</v>
      </c>
      <c r="Z351" s="4"/>
      <c r="AA351" s="11" t="str">
        <f>IFERROR(INDEX(ShipPartShape!$A:$A,MATCH(Z351,ShipPartShape!$B:$B,0)),"-")</f>
        <v>-</v>
      </c>
      <c r="AB351" s="4"/>
      <c r="AC351" s="11" t="str">
        <f>IFERROR(INDEX(ShipPartShape!$A:$A,MATCH(AB351,ShipPartShape!$B:$B,0)),"-")</f>
        <v>-</v>
      </c>
      <c r="AD351" s="4"/>
      <c r="AE351" s="11" t="str">
        <f>IFERROR(INDEX(ShipPartShape!$A:$A,MATCH(AD351,ShipPartShape!$B:$B,0)),"-")</f>
        <v>-</v>
      </c>
      <c r="AF351" s="4"/>
      <c r="AG351" s="11" t="str">
        <f>IFERROR(INDEX(ShipPartShape!$A:$A,MATCH(AF351,ShipPartShape!$B:$B,0)),"-")</f>
        <v>-</v>
      </c>
      <c r="AH351" s="4"/>
      <c r="AI351" s="11" t="str">
        <f>IFERROR(INDEX(ShipPartShape!$A:$A,MATCH(AH351,ShipPartShape!$B:$B,0)),"-")</f>
        <v>-</v>
      </c>
      <c r="AJ351" s="11" t="s">
        <v>0</v>
      </c>
      <c r="AK351" s="11" t="s">
        <v>0</v>
      </c>
      <c r="AL351" s="11" t="s">
        <v>0</v>
      </c>
      <c r="AM351" s="11" t="s">
        <v>0</v>
      </c>
      <c r="AN351" s="11" t="s">
        <v>0</v>
      </c>
      <c r="AO351" s="11" t="s">
        <v>0</v>
      </c>
      <c r="AP351" s="11" t="s">
        <v>0</v>
      </c>
      <c r="AQ351" s="11" t="s">
        <v>0</v>
      </c>
      <c r="AR351" s="11" t="s">
        <v>0</v>
      </c>
      <c r="AS351" s="11" t="s">
        <v>0</v>
      </c>
      <c r="AT351" s="11" t="s">
        <v>0</v>
      </c>
      <c r="AU351" s="11">
        <v>47600018</v>
      </c>
      <c r="AV351" s="11" t="s">
        <v>0</v>
      </c>
      <c r="AW351" s="11" t="s">
        <v>0</v>
      </c>
      <c r="AX351" s="11" t="s">
        <v>0</v>
      </c>
    </row>
    <row r="352" spans="1:50" ht="15">
      <c r="A352" s="10">
        <f t="shared" si="5"/>
        <v>45000342</v>
      </c>
      <c r="B352" s="22" t="s">
        <v>3770</v>
      </c>
      <c r="C352" s="11" t="s">
        <v>3771</v>
      </c>
      <c r="D352" s="4" t="s">
        <v>3767</v>
      </c>
      <c r="E352" s="11">
        <v>700</v>
      </c>
      <c r="F352" s="11">
        <v>150</v>
      </c>
      <c r="G352" s="11">
        <v>20</v>
      </c>
      <c r="H352" s="11">
        <v>-40</v>
      </c>
      <c r="I352" s="11">
        <f>IFERROR(INDEX(ShipPartShape!$A:$A,MATCH(D352,ShipPartShape!$B:$B,0)),"-")</f>
        <v>46000314</v>
      </c>
      <c r="J352" s="4" t="s">
        <v>1215</v>
      </c>
      <c r="K352" s="11">
        <f>IFERROR(INDEX(ShipPartShape!$A:$A,MATCH(J352,ShipPartShape!$B:$B,0)),"-")</f>
        <v>46700013</v>
      </c>
      <c r="L352" s="4"/>
      <c r="M352" s="11" t="str">
        <f>IFERROR(INDEX(ShipPartShape!$A:$A,MATCH(L352,ShipPartShape!$B:$B,0)),"-")</f>
        <v>-</v>
      </c>
      <c r="N352" s="4"/>
      <c r="O352" s="11" t="str">
        <f>IFERROR(INDEX(ShipPartShape!$A:$A,MATCH(N352,ShipPartShape!$B:$B,0)),"-")</f>
        <v>-</v>
      </c>
      <c r="P352" s="4"/>
      <c r="Q352" s="11" t="str">
        <f>IFERROR(INDEX(ShipPartShape!$A:$A,MATCH(P352,ShipPartShape!$B:$B,0)),"-")</f>
        <v>-</v>
      </c>
      <c r="R352" s="4"/>
      <c r="S352" s="11" t="str">
        <f>IFERROR(INDEX(ShipPartShape!$A:$A,MATCH(R352,ShipPartShape!$B:$B,0)),"-")</f>
        <v>-</v>
      </c>
      <c r="T352" s="4"/>
      <c r="U352" s="11" t="str">
        <f>IFERROR(INDEX(ShipPartShape!$A:$A,MATCH(T352,ShipPartShape!$B:$B,0)),"-")</f>
        <v>-</v>
      </c>
      <c r="V352" s="4"/>
      <c r="W352" s="11" t="str">
        <f>IFERROR(INDEX(ShipPartShape!$A:$A,MATCH(V352,ShipPartShape!$B:$B,0)),"-")</f>
        <v>-</v>
      </c>
      <c r="X352" s="4" t="s">
        <v>609</v>
      </c>
      <c r="Y352" s="11">
        <f>IFERROR(INDEX(ShipPartShape!$A:$A,MATCH(X352,ShipPartShape!$B:$B,0)),"-")</f>
        <v>46600011</v>
      </c>
      <c r="Z352" s="4"/>
      <c r="AA352" s="11" t="str">
        <f>IFERROR(INDEX(ShipPartShape!$A:$A,MATCH(Z352,ShipPartShape!$B:$B,0)),"-")</f>
        <v>-</v>
      </c>
      <c r="AB352" s="4"/>
      <c r="AC352" s="11" t="str">
        <f>IFERROR(INDEX(ShipPartShape!$A:$A,MATCH(AB352,ShipPartShape!$B:$B,0)),"-")</f>
        <v>-</v>
      </c>
      <c r="AD352" s="4"/>
      <c r="AE352" s="11" t="str">
        <f>IFERROR(INDEX(ShipPartShape!$A:$A,MATCH(AD352,ShipPartShape!$B:$B,0)),"-")</f>
        <v>-</v>
      </c>
      <c r="AF352" s="4"/>
      <c r="AG352" s="11" t="str">
        <f>IFERROR(INDEX(ShipPartShape!$A:$A,MATCH(AF352,ShipPartShape!$B:$B,0)),"-")</f>
        <v>-</v>
      </c>
      <c r="AH352" s="4"/>
      <c r="AI352" s="11" t="str">
        <f>IFERROR(INDEX(ShipPartShape!$A:$A,MATCH(AH352,ShipPartShape!$B:$B,0)),"-")</f>
        <v>-</v>
      </c>
      <c r="AJ352" s="11" t="s">
        <v>0</v>
      </c>
      <c r="AK352" s="11" t="s">
        <v>0</v>
      </c>
      <c r="AL352" s="11" t="s">
        <v>0</v>
      </c>
      <c r="AM352" s="11" t="s">
        <v>0</v>
      </c>
      <c r="AN352" s="11" t="s">
        <v>0</v>
      </c>
      <c r="AO352" s="11" t="s">
        <v>0</v>
      </c>
      <c r="AP352" s="11" t="s">
        <v>0</v>
      </c>
      <c r="AQ352" s="11" t="s">
        <v>0</v>
      </c>
      <c r="AR352" s="11" t="s">
        <v>0</v>
      </c>
      <c r="AS352" s="11" t="s">
        <v>0</v>
      </c>
      <c r="AT352" s="11" t="s">
        <v>0</v>
      </c>
      <c r="AU352" s="11">
        <v>47600018</v>
      </c>
      <c r="AV352" s="11" t="s">
        <v>0</v>
      </c>
      <c r="AW352" s="11" t="s">
        <v>0</v>
      </c>
      <c r="AX352" s="11">
        <v>1.5</v>
      </c>
    </row>
    <row r="353" spans="1:50" ht="15">
      <c r="A353" s="10">
        <f t="shared" si="5"/>
        <v>45000343</v>
      </c>
      <c r="B353" s="22" t="s">
        <v>3778</v>
      </c>
      <c r="C353" s="11" t="s">
        <v>3779</v>
      </c>
      <c r="D353" s="4" t="s">
        <v>3775</v>
      </c>
      <c r="E353" s="11">
        <v>700</v>
      </c>
      <c r="F353" s="11">
        <v>150</v>
      </c>
      <c r="G353" s="11">
        <v>20</v>
      </c>
      <c r="H353" s="11">
        <v>-40</v>
      </c>
      <c r="I353" s="11">
        <f>IFERROR(INDEX(ShipPartShape!$A:$A,MATCH(D353,ShipPartShape!$B:$B,0)),"-")</f>
        <v>46000315</v>
      </c>
      <c r="J353" s="4" t="s">
        <v>1213</v>
      </c>
      <c r="K353" s="11">
        <f>IFERROR(INDEX(ShipPartShape!$A:$A,MATCH(J353,ShipPartShape!$B:$B,0)),"-")</f>
        <v>46700010</v>
      </c>
      <c r="L353" s="4" t="s">
        <v>69</v>
      </c>
      <c r="M353" s="11">
        <f>IFERROR(INDEX(ShipPartShape!$A:$A,MATCH(L353,ShipPartShape!$B:$B,0)),"-")</f>
        <v>46300001</v>
      </c>
      <c r="N353" s="4"/>
      <c r="O353" s="11" t="str">
        <f>IFERROR(INDEX(ShipPartShape!$A:$A,MATCH(N353,ShipPartShape!$B:$B,0)),"-")</f>
        <v>-</v>
      </c>
      <c r="P353" s="4"/>
      <c r="Q353" s="11" t="str">
        <f>IFERROR(INDEX(ShipPartShape!$A:$A,MATCH(P353,ShipPartShape!$B:$B,0)),"-")</f>
        <v>-</v>
      </c>
      <c r="R353" s="4"/>
      <c r="S353" s="11" t="str">
        <f>IFERROR(INDEX(ShipPartShape!$A:$A,MATCH(R353,ShipPartShape!$B:$B,0)),"-")</f>
        <v>-</v>
      </c>
      <c r="T353" s="4" t="s">
        <v>602</v>
      </c>
      <c r="U353" s="11">
        <f>IFERROR(INDEX(ShipPartShape!$A:$A,MATCH(T353,ShipPartShape!$B:$B,0)),"-")</f>
        <v>46600002</v>
      </c>
      <c r="V353" s="4" t="s">
        <v>606</v>
      </c>
      <c r="W353" s="11">
        <f>IFERROR(INDEX(ShipPartShape!$A:$A,MATCH(V353,ShipPartShape!$B:$B,0)),"-")</f>
        <v>46600003</v>
      </c>
      <c r="X353" s="4" t="s">
        <v>604</v>
      </c>
      <c r="Y353" s="11">
        <f>IFERROR(INDEX(ShipPartShape!$A:$A,MATCH(X353,ShipPartShape!$B:$B,0)),"-")</f>
        <v>46600005</v>
      </c>
      <c r="Z353" s="4" t="s">
        <v>603</v>
      </c>
      <c r="AA353" s="11">
        <f>IFERROR(INDEX(ShipPartShape!$A:$A,MATCH(Z353,ShipPartShape!$B:$B,0)),"-")</f>
        <v>46600007</v>
      </c>
      <c r="AB353" s="4" t="s">
        <v>611</v>
      </c>
      <c r="AC353" s="11">
        <f>IFERROR(INDEX(ShipPartShape!$A:$A,MATCH(AB353,ShipPartShape!$B:$B,0)),"-")</f>
        <v>46600010</v>
      </c>
      <c r="AD353" s="4"/>
      <c r="AE353" s="11" t="str">
        <f>IFERROR(INDEX(ShipPartShape!$A:$A,MATCH(AD353,ShipPartShape!$B:$B,0)),"-")</f>
        <v>-</v>
      </c>
      <c r="AF353" s="4"/>
      <c r="AG353" s="11" t="str">
        <f>IFERROR(INDEX(ShipPartShape!$A:$A,MATCH(AF353,ShipPartShape!$B:$B,0)),"-")</f>
        <v>-</v>
      </c>
      <c r="AH353" s="4"/>
      <c r="AI353" s="11" t="str">
        <f>IFERROR(INDEX(ShipPartShape!$A:$A,MATCH(AH353,ShipPartShape!$B:$B,0)),"-")</f>
        <v>-</v>
      </c>
      <c r="AJ353" s="11" t="s">
        <v>0</v>
      </c>
      <c r="AK353" s="11" t="s">
        <v>0</v>
      </c>
      <c r="AL353" s="11" t="s">
        <v>0</v>
      </c>
      <c r="AM353" s="11" t="s">
        <v>0</v>
      </c>
      <c r="AN353" s="11" t="s">
        <v>0</v>
      </c>
      <c r="AO353" s="11" t="s">
        <v>0</v>
      </c>
      <c r="AP353" s="11" t="s">
        <v>0</v>
      </c>
      <c r="AQ353" s="11" t="s">
        <v>0</v>
      </c>
      <c r="AR353" s="11" t="s">
        <v>0</v>
      </c>
      <c r="AS353" s="11" t="s">
        <v>0</v>
      </c>
      <c r="AT353" s="11" t="s">
        <v>0</v>
      </c>
      <c r="AU353" s="11">
        <v>47600018</v>
      </c>
      <c r="AV353" s="11" t="s">
        <v>0</v>
      </c>
      <c r="AW353" s="11" t="s">
        <v>0</v>
      </c>
      <c r="AX353" s="11">
        <v>1.5</v>
      </c>
    </row>
    <row r="354" spans="1:50" ht="15">
      <c r="A354" s="10">
        <f t="shared" si="5"/>
        <v>45000344</v>
      </c>
      <c r="B354" s="22" t="s">
        <v>3783</v>
      </c>
      <c r="C354" s="11" t="s">
        <v>3784</v>
      </c>
      <c r="D354" s="4" t="s">
        <v>3780</v>
      </c>
      <c r="E354" s="11">
        <v>700</v>
      </c>
      <c r="F354" s="11">
        <v>150</v>
      </c>
      <c r="G354" s="11">
        <v>20</v>
      </c>
      <c r="H354" s="11">
        <v>-40</v>
      </c>
      <c r="I354" s="11">
        <f>IFERROR(INDEX(ShipPartShape!$A:$A,MATCH(D354,ShipPartShape!$B:$B,0)),"-")</f>
        <v>46000316</v>
      </c>
      <c r="J354" s="4" t="s">
        <v>1215</v>
      </c>
      <c r="K354" s="11">
        <f>IFERROR(INDEX(ShipPartShape!$A:$A,MATCH(J354,ShipPartShape!$B:$B,0)),"-")</f>
        <v>46700013</v>
      </c>
      <c r="L354" s="4"/>
      <c r="M354" s="11" t="str">
        <f>IFERROR(INDEX(ShipPartShape!$A:$A,MATCH(L354,ShipPartShape!$B:$B,0)),"-")</f>
        <v>-</v>
      </c>
      <c r="N354" s="4"/>
      <c r="O354" s="11" t="str">
        <f>IFERROR(INDEX(ShipPartShape!$A:$A,MATCH(N354,ShipPartShape!$B:$B,0)),"-")</f>
        <v>-</v>
      </c>
      <c r="P354" s="4"/>
      <c r="Q354" s="11" t="str">
        <f>IFERROR(INDEX(ShipPartShape!$A:$A,MATCH(P354,ShipPartShape!$B:$B,0)),"-")</f>
        <v>-</v>
      </c>
      <c r="R354" s="4"/>
      <c r="S354" s="11" t="str">
        <f>IFERROR(INDEX(ShipPartShape!$A:$A,MATCH(R354,ShipPartShape!$B:$B,0)),"-")</f>
        <v>-</v>
      </c>
      <c r="T354" s="4" t="s">
        <v>601</v>
      </c>
      <c r="U354" s="11">
        <f>IFERROR(INDEX(ShipPartShape!$A:$A,MATCH(T354,ShipPartShape!$B:$B,0)),"-")</f>
        <v>46600001</v>
      </c>
      <c r="V354" s="4" t="s">
        <v>602</v>
      </c>
      <c r="W354" s="11">
        <f>IFERROR(INDEX(ShipPartShape!$A:$A,MATCH(V354,ShipPartShape!$B:$B,0)),"-")</f>
        <v>46600002</v>
      </c>
      <c r="X354" s="4" t="s">
        <v>611</v>
      </c>
      <c r="Y354" s="11">
        <f>IFERROR(INDEX(ShipPartShape!$A:$A,MATCH(X354,ShipPartShape!$B:$B,0)),"-")</f>
        <v>46600010</v>
      </c>
      <c r="Z354" s="4" t="s">
        <v>609</v>
      </c>
      <c r="AA354" s="11">
        <f>IFERROR(INDEX(ShipPartShape!$A:$A,MATCH(Z354,ShipPartShape!$B:$B,0)),"-")</f>
        <v>46600011</v>
      </c>
      <c r="AB354" s="4"/>
      <c r="AC354" s="11" t="str">
        <f>IFERROR(INDEX(ShipPartShape!$A:$A,MATCH(AB354,ShipPartShape!$B:$B,0)),"-")</f>
        <v>-</v>
      </c>
      <c r="AD354" s="4"/>
      <c r="AE354" s="11" t="str">
        <f>IFERROR(INDEX(ShipPartShape!$A:$A,MATCH(AD354,ShipPartShape!$B:$B,0)),"-")</f>
        <v>-</v>
      </c>
      <c r="AF354" s="4"/>
      <c r="AG354" s="11" t="str">
        <f>IFERROR(INDEX(ShipPartShape!$A:$A,MATCH(AF354,ShipPartShape!$B:$B,0)),"-")</f>
        <v>-</v>
      </c>
      <c r="AH354" s="4"/>
      <c r="AI354" s="11" t="str">
        <f>IFERROR(INDEX(ShipPartShape!$A:$A,MATCH(AH354,ShipPartShape!$B:$B,0)),"-")</f>
        <v>-</v>
      </c>
      <c r="AJ354" s="11" t="s">
        <v>0</v>
      </c>
      <c r="AK354" s="11" t="s">
        <v>0</v>
      </c>
      <c r="AL354" s="11" t="s">
        <v>0</v>
      </c>
      <c r="AM354" s="11" t="s">
        <v>0</v>
      </c>
      <c r="AN354" s="11" t="s">
        <v>0</v>
      </c>
      <c r="AO354" s="11" t="s">
        <v>0</v>
      </c>
      <c r="AP354" s="11" t="s">
        <v>0</v>
      </c>
      <c r="AQ354" s="11" t="s">
        <v>0</v>
      </c>
      <c r="AR354" s="11" t="s">
        <v>0</v>
      </c>
      <c r="AS354" s="11" t="s">
        <v>0</v>
      </c>
      <c r="AT354" s="11" t="s">
        <v>0</v>
      </c>
      <c r="AU354" s="11">
        <v>47600018</v>
      </c>
      <c r="AV354" s="11" t="s">
        <v>0</v>
      </c>
      <c r="AW354" s="11" t="s">
        <v>0</v>
      </c>
      <c r="AX354" s="11">
        <v>1.5</v>
      </c>
    </row>
    <row r="355" spans="1:50" ht="15">
      <c r="A355" s="10">
        <f t="shared" si="5"/>
        <v>45000345</v>
      </c>
      <c r="B355" s="22" t="s">
        <v>3788</v>
      </c>
      <c r="C355" s="11" t="s">
        <v>3789</v>
      </c>
      <c r="D355" s="4" t="s">
        <v>3785</v>
      </c>
      <c r="E355" s="11">
        <v>700</v>
      </c>
      <c r="F355" s="11">
        <v>150</v>
      </c>
      <c r="G355" s="11">
        <v>20</v>
      </c>
      <c r="H355" s="11">
        <v>-40</v>
      </c>
      <c r="I355" s="11">
        <f>IFERROR(INDEX(ShipPartShape!$A:$A,MATCH(D355,ShipPartShape!$B:$B,0)),"-")</f>
        <v>46000317</v>
      </c>
      <c r="J355" s="4" t="s">
        <v>1215</v>
      </c>
      <c r="K355" s="11">
        <f>IFERROR(INDEX(ShipPartShape!$A:$A,MATCH(J355,ShipPartShape!$B:$B,0)),"-")</f>
        <v>46700013</v>
      </c>
      <c r="L355" s="4" t="s">
        <v>69</v>
      </c>
      <c r="M355" s="11">
        <f>IFERROR(INDEX(ShipPartShape!$A:$A,MATCH(L355,ShipPartShape!$B:$B,0)),"-")</f>
        <v>46300001</v>
      </c>
      <c r="N355" s="4"/>
      <c r="O355" s="11" t="str">
        <f>IFERROR(INDEX(ShipPartShape!$A:$A,MATCH(N355,ShipPartShape!$B:$B,0)),"-")</f>
        <v>-</v>
      </c>
      <c r="P355" s="4"/>
      <c r="Q355" s="11" t="str">
        <f>IFERROR(INDEX(ShipPartShape!$A:$A,MATCH(P355,ShipPartShape!$B:$B,0)),"-")</f>
        <v>-</v>
      </c>
      <c r="R355" s="4"/>
      <c r="S355" s="11" t="str">
        <f>IFERROR(INDEX(ShipPartShape!$A:$A,MATCH(R355,ShipPartShape!$B:$B,0)),"-")</f>
        <v>-</v>
      </c>
      <c r="T355" s="4" t="s">
        <v>608</v>
      </c>
      <c r="U355" s="11">
        <f>IFERROR(INDEX(ShipPartShape!$A:$A,MATCH(T355,ShipPartShape!$B:$B,0)),"-")</f>
        <v>46600004</v>
      </c>
      <c r="V355" s="4" t="s">
        <v>604</v>
      </c>
      <c r="W355" s="11">
        <f>IFERROR(INDEX(ShipPartShape!$A:$A,MATCH(V355,ShipPartShape!$B:$B,0)),"-")</f>
        <v>46600005</v>
      </c>
      <c r="X355" s="4" t="s">
        <v>609</v>
      </c>
      <c r="Y355" s="11">
        <f>IFERROR(INDEX(ShipPartShape!$A:$A,MATCH(X355,ShipPartShape!$B:$B,0)),"-")</f>
        <v>46600011</v>
      </c>
      <c r="Z355" s="4" t="s">
        <v>604</v>
      </c>
      <c r="AA355" s="11">
        <f>IFERROR(INDEX(ShipPartShape!$A:$A,MATCH(Z355,ShipPartShape!$B:$B,0)),"-")</f>
        <v>46600005</v>
      </c>
      <c r="AB355" s="4"/>
      <c r="AC355" s="11" t="str">
        <f>IFERROR(INDEX(ShipPartShape!$A:$A,MATCH(AB355,ShipPartShape!$B:$B,0)),"-")</f>
        <v>-</v>
      </c>
      <c r="AD355" s="4"/>
      <c r="AE355" s="11" t="str">
        <f>IFERROR(INDEX(ShipPartShape!$A:$A,MATCH(AD355,ShipPartShape!$B:$B,0)),"-")</f>
        <v>-</v>
      </c>
      <c r="AF355" s="4"/>
      <c r="AG355" s="11" t="str">
        <f>IFERROR(INDEX(ShipPartShape!$A:$A,MATCH(AF355,ShipPartShape!$B:$B,0)),"-")</f>
        <v>-</v>
      </c>
      <c r="AH355" s="4"/>
      <c r="AI355" s="11" t="str">
        <f>IFERROR(INDEX(ShipPartShape!$A:$A,MATCH(AH355,ShipPartShape!$B:$B,0)),"-")</f>
        <v>-</v>
      </c>
      <c r="AJ355" s="11" t="s">
        <v>0</v>
      </c>
      <c r="AK355" s="11" t="s">
        <v>0</v>
      </c>
      <c r="AL355" s="11" t="s">
        <v>0</v>
      </c>
      <c r="AM355" s="11" t="s">
        <v>0</v>
      </c>
      <c r="AN355" s="11" t="s">
        <v>0</v>
      </c>
      <c r="AO355" s="11" t="s">
        <v>0</v>
      </c>
      <c r="AP355" s="11" t="s">
        <v>0</v>
      </c>
      <c r="AQ355" s="11" t="s">
        <v>0</v>
      </c>
      <c r="AR355" s="11" t="s">
        <v>0</v>
      </c>
      <c r="AS355" s="11" t="s">
        <v>0</v>
      </c>
      <c r="AT355" s="11" t="s">
        <v>0</v>
      </c>
      <c r="AU355" s="11">
        <v>47600018</v>
      </c>
      <c r="AV355" s="11" t="s">
        <v>0</v>
      </c>
      <c r="AW355" s="11" t="s">
        <v>0</v>
      </c>
      <c r="AX355" s="11">
        <v>1.5</v>
      </c>
    </row>
    <row r="356" spans="1:50" ht="15">
      <c r="A356" s="10">
        <f t="shared" si="5"/>
        <v>45000346</v>
      </c>
      <c r="B356" s="22" t="s">
        <v>3803</v>
      </c>
      <c r="C356" s="11" t="s">
        <v>2138</v>
      </c>
      <c r="D356" s="4" t="s">
        <v>2134</v>
      </c>
      <c r="E356" s="11">
        <v>700</v>
      </c>
      <c r="F356" s="11">
        <v>100</v>
      </c>
      <c r="G356" s="11" t="s">
        <v>0</v>
      </c>
      <c r="H356" s="11" t="s">
        <v>545</v>
      </c>
      <c r="I356" s="11">
        <f>IFERROR(INDEX(ShipPartShape!$A:$A,MATCH(D356,ShipPartShape!$B:$B,0)),"-")</f>
        <v>46000192</v>
      </c>
      <c r="J356" s="4" t="s">
        <v>3806</v>
      </c>
      <c r="K356" s="11">
        <f>IFERROR(INDEX(ShipPartShape!$A:$A,MATCH(J356,ShipPartShape!$B:$B,0)),"-")</f>
        <v>46800008</v>
      </c>
      <c r="L356" s="4"/>
      <c r="M356" s="11" t="str">
        <f>IFERROR(INDEX(ShipPartShape!$A:$A,MATCH(L356,ShipPartShape!$B:$B,0)),"-")</f>
        <v>-</v>
      </c>
      <c r="N356" s="4"/>
      <c r="O356" s="11" t="str">
        <f>IFERROR(INDEX(ShipPartShape!$A:$A,MATCH(N356,ShipPartShape!$B:$B,0)),"-")</f>
        <v>-</v>
      </c>
      <c r="P356" s="4"/>
      <c r="Q356" s="11" t="str">
        <f>IFERROR(INDEX(ShipPartShape!$A:$A,MATCH(P356,ShipPartShape!$B:$B,0)),"-")</f>
        <v>-</v>
      </c>
      <c r="R356" s="4"/>
      <c r="S356" s="11" t="str">
        <f>IFERROR(INDEX(ShipPartShape!$A:$A,MATCH(R356,ShipPartShape!$B:$B,0)),"-")</f>
        <v>-</v>
      </c>
      <c r="T356" s="4"/>
      <c r="U356" s="11" t="str">
        <f>IFERROR(INDEX(ShipPartShape!$A:$A,MATCH(T356,ShipPartShape!$B:$B,0)),"-")</f>
        <v>-</v>
      </c>
      <c r="V356" s="4"/>
      <c r="W356" s="11" t="str">
        <f>IFERROR(INDEX(ShipPartShape!$A:$A,MATCH(V356,ShipPartShape!$B:$B,0)),"-")</f>
        <v>-</v>
      </c>
      <c r="X356" s="4"/>
      <c r="Y356" s="11" t="str">
        <f>IFERROR(INDEX(ShipPartShape!$A:$A,MATCH(X356,ShipPartShape!$B:$B,0)),"-")</f>
        <v>-</v>
      </c>
      <c r="Z356" s="4"/>
      <c r="AA356" s="11" t="str">
        <f>IFERROR(INDEX(ShipPartShape!$A:$A,MATCH(Z356,ShipPartShape!$B:$B,0)),"-")</f>
        <v>-</v>
      </c>
      <c r="AB356" s="4"/>
      <c r="AC356" s="11" t="str">
        <f>IFERROR(INDEX(ShipPartShape!$A:$A,MATCH(AB356,ShipPartShape!$B:$B,0)),"-")</f>
        <v>-</v>
      </c>
      <c r="AD356" s="4"/>
      <c r="AE356" s="11" t="str">
        <f>IFERROR(INDEX(ShipPartShape!$A:$A,MATCH(AD356,ShipPartShape!$B:$B,0)),"-")</f>
        <v>-</v>
      </c>
      <c r="AF356" s="4"/>
      <c r="AG356" s="11" t="str">
        <f>IFERROR(INDEX(ShipPartShape!$A:$A,MATCH(AF356,ShipPartShape!$B:$B,0)),"-")</f>
        <v>-</v>
      </c>
      <c r="AH356" s="4"/>
      <c r="AI356" s="11" t="str">
        <f>IFERROR(INDEX(ShipPartShape!$A:$A,MATCH(AH356,ShipPartShape!$B:$B,0)),"-")</f>
        <v>-</v>
      </c>
      <c r="AJ356" s="11" t="s">
        <v>0</v>
      </c>
      <c r="AK356" s="11" t="s">
        <v>0</v>
      </c>
      <c r="AL356" s="11" t="s">
        <v>0</v>
      </c>
      <c r="AM356" s="11" t="s">
        <v>0</v>
      </c>
      <c r="AN356" s="11" t="s">
        <v>0</v>
      </c>
      <c r="AO356" s="11" t="s">
        <v>0</v>
      </c>
      <c r="AP356" s="11" t="s">
        <v>0</v>
      </c>
      <c r="AQ356" s="11" t="s">
        <v>0</v>
      </c>
      <c r="AR356" s="11" t="s">
        <v>0</v>
      </c>
      <c r="AS356" s="11" t="s">
        <v>0</v>
      </c>
      <c r="AT356" s="11" t="s">
        <v>0</v>
      </c>
      <c r="AU356" s="11" t="s">
        <v>545</v>
      </c>
      <c r="AV356" s="11" t="s">
        <v>0</v>
      </c>
      <c r="AW356" s="11" t="s">
        <v>0</v>
      </c>
      <c r="AX356" s="11" t="s">
        <v>0</v>
      </c>
    </row>
    <row r="357" spans="1:50" ht="15">
      <c r="A357" s="10">
        <f t="shared" si="5"/>
        <v>45000347</v>
      </c>
      <c r="B357" s="22" t="s">
        <v>3811</v>
      </c>
      <c r="C357" s="11" t="s">
        <v>3810</v>
      </c>
      <c r="D357" s="4" t="s">
        <v>3808</v>
      </c>
      <c r="E357" s="11">
        <v>700</v>
      </c>
      <c r="F357" s="11">
        <v>100</v>
      </c>
      <c r="G357" s="11">
        <v>20</v>
      </c>
      <c r="H357" s="11">
        <v>-40</v>
      </c>
      <c r="I357" s="11">
        <f>IFERROR(INDEX(ShipPartShape!$A:$A,MATCH(D357,ShipPartShape!$B:$B,0)),"-")</f>
        <v>46000318</v>
      </c>
      <c r="J357" s="4"/>
      <c r="K357" s="11" t="str">
        <f>IFERROR(INDEX(ShipPartShape!$A:$A,MATCH(J357,ShipPartShape!$B:$B,0)),"-")</f>
        <v>-</v>
      </c>
      <c r="L357" s="4"/>
      <c r="M357" s="11" t="str">
        <f>IFERROR(INDEX(ShipPartShape!$A:$A,MATCH(L357,ShipPartShape!$B:$B,0)),"-")</f>
        <v>-</v>
      </c>
      <c r="N357" s="4"/>
      <c r="O357" s="11" t="str">
        <f>IFERROR(INDEX(ShipPartShape!$A:$A,MATCH(N357,ShipPartShape!$B:$B,0)),"-")</f>
        <v>-</v>
      </c>
      <c r="P357" s="4"/>
      <c r="Q357" s="11" t="str">
        <f>IFERROR(INDEX(ShipPartShape!$A:$A,MATCH(P357,ShipPartShape!$B:$B,0)),"-")</f>
        <v>-</v>
      </c>
      <c r="R357" s="4"/>
      <c r="S357" s="11" t="str">
        <f>IFERROR(INDEX(ShipPartShape!$A:$A,MATCH(R357,ShipPartShape!$B:$B,0)),"-")</f>
        <v>-</v>
      </c>
      <c r="T357" s="4"/>
      <c r="U357" s="11" t="str">
        <f>IFERROR(INDEX(ShipPartShape!$A:$A,MATCH(T357,ShipPartShape!$B:$B,0)),"-")</f>
        <v>-</v>
      </c>
      <c r="V357" s="4"/>
      <c r="W357" s="11" t="str">
        <f>IFERROR(INDEX(ShipPartShape!$A:$A,MATCH(V357,ShipPartShape!$B:$B,0)),"-")</f>
        <v>-</v>
      </c>
      <c r="X357" s="4"/>
      <c r="Y357" s="11" t="str">
        <f>IFERROR(INDEX(ShipPartShape!$A:$A,MATCH(X357,ShipPartShape!$B:$B,0)),"-")</f>
        <v>-</v>
      </c>
      <c r="Z357" s="4"/>
      <c r="AA357" s="11" t="str">
        <f>IFERROR(INDEX(ShipPartShape!$A:$A,MATCH(Z357,ShipPartShape!$B:$B,0)),"-")</f>
        <v>-</v>
      </c>
      <c r="AB357" s="4"/>
      <c r="AC357" s="11" t="str">
        <f>IFERROR(INDEX(ShipPartShape!$A:$A,MATCH(AB357,ShipPartShape!$B:$B,0)),"-")</f>
        <v>-</v>
      </c>
      <c r="AD357" s="4"/>
      <c r="AE357" s="11" t="str">
        <f>IFERROR(INDEX(ShipPartShape!$A:$A,MATCH(AD357,ShipPartShape!$B:$B,0)),"-")</f>
        <v>-</v>
      </c>
      <c r="AF357" s="4"/>
      <c r="AG357" s="11" t="str">
        <f>IFERROR(INDEX(ShipPartShape!$A:$A,MATCH(AF357,ShipPartShape!$B:$B,0)),"-")</f>
        <v>-</v>
      </c>
      <c r="AH357" s="4"/>
      <c r="AI357" s="11" t="str">
        <f>IFERROR(INDEX(ShipPartShape!$A:$A,MATCH(AH357,ShipPartShape!$B:$B,0)),"-")</f>
        <v>-</v>
      </c>
      <c r="AJ357" s="11" t="s">
        <v>0</v>
      </c>
      <c r="AK357" s="11" t="s">
        <v>0</v>
      </c>
      <c r="AL357" s="11" t="s">
        <v>0</v>
      </c>
      <c r="AM357" s="11" t="s">
        <v>0</v>
      </c>
      <c r="AN357" s="11" t="s">
        <v>0</v>
      </c>
      <c r="AO357" s="11" t="s">
        <v>0</v>
      </c>
      <c r="AP357" s="11" t="s">
        <v>0</v>
      </c>
      <c r="AQ357" s="11" t="s">
        <v>0</v>
      </c>
      <c r="AR357" s="11" t="s">
        <v>0</v>
      </c>
      <c r="AS357" s="11" t="s">
        <v>0</v>
      </c>
      <c r="AT357" s="11" t="s">
        <v>0</v>
      </c>
      <c r="AU357" s="11">
        <v>47600018</v>
      </c>
      <c r="AV357" s="11" t="s">
        <v>0</v>
      </c>
      <c r="AW357" s="11" t="s">
        <v>0</v>
      </c>
      <c r="AX357" s="11" t="s">
        <v>0</v>
      </c>
    </row>
    <row r="358" spans="1:50" ht="15">
      <c r="A358" s="10">
        <f t="shared" si="5"/>
        <v>45000348</v>
      </c>
      <c r="B358" s="22" t="s">
        <v>3815</v>
      </c>
      <c r="C358" s="11" t="s">
        <v>3816</v>
      </c>
      <c r="D358" s="4" t="s">
        <v>3812</v>
      </c>
      <c r="E358" s="11">
        <v>700</v>
      </c>
      <c r="F358" s="11">
        <v>150</v>
      </c>
      <c r="G358" s="11">
        <v>20</v>
      </c>
      <c r="H358" s="11">
        <v>-40</v>
      </c>
      <c r="I358" s="11">
        <f>IFERROR(INDEX(ShipPartShape!$A:$A,MATCH(D358,ShipPartShape!$B:$B,0)),"-")</f>
        <v>46000319</v>
      </c>
      <c r="J358" s="4" t="s">
        <v>1215</v>
      </c>
      <c r="K358" s="11">
        <f>IFERROR(INDEX(ShipPartShape!$A:$A,MATCH(J358,ShipPartShape!$B:$B,0)),"-")</f>
        <v>46700013</v>
      </c>
      <c r="L358" s="4" t="s">
        <v>69</v>
      </c>
      <c r="M358" s="11">
        <f>IFERROR(INDEX(ShipPartShape!$A:$A,MATCH(L358,ShipPartShape!$B:$B,0)),"-")</f>
        <v>46300001</v>
      </c>
      <c r="N358" s="4"/>
      <c r="O358" s="11" t="str">
        <f>IFERROR(INDEX(ShipPartShape!$A:$A,MATCH(N358,ShipPartShape!$B:$B,0)),"-")</f>
        <v>-</v>
      </c>
      <c r="P358" s="4"/>
      <c r="Q358" s="11" t="str">
        <f>IFERROR(INDEX(ShipPartShape!$A:$A,MATCH(P358,ShipPartShape!$B:$B,0)),"-")</f>
        <v>-</v>
      </c>
      <c r="R358" s="4"/>
      <c r="S358" s="11" t="str">
        <f>IFERROR(INDEX(ShipPartShape!$A:$A,MATCH(R358,ShipPartShape!$B:$B,0)),"-")</f>
        <v>-</v>
      </c>
      <c r="T358" s="4" t="s">
        <v>602</v>
      </c>
      <c r="U358" s="11">
        <f>IFERROR(INDEX(ShipPartShape!$A:$A,MATCH(T358,ShipPartShape!$B:$B,0)),"-")</f>
        <v>46600002</v>
      </c>
      <c r="V358" s="4" t="s">
        <v>610</v>
      </c>
      <c r="W358" s="11">
        <f>IFERROR(INDEX(ShipPartShape!$A:$A,MATCH(V358,ShipPartShape!$B:$B,0)),"-")</f>
        <v>46600006</v>
      </c>
      <c r="X358" s="4" t="s">
        <v>611</v>
      </c>
      <c r="Y358" s="11">
        <f>IFERROR(INDEX(ShipPartShape!$A:$A,MATCH(X358,ShipPartShape!$B:$B,0)),"-")</f>
        <v>46600010</v>
      </c>
      <c r="Z358" s="4" t="s">
        <v>609</v>
      </c>
      <c r="AA358" s="11">
        <f>IFERROR(INDEX(ShipPartShape!$A:$A,MATCH(Z358,ShipPartShape!$B:$B,0)),"-")</f>
        <v>46600011</v>
      </c>
      <c r="AB358" s="4" t="s">
        <v>604</v>
      </c>
      <c r="AC358" s="11">
        <f>IFERROR(INDEX(ShipPartShape!$A:$A,MATCH(AB358,ShipPartShape!$B:$B,0)),"-")</f>
        <v>46600005</v>
      </c>
      <c r="AD358" s="4"/>
      <c r="AE358" s="11" t="str">
        <f>IFERROR(INDEX(ShipPartShape!$A:$A,MATCH(AD358,ShipPartShape!$B:$B,0)),"-")</f>
        <v>-</v>
      </c>
      <c r="AF358" s="4"/>
      <c r="AG358" s="11" t="str">
        <f>IFERROR(INDEX(ShipPartShape!$A:$A,MATCH(AF358,ShipPartShape!$B:$B,0)),"-")</f>
        <v>-</v>
      </c>
      <c r="AH358" s="4"/>
      <c r="AI358" s="11" t="str">
        <f>IFERROR(INDEX(ShipPartShape!$A:$A,MATCH(AH358,ShipPartShape!$B:$B,0)),"-")</f>
        <v>-</v>
      </c>
      <c r="AJ358" s="11" t="s">
        <v>0</v>
      </c>
      <c r="AK358" s="11" t="s">
        <v>0</v>
      </c>
      <c r="AL358" s="11" t="s">
        <v>0</v>
      </c>
      <c r="AM358" s="11" t="s">
        <v>0</v>
      </c>
      <c r="AN358" s="11" t="s">
        <v>0</v>
      </c>
      <c r="AO358" s="11" t="s">
        <v>0</v>
      </c>
      <c r="AP358" s="11" t="s">
        <v>0</v>
      </c>
      <c r="AQ358" s="11" t="s">
        <v>0</v>
      </c>
      <c r="AR358" s="11" t="s">
        <v>0</v>
      </c>
      <c r="AS358" s="11" t="s">
        <v>0</v>
      </c>
      <c r="AT358" s="11" t="s">
        <v>0</v>
      </c>
      <c r="AU358" s="11">
        <v>47600018</v>
      </c>
      <c r="AV358" s="11" t="s">
        <v>0</v>
      </c>
      <c r="AW358" s="11" t="s">
        <v>0</v>
      </c>
      <c r="AX358" s="11">
        <v>1.5</v>
      </c>
    </row>
    <row r="359" spans="1:50" ht="15">
      <c r="A359" s="10">
        <f t="shared" si="5"/>
        <v>45000349</v>
      </c>
      <c r="B359" s="23" t="s">
        <v>3829</v>
      </c>
      <c r="C359" s="11" t="s">
        <v>3833</v>
      </c>
      <c r="D359" s="4" t="s">
        <v>3817</v>
      </c>
      <c r="E359" s="11">
        <v>700</v>
      </c>
      <c r="F359" s="11">
        <v>150</v>
      </c>
      <c r="G359" s="11">
        <v>20</v>
      </c>
      <c r="H359" s="11">
        <v>-40</v>
      </c>
      <c r="I359" s="11">
        <f>IFERROR(INDEX(ShipPartShape!$A:$A,MATCH(D359,ShipPartShape!$B:$B,0)),"-")</f>
        <v>46000320</v>
      </c>
      <c r="J359" s="4" t="s">
        <v>1213</v>
      </c>
      <c r="K359" s="11">
        <f>IFERROR(INDEX(ShipPartShape!$A:$A,MATCH(J359,ShipPartShape!$B:$B,0)),"-")</f>
        <v>46700010</v>
      </c>
      <c r="L359" s="4" t="s">
        <v>69</v>
      </c>
      <c r="M359" s="11">
        <f>IFERROR(INDEX(ShipPartShape!$A:$A,MATCH(L359,ShipPartShape!$B:$B,0)),"-")</f>
        <v>46300001</v>
      </c>
      <c r="N359" s="4" t="s">
        <v>158</v>
      </c>
      <c r="O359" s="11">
        <f>IFERROR(INDEX(ShipPartShape!$A:$A,MATCH(N359,ShipPartShape!$B:$B,0)),"-")</f>
        <v>46550001</v>
      </c>
      <c r="P359" s="4"/>
      <c r="Q359" s="11" t="str">
        <f>IFERROR(INDEX(ShipPartShape!$A:$A,MATCH(P359,ShipPartShape!$B:$B,0)),"-")</f>
        <v>-</v>
      </c>
      <c r="R359" s="4"/>
      <c r="S359" s="11" t="str">
        <f>IFERROR(INDEX(ShipPartShape!$A:$A,MATCH(R359,ShipPartShape!$B:$B,0)),"-")</f>
        <v>-</v>
      </c>
      <c r="T359" s="4"/>
      <c r="U359" s="11" t="str">
        <f>IFERROR(INDEX(ShipPartShape!$A:$A,MATCH(T359,ShipPartShape!$B:$B,0)),"-")</f>
        <v>-</v>
      </c>
      <c r="V359" s="4"/>
      <c r="W359" s="11" t="str">
        <f>IFERROR(INDEX(ShipPartShape!$A:$A,MATCH(V359,ShipPartShape!$B:$B,0)),"-")</f>
        <v>-</v>
      </c>
      <c r="X359" s="4"/>
      <c r="Y359" s="11" t="str">
        <f>IFERROR(INDEX(ShipPartShape!$A:$A,MATCH(X359,ShipPartShape!$B:$B,0)),"-")</f>
        <v>-</v>
      </c>
      <c r="Z359" s="4"/>
      <c r="AA359" s="11" t="str">
        <f>IFERROR(INDEX(ShipPartShape!$A:$A,MATCH(Z359,ShipPartShape!$B:$B,0)),"-")</f>
        <v>-</v>
      </c>
      <c r="AB359" s="4"/>
      <c r="AC359" s="11" t="str">
        <f>IFERROR(INDEX(ShipPartShape!$A:$A,MATCH(AB359,ShipPartShape!$B:$B,0)),"-")</f>
        <v>-</v>
      </c>
      <c r="AD359" s="4"/>
      <c r="AE359" s="11" t="str">
        <f>IFERROR(INDEX(ShipPartShape!$A:$A,MATCH(AD359,ShipPartShape!$B:$B,0)),"-")</f>
        <v>-</v>
      </c>
      <c r="AF359" s="4"/>
      <c r="AG359" s="11" t="str">
        <f>IFERROR(INDEX(ShipPartShape!$A:$A,MATCH(AF359,ShipPartShape!$B:$B,0)),"-")</f>
        <v>-</v>
      </c>
      <c r="AH359" s="4"/>
      <c r="AI359" s="11" t="str">
        <f>IFERROR(INDEX(ShipPartShape!$A:$A,MATCH(AH359,ShipPartShape!$B:$B,0)),"-")</f>
        <v>-</v>
      </c>
      <c r="AJ359" s="11" t="s">
        <v>0</v>
      </c>
      <c r="AK359" s="11" t="s">
        <v>0</v>
      </c>
      <c r="AL359" s="11" t="s">
        <v>0</v>
      </c>
      <c r="AM359" s="11" t="s">
        <v>0</v>
      </c>
      <c r="AN359" s="11" t="s">
        <v>0</v>
      </c>
      <c r="AO359" s="11" t="s">
        <v>0</v>
      </c>
      <c r="AP359" s="11" t="s">
        <v>0</v>
      </c>
      <c r="AQ359" s="11" t="s">
        <v>0</v>
      </c>
      <c r="AR359" s="11" t="s">
        <v>0</v>
      </c>
      <c r="AS359" s="11" t="s">
        <v>0</v>
      </c>
      <c r="AT359" s="11" t="s">
        <v>0</v>
      </c>
      <c r="AU359" s="11">
        <v>47600018</v>
      </c>
      <c r="AV359" s="11" t="s">
        <v>0</v>
      </c>
      <c r="AW359" s="11" t="s">
        <v>0</v>
      </c>
      <c r="AX359" s="11" t="s">
        <v>0</v>
      </c>
    </row>
    <row r="360" spans="1:50" ht="15">
      <c r="A360" s="10">
        <f t="shared" si="5"/>
        <v>45000350</v>
      </c>
      <c r="B360" s="23" t="s">
        <v>3819</v>
      </c>
      <c r="C360" s="11" t="s">
        <v>3833</v>
      </c>
      <c r="D360" s="4" t="s">
        <v>3821</v>
      </c>
      <c r="E360" s="11">
        <v>700</v>
      </c>
      <c r="F360" s="11">
        <v>150</v>
      </c>
      <c r="G360" s="11">
        <v>20</v>
      </c>
      <c r="H360" s="11">
        <v>-40</v>
      </c>
      <c r="I360" s="11">
        <f>IFERROR(INDEX(ShipPartShape!$A:$A,MATCH(D360,ShipPartShape!$B:$B,0)),"-")</f>
        <v>46000321</v>
      </c>
      <c r="J360" s="4" t="s">
        <v>1214</v>
      </c>
      <c r="K360" s="11">
        <f>IFERROR(INDEX(ShipPartShape!$A:$A,MATCH(J360,ShipPartShape!$B:$B,0)),"-")</f>
        <v>46700011</v>
      </c>
      <c r="L360" s="4" t="s">
        <v>69</v>
      </c>
      <c r="M360" s="11">
        <f>IFERROR(INDEX(ShipPartShape!$A:$A,MATCH(L360,ShipPartShape!$B:$B,0)),"-")</f>
        <v>46300001</v>
      </c>
      <c r="N360" s="4" t="s">
        <v>158</v>
      </c>
      <c r="O360" s="11">
        <f>IFERROR(INDEX(ShipPartShape!$A:$A,MATCH(N360,ShipPartShape!$B:$B,0)),"-")</f>
        <v>46550001</v>
      </c>
      <c r="P360" s="4"/>
      <c r="Q360" s="11" t="str">
        <f>IFERROR(INDEX(ShipPartShape!$A:$A,MATCH(P360,ShipPartShape!$B:$B,0)),"-")</f>
        <v>-</v>
      </c>
      <c r="R360" s="4"/>
      <c r="S360" s="11" t="str">
        <f>IFERROR(INDEX(ShipPartShape!$A:$A,MATCH(R360,ShipPartShape!$B:$B,0)),"-")</f>
        <v>-</v>
      </c>
      <c r="T360" s="4"/>
      <c r="U360" s="11" t="str">
        <f>IFERROR(INDEX(ShipPartShape!$A:$A,MATCH(T360,ShipPartShape!$B:$B,0)),"-")</f>
        <v>-</v>
      </c>
      <c r="V360" s="4"/>
      <c r="W360" s="11" t="str">
        <f>IFERROR(INDEX(ShipPartShape!$A:$A,MATCH(V360,ShipPartShape!$B:$B,0)),"-")</f>
        <v>-</v>
      </c>
      <c r="X360" s="4"/>
      <c r="Y360" s="11" t="str">
        <f>IFERROR(INDEX(ShipPartShape!$A:$A,MATCH(X360,ShipPartShape!$B:$B,0)),"-")</f>
        <v>-</v>
      </c>
      <c r="Z360" s="4"/>
      <c r="AA360" s="11" t="str">
        <f>IFERROR(INDEX(ShipPartShape!$A:$A,MATCH(Z360,ShipPartShape!$B:$B,0)),"-")</f>
        <v>-</v>
      </c>
      <c r="AB360" s="4"/>
      <c r="AC360" s="11" t="str">
        <f>IFERROR(INDEX(ShipPartShape!$A:$A,MATCH(AB360,ShipPartShape!$B:$B,0)),"-")</f>
        <v>-</v>
      </c>
      <c r="AD360" s="4"/>
      <c r="AE360" s="11" t="str">
        <f>IFERROR(INDEX(ShipPartShape!$A:$A,MATCH(AD360,ShipPartShape!$B:$B,0)),"-")</f>
        <v>-</v>
      </c>
      <c r="AF360" s="4"/>
      <c r="AG360" s="11" t="str">
        <f>IFERROR(INDEX(ShipPartShape!$A:$A,MATCH(AF360,ShipPartShape!$B:$B,0)),"-")</f>
        <v>-</v>
      </c>
      <c r="AH360" s="4"/>
      <c r="AI360" s="11" t="str">
        <f>IFERROR(INDEX(ShipPartShape!$A:$A,MATCH(AH360,ShipPartShape!$B:$B,0)),"-")</f>
        <v>-</v>
      </c>
      <c r="AJ360" s="11" t="s">
        <v>0</v>
      </c>
      <c r="AK360" s="11" t="s">
        <v>0</v>
      </c>
      <c r="AL360" s="11" t="s">
        <v>0</v>
      </c>
      <c r="AM360" s="11" t="s">
        <v>0</v>
      </c>
      <c r="AN360" s="11" t="s">
        <v>0</v>
      </c>
      <c r="AO360" s="11" t="s">
        <v>0</v>
      </c>
      <c r="AP360" s="11" t="s">
        <v>0</v>
      </c>
      <c r="AQ360" s="11" t="s">
        <v>0</v>
      </c>
      <c r="AR360" s="11" t="s">
        <v>0</v>
      </c>
      <c r="AS360" s="11" t="s">
        <v>0</v>
      </c>
      <c r="AT360" s="11" t="s">
        <v>0</v>
      </c>
      <c r="AU360" s="11">
        <v>47600018</v>
      </c>
      <c r="AV360" s="11" t="s">
        <v>0</v>
      </c>
      <c r="AW360" s="11" t="s">
        <v>0</v>
      </c>
      <c r="AX360" s="11" t="s">
        <v>0</v>
      </c>
    </row>
    <row r="361" spans="1:50" ht="15">
      <c r="A361" s="10">
        <f t="shared" si="5"/>
        <v>45000351</v>
      </c>
      <c r="B361" s="23" t="s">
        <v>3820</v>
      </c>
      <c r="C361" s="11" t="s">
        <v>3833</v>
      </c>
      <c r="D361" s="4" t="s">
        <v>3824</v>
      </c>
      <c r="E361" s="11">
        <v>700</v>
      </c>
      <c r="F361" s="11">
        <v>150</v>
      </c>
      <c r="G361" s="11">
        <v>20</v>
      </c>
      <c r="H361" s="11">
        <v>-40</v>
      </c>
      <c r="I361" s="11">
        <f>IFERROR(INDEX(ShipPartShape!$A:$A,MATCH(D361,ShipPartShape!$B:$B,0)),"-")</f>
        <v>46000322</v>
      </c>
      <c r="J361" s="4" t="s">
        <v>1214</v>
      </c>
      <c r="K361" s="11">
        <f>IFERROR(INDEX(ShipPartShape!$A:$A,MATCH(J361,ShipPartShape!$B:$B,0)),"-")</f>
        <v>46700011</v>
      </c>
      <c r="L361" s="4" t="s">
        <v>69</v>
      </c>
      <c r="M361" s="11">
        <f>IFERROR(INDEX(ShipPartShape!$A:$A,MATCH(L361,ShipPartShape!$B:$B,0)),"-")</f>
        <v>46300001</v>
      </c>
      <c r="N361" s="4" t="s">
        <v>158</v>
      </c>
      <c r="O361" s="11">
        <f>IFERROR(INDEX(ShipPartShape!$A:$A,MATCH(N361,ShipPartShape!$B:$B,0)),"-")</f>
        <v>46550001</v>
      </c>
      <c r="P361" s="4"/>
      <c r="Q361" s="11" t="str">
        <f>IFERROR(INDEX(ShipPartShape!$A:$A,MATCH(P361,ShipPartShape!$B:$B,0)),"-")</f>
        <v>-</v>
      </c>
      <c r="R361" s="4"/>
      <c r="S361" s="11" t="str">
        <f>IFERROR(INDEX(ShipPartShape!$A:$A,MATCH(R361,ShipPartShape!$B:$B,0)),"-")</f>
        <v>-</v>
      </c>
      <c r="T361" s="4"/>
      <c r="U361" s="11" t="str">
        <f>IFERROR(INDEX(ShipPartShape!$A:$A,MATCH(T361,ShipPartShape!$B:$B,0)),"-")</f>
        <v>-</v>
      </c>
      <c r="V361" s="4"/>
      <c r="W361" s="11" t="str">
        <f>IFERROR(INDEX(ShipPartShape!$A:$A,MATCH(V361,ShipPartShape!$B:$B,0)),"-")</f>
        <v>-</v>
      </c>
      <c r="X361" s="4"/>
      <c r="Y361" s="11" t="str">
        <f>IFERROR(INDEX(ShipPartShape!$A:$A,MATCH(X361,ShipPartShape!$B:$B,0)),"-")</f>
        <v>-</v>
      </c>
      <c r="Z361" s="4"/>
      <c r="AA361" s="11" t="str">
        <f>IFERROR(INDEX(ShipPartShape!$A:$A,MATCH(Z361,ShipPartShape!$B:$B,0)),"-")</f>
        <v>-</v>
      </c>
      <c r="AB361" s="4"/>
      <c r="AC361" s="11" t="str">
        <f>IFERROR(INDEX(ShipPartShape!$A:$A,MATCH(AB361,ShipPartShape!$B:$B,0)),"-")</f>
        <v>-</v>
      </c>
      <c r="AD361" s="4"/>
      <c r="AE361" s="11" t="str">
        <f>IFERROR(INDEX(ShipPartShape!$A:$A,MATCH(AD361,ShipPartShape!$B:$B,0)),"-")</f>
        <v>-</v>
      </c>
      <c r="AF361" s="4"/>
      <c r="AG361" s="11" t="str">
        <f>IFERROR(INDEX(ShipPartShape!$A:$A,MATCH(AF361,ShipPartShape!$B:$B,0)),"-")</f>
        <v>-</v>
      </c>
      <c r="AH361" s="4"/>
      <c r="AI361" s="11" t="str">
        <f>IFERROR(INDEX(ShipPartShape!$A:$A,MATCH(AH361,ShipPartShape!$B:$B,0)),"-")</f>
        <v>-</v>
      </c>
      <c r="AJ361" s="11" t="s">
        <v>0</v>
      </c>
      <c r="AK361" s="11" t="s">
        <v>0</v>
      </c>
      <c r="AL361" s="11" t="s">
        <v>0</v>
      </c>
      <c r="AM361" s="11" t="s">
        <v>0</v>
      </c>
      <c r="AN361" s="11" t="s">
        <v>0</v>
      </c>
      <c r="AO361" s="11" t="s">
        <v>0</v>
      </c>
      <c r="AP361" s="11" t="s">
        <v>0</v>
      </c>
      <c r="AQ361" s="11" t="s">
        <v>0</v>
      </c>
      <c r="AR361" s="11" t="s">
        <v>0</v>
      </c>
      <c r="AS361" s="11" t="s">
        <v>0</v>
      </c>
      <c r="AT361" s="11" t="s">
        <v>0</v>
      </c>
      <c r="AU361" s="11">
        <v>47600018</v>
      </c>
      <c r="AV361" s="11" t="s">
        <v>0</v>
      </c>
      <c r="AW361" s="11" t="s">
        <v>0</v>
      </c>
      <c r="AX361" s="11" t="s">
        <v>0</v>
      </c>
    </row>
    <row r="362" spans="1:50" ht="15">
      <c r="A362" s="10">
        <f t="shared" si="5"/>
        <v>45000352</v>
      </c>
      <c r="B362" s="23" t="s">
        <v>3830</v>
      </c>
      <c r="C362" s="11" t="s">
        <v>3834</v>
      </c>
      <c r="D362" s="4" t="s">
        <v>3817</v>
      </c>
      <c r="E362" s="11">
        <v>700</v>
      </c>
      <c r="F362" s="11">
        <v>150</v>
      </c>
      <c r="G362" s="11">
        <v>20</v>
      </c>
      <c r="H362" s="11">
        <v>-40</v>
      </c>
      <c r="I362" s="11">
        <f>IFERROR(INDEX(ShipPartShape!$A:$A,MATCH(D362,ShipPartShape!$B:$B,0)),"-")</f>
        <v>46000320</v>
      </c>
      <c r="J362" s="4" t="s">
        <v>1214</v>
      </c>
      <c r="K362" s="11">
        <f>IFERROR(INDEX(ShipPartShape!$A:$A,MATCH(J362,ShipPartShape!$B:$B,0)),"-")</f>
        <v>46700011</v>
      </c>
      <c r="L362" s="4" t="s">
        <v>69</v>
      </c>
      <c r="M362" s="11">
        <f>IFERROR(INDEX(ShipPartShape!$A:$A,MATCH(L362,ShipPartShape!$B:$B,0)),"-")</f>
        <v>46300001</v>
      </c>
      <c r="N362" s="4" t="s">
        <v>158</v>
      </c>
      <c r="O362" s="11">
        <f>IFERROR(INDEX(ShipPartShape!$A:$A,MATCH(N362,ShipPartShape!$B:$B,0)),"-")</f>
        <v>46550001</v>
      </c>
      <c r="P362" s="4"/>
      <c r="Q362" s="11" t="str">
        <f>IFERROR(INDEX(ShipPartShape!$A:$A,MATCH(P362,ShipPartShape!$B:$B,0)),"-")</f>
        <v>-</v>
      </c>
      <c r="R362" s="4"/>
      <c r="S362" s="11" t="str">
        <f>IFERROR(INDEX(ShipPartShape!$A:$A,MATCH(R362,ShipPartShape!$B:$B,0)),"-")</f>
        <v>-</v>
      </c>
      <c r="T362" s="4"/>
      <c r="U362" s="11" t="str">
        <f>IFERROR(INDEX(ShipPartShape!$A:$A,MATCH(T362,ShipPartShape!$B:$B,0)),"-")</f>
        <v>-</v>
      </c>
      <c r="V362" s="4"/>
      <c r="W362" s="11" t="str">
        <f>IFERROR(INDEX(ShipPartShape!$A:$A,MATCH(V362,ShipPartShape!$B:$B,0)),"-")</f>
        <v>-</v>
      </c>
      <c r="X362" s="4"/>
      <c r="Y362" s="11" t="str">
        <f>IFERROR(INDEX(ShipPartShape!$A:$A,MATCH(X362,ShipPartShape!$B:$B,0)),"-")</f>
        <v>-</v>
      </c>
      <c r="Z362" s="4"/>
      <c r="AA362" s="11" t="str">
        <f>IFERROR(INDEX(ShipPartShape!$A:$A,MATCH(Z362,ShipPartShape!$B:$B,0)),"-")</f>
        <v>-</v>
      </c>
      <c r="AB362" s="4"/>
      <c r="AC362" s="11" t="str">
        <f>IFERROR(INDEX(ShipPartShape!$A:$A,MATCH(AB362,ShipPartShape!$B:$B,0)),"-")</f>
        <v>-</v>
      </c>
      <c r="AD362" s="4"/>
      <c r="AE362" s="11" t="str">
        <f>IFERROR(INDEX(ShipPartShape!$A:$A,MATCH(AD362,ShipPartShape!$B:$B,0)),"-")</f>
        <v>-</v>
      </c>
      <c r="AF362" s="4"/>
      <c r="AG362" s="11" t="str">
        <f>IFERROR(INDEX(ShipPartShape!$A:$A,MATCH(AF362,ShipPartShape!$B:$B,0)),"-")</f>
        <v>-</v>
      </c>
      <c r="AH362" s="4"/>
      <c r="AI362" s="11" t="str">
        <f>IFERROR(INDEX(ShipPartShape!$A:$A,MATCH(AH362,ShipPartShape!$B:$B,0)),"-")</f>
        <v>-</v>
      </c>
      <c r="AJ362" s="11" t="s">
        <v>0</v>
      </c>
      <c r="AK362" s="11" t="s">
        <v>0</v>
      </c>
      <c r="AL362" s="11" t="s">
        <v>0</v>
      </c>
      <c r="AM362" s="11" t="s">
        <v>0</v>
      </c>
      <c r="AN362" s="11" t="s">
        <v>0</v>
      </c>
      <c r="AO362" s="11" t="s">
        <v>0</v>
      </c>
      <c r="AP362" s="11" t="s">
        <v>0</v>
      </c>
      <c r="AQ362" s="11" t="s">
        <v>0</v>
      </c>
      <c r="AR362" s="11" t="s">
        <v>0</v>
      </c>
      <c r="AS362" s="11" t="s">
        <v>0</v>
      </c>
      <c r="AT362" s="11" t="s">
        <v>0</v>
      </c>
      <c r="AU362" s="11">
        <v>47600018</v>
      </c>
      <c r="AV362" s="11" t="s">
        <v>0</v>
      </c>
      <c r="AW362" s="11" t="s">
        <v>0</v>
      </c>
      <c r="AX362" s="11" t="s">
        <v>0</v>
      </c>
    </row>
    <row r="363" spans="1:50" ht="15">
      <c r="A363" s="10">
        <f t="shared" si="5"/>
        <v>45000353</v>
      </c>
      <c r="B363" s="23" t="s">
        <v>3831</v>
      </c>
      <c r="C363" s="11" t="s">
        <v>3834</v>
      </c>
      <c r="D363" s="4" t="s">
        <v>3821</v>
      </c>
      <c r="E363" s="11">
        <v>700</v>
      </c>
      <c r="F363" s="11">
        <v>150</v>
      </c>
      <c r="G363" s="11">
        <v>20</v>
      </c>
      <c r="H363" s="11">
        <v>-40</v>
      </c>
      <c r="I363" s="11">
        <f>IFERROR(INDEX(ShipPartShape!$A:$A,MATCH(D363,ShipPartShape!$B:$B,0)),"-")</f>
        <v>46000321</v>
      </c>
      <c r="J363" s="4" t="s">
        <v>1214</v>
      </c>
      <c r="K363" s="11">
        <f>IFERROR(INDEX(ShipPartShape!$A:$A,MATCH(J363,ShipPartShape!$B:$B,0)),"-")</f>
        <v>46700011</v>
      </c>
      <c r="L363" s="4" t="s">
        <v>69</v>
      </c>
      <c r="M363" s="11">
        <f>IFERROR(INDEX(ShipPartShape!$A:$A,MATCH(L363,ShipPartShape!$B:$B,0)),"-")</f>
        <v>46300001</v>
      </c>
      <c r="N363" s="4" t="s">
        <v>158</v>
      </c>
      <c r="O363" s="11">
        <f>IFERROR(INDEX(ShipPartShape!$A:$A,MATCH(N363,ShipPartShape!$B:$B,0)),"-")</f>
        <v>46550001</v>
      </c>
      <c r="P363" s="4"/>
      <c r="Q363" s="11" t="str">
        <f>IFERROR(INDEX(ShipPartShape!$A:$A,MATCH(P363,ShipPartShape!$B:$B,0)),"-")</f>
        <v>-</v>
      </c>
      <c r="R363" s="4"/>
      <c r="S363" s="11" t="str">
        <f>IFERROR(INDEX(ShipPartShape!$A:$A,MATCH(R363,ShipPartShape!$B:$B,0)),"-")</f>
        <v>-</v>
      </c>
      <c r="T363" s="4"/>
      <c r="U363" s="11" t="str">
        <f>IFERROR(INDEX(ShipPartShape!$A:$A,MATCH(T363,ShipPartShape!$B:$B,0)),"-")</f>
        <v>-</v>
      </c>
      <c r="V363" s="4"/>
      <c r="W363" s="11" t="str">
        <f>IFERROR(INDEX(ShipPartShape!$A:$A,MATCH(V363,ShipPartShape!$B:$B,0)),"-")</f>
        <v>-</v>
      </c>
      <c r="X363" s="4"/>
      <c r="Y363" s="11" t="str">
        <f>IFERROR(INDEX(ShipPartShape!$A:$A,MATCH(X363,ShipPartShape!$B:$B,0)),"-")</f>
        <v>-</v>
      </c>
      <c r="Z363" s="4"/>
      <c r="AA363" s="11" t="str">
        <f>IFERROR(INDEX(ShipPartShape!$A:$A,MATCH(Z363,ShipPartShape!$B:$B,0)),"-")</f>
        <v>-</v>
      </c>
      <c r="AB363" s="4"/>
      <c r="AC363" s="11" t="str">
        <f>IFERROR(INDEX(ShipPartShape!$A:$A,MATCH(AB363,ShipPartShape!$B:$B,0)),"-")</f>
        <v>-</v>
      </c>
      <c r="AD363" s="4"/>
      <c r="AE363" s="11" t="str">
        <f>IFERROR(INDEX(ShipPartShape!$A:$A,MATCH(AD363,ShipPartShape!$B:$B,0)),"-")</f>
        <v>-</v>
      </c>
      <c r="AF363" s="4"/>
      <c r="AG363" s="11" t="str">
        <f>IFERROR(INDEX(ShipPartShape!$A:$A,MATCH(AF363,ShipPartShape!$B:$B,0)),"-")</f>
        <v>-</v>
      </c>
      <c r="AH363" s="4"/>
      <c r="AI363" s="11" t="str">
        <f>IFERROR(INDEX(ShipPartShape!$A:$A,MATCH(AH363,ShipPartShape!$B:$B,0)),"-")</f>
        <v>-</v>
      </c>
      <c r="AJ363" s="11" t="s">
        <v>0</v>
      </c>
      <c r="AK363" s="11" t="s">
        <v>0</v>
      </c>
      <c r="AL363" s="11" t="s">
        <v>0</v>
      </c>
      <c r="AM363" s="11" t="s">
        <v>0</v>
      </c>
      <c r="AN363" s="11" t="s">
        <v>0</v>
      </c>
      <c r="AO363" s="11" t="s">
        <v>0</v>
      </c>
      <c r="AP363" s="11" t="s">
        <v>0</v>
      </c>
      <c r="AQ363" s="11" t="s">
        <v>0</v>
      </c>
      <c r="AR363" s="11" t="s">
        <v>0</v>
      </c>
      <c r="AS363" s="11" t="s">
        <v>0</v>
      </c>
      <c r="AT363" s="11" t="s">
        <v>0</v>
      </c>
      <c r="AU363" s="11">
        <v>47600018</v>
      </c>
      <c r="AV363" s="11" t="s">
        <v>0</v>
      </c>
      <c r="AW363" s="11" t="s">
        <v>0</v>
      </c>
      <c r="AX363" s="11" t="s">
        <v>0</v>
      </c>
    </row>
    <row r="364" spans="1:50" ht="15">
      <c r="A364" s="10">
        <f>A363+1</f>
        <v>45000354</v>
      </c>
      <c r="B364" s="23" t="s">
        <v>3832</v>
      </c>
      <c r="C364" s="11" t="s">
        <v>3834</v>
      </c>
      <c r="D364" s="4" t="s">
        <v>3824</v>
      </c>
      <c r="E364" s="11">
        <v>700</v>
      </c>
      <c r="F364" s="11">
        <v>150</v>
      </c>
      <c r="G364" s="11">
        <v>20</v>
      </c>
      <c r="H364" s="11">
        <v>-40</v>
      </c>
      <c r="I364" s="11">
        <f>IFERROR(INDEX(ShipPartShape!$A:$A,MATCH(D364,ShipPartShape!$B:$B,0)),"-")</f>
        <v>46000322</v>
      </c>
      <c r="J364" s="4" t="s">
        <v>1214</v>
      </c>
      <c r="K364" s="11">
        <f>IFERROR(INDEX(ShipPartShape!$A:$A,MATCH(J364,ShipPartShape!$B:$B,0)),"-")</f>
        <v>46700011</v>
      </c>
      <c r="L364" s="4" t="s">
        <v>69</v>
      </c>
      <c r="M364" s="11">
        <f>IFERROR(INDEX(ShipPartShape!$A:$A,MATCH(L364,ShipPartShape!$B:$B,0)),"-")</f>
        <v>46300001</v>
      </c>
      <c r="N364" s="4" t="s">
        <v>158</v>
      </c>
      <c r="O364" s="11">
        <f>IFERROR(INDEX(ShipPartShape!$A:$A,MATCH(N364,ShipPartShape!$B:$B,0)),"-")</f>
        <v>46550001</v>
      </c>
      <c r="P364" s="4"/>
      <c r="Q364" s="11" t="str">
        <f>IFERROR(INDEX(ShipPartShape!$A:$A,MATCH(P364,ShipPartShape!$B:$B,0)),"-")</f>
        <v>-</v>
      </c>
      <c r="R364" s="4"/>
      <c r="S364" s="11" t="str">
        <f>IFERROR(INDEX(ShipPartShape!$A:$A,MATCH(R364,ShipPartShape!$B:$B,0)),"-")</f>
        <v>-</v>
      </c>
      <c r="T364" s="4"/>
      <c r="U364" s="11" t="str">
        <f>IFERROR(INDEX(ShipPartShape!$A:$A,MATCH(T364,ShipPartShape!$B:$B,0)),"-")</f>
        <v>-</v>
      </c>
      <c r="V364" s="4"/>
      <c r="W364" s="11" t="str">
        <f>IFERROR(INDEX(ShipPartShape!$A:$A,MATCH(V364,ShipPartShape!$B:$B,0)),"-")</f>
        <v>-</v>
      </c>
      <c r="X364" s="4"/>
      <c r="Y364" s="11" t="str">
        <f>IFERROR(INDEX(ShipPartShape!$A:$A,MATCH(X364,ShipPartShape!$B:$B,0)),"-")</f>
        <v>-</v>
      </c>
      <c r="Z364" s="4"/>
      <c r="AA364" s="11" t="str">
        <f>IFERROR(INDEX(ShipPartShape!$A:$A,MATCH(Z364,ShipPartShape!$B:$B,0)),"-")</f>
        <v>-</v>
      </c>
      <c r="AB364" s="4"/>
      <c r="AC364" s="11" t="str">
        <f>IFERROR(INDEX(ShipPartShape!$A:$A,MATCH(AB364,ShipPartShape!$B:$B,0)),"-")</f>
        <v>-</v>
      </c>
      <c r="AD364" s="4"/>
      <c r="AE364" s="11" t="str">
        <f>IFERROR(INDEX(ShipPartShape!$A:$A,MATCH(AD364,ShipPartShape!$B:$B,0)),"-")</f>
        <v>-</v>
      </c>
      <c r="AF364" s="4"/>
      <c r="AG364" s="11" t="str">
        <f>IFERROR(INDEX(ShipPartShape!$A:$A,MATCH(AF364,ShipPartShape!$B:$B,0)),"-")</f>
        <v>-</v>
      </c>
      <c r="AH364" s="4"/>
      <c r="AI364" s="11" t="str">
        <f>IFERROR(INDEX(ShipPartShape!$A:$A,MATCH(AH364,ShipPartShape!$B:$B,0)),"-")</f>
        <v>-</v>
      </c>
      <c r="AJ364" s="11" t="s">
        <v>0</v>
      </c>
      <c r="AK364" s="11" t="s">
        <v>0</v>
      </c>
      <c r="AL364" s="11" t="s">
        <v>0</v>
      </c>
      <c r="AM364" s="11" t="s">
        <v>0</v>
      </c>
      <c r="AN364" s="11" t="s">
        <v>0</v>
      </c>
      <c r="AO364" s="11" t="s">
        <v>0</v>
      </c>
      <c r="AP364" s="11" t="s">
        <v>0</v>
      </c>
      <c r="AQ364" s="11" t="s">
        <v>0</v>
      </c>
      <c r="AR364" s="11" t="s">
        <v>0</v>
      </c>
      <c r="AS364" s="11" t="s">
        <v>0</v>
      </c>
      <c r="AT364" s="11" t="s">
        <v>0</v>
      </c>
      <c r="AU364" s="11">
        <v>47600018</v>
      </c>
      <c r="AV364" s="11" t="s">
        <v>0</v>
      </c>
      <c r="AW364" s="11" t="s">
        <v>0</v>
      </c>
      <c r="AX364" s="11" t="s">
        <v>0</v>
      </c>
    </row>
    <row r="365" spans="1:50" ht="15">
      <c r="A365" s="10">
        <f>A364+1</f>
        <v>45000355</v>
      </c>
      <c r="B365" s="23" t="s">
        <v>3868</v>
      </c>
      <c r="C365" s="11" t="s">
        <v>3869</v>
      </c>
      <c r="D365" s="4" t="s">
        <v>3866</v>
      </c>
      <c r="E365" s="11">
        <v>500</v>
      </c>
      <c r="F365" s="11">
        <v>200</v>
      </c>
      <c r="G365" s="11">
        <v>20</v>
      </c>
      <c r="H365" s="11">
        <v>-40</v>
      </c>
      <c r="I365" s="11">
        <f>IFERROR(INDEX(ShipPartShape!$A:$A,MATCH(D365,ShipPartShape!$B:$B,0)),"-")</f>
        <v>46000323</v>
      </c>
      <c r="J365" s="4" t="s">
        <v>162</v>
      </c>
      <c r="K365" s="11">
        <f>IFERROR(INDEX(ShipPartShape!$A:$A,MATCH(J365,ShipPartShape!$B:$B,0)),"-")</f>
        <v>46700003</v>
      </c>
      <c r="L365" s="4" t="s">
        <v>158</v>
      </c>
      <c r="M365" s="11">
        <f>IFERROR(INDEX(ShipPartShape!$A:$A,MATCH(L365,ShipPartShape!$B:$B,0)),"-")</f>
        <v>46550001</v>
      </c>
      <c r="N365" s="4" t="s">
        <v>69</v>
      </c>
      <c r="O365" s="11">
        <f>IFERROR(INDEX(ShipPartShape!$A:$A,MATCH(N365,ShipPartShape!$B:$B,0)),"-")</f>
        <v>46300001</v>
      </c>
      <c r="P365" s="4"/>
      <c r="Q365" s="11" t="str">
        <f>IFERROR(INDEX(ShipPartShape!$A:$A,MATCH(P365,ShipPartShape!$B:$B,0)),"-")</f>
        <v>-</v>
      </c>
      <c r="R365" s="4"/>
      <c r="S365" s="11" t="str">
        <f>IFERROR(INDEX(ShipPartShape!$A:$A,MATCH(R365,ShipPartShape!$B:$B,0)),"-")</f>
        <v>-</v>
      </c>
      <c r="T365" s="4"/>
      <c r="U365" s="11" t="str">
        <f>IFERROR(INDEX(ShipPartShape!$A:$A,MATCH(T365,ShipPartShape!$B:$B,0)),"-")</f>
        <v>-</v>
      </c>
      <c r="V365" s="4"/>
      <c r="W365" s="11" t="str">
        <f>IFERROR(INDEX(ShipPartShape!$A:$A,MATCH(V365,ShipPartShape!$B:$B,0)),"-")</f>
        <v>-</v>
      </c>
      <c r="X365" s="4"/>
      <c r="Y365" s="11" t="str">
        <f>IFERROR(INDEX(ShipPartShape!$A:$A,MATCH(X365,ShipPartShape!$B:$B,0)),"-")</f>
        <v>-</v>
      </c>
      <c r="Z365" s="4"/>
      <c r="AA365" s="11" t="str">
        <f>IFERROR(INDEX(ShipPartShape!$A:$A,MATCH(Z365,ShipPartShape!$B:$B,0)),"-")</f>
        <v>-</v>
      </c>
      <c r="AB365" s="4"/>
      <c r="AC365" s="11" t="str">
        <f>IFERROR(INDEX(ShipPartShape!$A:$A,MATCH(AB365,ShipPartShape!$B:$B,0)),"-")</f>
        <v>-</v>
      </c>
      <c r="AD365" s="4"/>
      <c r="AE365" s="11" t="str">
        <f>IFERROR(INDEX(ShipPartShape!$A:$A,MATCH(AD365,ShipPartShape!$B:$B,0)),"-")</f>
        <v>-</v>
      </c>
      <c r="AF365" s="4"/>
      <c r="AG365" s="11" t="str">
        <f>IFERROR(INDEX(ShipPartShape!$A:$A,MATCH(AF365,ShipPartShape!$B:$B,0)),"-")</f>
        <v>-</v>
      </c>
      <c r="AH365" s="4"/>
      <c r="AI365" s="11" t="str">
        <f>IFERROR(INDEX(ShipPartShape!$A:$A,MATCH(AH365,ShipPartShape!$B:$B,0)),"-")</f>
        <v>-</v>
      </c>
      <c r="AJ365" s="11" t="s">
        <v>0</v>
      </c>
      <c r="AK365" s="11" t="s">
        <v>0</v>
      </c>
      <c r="AL365" s="11" t="s">
        <v>0</v>
      </c>
      <c r="AM365" s="11" t="s">
        <v>0</v>
      </c>
      <c r="AN365" s="11" t="s">
        <v>0</v>
      </c>
      <c r="AO365" s="11" t="s">
        <v>0</v>
      </c>
      <c r="AP365" s="11" t="s">
        <v>0</v>
      </c>
      <c r="AQ365" s="11" t="s">
        <v>0</v>
      </c>
      <c r="AR365" s="11" t="s">
        <v>0</v>
      </c>
      <c r="AS365" s="11" t="s">
        <v>0</v>
      </c>
      <c r="AT365" s="11" t="s">
        <v>0</v>
      </c>
      <c r="AU365" s="11">
        <v>47600018</v>
      </c>
      <c r="AV365" s="11" t="s">
        <v>0</v>
      </c>
      <c r="AW365" s="11" t="s">
        <v>0</v>
      </c>
      <c r="AX365" s="11" t="s">
        <v>0</v>
      </c>
    </row>
    <row r="366" spans="1:50" ht="15">
      <c r="A366" s="10">
        <f>A365+1</f>
        <v>45000356</v>
      </c>
      <c r="B366" s="22" t="s">
        <v>3874</v>
      </c>
      <c r="C366" s="11" t="s">
        <v>3875</v>
      </c>
      <c r="D366" s="4" t="s">
        <v>3872</v>
      </c>
      <c r="E366" s="11">
        <v>600</v>
      </c>
      <c r="F366" s="11">
        <v>150</v>
      </c>
      <c r="G366" s="11">
        <v>20</v>
      </c>
      <c r="H366" s="11">
        <v>-40</v>
      </c>
      <c r="I366" s="11">
        <f>IFERROR(INDEX(ShipPartShape!$A:$A,MATCH(D366,ShipPartShape!$B:$B,0)),"-")</f>
        <v>46000324</v>
      </c>
      <c r="J366" s="4" t="s">
        <v>1213</v>
      </c>
      <c r="K366" s="11">
        <f>IFERROR(INDEX(ShipPartShape!$A:$A,MATCH(J366,ShipPartShape!$B:$B,0)),"-")</f>
        <v>46700010</v>
      </c>
      <c r="L366" s="4" t="s">
        <v>1398</v>
      </c>
      <c r="M366" s="11">
        <f>IFERROR(INDEX(ShipPartShape!$A:$A,MATCH(L366,ShipPartShape!$B:$B,0)),"-")</f>
        <v>46300002</v>
      </c>
      <c r="N366" s="4"/>
      <c r="O366" s="11" t="str">
        <f>IFERROR(INDEX(ShipPartShape!$A:$A,MATCH(N366,ShipPartShape!$B:$B,0)),"-")</f>
        <v>-</v>
      </c>
      <c r="P366" s="4"/>
      <c r="Q366" s="11" t="str">
        <f>IFERROR(INDEX(ShipPartShape!$A:$A,MATCH(P366,ShipPartShape!$B:$B,0)),"-")</f>
        <v>-</v>
      </c>
      <c r="R366" s="4"/>
      <c r="S366" s="11" t="str">
        <f>IFERROR(INDEX(ShipPartShape!$A:$A,MATCH(R366,ShipPartShape!$B:$B,0)),"-")</f>
        <v>-</v>
      </c>
      <c r="T366" s="4" t="s">
        <v>602</v>
      </c>
      <c r="U366" s="11">
        <f>IFERROR(INDEX(ShipPartShape!$A:$A,MATCH(T366,ShipPartShape!$B:$B,0)),"-")</f>
        <v>46600002</v>
      </c>
      <c r="V366" s="4" t="s">
        <v>604</v>
      </c>
      <c r="W366" s="11">
        <f>IFERROR(INDEX(ShipPartShape!$A:$A,MATCH(V366,ShipPartShape!$B:$B,0)),"-")</f>
        <v>46600005</v>
      </c>
      <c r="X366" s="4" t="s">
        <v>608</v>
      </c>
      <c r="Y366" s="11">
        <f>IFERROR(INDEX(ShipPartShape!$A:$A,MATCH(X366,ShipPartShape!$B:$B,0)),"-")</f>
        <v>46600004</v>
      </c>
      <c r="Z366" s="4" t="s">
        <v>611</v>
      </c>
      <c r="AA366" s="11">
        <f>IFERROR(INDEX(ShipPartShape!$A:$A,MATCH(Z366,ShipPartShape!$B:$B,0)),"-")</f>
        <v>46600010</v>
      </c>
      <c r="AB366" s="4"/>
      <c r="AC366" s="11" t="str">
        <f>IFERROR(INDEX(ShipPartShape!$A:$A,MATCH(AB366,ShipPartShape!$B:$B,0)),"-")</f>
        <v>-</v>
      </c>
      <c r="AD366" s="4"/>
      <c r="AE366" s="11" t="str">
        <f>IFERROR(INDEX(ShipPartShape!$A:$A,MATCH(AD366,ShipPartShape!$B:$B,0)),"-")</f>
        <v>-</v>
      </c>
      <c r="AF366" s="4"/>
      <c r="AG366" s="11" t="str">
        <f>IFERROR(INDEX(ShipPartShape!$A:$A,MATCH(AF366,ShipPartShape!$B:$B,0)),"-")</f>
        <v>-</v>
      </c>
      <c r="AH366" s="4"/>
      <c r="AI366" s="11" t="str">
        <f>IFERROR(INDEX(ShipPartShape!$A:$A,MATCH(AH366,ShipPartShape!$B:$B,0)),"-")</f>
        <v>-</v>
      </c>
      <c r="AJ366" s="11" t="s">
        <v>0</v>
      </c>
      <c r="AK366" s="11" t="s">
        <v>0</v>
      </c>
      <c r="AL366" s="11" t="s">
        <v>0</v>
      </c>
      <c r="AM366" s="11" t="s">
        <v>0</v>
      </c>
      <c r="AN366" s="11" t="s">
        <v>0</v>
      </c>
      <c r="AO366" s="11" t="s">
        <v>0</v>
      </c>
      <c r="AP366" s="11" t="s">
        <v>0</v>
      </c>
      <c r="AQ366" s="11" t="s">
        <v>0</v>
      </c>
      <c r="AR366" s="11" t="s">
        <v>0</v>
      </c>
      <c r="AS366" s="11" t="s">
        <v>0</v>
      </c>
      <c r="AT366" s="11" t="s">
        <v>0</v>
      </c>
      <c r="AU366" s="11">
        <v>47600017</v>
      </c>
      <c r="AV366" s="11" t="s">
        <v>0</v>
      </c>
      <c r="AW366" s="11" t="s">
        <v>0</v>
      </c>
      <c r="AX366" s="11" t="s">
        <v>0</v>
      </c>
    </row>
    <row r="367" spans="1:50" ht="15">
      <c r="A367" s="10">
        <f>A366+1</f>
        <v>45000357</v>
      </c>
      <c r="B367" s="22" t="s">
        <v>3891</v>
      </c>
      <c r="C367" s="11" t="s">
        <v>3892</v>
      </c>
      <c r="D367" s="4" t="s">
        <v>3886</v>
      </c>
      <c r="E367" s="11">
        <v>700</v>
      </c>
      <c r="F367" s="11">
        <v>150</v>
      </c>
      <c r="G367" s="11">
        <v>20</v>
      </c>
      <c r="H367" s="11">
        <v>-40</v>
      </c>
      <c r="I367" s="11">
        <f>IFERROR(INDEX(ShipPartShape!$A:$A,MATCH(D367,ShipPartShape!$B:$B,0)),"-")</f>
        <v>46000325</v>
      </c>
      <c r="J367" s="4" t="s">
        <v>1255</v>
      </c>
      <c r="K367" s="11">
        <f>IFERROR(INDEX(ShipPartShape!$A:$A,MATCH(J367,ShipPartShape!$B:$B,0)),"-")</f>
        <v>46700009</v>
      </c>
      <c r="L367" s="4"/>
      <c r="M367" s="11" t="str">
        <f>IFERROR(INDEX(ShipPartShape!$A:$A,MATCH(L367,ShipPartShape!$B:$B,0)),"-")</f>
        <v>-</v>
      </c>
      <c r="N367" s="4" t="s">
        <v>3893</v>
      </c>
      <c r="O367" s="11">
        <f>IFERROR(INDEX(ShipPartShape!$A:$A,MATCH(N367,ShipPartShape!$B:$B,0)),"-")</f>
        <v>46500064</v>
      </c>
      <c r="P367" s="4"/>
      <c r="Q367" s="11" t="str">
        <f>IFERROR(INDEX(ShipPartShape!$A:$A,MATCH(P367,ShipPartShape!$B:$B,0)),"-")</f>
        <v>-</v>
      </c>
      <c r="R367" s="4"/>
      <c r="S367" s="11" t="str">
        <f>IFERROR(INDEX(ShipPartShape!$A:$A,MATCH(R367,ShipPartShape!$B:$B,0)),"-")</f>
        <v>-</v>
      </c>
      <c r="T367" s="4"/>
      <c r="U367" s="11" t="str">
        <f>IFERROR(INDEX(ShipPartShape!$A:$A,MATCH(T367,ShipPartShape!$B:$B,0)),"-")</f>
        <v>-</v>
      </c>
      <c r="V367" s="4"/>
      <c r="W367" s="11" t="str">
        <f>IFERROR(INDEX(ShipPartShape!$A:$A,MATCH(V367,ShipPartShape!$B:$B,0)),"-")</f>
        <v>-</v>
      </c>
      <c r="X367" s="4"/>
      <c r="Y367" s="11" t="str">
        <f>IFERROR(INDEX(ShipPartShape!$A:$A,MATCH(X367,ShipPartShape!$B:$B,0)),"-")</f>
        <v>-</v>
      </c>
      <c r="Z367" s="4"/>
      <c r="AA367" s="11" t="str">
        <f>IFERROR(INDEX(ShipPartShape!$A:$A,MATCH(Z367,ShipPartShape!$B:$B,0)),"-")</f>
        <v>-</v>
      </c>
      <c r="AB367" s="4"/>
      <c r="AC367" s="11" t="str">
        <f>IFERROR(INDEX(ShipPartShape!$A:$A,MATCH(AB367,ShipPartShape!$B:$B,0)),"-")</f>
        <v>-</v>
      </c>
      <c r="AD367" s="4"/>
      <c r="AE367" s="11" t="str">
        <f>IFERROR(INDEX(ShipPartShape!$A:$A,MATCH(AD367,ShipPartShape!$B:$B,0)),"-")</f>
        <v>-</v>
      </c>
      <c r="AF367" s="4"/>
      <c r="AG367" s="11" t="str">
        <f>IFERROR(INDEX(ShipPartShape!$A:$A,MATCH(AF367,ShipPartShape!$B:$B,0)),"-")</f>
        <v>-</v>
      </c>
      <c r="AH367" s="4"/>
      <c r="AI367" s="11" t="str">
        <f>IFERROR(INDEX(ShipPartShape!$A:$A,MATCH(AH367,ShipPartShape!$B:$B,0)),"-")</f>
        <v>-</v>
      </c>
      <c r="AJ367" s="11" t="s">
        <v>0</v>
      </c>
      <c r="AK367" s="11" t="s">
        <v>0</v>
      </c>
      <c r="AL367" s="11" t="s">
        <v>0</v>
      </c>
      <c r="AM367" s="11" t="s">
        <v>0</v>
      </c>
      <c r="AN367" s="11" t="s">
        <v>0</v>
      </c>
      <c r="AO367" s="11" t="s">
        <v>0</v>
      </c>
      <c r="AP367" s="11" t="s">
        <v>0</v>
      </c>
      <c r="AQ367" s="11" t="s">
        <v>0</v>
      </c>
      <c r="AR367" s="11" t="s">
        <v>0</v>
      </c>
      <c r="AS367" s="11" t="s">
        <v>0</v>
      </c>
      <c r="AT367" s="11" t="s">
        <v>0</v>
      </c>
      <c r="AU367" s="11">
        <v>47600016</v>
      </c>
      <c r="AV367" s="11" t="s">
        <v>0</v>
      </c>
      <c r="AW367" s="11" t="s">
        <v>0</v>
      </c>
      <c r="AX367" s="11" t="s">
        <v>0</v>
      </c>
    </row>
    <row r="368" spans="1:50" ht="15">
      <c r="A368" s="10">
        <f t="shared" ref="A368:A381" si="6">A367+1</f>
        <v>45000358</v>
      </c>
      <c r="B368" s="23" t="s">
        <v>3904</v>
      </c>
      <c r="C368" s="11" t="s">
        <v>3905</v>
      </c>
      <c r="D368" s="4" t="s">
        <v>3894</v>
      </c>
      <c r="E368" s="11">
        <v>700</v>
      </c>
      <c r="F368" s="11">
        <v>150</v>
      </c>
      <c r="G368" s="11">
        <v>20</v>
      </c>
      <c r="H368" s="11">
        <v>-40</v>
      </c>
      <c r="I368" s="11">
        <f>IFERROR(INDEX(ShipPartShape!$A:$A,MATCH(D368,ShipPartShape!$B:$B,0)),"-")</f>
        <v>46000326</v>
      </c>
      <c r="J368" s="4" t="s">
        <v>1374</v>
      </c>
      <c r="K368" s="11">
        <f>IFERROR(INDEX(ShipPartShape!$A:$A,MATCH(J368,ShipPartShape!$B:$B,0)),"-")</f>
        <v>46700008</v>
      </c>
      <c r="L368" s="4" t="s">
        <v>69</v>
      </c>
      <c r="M368" s="11">
        <f>IFERROR(INDEX(ShipPartShape!$A:$A,MATCH(L368,ShipPartShape!$B:$B,0)),"-")</f>
        <v>46300001</v>
      </c>
      <c r="N368" s="4" t="s">
        <v>3908</v>
      </c>
      <c r="O368" s="11">
        <f>IFERROR(INDEX(ShipPartShape!$A:$A,MATCH(N368,ShipPartShape!$B:$B,0)),"-")</f>
        <v>46500065</v>
      </c>
      <c r="P368" s="4"/>
      <c r="Q368" s="11" t="str">
        <f>IFERROR(INDEX(ShipPartShape!$A:$A,MATCH(P368,ShipPartShape!$B:$B,0)),"-")</f>
        <v>-</v>
      </c>
      <c r="R368" s="4"/>
      <c r="S368" s="11" t="str">
        <f>IFERROR(INDEX(ShipPartShape!$A:$A,MATCH(R368,ShipPartShape!$B:$B,0)),"-")</f>
        <v>-</v>
      </c>
      <c r="T368" s="4"/>
      <c r="U368" s="11" t="str">
        <f>IFERROR(INDEX(ShipPartShape!$A:$A,MATCH(T368,ShipPartShape!$B:$B,0)),"-")</f>
        <v>-</v>
      </c>
      <c r="V368" s="4"/>
      <c r="W368" s="11" t="str">
        <f>IFERROR(INDEX(ShipPartShape!$A:$A,MATCH(V368,ShipPartShape!$B:$B,0)),"-")</f>
        <v>-</v>
      </c>
      <c r="X368" s="4"/>
      <c r="Y368" s="11" t="str">
        <f>IFERROR(INDEX(ShipPartShape!$A:$A,MATCH(X368,ShipPartShape!$B:$B,0)),"-")</f>
        <v>-</v>
      </c>
      <c r="Z368" s="4"/>
      <c r="AA368" s="11" t="str">
        <f>IFERROR(INDEX(ShipPartShape!$A:$A,MATCH(Z368,ShipPartShape!$B:$B,0)),"-")</f>
        <v>-</v>
      </c>
      <c r="AB368" s="4"/>
      <c r="AC368" s="11" t="str">
        <f>IFERROR(INDEX(ShipPartShape!$A:$A,MATCH(AB368,ShipPartShape!$B:$B,0)),"-")</f>
        <v>-</v>
      </c>
      <c r="AD368" s="4"/>
      <c r="AE368" s="11" t="str">
        <f>IFERROR(INDEX(ShipPartShape!$A:$A,MATCH(AD368,ShipPartShape!$B:$B,0)),"-")</f>
        <v>-</v>
      </c>
      <c r="AF368" s="4"/>
      <c r="AG368" s="11" t="str">
        <f>IFERROR(INDEX(ShipPartShape!$A:$A,MATCH(AF368,ShipPartShape!$B:$B,0)),"-")</f>
        <v>-</v>
      </c>
      <c r="AH368" s="4"/>
      <c r="AI368" s="11" t="str">
        <f>IFERROR(INDEX(ShipPartShape!$A:$A,MATCH(AH368,ShipPartShape!$B:$B,0)),"-")</f>
        <v>-</v>
      </c>
      <c r="AJ368" s="11" t="s">
        <v>0</v>
      </c>
      <c r="AK368" s="11" t="s">
        <v>0</v>
      </c>
      <c r="AL368" s="11" t="s">
        <v>0</v>
      </c>
      <c r="AM368" s="11" t="s">
        <v>0</v>
      </c>
      <c r="AN368" s="11" t="s">
        <v>0</v>
      </c>
      <c r="AO368" s="11" t="s">
        <v>0</v>
      </c>
      <c r="AP368" s="11" t="s">
        <v>0</v>
      </c>
      <c r="AQ368" s="11" t="s">
        <v>0</v>
      </c>
      <c r="AR368" s="11" t="s">
        <v>0</v>
      </c>
      <c r="AS368" s="11" t="s">
        <v>0</v>
      </c>
      <c r="AT368" s="11" t="s">
        <v>0</v>
      </c>
      <c r="AU368" s="11">
        <v>47600018</v>
      </c>
      <c r="AV368" s="11" t="s">
        <v>0</v>
      </c>
      <c r="AW368" s="11" t="s">
        <v>0</v>
      </c>
      <c r="AX368" s="11" t="s">
        <v>0</v>
      </c>
    </row>
    <row r="369" spans="1:50" ht="15">
      <c r="A369" s="10">
        <f t="shared" si="6"/>
        <v>45000359</v>
      </c>
      <c r="B369" s="23" t="s">
        <v>3906</v>
      </c>
      <c r="C369" s="11" t="s">
        <v>3907</v>
      </c>
      <c r="D369" s="4" t="s">
        <v>3897</v>
      </c>
      <c r="E369" s="11">
        <v>700</v>
      </c>
      <c r="F369" s="11">
        <v>150</v>
      </c>
      <c r="G369" s="11">
        <v>20</v>
      </c>
      <c r="H369" s="11">
        <v>-40</v>
      </c>
      <c r="I369" s="11">
        <f>IFERROR(INDEX(ShipPartShape!$A:$A,MATCH(D369,ShipPartShape!$B:$B,0)),"-")</f>
        <v>46000327</v>
      </c>
      <c r="J369" s="4" t="s">
        <v>1374</v>
      </c>
      <c r="K369" s="11">
        <f>IFERROR(INDEX(ShipPartShape!$A:$A,MATCH(J369,ShipPartShape!$B:$B,0)),"-")</f>
        <v>46700008</v>
      </c>
      <c r="L369" s="4" t="s">
        <v>69</v>
      </c>
      <c r="M369" s="11">
        <f>IFERROR(INDEX(ShipPartShape!$A:$A,MATCH(L369,ShipPartShape!$B:$B,0)),"-")</f>
        <v>46300001</v>
      </c>
      <c r="N369" s="4" t="s">
        <v>3909</v>
      </c>
      <c r="O369" s="11">
        <f>IFERROR(INDEX(ShipPartShape!$A:$A,MATCH(N369,ShipPartShape!$B:$B,0)),"-")</f>
        <v>46500066</v>
      </c>
      <c r="P369" s="4"/>
      <c r="Q369" s="11" t="str">
        <f>IFERROR(INDEX(ShipPartShape!$A:$A,MATCH(P369,ShipPartShape!$B:$B,0)),"-")</f>
        <v>-</v>
      </c>
      <c r="R369" s="4"/>
      <c r="S369" s="11" t="str">
        <f>IFERROR(INDEX(ShipPartShape!$A:$A,MATCH(R369,ShipPartShape!$B:$B,0)),"-")</f>
        <v>-</v>
      </c>
      <c r="T369" s="4"/>
      <c r="U369" s="11" t="str">
        <f>IFERROR(INDEX(ShipPartShape!$A:$A,MATCH(T369,ShipPartShape!$B:$B,0)),"-")</f>
        <v>-</v>
      </c>
      <c r="V369" s="4"/>
      <c r="W369" s="11" t="str">
        <f>IFERROR(INDEX(ShipPartShape!$A:$A,MATCH(V369,ShipPartShape!$B:$B,0)),"-")</f>
        <v>-</v>
      </c>
      <c r="X369" s="4"/>
      <c r="Y369" s="11" t="str">
        <f>IFERROR(INDEX(ShipPartShape!$A:$A,MATCH(X369,ShipPartShape!$B:$B,0)),"-")</f>
        <v>-</v>
      </c>
      <c r="Z369" s="4"/>
      <c r="AA369" s="11" t="str">
        <f>IFERROR(INDEX(ShipPartShape!$A:$A,MATCH(Z369,ShipPartShape!$B:$B,0)),"-")</f>
        <v>-</v>
      </c>
      <c r="AB369" s="4"/>
      <c r="AC369" s="11" t="str">
        <f>IFERROR(INDEX(ShipPartShape!$A:$A,MATCH(AB369,ShipPartShape!$B:$B,0)),"-")</f>
        <v>-</v>
      </c>
      <c r="AD369" s="4"/>
      <c r="AE369" s="11" t="str">
        <f>IFERROR(INDEX(ShipPartShape!$A:$A,MATCH(AD369,ShipPartShape!$B:$B,0)),"-")</f>
        <v>-</v>
      </c>
      <c r="AF369" s="4"/>
      <c r="AG369" s="11" t="str">
        <f>IFERROR(INDEX(ShipPartShape!$A:$A,MATCH(AF369,ShipPartShape!$B:$B,0)),"-")</f>
        <v>-</v>
      </c>
      <c r="AH369" s="4"/>
      <c r="AI369" s="11" t="str">
        <f>IFERROR(INDEX(ShipPartShape!$A:$A,MATCH(AH369,ShipPartShape!$B:$B,0)),"-")</f>
        <v>-</v>
      </c>
      <c r="AJ369" s="11" t="s">
        <v>0</v>
      </c>
      <c r="AK369" s="11" t="s">
        <v>0</v>
      </c>
      <c r="AL369" s="11" t="s">
        <v>0</v>
      </c>
      <c r="AM369" s="11" t="s">
        <v>0</v>
      </c>
      <c r="AN369" s="11" t="s">
        <v>0</v>
      </c>
      <c r="AO369" s="11" t="s">
        <v>0</v>
      </c>
      <c r="AP369" s="11" t="s">
        <v>0</v>
      </c>
      <c r="AQ369" s="11" t="s">
        <v>0</v>
      </c>
      <c r="AR369" s="11" t="s">
        <v>0</v>
      </c>
      <c r="AS369" s="11" t="s">
        <v>0</v>
      </c>
      <c r="AT369" s="11" t="s">
        <v>0</v>
      </c>
      <c r="AU369" s="11">
        <v>47600018</v>
      </c>
      <c r="AV369" s="11" t="s">
        <v>0</v>
      </c>
      <c r="AW369" s="11" t="s">
        <v>0</v>
      </c>
      <c r="AX369" s="11">
        <v>1.5</v>
      </c>
    </row>
    <row r="370" spans="1:50" ht="15">
      <c r="A370" s="10">
        <f t="shared" si="6"/>
        <v>45000360</v>
      </c>
      <c r="B370" s="22" t="s">
        <v>3932</v>
      </c>
      <c r="C370" s="11" t="s">
        <v>3933</v>
      </c>
      <c r="D370" s="4" t="s">
        <v>3926</v>
      </c>
      <c r="E370" s="11">
        <v>700</v>
      </c>
      <c r="F370" s="11">
        <v>150</v>
      </c>
      <c r="G370" s="11">
        <v>20</v>
      </c>
      <c r="H370" s="11">
        <v>-40</v>
      </c>
      <c r="I370" s="11">
        <f>IFERROR(INDEX(ShipPartShape!$A:$A,MATCH(D370,ShipPartShape!$B:$B,0)),"-")</f>
        <v>46000328</v>
      </c>
      <c r="J370" s="4" t="s">
        <v>1216</v>
      </c>
      <c r="K370" s="11">
        <f>IFERROR(INDEX(ShipPartShape!$A:$A,MATCH(J370,ShipPartShape!$B:$B,0)),"-")</f>
        <v>46700014</v>
      </c>
      <c r="L370" s="4" t="s">
        <v>69</v>
      </c>
      <c r="M370" s="11">
        <f>IFERROR(INDEX(ShipPartShape!$A:$A,MATCH(L370,ShipPartShape!$B:$B,0)),"-")</f>
        <v>46300001</v>
      </c>
      <c r="N370" s="4"/>
      <c r="O370" s="11" t="str">
        <f>IFERROR(INDEX(ShipPartShape!$A:$A,MATCH(N370,ShipPartShape!$B:$B,0)),"-")</f>
        <v>-</v>
      </c>
      <c r="P370" s="4"/>
      <c r="Q370" s="11" t="str">
        <f>IFERROR(INDEX(ShipPartShape!$A:$A,MATCH(P370,ShipPartShape!$B:$B,0)),"-")</f>
        <v>-</v>
      </c>
      <c r="R370" s="4"/>
      <c r="S370" s="11" t="str">
        <f>IFERROR(INDEX(ShipPartShape!$A:$A,MATCH(R370,ShipPartShape!$B:$B,0)),"-")</f>
        <v>-</v>
      </c>
      <c r="T370" s="4" t="s">
        <v>601</v>
      </c>
      <c r="U370" s="11">
        <f>IFERROR(INDEX(ShipPartShape!$A:$A,MATCH(T370,ShipPartShape!$B:$B,0)),"-")</f>
        <v>46600001</v>
      </c>
      <c r="V370" s="4" t="s">
        <v>606</v>
      </c>
      <c r="W370" s="11">
        <f>IFERROR(INDEX(ShipPartShape!$A:$A,MATCH(V370,ShipPartShape!$B:$B,0)),"-")</f>
        <v>46600003</v>
      </c>
      <c r="X370" s="4" t="s">
        <v>611</v>
      </c>
      <c r="Y370" s="11">
        <f>IFERROR(INDEX(ShipPartShape!$A:$A,MATCH(X370,ShipPartShape!$B:$B,0)),"-")</f>
        <v>46600010</v>
      </c>
      <c r="Z370" s="4"/>
      <c r="AA370" s="11" t="str">
        <f>IFERROR(INDEX(ShipPartShape!$A:$A,MATCH(Z370,ShipPartShape!$B:$B,0)),"-")</f>
        <v>-</v>
      </c>
      <c r="AB370" s="4"/>
      <c r="AC370" s="11" t="str">
        <f>IFERROR(INDEX(ShipPartShape!$A:$A,MATCH(AB370,ShipPartShape!$B:$B,0)),"-")</f>
        <v>-</v>
      </c>
      <c r="AD370" s="4"/>
      <c r="AE370" s="11" t="str">
        <f>IFERROR(INDEX(ShipPartShape!$A:$A,MATCH(AD370,ShipPartShape!$B:$B,0)),"-")</f>
        <v>-</v>
      </c>
      <c r="AF370" s="4"/>
      <c r="AG370" s="11" t="str">
        <f>IFERROR(INDEX(ShipPartShape!$A:$A,MATCH(AF370,ShipPartShape!$B:$B,0)),"-")</f>
        <v>-</v>
      </c>
      <c r="AH370" s="4"/>
      <c r="AI370" s="11" t="str">
        <f>IFERROR(INDEX(ShipPartShape!$A:$A,MATCH(AH370,ShipPartShape!$B:$B,0)),"-")</f>
        <v>-</v>
      </c>
      <c r="AJ370" s="11" t="s">
        <v>0</v>
      </c>
      <c r="AK370" s="11" t="s">
        <v>0</v>
      </c>
      <c r="AL370" s="11" t="s">
        <v>0</v>
      </c>
      <c r="AM370" s="11" t="s">
        <v>0</v>
      </c>
      <c r="AN370" s="11" t="s">
        <v>0</v>
      </c>
      <c r="AO370" s="11" t="s">
        <v>0</v>
      </c>
      <c r="AP370" s="11" t="s">
        <v>0</v>
      </c>
      <c r="AQ370" s="11" t="s">
        <v>0</v>
      </c>
      <c r="AR370" s="11" t="s">
        <v>0</v>
      </c>
      <c r="AS370" s="11" t="s">
        <v>0</v>
      </c>
      <c r="AT370" s="11" t="s">
        <v>0</v>
      </c>
      <c r="AU370" s="11">
        <v>47600018</v>
      </c>
      <c r="AV370" s="11" t="s">
        <v>0</v>
      </c>
      <c r="AW370" s="11" t="s">
        <v>0</v>
      </c>
      <c r="AX370" s="11" t="s">
        <v>0</v>
      </c>
    </row>
    <row r="371" spans="1:50" ht="15">
      <c r="A371" s="10">
        <f t="shared" si="6"/>
        <v>45000361</v>
      </c>
      <c r="B371" s="22" t="s">
        <v>1882</v>
      </c>
      <c r="C371" s="11" t="s">
        <v>3934</v>
      </c>
      <c r="D371" s="4" t="s">
        <v>3928</v>
      </c>
      <c r="E371" s="11">
        <v>700</v>
      </c>
      <c r="F371" s="11">
        <v>150</v>
      </c>
      <c r="G371" s="11">
        <v>20</v>
      </c>
      <c r="H371" s="11">
        <v>-40</v>
      </c>
      <c r="I371" s="11">
        <f>IFERROR(INDEX(ShipPartShape!$A:$A,MATCH(D371,ShipPartShape!$B:$B,0)),"-")</f>
        <v>46000329</v>
      </c>
      <c r="J371" s="4" t="s">
        <v>1216</v>
      </c>
      <c r="K371" s="11">
        <f>IFERROR(INDEX(ShipPartShape!$A:$A,MATCH(J371,ShipPartShape!$B:$B,0)),"-")</f>
        <v>46700014</v>
      </c>
      <c r="L371" s="4" t="s">
        <v>69</v>
      </c>
      <c r="M371" s="11">
        <f>IFERROR(INDEX(ShipPartShape!$A:$A,MATCH(L371,ShipPartShape!$B:$B,0)),"-")</f>
        <v>46300001</v>
      </c>
      <c r="N371" s="4"/>
      <c r="O371" s="11" t="str">
        <f>IFERROR(INDEX(ShipPartShape!$A:$A,MATCH(N371,ShipPartShape!$B:$B,0)),"-")</f>
        <v>-</v>
      </c>
      <c r="P371" s="4"/>
      <c r="Q371" s="11" t="str">
        <f>IFERROR(INDEX(ShipPartShape!$A:$A,MATCH(P371,ShipPartShape!$B:$B,0)),"-")</f>
        <v>-</v>
      </c>
      <c r="R371" s="4"/>
      <c r="S371" s="11" t="str">
        <f>IFERROR(INDEX(ShipPartShape!$A:$A,MATCH(R371,ShipPartShape!$B:$B,0)),"-")</f>
        <v>-</v>
      </c>
      <c r="T371" s="4" t="s">
        <v>601</v>
      </c>
      <c r="U371" s="11">
        <f>IFERROR(INDEX(ShipPartShape!$A:$A,MATCH(T371,ShipPartShape!$B:$B,0)),"-")</f>
        <v>46600001</v>
      </c>
      <c r="V371" s="4" t="s">
        <v>606</v>
      </c>
      <c r="W371" s="11">
        <f>IFERROR(INDEX(ShipPartShape!$A:$A,MATCH(V371,ShipPartShape!$B:$B,0)),"-")</f>
        <v>46600003</v>
      </c>
      <c r="X371" s="4" t="s">
        <v>611</v>
      </c>
      <c r="Y371" s="11">
        <f>IFERROR(INDEX(ShipPartShape!$A:$A,MATCH(X371,ShipPartShape!$B:$B,0)),"-")</f>
        <v>46600010</v>
      </c>
      <c r="Z371" s="4"/>
      <c r="AA371" s="11" t="str">
        <f>IFERROR(INDEX(ShipPartShape!$A:$A,MATCH(Z371,ShipPartShape!$B:$B,0)),"-")</f>
        <v>-</v>
      </c>
      <c r="AB371" s="4"/>
      <c r="AC371" s="11" t="str">
        <f>IFERROR(INDEX(ShipPartShape!$A:$A,MATCH(AB371,ShipPartShape!$B:$B,0)),"-")</f>
        <v>-</v>
      </c>
      <c r="AD371" s="4"/>
      <c r="AE371" s="11" t="str">
        <f>IFERROR(INDEX(ShipPartShape!$A:$A,MATCH(AD371,ShipPartShape!$B:$B,0)),"-")</f>
        <v>-</v>
      </c>
      <c r="AF371" s="4"/>
      <c r="AG371" s="11" t="str">
        <f>IFERROR(INDEX(ShipPartShape!$A:$A,MATCH(AF371,ShipPartShape!$B:$B,0)),"-")</f>
        <v>-</v>
      </c>
      <c r="AH371" s="4"/>
      <c r="AI371" s="11" t="str">
        <f>IFERROR(INDEX(ShipPartShape!$A:$A,MATCH(AH371,ShipPartShape!$B:$B,0)),"-")</f>
        <v>-</v>
      </c>
      <c r="AJ371" s="11" t="s">
        <v>0</v>
      </c>
      <c r="AK371" s="11" t="s">
        <v>0</v>
      </c>
      <c r="AL371" s="11" t="s">
        <v>0</v>
      </c>
      <c r="AM371" s="11" t="s">
        <v>0</v>
      </c>
      <c r="AN371" s="11" t="s">
        <v>0</v>
      </c>
      <c r="AO371" s="11" t="s">
        <v>0</v>
      </c>
      <c r="AP371" s="11" t="s">
        <v>0</v>
      </c>
      <c r="AQ371" s="11" t="s">
        <v>0</v>
      </c>
      <c r="AR371" s="11" t="s">
        <v>0</v>
      </c>
      <c r="AS371" s="11" t="s">
        <v>0</v>
      </c>
      <c r="AT371" s="11" t="s">
        <v>0</v>
      </c>
      <c r="AU371" s="11">
        <v>47600018</v>
      </c>
      <c r="AV371" s="11" t="s">
        <v>0</v>
      </c>
      <c r="AW371" s="11" t="s">
        <v>0</v>
      </c>
      <c r="AX371" s="11">
        <v>1.5</v>
      </c>
    </row>
    <row r="372" spans="1:50" ht="15">
      <c r="A372" s="10">
        <f t="shared" si="6"/>
        <v>45000362</v>
      </c>
      <c r="B372" s="22" t="s">
        <v>3944</v>
      </c>
      <c r="C372" s="11" t="s">
        <v>3945</v>
      </c>
      <c r="D372" s="4" t="s">
        <v>3941</v>
      </c>
      <c r="E372" s="11">
        <v>700</v>
      </c>
      <c r="F372" s="11">
        <v>150</v>
      </c>
      <c r="G372" s="11">
        <v>20</v>
      </c>
      <c r="H372" s="11">
        <v>-40</v>
      </c>
      <c r="I372" s="11">
        <f>IFERROR(INDEX(ShipPartShape!$A:$A,MATCH(D372,ShipPartShape!$B:$B,0)),"-")</f>
        <v>46000330</v>
      </c>
      <c r="J372" s="4" t="s">
        <v>1257</v>
      </c>
      <c r="K372" s="11">
        <f>IFERROR(INDEX(ShipPartShape!$A:$A,MATCH(J372,ShipPartShape!$B:$B,0)),"-")</f>
        <v>46700012</v>
      </c>
      <c r="L372" s="4" t="s">
        <v>69</v>
      </c>
      <c r="M372" s="11">
        <f>IFERROR(INDEX(ShipPartShape!$A:$A,MATCH(L372,ShipPartShape!$B:$B,0)),"-")</f>
        <v>46300001</v>
      </c>
      <c r="N372" s="4"/>
      <c r="O372" s="11" t="str">
        <f>IFERROR(INDEX(ShipPartShape!$A:$A,MATCH(N372,ShipPartShape!$B:$B,0)),"-")</f>
        <v>-</v>
      </c>
      <c r="P372" s="4"/>
      <c r="Q372" s="11" t="str">
        <f>IFERROR(INDEX(ShipPartShape!$A:$A,MATCH(P372,ShipPartShape!$B:$B,0)),"-")</f>
        <v>-</v>
      </c>
      <c r="R372" s="4"/>
      <c r="S372" s="11" t="str">
        <f>IFERROR(INDEX(ShipPartShape!$A:$A,MATCH(R372,ShipPartShape!$B:$B,0)),"-")</f>
        <v>-</v>
      </c>
      <c r="T372" s="4" t="s">
        <v>602</v>
      </c>
      <c r="U372" s="11">
        <f>IFERROR(INDEX(ShipPartShape!$A:$A,MATCH(T372,ShipPartShape!$B:$B,0)),"-")</f>
        <v>46600002</v>
      </c>
      <c r="V372" s="4" t="s">
        <v>604</v>
      </c>
      <c r="W372" s="11">
        <f>IFERROR(INDEX(ShipPartShape!$A:$A,MATCH(V372,ShipPartShape!$B:$B,0)),"-")</f>
        <v>46600005</v>
      </c>
      <c r="X372" s="4" t="s">
        <v>609</v>
      </c>
      <c r="Y372" s="11">
        <f>IFERROR(INDEX(ShipPartShape!$A:$A,MATCH(X372,ShipPartShape!$B:$B,0)),"-")</f>
        <v>46600011</v>
      </c>
      <c r="Z372" s="4"/>
      <c r="AA372" s="11" t="str">
        <f>IFERROR(INDEX(ShipPartShape!$A:$A,MATCH(Z372,ShipPartShape!$B:$B,0)),"-")</f>
        <v>-</v>
      </c>
      <c r="AB372" s="4"/>
      <c r="AC372" s="11" t="str">
        <f>IFERROR(INDEX(ShipPartShape!$A:$A,MATCH(AB372,ShipPartShape!$B:$B,0)),"-")</f>
        <v>-</v>
      </c>
      <c r="AD372" s="4"/>
      <c r="AE372" s="11" t="str">
        <f>IFERROR(INDEX(ShipPartShape!$A:$A,MATCH(AD372,ShipPartShape!$B:$B,0)),"-")</f>
        <v>-</v>
      </c>
      <c r="AF372" s="4"/>
      <c r="AG372" s="11" t="str">
        <f>IFERROR(INDEX(ShipPartShape!$A:$A,MATCH(AF372,ShipPartShape!$B:$B,0)),"-")</f>
        <v>-</v>
      </c>
      <c r="AH372" s="4"/>
      <c r="AI372" s="11" t="str">
        <f>IFERROR(INDEX(ShipPartShape!$A:$A,MATCH(AH372,ShipPartShape!$B:$B,0)),"-")</f>
        <v>-</v>
      </c>
      <c r="AJ372" s="11" t="s">
        <v>0</v>
      </c>
      <c r="AK372" s="11" t="s">
        <v>0</v>
      </c>
      <c r="AL372" s="11" t="s">
        <v>0</v>
      </c>
      <c r="AM372" s="11" t="s">
        <v>0</v>
      </c>
      <c r="AN372" s="11" t="s">
        <v>0</v>
      </c>
      <c r="AO372" s="11" t="s">
        <v>0</v>
      </c>
      <c r="AP372" s="11" t="s">
        <v>0</v>
      </c>
      <c r="AQ372" s="11" t="s">
        <v>0</v>
      </c>
      <c r="AR372" s="11" t="s">
        <v>0</v>
      </c>
      <c r="AS372" s="11" t="s">
        <v>0</v>
      </c>
      <c r="AT372" s="11" t="s">
        <v>0</v>
      </c>
      <c r="AU372" s="11">
        <v>47600018</v>
      </c>
      <c r="AV372" s="11" t="s">
        <v>0</v>
      </c>
      <c r="AW372" s="11" t="s">
        <v>0</v>
      </c>
      <c r="AX372" s="11">
        <v>1.5</v>
      </c>
    </row>
    <row r="373" spans="1:50" ht="15">
      <c r="A373" s="10">
        <f t="shared" si="6"/>
        <v>45000363</v>
      </c>
      <c r="B373" s="22" t="s">
        <v>3964</v>
      </c>
      <c r="C373" s="11" t="s">
        <v>3966</v>
      </c>
      <c r="D373" s="4" t="s">
        <v>3954</v>
      </c>
      <c r="E373" s="11">
        <v>700</v>
      </c>
      <c r="F373" s="11">
        <v>150</v>
      </c>
      <c r="G373" s="11">
        <v>20</v>
      </c>
      <c r="H373" s="11">
        <v>-40</v>
      </c>
      <c r="I373" s="11">
        <f>IFERROR(INDEX(ShipPartShape!$A:$A,MATCH(D373,ShipPartShape!$B:$B,0)),"-")</f>
        <v>46000331</v>
      </c>
      <c r="J373" s="4" t="s">
        <v>1256</v>
      </c>
      <c r="K373" s="11">
        <f>IFERROR(INDEX(ShipPartShape!$A:$A,MATCH(J373,ShipPartShape!$B:$B,0)),"-")</f>
        <v>46700015</v>
      </c>
      <c r="L373" s="4" t="s">
        <v>3968</v>
      </c>
      <c r="M373" s="11">
        <f>IFERROR(INDEX(ShipPartShape!$A:$A,MATCH(L373,ShipPartShape!$B:$B,0)),"-")</f>
        <v>46500067</v>
      </c>
      <c r="N373" s="4"/>
      <c r="O373" s="11" t="str">
        <f>IFERROR(INDEX(ShipPartShape!$A:$A,MATCH(N373,ShipPartShape!$B:$B,0)),"-")</f>
        <v>-</v>
      </c>
      <c r="P373" s="4"/>
      <c r="Q373" s="11" t="str">
        <f>IFERROR(INDEX(ShipPartShape!$A:$A,MATCH(P373,ShipPartShape!$B:$B,0)),"-")</f>
        <v>-</v>
      </c>
      <c r="R373" s="4"/>
      <c r="S373" s="11" t="str">
        <f>IFERROR(INDEX(ShipPartShape!$A:$A,MATCH(R373,ShipPartShape!$B:$B,0)),"-")</f>
        <v>-</v>
      </c>
      <c r="T373" s="4"/>
      <c r="U373" s="11" t="str">
        <f>IFERROR(INDEX(ShipPartShape!$A:$A,MATCH(T373,ShipPartShape!$B:$B,0)),"-")</f>
        <v>-</v>
      </c>
      <c r="V373" s="4"/>
      <c r="W373" s="11" t="str">
        <f>IFERROR(INDEX(ShipPartShape!$A:$A,MATCH(V373,ShipPartShape!$B:$B,0)),"-")</f>
        <v>-</v>
      </c>
      <c r="X373" s="4"/>
      <c r="Y373" s="11" t="str">
        <f>IFERROR(INDEX(ShipPartShape!$A:$A,MATCH(X373,ShipPartShape!$B:$B,0)),"-")</f>
        <v>-</v>
      </c>
      <c r="Z373" s="4"/>
      <c r="AA373" s="11" t="str">
        <f>IFERROR(INDEX(ShipPartShape!$A:$A,MATCH(Z373,ShipPartShape!$B:$B,0)),"-")</f>
        <v>-</v>
      </c>
      <c r="AB373" s="4"/>
      <c r="AC373" s="11" t="str">
        <f>IFERROR(INDEX(ShipPartShape!$A:$A,MATCH(AB373,ShipPartShape!$B:$B,0)),"-")</f>
        <v>-</v>
      </c>
      <c r="AD373" s="4"/>
      <c r="AE373" s="11" t="str">
        <f>IFERROR(INDEX(ShipPartShape!$A:$A,MATCH(AD373,ShipPartShape!$B:$B,0)),"-")</f>
        <v>-</v>
      </c>
      <c r="AF373" s="4"/>
      <c r="AG373" s="11" t="str">
        <f>IFERROR(INDEX(ShipPartShape!$A:$A,MATCH(AF373,ShipPartShape!$B:$B,0)),"-")</f>
        <v>-</v>
      </c>
      <c r="AH373" s="4"/>
      <c r="AI373" s="11" t="str">
        <f>IFERROR(INDEX(ShipPartShape!$A:$A,MATCH(AH373,ShipPartShape!$B:$B,0)),"-")</f>
        <v>-</v>
      </c>
      <c r="AJ373" s="11" t="s">
        <v>0</v>
      </c>
      <c r="AK373" s="11" t="s">
        <v>0</v>
      </c>
      <c r="AL373" s="11" t="s">
        <v>0</v>
      </c>
      <c r="AM373" s="11" t="s">
        <v>0</v>
      </c>
      <c r="AN373" s="11" t="s">
        <v>0</v>
      </c>
      <c r="AO373" s="11" t="s">
        <v>0</v>
      </c>
      <c r="AP373" s="11" t="s">
        <v>0</v>
      </c>
      <c r="AQ373" s="11" t="s">
        <v>0</v>
      </c>
      <c r="AR373" s="11" t="s">
        <v>0</v>
      </c>
      <c r="AS373" s="11" t="s">
        <v>0</v>
      </c>
      <c r="AT373" s="11" t="s">
        <v>0</v>
      </c>
      <c r="AU373" s="11">
        <v>47600018</v>
      </c>
      <c r="AV373" s="11" t="s">
        <v>0</v>
      </c>
      <c r="AW373" s="11" t="s">
        <v>0</v>
      </c>
      <c r="AX373" s="11" t="s">
        <v>0</v>
      </c>
    </row>
    <row r="374" spans="1:50" ht="15">
      <c r="A374" s="10">
        <f t="shared" si="6"/>
        <v>45000364</v>
      </c>
      <c r="B374" s="22" t="s">
        <v>3965</v>
      </c>
      <c r="C374" s="11" t="s">
        <v>3967</v>
      </c>
      <c r="D374" s="4" t="s">
        <v>3956</v>
      </c>
      <c r="E374" s="11">
        <v>700</v>
      </c>
      <c r="F374" s="11">
        <v>150</v>
      </c>
      <c r="G374" s="11">
        <v>20</v>
      </c>
      <c r="H374" s="11">
        <v>-40</v>
      </c>
      <c r="I374" s="11">
        <f>IFERROR(INDEX(ShipPartShape!$A:$A,MATCH(D374,ShipPartShape!$B:$B,0)),"-")</f>
        <v>46000332</v>
      </c>
      <c r="J374" s="4" t="s">
        <v>1217</v>
      </c>
      <c r="K374" s="11">
        <f>IFERROR(INDEX(ShipPartShape!$A:$A,MATCH(J374,ShipPartShape!$B:$B,0)),"-")</f>
        <v>46700016</v>
      </c>
      <c r="L374" s="4" t="s">
        <v>3969</v>
      </c>
      <c r="M374" s="11">
        <f>IFERROR(INDEX(ShipPartShape!$A:$A,MATCH(L374,ShipPartShape!$B:$B,0)),"-")</f>
        <v>46500068</v>
      </c>
      <c r="N374" s="4"/>
      <c r="O374" s="11" t="str">
        <f>IFERROR(INDEX(ShipPartShape!$A:$A,MATCH(N374,ShipPartShape!$B:$B,0)),"-")</f>
        <v>-</v>
      </c>
      <c r="P374" s="4"/>
      <c r="Q374" s="11" t="str">
        <f>IFERROR(INDEX(ShipPartShape!$A:$A,MATCH(P374,ShipPartShape!$B:$B,0)),"-")</f>
        <v>-</v>
      </c>
      <c r="R374" s="4"/>
      <c r="S374" s="11" t="str">
        <f>IFERROR(INDEX(ShipPartShape!$A:$A,MATCH(R374,ShipPartShape!$B:$B,0)),"-")</f>
        <v>-</v>
      </c>
      <c r="T374" s="4"/>
      <c r="U374" s="11" t="str">
        <f>IFERROR(INDEX(ShipPartShape!$A:$A,MATCH(T374,ShipPartShape!$B:$B,0)),"-")</f>
        <v>-</v>
      </c>
      <c r="V374" s="4"/>
      <c r="W374" s="11" t="str">
        <f>IFERROR(INDEX(ShipPartShape!$A:$A,MATCH(V374,ShipPartShape!$B:$B,0)),"-")</f>
        <v>-</v>
      </c>
      <c r="X374" s="4"/>
      <c r="Y374" s="11" t="str">
        <f>IFERROR(INDEX(ShipPartShape!$A:$A,MATCH(X374,ShipPartShape!$B:$B,0)),"-")</f>
        <v>-</v>
      </c>
      <c r="Z374" s="4"/>
      <c r="AA374" s="11" t="str">
        <f>IFERROR(INDEX(ShipPartShape!$A:$A,MATCH(Z374,ShipPartShape!$B:$B,0)),"-")</f>
        <v>-</v>
      </c>
      <c r="AB374" s="4"/>
      <c r="AC374" s="11" t="str">
        <f>IFERROR(INDEX(ShipPartShape!$A:$A,MATCH(AB374,ShipPartShape!$B:$B,0)),"-")</f>
        <v>-</v>
      </c>
      <c r="AD374" s="4"/>
      <c r="AE374" s="11" t="str">
        <f>IFERROR(INDEX(ShipPartShape!$A:$A,MATCH(AD374,ShipPartShape!$B:$B,0)),"-")</f>
        <v>-</v>
      </c>
      <c r="AF374" s="4"/>
      <c r="AG374" s="11" t="str">
        <f>IFERROR(INDEX(ShipPartShape!$A:$A,MATCH(AF374,ShipPartShape!$B:$B,0)),"-")</f>
        <v>-</v>
      </c>
      <c r="AH374" s="4"/>
      <c r="AI374" s="11" t="str">
        <f>IFERROR(INDEX(ShipPartShape!$A:$A,MATCH(AH374,ShipPartShape!$B:$B,0)),"-")</f>
        <v>-</v>
      </c>
      <c r="AJ374" s="11" t="s">
        <v>0</v>
      </c>
      <c r="AK374" s="11" t="s">
        <v>0</v>
      </c>
      <c r="AL374" s="11" t="s">
        <v>0</v>
      </c>
      <c r="AM374" s="11" t="s">
        <v>0</v>
      </c>
      <c r="AN374" s="11" t="s">
        <v>0</v>
      </c>
      <c r="AO374" s="11" t="s">
        <v>0</v>
      </c>
      <c r="AP374" s="11" t="s">
        <v>0</v>
      </c>
      <c r="AQ374" s="11" t="s">
        <v>0</v>
      </c>
      <c r="AR374" s="11" t="s">
        <v>0</v>
      </c>
      <c r="AS374" s="11" t="s">
        <v>0</v>
      </c>
      <c r="AT374" s="11" t="s">
        <v>0</v>
      </c>
      <c r="AU374" s="11">
        <v>47600018</v>
      </c>
      <c r="AV374" s="11" t="s">
        <v>0</v>
      </c>
      <c r="AW374" s="11" t="s">
        <v>0</v>
      </c>
      <c r="AX374" s="11">
        <v>1.5</v>
      </c>
    </row>
    <row r="375" spans="1:50" ht="15">
      <c r="A375" s="10">
        <f t="shared" si="6"/>
        <v>45000365</v>
      </c>
      <c r="B375" s="22" t="s">
        <v>3975</v>
      </c>
      <c r="C375" s="11" t="s">
        <v>3976</v>
      </c>
      <c r="D375" s="4" t="s">
        <v>3972</v>
      </c>
      <c r="E375" s="11">
        <v>700</v>
      </c>
      <c r="F375" s="11">
        <v>150</v>
      </c>
      <c r="G375" s="11">
        <v>20</v>
      </c>
      <c r="H375" s="11">
        <v>-40</v>
      </c>
      <c r="I375" s="11">
        <f>IFERROR(INDEX(ShipPartShape!$A:$A,MATCH(D375,ShipPartShape!$B:$B,0)),"-")</f>
        <v>46000333</v>
      </c>
      <c r="J375" s="4" t="s">
        <v>1215</v>
      </c>
      <c r="K375" s="11">
        <f>IFERROR(INDEX(ShipPartShape!$A:$A,MATCH(J375,ShipPartShape!$B:$B,0)),"-")</f>
        <v>46700013</v>
      </c>
      <c r="L375" s="4"/>
      <c r="M375" s="11" t="str">
        <f>IFERROR(INDEX(ShipPartShape!$A:$A,MATCH(L375,ShipPartShape!$B:$B,0)),"-")</f>
        <v>-</v>
      </c>
      <c r="N375" s="4"/>
      <c r="O375" s="11" t="str">
        <f>IFERROR(INDEX(ShipPartShape!$A:$A,MATCH(N375,ShipPartShape!$B:$B,0)),"-")</f>
        <v>-</v>
      </c>
      <c r="P375" s="4"/>
      <c r="Q375" s="11" t="str">
        <f>IFERROR(INDEX(ShipPartShape!$A:$A,MATCH(P375,ShipPartShape!$B:$B,0)),"-")</f>
        <v>-</v>
      </c>
      <c r="R375" s="4"/>
      <c r="S375" s="11" t="str">
        <f>IFERROR(INDEX(ShipPartShape!$A:$A,MATCH(R375,ShipPartShape!$B:$B,0)),"-")</f>
        <v>-</v>
      </c>
      <c r="T375" s="4" t="s">
        <v>601</v>
      </c>
      <c r="U375" s="11">
        <f>IFERROR(INDEX(ShipPartShape!$A:$A,MATCH(T375,ShipPartShape!$B:$B,0)),"-")</f>
        <v>46600001</v>
      </c>
      <c r="V375" s="4" t="s">
        <v>602</v>
      </c>
      <c r="W375" s="11">
        <f>IFERROR(INDEX(ShipPartShape!$A:$A,MATCH(V375,ShipPartShape!$B:$B,0)),"-")</f>
        <v>46600002</v>
      </c>
      <c r="X375" s="4" t="s">
        <v>606</v>
      </c>
      <c r="Y375" s="11">
        <f>IFERROR(INDEX(ShipPartShape!$A:$A,MATCH(X375,ShipPartShape!$B:$B,0)),"-")</f>
        <v>46600003</v>
      </c>
      <c r="Z375" s="4" t="s">
        <v>603</v>
      </c>
      <c r="AA375" s="11">
        <f>IFERROR(INDEX(ShipPartShape!$A:$A,MATCH(Z375,ShipPartShape!$B:$B,0)),"-")</f>
        <v>46600007</v>
      </c>
      <c r="AB375" s="4" t="s">
        <v>605</v>
      </c>
      <c r="AC375" s="11">
        <f>IFERROR(INDEX(ShipPartShape!$A:$A,MATCH(AB375,ShipPartShape!$B:$B,0)),"-")</f>
        <v>46600009</v>
      </c>
      <c r="AD375" s="4"/>
      <c r="AE375" s="11" t="str">
        <f>IFERROR(INDEX(ShipPartShape!$A:$A,MATCH(AD375,ShipPartShape!$B:$B,0)),"-")</f>
        <v>-</v>
      </c>
      <c r="AF375" s="4"/>
      <c r="AG375" s="11" t="str">
        <f>IFERROR(INDEX(ShipPartShape!$A:$A,MATCH(AF375,ShipPartShape!$B:$B,0)),"-")</f>
        <v>-</v>
      </c>
      <c r="AH375" s="4"/>
      <c r="AI375" s="11" t="str">
        <f>IFERROR(INDEX(ShipPartShape!$A:$A,MATCH(AH375,ShipPartShape!$B:$B,0)),"-")</f>
        <v>-</v>
      </c>
      <c r="AJ375" s="11" t="s">
        <v>0</v>
      </c>
      <c r="AK375" s="11" t="s">
        <v>0</v>
      </c>
      <c r="AL375" s="11" t="s">
        <v>0</v>
      </c>
      <c r="AM375" s="11" t="s">
        <v>0</v>
      </c>
      <c r="AN375" s="11" t="s">
        <v>0</v>
      </c>
      <c r="AO375" s="11" t="s">
        <v>0</v>
      </c>
      <c r="AP375" s="11" t="s">
        <v>0</v>
      </c>
      <c r="AQ375" s="11" t="s">
        <v>0</v>
      </c>
      <c r="AR375" s="11" t="s">
        <v>0</v>
      </c>
      <c r="AS375" s="11" t="s">
        <v>0</v>
      </c>
      <c r="AT375" s="11" t="s">
        <v>0</v>
      </c>
      <c r="AU375" s="11">
        <v>47600018</v>
      </c>
      <c r="AV375" s="11" t="s">
        <v>0</v>
      </c>
      <c r="AW375" s="11" t="s">
        <v>0</v>
      </c>
      <c r="AX375" s="11">
        <v>1.5</v>
      </c>
    </row>
    <row r="376" spans="1:50" ht="15">
      <c r="A376" s="10">
        <f t="shared" si="6"/>
        <v>45000366</v>
      </c>
      <c r="B376" s="22" t="s">
        <v>3983</v>
      </c>
      <c r="C376" s="11" t="s">
        <v>3986</v>
      </c>
      <c r="D376" s="4" t="s">
        <v>3978</v>
      </c>
      <c r="E376" s="11">
        <v>700</v>
      </c>
      <c r="F376" s="11">
        <v>150</v>
      </c>
      <c r="G376" s="11">
        <v>20</v>
      </c>
      <c r="H376" s="11">
        <v>-40</v>
      </c>
      <c r="I376" s="11">
        <f>IFERROR(INDEX(ShipPartShape!$A:$A,MATCH(D376,ShipPartShape!$B:$B,0)),"-")</f>
        <v>46000334</v>
      </c>
      <c r="J376" s="4" t="s">
        <v>1255</v>
      </c>
      <c r="K376" s="11">
        <f>IFERROR(INDEX(ShipPartShape!$A:$A,MATCH(J376,ShipPartShape!$B:$B,0)),"-")</f>
        <v>46700009</v>
      </c>
      <c r="L376" s="4"/>
      <c r="M376" s="11" t="str">
        <f>IFERROR(INDEX(ShipPartShape!$A:$A,MATCH(L376,ShipPartShape!$B:$B,0)),"-")</f>
        <v>-</v>
      </c>
      <c r="N376" s="4"/>
      <c r="O376" s="11" t="str">
        <f>IFERROR(INDEX(ShipPartShape!$A:$A,MATCH(N376,ShipPartShape!$B:$B,0)),"-")</f>
        <v>-</v>
      </c>
      <c r="P376" s="4"/>
      <c r="Q376" s="11" t="str">
        <f>IFERROR(INDEX(ShipPartShape!$A:$A,MATCH(P376,ShipPartShape!$B:$B,0)),"-")</f>
        <v>-</v>
      </c>
      <c r="R376" s="4"/>
      <c r="S376" s="11" t="str">
        <f>IFERROR(INDEX(ShipPartShape!$A:$A,MATCH(R376,ShipPartShape!$B:$B,0)),"-")</f>
        <v>-</v>
      </c>
      <c r="T376" s="4" t="s">
        <v>606</v>
      </c>
      <c r="U376" s="11">
        <f>IFERROR(INDEX(ShipPartShape!$A:$A,MATCH(T376,ShipPartShape!$B:$B,0)),"-")</f>
        <v>46600003</v>
      </c>
      <c r="V376" s="4" t="s">
        <v>608</v>
      </c>
      <c r="W376" s="11">
        <f>IFERROR(INDEX(ShipPartShape!$A:$A,MATCH(V376,ShipPartShape!$B:$B,0)),"-")</f>
        <v>46600004</v>
      </c>
      <c r="X376" s="4" t="s">
        <v>605</v>
      </c>
      <c r="Y376" s="11">
        <f>IFERROR(INDEX(ShipPartShape!$A:$A,MATCH(X376,ShipPartShape!$B:$B,0)),"-")</f>
        <v>46600009</v>
      </c>
      <c r="Z376" s="4"/>
      <c r="AA376" s="11" t="str">
        <f>IFERROR(INDEX(ShipPartShape!$A:$A,MATCH(Z376,ShipPartShape!$B:$B,0)),"-")</f>
        <v>-</v>
      </c>
      <c r="AB376" s="4"/>
      <c r="AC376" s="11" t="str">
        <f>IFERROR(INDEX(ShipPartShape!$A:$A,MATCH(AB376,ShipPartShape!$B:$B,0)),"-")</f>
        <v>-</v>
      </c>
      <c r="AD376" s="4"/>
      <c r="AE376" s="11" t="str">
        <f>IFERROR(INDEX(ShipPartShape!$A:$A,MATCH(AD376,ShipPartShape!$B:$B,0)),"-")</f>
        <v>-</v>
      </c>
      <c r="AF376" s="4"/>
      <c r="AG376" s="11" t="str">
        <f>IFERROR(INDEX(ShipPartShape!$A:$A,MATCH(AF376,ShipPartShape!$B:$B,0)),"-")</f>
        <v>-</v>
      </c>
      <c r="AH376" s="4"/>
      <c r="AI376" s="11" t="str">
        <f>IFERROR(INDEX(ShipPartShape!$A:$A,MATCH(AH376,ShipPartShape!$B:$B,0)),"-")</f>
        <v>-</v>
      </c>
      <c r="AJ376" s="11" t="s">
        <v>0</v>
      </c>
      <c r="AK376" s="11" t="s">
        <v>0</v>
      </c>
      <c r="AL376" s="11" t="s">
        <v>0</v>
      </c>
      <c r="AM376" s="11" t="s">
        <v>0</v>
      </c>
      <c r="AN376" s="11" t="s">
        <v>0</v>
      </c>
      <c r="AO376" s="11" t="s">
        <v>0</v>
      </c>
      <c r="AP376" s="11" t="s">
        <v>0</v>
      </c>
      <c r="AQ376" s="11" t="s">
        <v>0</v>
      </c>
      <c r="AR376" s="11" t="s">
        <v>0</v>
      </c>
      <c r="AS376" s="11" t="s">
        <v>0</v>
      </c>
      <c r="AT376" s="11" t="s">
        <v>0</v>
      </c>
      <c r="AU376" s="11">
        <v>47600018</v>
      </c>
      <c r="AV376" s="11" t="s">
        <v>0</v>
      </c>
      <c r="AW376" s="11" t="s">
        <v>0</v>
      </c>
      <c r="AX376" s="11" t="s">
        <v>0</v>
      </c>
    </row>
    <row r="377" spans="1:50" ht="15">
      <c r="A377" s="10">
        <f t="shared" si="6"/>
        <v>45000367</v>
      </c>
      <c r="B377" s="22" t="s">
        <v>3984</v>
      </c>
      <c r="C377" s="11" t="s">
        <v>3985</v>
      </c>
      <c r="D377" s="4" t="s">
        <v>3980</v>
      </c>
      <c r="E377" s="11">
        <v>700</v>
      </c>
      <c r="F377" s="11">
        <v>150</v>
      </c>
      <c r="G377" s="11">
        <v>20</v>
      </c>
      <c r="H377" s="11">
        <v>-40</v>
      </c>
      <c r="I377" s="11">
        <f>IFERROR(INDEX(ShipPartShape!$A:$A,MATCH(D377,ShipPartShape!$B:$B,0)),"-")</f>
        <v>46000335</v>
      </c>
      <c r="J377" s="4" t="s">
        <v>1255</v>
      </c>
      <c r="K377" s="11">
        <f>IFERROR(INDEX(ShipPartShape!$A:$A,MATCH(J377,ShipPartShape!$B:$B,0)),"-")</f>
        <v>46700009</v>
      </c>
      <c r="L377" s="4"/>
      <c r="M377" s="11" t="str">
        <f>IFERROR(INDEX(ShipPartShape!$A:$A,MATCH(L377,ShipPartShape!$B:$B,0)),"-")</f>
        <v>-</v>
      </c>
      <c r="N377" s="4"/>
      <c r="O377" s="11" t="str">
        <f>IFERROR(INDEX(ShipPartShape!$A:$A,MATCH(N377,ShipPartShape!$B:$B,0)),"-")</f>
        <v>-</v>
      </c>
      <c r="P377" s="4"/>
      <c r="Q377" s="11" t="str">
        <f>IFERROR(INDEX(ShipPartShape!$A:$A,MATCH(P377,ShipPartShape!$B:$B,0)),"-")</f>
        <v>-</v>
      </c>
      <c r="R377" s="4"/>
      <c r="S377" s="11" t="str">
        <f>IFERROR(INDEX(ShipPartShape!$A:$A,MATCH(R377,ShipPartShape!$B:$B,0)),"-")</f>
        <v>-</v>
      </c>
      <c r="T377" s="4" t="s">
        <v>606</v>
      </c>
      <c r="U377" s="11">
        <f>IFERROR(INDEX(ShipPartShape!$A:$A,MATCH(T377,ShipPartShape!$B:$B,0)),"-")</f>
        <v>46600003</v>
      </c>
      <c r="V377" s="4" t="s">
        <v>608</v>
      </c>
      <c r="W377" s="11">
        <f>IFERROR(INDEX(ShipPartShape!$A:$A,MATCH(V377,ShipPartShape!$B:$B,0)),"-")</f>
        <v>46600004</v>
      </c>
      <c r="X377" s="4" t="s">
        <v>605</v>
      </c>
      <c r="Y377" s="11">
        <f>IFERROR(INDEX(ShipPartShape!$A:$A,MATCH(X377,ShipPartShape!$B:$B,0)),"-")</f>
        <v>46600009</v>
      </c>
      <c r="Z377" s="4"/>
      <c r="AA377" s="11" t="str">
        <f>IFERROR(INDEX(ShipPartShape!$A:$A,MATCH(Z377,ShipPartShape!$B:$B,0)),"-")</f>
        <v>-</v>
      </c>
      <c r="AB377" s="4"/>
      <c r="AC377" s="11" t="str">
        <f>IFERROR(INDEX(ShipPartShape!$A:$A,MATCH(AB377,ShipPartShape!$B:$B,0)),"-")</f>
        <v>-</v>
      </c>
      <c r="AD377" s="4"/>
      <c r="AE377" s="11" t="str">
        <f>IFERROR(INDEX(ShipPartShape!$A:$A,MATCH(AD377,ShipPartShape!$B:$B,0)),"-")</f>
        <v>-</v>
      </c>
      <c r="AF377" s="4"/>
      <c r="AG377" s="11" t="str">
        <f>IFERROR(INDEX(ShipPartShape!$A:$A,MATCH(AF377,ShipPartShape!$B:$B,0)),"-")</f>
        <v>-</v>
      </c>
      <c r="AH377" s="4"/>
      <c r="AI377" s="11" t="str">
        <f>IFERROR(INDEX(ShipPartShape!$A:$A,MATCH(AH377,ShipPartShape!$B:$B,0)),"-")</f>
        <v>-</v>
      </c>
      <c r="AJ377" s="11" t="s">
        <v>0</v>
      </c>
      <c r="AK377" s="11" t="s">
        <v>0</v>
      </c>
      <c r="AL377" s="11" t="s">
        <v>0</v>
      </c>
      <c r="AM377" s="11" t="s">
        <v>0</v>
      </c>
      <c r="AN377" s="11" t="s">
        <v>0</v>
      </c>
      <c r="AO377" s="11" t="s">
        <v>0</v>
      </c>
      <c r="AP377" s="11" t="s">
        <v>0</v>
      </c>
      <c r="AQ377" s="11" t="s">
        <v>0</v>
      </c>
      <c r="AR377" s="11" t="s">
        <v>0</v>
      </c>
      <c r="AS377" s="11" t="s">
        <v>0</v>
      </c>
      <c r="AT377" s="11" t="s">
        <v>0</v>
      </c>
      <c r="AU377" s="11">
        <v>47600018</v>
      </c>
      <c r="AV377" s="11" t="s">
        <v>0</v>
      </c>
      <c r="AW377" s="11" t="s">
        <v>0</v>
      </c>
      <c r="AX377" s="11">
        <v>1.5</v>
      </c>
    </row>
    <row r="378" spans="1:50" ht="15">
      <c r="A378" s="10">
        <f t="shared" si="6"/>
        <v>45000368</v>
      </c>
      <c r="B378" s="22" t="s">
        <v>4000</v>
      </c>
      <c r="C378" s="11" t="s">
        <v>4002</v>
      </c>
      <c r="D378" s="4" t="s">
        <v>3987</v>
      </c>
      <c r="E378" s="11">
        <v>700</v>
      </c>
      <c r="F378" s="11">
        <v>150</v>
      </c>
      <c r="G378" s="11">
        <v>20</v>
      </c>
      <c r="H378" s="11">
        <v>-40</v>
      </c>
      <c r="I378" s="11">
        <f>IFERROR(INDEX(ShipPartShape!$A:$A,MATCH(D378,ShipPartShape!$B:$B,0)),"-")</f>
        <v>46000336</v>
      </c>
      <c r="J378" s="4" t="s">
        <v>1217</v>
      </c>
      <c r="K378" s="11">
        <f>IFERROR(INDEX(ShipPartShape!$A:$A,MATCH(J378,ShipPartShape!$B:$B,0)),"-")</f>
        <v>46700016</v>
      </c>
      <c r="L378" s="4" t="s">
        <v>3995</v>
      </c>
      <c r="M378" s="11">
        <f>IFERROR(INDEX(ShipPartShape!$A:$A,MATCH(L378,ShipPartShape!$B:$B,0)),"-")</f>
        <v>46500069</v>
      </c>
      <c r="N378" s="4"/>
      <c r="O378" s="11" t="str">
        <f>IFERROR(INDEX(ShipPartShape!$A:$A,MATCH(N378,ShipPartShape!$B:$B,0)),"-")</f>
        <v>-</v>
      </c>
      <c r="P378" s="4"/>
      <c r="Q378" s="11" t="str">
        <f>IFERROR(INDEX(ShipPartShape!$A:$A,MATCH(P378,ShipPartShape!$B:$B,0)),"-")</f>
        <v>-</v>
      </c>
      <c r="R378" s="4"/>
      <c r="S378" s="11" t="str">
        <f>IFERROR(INDEX(ShipPartShape!$A:$A,MATCH(R378,ShipPartShape!$B:$B,0)),"-")</f>
        <v>-</v>
      </c>
      <c r="T378" s="4"/>
      <c r="U378" s="11" t="str">
        <f>IFERROR(INDEX(ShipPartShape!$A:$A,MATCH(T378,ShipPartShape!$B:$B,0)),"-")</f>
        <v>-</v>
      </c>
      <c r="V378" s="4"/>
      <c r="W378" s="11" t="str">
        <f>IFERROR(INDEX(ShipPartShape!$A:$A,MATCH(V378,ShipPartShape!$B:$B,0)),"-")</f>
        <v>-</v>
      </c>
      <c r="X378" s="4"/>
      <c r="Y378" s="11" t="str">
        <f>IFERROR(INDEX(ShipPartShape!$A:$A,MATCH(X378,ShipPartShape!$B:$B,0)),"-")</f>
        <v>-</v>
      </c>
      <c r="Z378" s="4"/>
      <c r="AA378" s="11" t="str">
        <f>IFERROR(INDEX(ShipPartShape!$A:$A,MATCH(Z378,ShipPartShape!$B:$B,0)),"-")</f>
        <v>-</v>
      </c>
      <c r="AB378" s="4"/>
      <c r="AC378" s="11" t="str">
        <f>IFERROR(INDEX(ShipPartShape!$A:$A,MATCH(AB378,ShipPartShape!$B:$B,0)),"-")</f>
        <v>-</v>
      </c>
      <c r="AD378" s="4"/>
      <c r="AE378" s="11" t="str">
        <f>IFERROR(INDEX(ShipPartShape!$A:$A,MATCH(AD378,ShipPartShape!$B:$B,0)),"-")</f>
        <v>-</v>
      </c>
      <c r="AF378" s="4"/>
      <c r="AG378" s="11" t="str">
        <f>IFERROR(INDEX(ShipPartShape!$A:$A,MATCH(AF378,ShipPartShape!$B:$B,0)),"-")</f>
        <v>-</v>
      </c>
      <c r="AH378" s="4"/>
      <c r="AI378" s="11" t="str">
        <f>IFERROR(INDEX(ShipPartShape!$A:$A,MATCH(AH378,ShipPartShape!$B:$B,0)),"-")</f>
        <v>-</v>
      </c>
      <c r="AJ378" s="11" t="s">
        <v>0</v>
      </c>
      <c r="AK378" s="11" t="s">
        <v>0</v>
      </c>
      <c r="AL378" s="11" t="s">
        <v>0</v>
      </c>
      <c r="AM378" s="11" t="s">
        <v>0</v>
      </c>
      <c r="AN378" s="11" t="s">
        <v>0</v>
      </c>
      <c r="AO378" s="11" t="s">
        <v>0</v>
      </c>
      <c r="AP378" s="11" t="s">
        <v>0</v>
      </c>
      <c r="AQ378" s="11" t="s">
        <v>0</v>
      </c>
      <c r="AR378" s="11" t="s">
        <v>0</v>
      </c>
      <c r="AS378" s="11" t="s">
        <v>0</v>
      </c>
      <c r="AT378" s="11" t="s">
        <v>0</v>
      </c>
      <c r="AU378" s="11">
        <v>47600018</v>
      </c>
      <c r="AV378" s="11" t="s">
        <v>0</v>
      </c>
      <c r="AW378" s="11" t="s">
        <v>0</v>
      </c>
      <c r="AX378" s="11" t="s">
        <v>0</v>
      </c>
    </row>
    <row r="379" spans="1:50" ht="15">
      <c r="A379" s="10">
        <f t="shared" si="6"/>
        <v>45000369</v>
      </c>
      <c r="B379" s="22" t="s">
        <v>3999</v>
      </c>
      <c r="C379" s="11" t="s">
        <v>4001</v>
      </c>
      <c r="D379" s="4" t="s">
        <v>3989</v>
      </c>
      <c r="E379" s="11">
        <v>700</v>
      </c>
      <c r="F379" s="11">
        <v>150</v>
      </c>
      <c r="G379" s="11">
        <v>20</v>
      </c>
      <c r="H379" s="11">
        <v>-40</v>
      </c>
      <c r="I379" s="11">
        <f>IFERROR(INDEX(ShipPartShape!$A:$A,MATCH(D379,ShipPartShape!$B:$B,0)),"-")</f>
        <v>46000337</v>
      </c>
      <c r="J379" s="4" t="s">
        <v>1217</v>
      </c>
      <c r="K379" s="11">
        <f>IFERROR(INDEX(ShipPartShape!$A:$A,MATCH(J379,ShipPartShape!$B:$B,0)),"-")</f>
        <v>46700016</v>
      </c>
      <c r="L379" s="4" t="s">
        <v>3993</v>
      </c>
      <c r="M379" s="11">
        <f>IFERROR(INDEX(ShipPartShape!$A:$A,MATCH(L379,ShipPartShape!$B:$B,0)),"-")</f>
        <v>46500070</v>
      </c>
      <c r="N379" s="4"/>
      <c r="O379" s="11" t="str">
        <f>IFERROR(INDEX(ShipPartShape!$A:$A,MATCH(N379,ShipPartShape!$B:$B,0)),"-")</f>
        <v>-</v>
      </c>
      <c r="P379" s="4"/>
      <c r="Q379" s="11" t="str">
        <f>IFERROR(INDEX(ShipPartShape!$A:$A,MATCH(P379,ShipPartShape!$B:$B,0)),"-")</f>
        <v>-</v>
      </c>
      <c r="R379" s="4"/>
      <c r="S379" s="11" t="str">
        <f>IFERROR(INDEX(ShipPartShape!$A:$A,MATCH(R379,ShipPartShape!$B:$B,0)),"-")</f>
        <v>-</v>
      </c>
      <c r="T379" s="4"/>
      <c r="U379" s="11" t="str">
        <f>IFERROR(INDEX(ShipPartShape!$A:$A,MATCH(T379,ShipPartShape!$B:$B,0)),"-")</f>
        <v>-</v>
      </c>
      <c r="V379" s="4"/>
      <c r="W379" s="11" t="str">
        <f>IFERROR(INDEX(ShipPartShape!$A:$A,MATCH(V379,ShipPartShape!$B:$B,0)),"-")</f>
        <v>-</v>
      </c>
      <c r="X379" s="4"/>
      <c r="Y379" s="11" t="str">
        <f>IFERROR(INDEX(ShipPartShape!$A:$A,MATCH(X379,ShipPartShape!$B:$B,0)),"-")</f>
        <v>-</v>
      </c>
      <c r="Z379" s="4"/>
      <c r="AA379" s="11" t="str">
        <f>IFERROR(INDEX(ShipPartShape!$A:$A,MATCH(Z379,ShipPartShape!$B:$B,0)),"-")</f>
        <v>-</v>
      </c>
      <c r="AB379" s="4"/>
      <c r="AC379" s="11" t="str">
        <f>IFERROR(INDEX(ShipPartShape!$A:$A,MATCH(AB379,ShipPartShape!$B:$B,0)),"-")</f>
        <v>-</v>
      </c>
      <c r="AD379" s="4"/>
      <c r="AE379" s="11" t="str">
        <f>IFERROR(INDEX(ShipPartShape!$A:$A,MATCH(AD379,ShipPartShape!$B:$B,0)),"-")</f>
        <v>-</v>
      </c>
      <c r="AF379" s="4"/>
      <c r="AG379" s="11" t="str">
        <f>IFERROR(INDEX(ShipPartShape!$A:$A,MATCH(AF379,ShipPartShape!$B:$B,0)),"-")</f>
        <v>-</v>
      </c>
      <c r="AH379" s="4"/>
      <c r="AI379" s="11" t="str">
        <f>IFERROR(INDEX(ShipPartShape!$A:$A,MATCH(AH379,ShipPartShape!$B:$B,0)),"-")</f>
        <v>-</v>
      </c>
      <c r="AJ379" s="11" t="s">
        <v>0</v>
      </c>
      <c r="AK379" s="11" t="s">
        <v>0</v>
      </c>
      <c r="AL379" s="11" t="s">
        <v>0</v>
      </c>
      <c r="AM379" s="11" t="s">
        <v>0</v>
      </c>
      <c r="AN379" s="11" t="s">
        <v>0</v>
      </c>
      <c r="AO379" s="11" t="s">
        <v>0</v>
      </c>
      <c r="AP379" s="11" t="s">
        <v>0</v>
      </c>
      <c r="AQ379" s="11" t="s">
        <v>0</v>
      </c>
      <c r="AR379" s="11" t="s">
        <v>0</v>
      </c>
      <c r="AS379" s="11" t="s">
        <v>0</v>
      </c>
      <c r="AT379" s="11" t="s">
        <v>0</v>
      </c>
      <c r="AU379" s="11">
        <v>47600018</v>
      </c>
      <c r="AV379" s="11" t="s">
        <v>0</v>
      </c>
      <c r="AW379" s="11" t="s">
        <v>0</v>
      </c>
      <c r="AX379" s="11">
        <v>1.5</v>
      </c>
    </row>
    <row r="380" spans="1:50" ht="15">
      <c r="A380" s="10">
        <f t="shared" si="6"/>
        <v>45000370</v>
      </c>
      <c r="B380" s="22" t="s">
        <v>4016</v>
      </c>
      <c r="C380" s="11" t="s">
        <v>4018</v>
      </c>
      <c r="D380" s="4" t="s">
        <v>4008</v>
      </c>
      <c r="E380" s="11">
        <v>700</v>
      </c>
      <c r="F380" s="11">
        <v>150</v>
      </c>
      <c r="G380" s="11">
        <v>20</v>
      </c>
      <c r="H380" s="11">
        <v>-40</v>
      </c>
      <c r="I380" s="11">
        <f>IFERROR(INDEX(ShipPartShape!$A:$A,MATCH(D380,ShipPartShape!$B:$B,0)),"-")</f>
        <v>46000338</v>
      </c>
      <c r="J380" s="4" t="s">
        <v>1217</v>
      </c>
      <c r="K380" s="11">
        <f>IFERROR(INDEX(ShipPartShape!$A:$A,MATCH(J380,ShipPartShape!$B:$B,0)),"-")</f>
        <v>46700016</v>
      </c>
      <c r="L380" s="4" t="s">
        <v>4010</v>
      </c>
      <c r="M380" s="11">
        <f>IFERROR(INDEX(ShipPartShape!$A:$A,MATCH(L380,ShipPartShape!$B:$B,0)),"-")</f>
        <v>46500071</v>
      </c>
      <c r="N380" s="4"/>
      <c r="O380" s="11" t="str">
        <f>IFERROR(INDEX(ShipPartShape!$A:$A,MATCH(N380,ShipPartShape!$B:$B,0)),"-")</f>
        <v>-</v>
      </c>
      <c r="P380" s="4"/>
      <c r="Q380" s="11" t="str">
        <f>IFERROR(INDEX(ShipPartShape!$A:$A,MATCH(P380,ShipPartShape!$B:$B,0)),"-")</f>
        <v>-</v>
      </c>
      <c r="R380" s="4"/>
      <c r="S380" s="11" t="str">
        <f>IFERROR(INDEX(ShipPartShape!$A:$A,MATCH(R380,ShipPartShape!$B:$B,0)),"-")</f>
        <v>-</v>
      </c>
      <c r="T380" s="4"/>
      <c r="U380" s="11" t="str">
        <f>IFERROR(INDEX(ShipPartShape!$A:$A,MATCH(T380,ShipPartShape!$B:$B,0)),"-")</f>
        <v>-</v>
      </c>
      <c r="V380" s="4"/>
      <c r="W380" s="11" t="str">
        <f>IFERROR(INDEX(ShipPartShape!$A:$A,MATCH(V380,ShipPartShape!$B:$B,0)),"-")</f>
        <v>-</v>
      </c>
      <c r="X380" s="4"/>
      <c r="Y380" s="11" t="str">
        <f>IFERROR(INDEX(ShipPartShape!$A:$A,MATCH(X380,ShipPartShape!$B:$B,0)),"-")</f>
        <v>-</v>
      </c>
      <c r="Z380" s="4"/>
      <c r="AA380" s="11" t="str">
        <f>IFERROR(INDEX(ShipPartShape!$A:$A,MATCH(Z380,ShipPartShape!$B:$B,0)),"-")</f>
        <v>-</v>
      </c>
      <c r="AB380" s="4"/>
      <c r="AC380" s="11" t="str">
        <f>IFERROR(INDEX(ShipPartShape!$A:$A,MATCH(AB380,ShipPartShape!$B:$B,0)),"-")</f>
        <v>-</v>
      </c>
      <c r="AD380" s="4"/>
      <c r="AE380" s="11" t="str">
        <f>IFERROR(INDEX(ShipPartShape!$A:$A,MATCH(AD380,ShipPartShape!$B:$B,0)),"-")</f>
        <v>-</v>
      </c>
      <c r="AF380" s="4"/>
      <c r="AG380" s="11" t="str">
        <f>IFERROR(INDEX(ShipPartShape!$A:$A,MATCH(AF380,ShipPartShape!$B:$B,0)),"-")</f>
        <v>-</v>
      </c>
      <c r="AH380" s="4"/>
      <c r="AI380" s="11" t="str">
        <f>IFERROR(INDEX(ShipPartShape!$A:$A,MATCH(AH380,ShipPartShape!$B:$B,0)),"-")</f>
        <v>-</v>
      </c>
      <c r="AJ380" s="11" t="s">
        <v>0</v>
      </c>
      <c r="AK380" s="11" t="s">
        <v>0</v>
      </c>
      <c r="AL380" s="11" t="s">
        <v>0</v>
      </c>
      <c r="AM380" s="11" t="s">
        <v>0</v>
      </c>
      <c r="AN380" s="11" t="s">
        <v>0</v>
      </c>
      <c r="AO380" s="11" t="s">
        <v>0</v>
      </c>
      <c r="AP380" s="11" t="s">
        <v>0</v>
      </c>
      <c r="AQ380" s="11" t="s">
        <v>0</v>
      </c>
      <c r="AR380" s="11" t="s">
        <v>0</v>
      </c>
      <c r="AS380" s="11" t="s">
        <v>0</v>
      </c>
      <c r="AT380" s="11" t="s">
        <v>0</v>
      </c>
      <c r="AU380" s="11">
        <v>47600018</v>
      </c>
      <c r="AV380" s="11" t="s">
        <v>0</v>
      </c>
      <c r="AW380" s="11" t="s">
        <v>0</v>
      </c>
      <c r="AX380" s="11" t="s">
        <v>0</v>
      </c>
    </row>
    <row r="381" spans="1:50" ht="15">
      <c r="A381" s="10">
        <f t="shared" si="6"/>
        <v>45000371</v>
      </c>
      <c r="B381" s="22" t="s">
        <v>4017</v>
      </c>
      <c r="C381" s="11" t="s">
        <v>4019</v>
      </c>
      <c r="D381" s="4" t="s">
        <v>4006</v>
      </c>
      <c r="E381" s="11">
        <v>700</v>
      </c>
      <c r="F381" s="11">
        <v>150</v>
      </c>
      <c r="G381" s="11">
        <v>20</v>
      </c>
      <c r="H381" s="11">
        <v>-40</v>
      </c>
      <c r="I381" s="11">
        <f>IFERROR(INDEX(ShipPartShape!$A:$A,MATCH(D381,ShipPartShape!$B:$B,0)),"-")</f>
        <v>46000339</v>
      </c>
      <c r="J381" s="4" t="s">
        <v>1217</v>
      </c>
      <c r="K381" s="11">
        <f>IFERROR(INDEX(ShipPartShape!$A:$A,MATCH(J381,ShipPartShape!$B:$B,0)),"-")</f>
        <v>46700016</v>
      </c>
      <c r="L381" s="4" t="s">
        <v>4012</v>
      </c>
      <c r="M381" s="11">
        <f>IFERROR(INDEX(ShipPartShape!$A:$A,MATCH(L381,ShipPartShape!$B:$B,0)),"-")</f>
        <v>46500072</v>
      </c>
      <c r="N381" s="4"/>
      <c r="O381" s="11" t="str">
        <f>IFERROR(INDEX(ShipPartShape!$A:$A,MATCH(N381,ShipPartShape!$B:$B,0)),"-")</f>
        <v>-</v>
      </c>
      <c r="P381" s="4"/>
      <c r="Q381" s="11" t="str">
        <f>IFERROR(INDEX(ShipPartShape!$A:$A,MATCH(P381,ShipPartShape!$B:$B,0)),"-")</f>
        <v>-</v>
      </c>
      <c r="R381" s="4"/>
      <c r="S381" s="11" t="str">
        <f>IFERROR(INDEX(ShipPartShape!$A:$A,MATCH(R381,ShipPartShape!$B:$B,0)),"-")</f>
        <v>-</v>
      </c>
      <c r="T381" s="4"/>
      <c r="U381" s="11" t="str">
        <f>IFERROR(INDEX(ShipPartShape!$A:$A,MATCH(T381,ShipPartShape!$B:$B,0)),"-")</f>
        <v>-</v>
      </c>
      <c r="V381" s="4"/>
      <c r="W381" s="11" t="str">
        <f>IFERROR(INDEX(ShipPartShape!$A:$A,MATCH(V381,ShipPartShape!$B:$B,0)),"-")</f>
        <v>-</v>
      </c>
      <c r="X381" s="4"/>
      <c r="Y381" s="11" t="str">
        <f>IFERROR(INDEX(ShipPartShape!$A:$A,MATCH(X381,ShipPartShape!$B:$B,0)),"-")</f>
        <v>-</v>
      </c>
      <c r="Z381" s="4"/>
      <c r="AA381" s="11" t="str">
        <f>IFERROR(INDEX(ShipPartShape!$A:$A,MATCH(Z381,ShipPartShape!$B:$B,0)),"-")</f>
        <v>-</v>
      </c>
      <c r="AB381" s="4"/>
      <c r="AC381" s="11" t="str">
        <f>IFERROR(INDEX(ShipPartShape!$A:$A,MATCH(AB381,ShipPartShape!$B:$B,0)),"-")</f>
        <v>-</v>
      </c>
      <c r="AD381" s="4"/>
      <c r="AE381" s="11" t="str">
        <f>IFERROR(INDEX(ShipPartShape!$A:$A,MATCH(AD381,ShipPartShape!$B:$B,0)),"-")</f>
        <v>-</v>
      </c>
      <c r="AF381" s="4"/>
      <c r="AG381" s="11" t="str">
        <f>IFERROR(INDEX(ShipPartShape!$A:$A,MATCH(AF381,ShipPartShape!$B:$B,0)),"-")</f>
        <v>-</v>
      </c>
      <c r="AH381" s="4"/>
      <c r="AI381" s="11" t="str">
        <f>IFERROR(INDEX(ShipPartShape!$A:$A,MATCH(AH381,ShipPartShape!$B:$B,0)),"-")</f>
        <v>-</v>
      </c>
      <c r="AJ381" s="11" t="s">
        <v>0</v>
      </c>
      <c r="AK381" s="11" t="s">
        <v>0</v>
      </c>
      <c r="AL381" s="11" t="s">
        <v>0</v>
      </c>
      <c r="AM381" s="11" t="s">
        <v>0</v>
      </c>
      <c r="AN381" s="11" t="s">
        <v>0</v>
      </c>
      <c r="AO381" s="11" t="s">
        <v>0</v>
      </c>
      <c r="AP381" s="11" t="s">
        <v>0</v>
      </c>
      <c r="AQ381" s="11" t="s">
        <v>0</v>
      </c>
      <c r="AR381" s="11" t="s">
        <v>0</v>
      </c>
      <c r="AS381" s="11" t="s">
        <v>0</v>
      </c>
      <c r="AT381" s="11" t="s">
        <v>0</v>
      </c>
      <c r="AU381" s="11">
        <v>47600018</v>
      </c>
      <c r="AV381" s="11" t="s">
        <v>0</v>
      </c>
      <c r="AW381" s="11" t="s">
        <v>0</v>
      </c>
      <c r="AX381" s="11" t="s">
        <v>0</v>
      </c>
    </row>
    <row r="382" spans="1:50" ht="15">
      <c r="A382" s="12"/>
      <c r="B382" s="13"/>
      <c r="C382" s="13"/>
      <c r="D382" s="13"/>
      <c r="E382" s="13"/>
      <c r="F382" s="13"/>
      <c r="G382" s="13"/>
      <c r="H382" s="13"/>
      <c r="I382" s="13"/>
      <c r="J382" s="13"/>
      <c r="K382" s="13"/>
      <c r="L382" s="13"/>
      <c r="M382" s="13"/>
      <c r="N382" s="13"/>
      <c r="O382" s="13"/>
      <c r="P382" s="13"/>
      <c r="Q382" s="13"/>
      <c r="R382" s="13"/>
      <c r="S382" s="13"/>
      <c r="T382" s="13"/>
      <c r="U382" s="13"/>
      <c r="V382" s="13"/>
      <c r="W382" s="13"/>
      <c r="X382" s="13"/>
      <c r="Y382" s="13"/>
      <c r="Z382" s="13"/>
      <c r="AA382" s="13"/>
      <c r="AB382" s="13"/>
      <c r="AC382" s="13"/>
      <c r="AD382" s="13"/>
      <c r="AE382" s="13"/>
      <c r="AF382" s="13"/>
      <c r="AG382" s="13"/>
      <c r="AH382" s="13"/>
      <c r="AI382" s="13"/>
      <c r="AJ382" s="13"/>
      <c r="AK382" s="13"/>
      <c r="AL382" s="13"/>
      <c r="AM382" s="12"/>
      <c r="AN382" s="13"/>
      <c r="AO382" s="13"/>
      <c r="AP382" s="13"/>
      <c r="AQ382" s="12"/>
      <c r="AR382" s="13"/>
      <c r="AS382" s="13"/>
      <c r="AT382" s="13"/>
      <c r="AU382" s="13"/>
      <c r="AV382" s="13"/>
      <c r="AW382" s="13"/>
      <c r="AX382" s="13"/>
    </row>
    <row r="383" spans="1:50" ht="40.5">
      <c r="B383" s="18" t="s">
        <v>52</v>
      </c>
      <c r="E383" s="51"/>
      <c r="F383" s="51"/>
      <c r="G383" s="51"/>
      <c r="H383" s="51"/>
      <c r="I383" s="231" t="s">
        <v>49</v>
      </c>
      <c r="J383" s="232"/>
      <c r="K383" s="232"/>
      <c r="L383" s="232"/>
      <c r="M383" s="232"/>
      <c r="N383" s="232"/>
      <c r="O383" s="232"/>
      <c r="P383" s="232"/>
      <c r="Q383" s="232"/>
      <c r="R383" s="232"/>
      <c r="S383" s="233"/>
      <c r="T383" s="52"/>
      <c r="U383" s="52"/>
      <c r="V383" s="52"/>
      <c r="W383" s="52"/>
      <c r="X383" s="52"/>
      <c r="Y383" s="52"/>
      <c r="Z383" s="52"/>
      <c r="AA383" s="52"/>
      <c r="AB383" s="52"/>
      <c r="AC383" s="52"/>
      <c r="AD383" s="52"/>
      <c r="AE383" s="52"/>
      <c r="AF383" s="52"/>
      <c r="AG383" s="52"/>
      <c r="AH383" s="52"/>
      <c r="AI383" s="52"/>
      <c r="AJ383" s="52"/>
      <c r="AK383" s="52"/>
      <c r="AL383" s="52"/>
      <c r="AX383" s="228" t="s">
        <v>3574</v>
      </c>
    </row>
    <row r="384" spans="1:50" ht="27">
      <c r="B384" s="47" t="s">
        <v>321</v>
      </c>
    </row>
  </sheetData>
  <autoFilter ref="A9:AW289" xr:uid="{00000000-0009-0000-0000-000000000000}"/>
  <mergeCells count="1">
    <mergeCell ref="I383:S383"/>
  </mergeCells>
  <phoneticPr fontId="5" type="noConversion"/>
  <pageMargins left="0.7" right="0.7" top="0.75" bottom="0.75" header="0.3" footer="0.3"/>
  <pageSetup paperSize="9" orientation="portrait" verticalDpi="0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000-000000000000}">
          <x14:formula1>
            <xm:f>OFFSET(ShipPartShape!$B:$B,7,0,COUNTA(ShipPartShape!$B:$B)-5,1)</xm:f>
          </x14:formula1>
          <xm:sqref>R10:R76 AD356:AD369 AH367:AH369 AB343:AB353 L328:L349 AH343 AD343 R333:R335 AD327:AD332 AD322 AH322 AB322 AB301:AB305 AH301 AD301:AD309 L290:L301 AD297:AD298 AD311:AD313 AB297:AB298 AH311:AH312 T251:T323 AH297:AH298 L146:L282 AD281:AD290 AH274:AH279 AD251:AD267 T128:T247 X240:X246 X10:X124 L10:L124 R102:R123 L128:L130 L133:L136 AB176 D128:D209 AB129:AB140 AD131:AD140 V128:V130 N10:N124 AF10:AF124 AB10:AB124 D10:D124 J10:J124 AH10:AH124 AD10:AD128 X130:X138 T10:T124 V10:V124 AB142 Z10:Z124 AB187:AB235 AF131:AF236 AD274:AD279 X140:X236 AB237:AB239 AH187:AH235 AD187:AD235 V133:V236 AB251:AB267 AH251:AH267 AB247 AB274:AB279 AH281:AH282 AB281:AB290 AH308:AH309 AH303:AH305 L303:L326 AB308:AB309 Z129:Z312 AB327:AB332 X248:X312 AF240:AF312 R128:R328 AB311:AB312 AH328:AH332 AB335:AB336 AD335:AD336 AH335:AH336 X314:X343 V240:V343 AD349:AD353 AF314:AF343 AH353 AH349 L353 AH356:AH365 R337:R358 V349:V365 X349 R365:R367 AB356:AB369 AB375:AB379 D211:D381 AF349:AF381 AH375:AH379 N128:N381 X351:X381 AD375:AD379 Z314:Z381 P10:P381 T327:T381 V367:V381 AD381 L355:L381 R370:R381 AB381 AH381 J128:J381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AG859"/>
  <sheetViews>
    <sheetView tabSelected="1" zoomScale="85" zoomScaleNormal="85" workbookViewId="0">
      <pane xSplit="2" ySplit="2" topLeftCell="L321" activePane="bottomRight" state="frozen"/>
      <selection pane="topRight" activeCell="C1" sqref="C1"/>
      <selection pane="bottomLeft" activeCell="A3" sqref="A3"/>
      <selection pane="bottomRight" activeCell="R347" sqref="R347"/>
    </sheetView>
  </sheetViews>
  <sheetFormatPr defaultColWidth="9.140625" defaultRowHeight="13.5"/>
  <cols>
    <col min="1" max="1" width="16.7109375" style="1" customWidth="1"/>
    <col min="2" max="2" width="35" style="1" bestFit="1" customWidth="1"/>
    <col min="3" max="3" width="9.28515625" style="1" bestFit="1" customWidth="1"/>
    <col min="4" max="4" width="12.5703125" style="1" customWidth="1"/>
    <col min="5" max="5" width="44.140625" style="1" customWidth="1"/>
    <col min="6" max="6" width="20.28515625" style="1" bestFit="1" customWidth="1"/>
    <col min="7" max="7" width="13.28515625" style="1" customWidth="1"/>
    <col min="8" max="8" width="38.28515625" style="1" bestFit="1" customWidth="1"/>
    <col min="9" max="10" width="16.5703125" style="1" customWidth="1"/>
    <col min="11" max="11" width="22.28515625" style="1" bestFit="1" customWidth="1"/>
    <col min="12" max="12" width="16.5703125" style="1" customWidth="1"/>
    <col min="13" max="13" width="13" style="1" bestFit="1" customWidth="1"/>
    <col min="14" max="15" width="18.85546875" style="1" customWidth="1"/>
    <col min="16" max="16" width="28.5703125" style="1" bestFit="1" customWidth="1"/>
    <col min="17" max="17" width="18.85546875" style="1" customWidth="1"/>
    <col min="18" max="18" width="27.7109375" style="1" bestFit="1" customWidth="1"/>
    <col min="19" max="19" width="18.85546875" style="1" customWidth="1"/>
    <col min="20" max="20" width="19.5703125" style="1" bestFit="1" customWidth="1"/>
    <col min="21" max="21" width="33.42578125" style="1" bestFit="1" customWidth="1"/>
    <col min="22" max="22" width="19.5703125" style="1" bestFit="1" customWidth="1"/>
    <col min="23" max="23" width="37" style="1" bestFit="1" customWidth="1"/>
    <col min="24" max="24" width="19.5703125" style="1" bestFit="1" customWidth="1"/>
    <col min="25" max="25" width="30.42578125" style="1" customWidth="1"/>
    <col min="26" max="26" width="19.5703125" style="1" bestFit="1" customWidth="1"/>
    <col min="27" max="27" width="19.7109375" style="1" bestFit="1" customWidth="1"/>
    <col min="28" max="28" width="20" style="1" customWidth="1"/>
    <col min="29" max="29" width="31.42578125" style="1" customWidth="1"/>
    <col min="30" max="30" width="11" style="1" bestFit="1" customWidth="1"/>
    <col min="31" max="31" width="9.140625" style="1"/>
    <col min="32" max="32" width="24.7109375" style="2" customWidth="1"/>
    <col min="33" max="33" width="22.5703125" style="2" customWidth="1"/>
    <col min="34" max="16384" width="9.140625" style="1"/>
  </cols>
  <sheetData>
    <row r="1" spans="1:29" ht="15">
      <c r="A1" s="6" t="s">
        <v>5</v>
      </c>
      <c r="B1" s="3"/>
      <c r="C1" s="3"/>
      <c r="D1" s="7" t="s">
        <v>22</v>
      </c>
      <c r="E1" s="7" t="s">
        <v>21</v>
      </c>
      <c r="F1" s="3"/>
      <c r="G1" s="7" t="s">
        <v>14</v>
      </c>
      <c r="H1" s="7" t="s">
        <v>12</v>
      </c>
      <c r="I1" s="7" t="s">
        <v>205</v>
      </c>
      <c r="J1" s="7" t="s">
        <v>212</v>
      </c>
      <c r="K1" s="7" t="s">
        <v>207</v>
      </c>
      <c r="L1" s="7" t="s">
        <v>208</v>
      </c>
      <c r="M1" s="3"/>
      <c r="N1" s="7" t="s">
        <v>39</v>
      </c>
      <c r="O1" s="7" t="s">
        <v>2689</v>
      </c>
      <c r="P1" s="3"/>
      <c r="Q1" s="7" t="s">
        <v>521</v>
      </c>
      <c r="R1" s="3"/>
      <c r="S1" s="7" t="s">
        <v>522</v>
      </c>
      <c r="T1" s="7" t="s">
        <v>27</v>
      </c>
      <c r="U1" s="7" t="s">
        <v>28</v>
      </c>
      <c r="V1" s="7" t="s">
        <v>30</v>
      </c>
      <c r="W1" s="7" t="s">
        <v>31</v>
      </c>
      <c r="X1" s="7" t="s">
        <v>32</v>
      </c>
      <c r="Y1" s="7" t="s">
        <v>33</v>
      </c>
      <c r="Z1" s="7" t="s">
        <v>34</v>
      </c>
      <c r="AA1" s="7" t="s">
        <v>35</v>
      </c>
      <c r="AB1" s="5"/>
      <c r="AC1" s="5"/>
    </row>
    <row r="2" spans="1:29" ht="27">
      <c r="A2" s="6" t="s">
        <v>67</v>
      </c>
      <c r="B2" s="3"/>
      <c r="C2" s="3"/>
      <c r="D2" s="7" t="s">
        <v>7</v>
      </c>
      <c r="E2" s="7" t="s">
        <v>6</v>
      </c>
      <c r="F2" s="3"/>
      <c r="G2" s="7" t="s">
        <v>25</v>
      </c>
      <c r="H2" s="7" t="s">
        <v>6</v>
      </c>
      <c r="I2" s="7" t="s">
        <v>7</v>
      </c>
      <c r="J2" s="7" t="s">
        <v>7</v>
      </c>
      <c r="K2" s="7" t="s">
        <v>210</v>
      </c>
      <c r="L2" s="7" t="s">
        <v>209</v>
      </c>
      <c r="M2" s="3"/>
      <c r="N2" s="7" t="s">
        <v>40</v>
      </c>
      <c r="O2" s="7" t="s">
        <v>40</v>
      </c>
      <c r="P2" s="3"/>
      <c r="Q2" s="7" t="s">
        <v>523</v>
      </c>
      <c r="R2" s="3"/>
      <c r="S2" s="7" t="s">
        <v>524</v>
      </c>
      <c r="T2" s="7" t="s">
        <v>26</v>
      </c>
      <c r="U2" s="7" t="s">
        <v>29</v>
      </c>
      <c r="V2" s="7" t="s">
        <v>26</v>
      </c>
      <c r="W2" s="7" t="s">
        <v>29</v>
      </c>
      <c r="X2" s="7" t="s">
        <v>26</v>
      </c>
      <c r="Y2" s="7" t="s">
        <v>29</v>
      </c>
      <c r="Z2" s="7" t="s">
        <v>26</v>
      </c>
      <c r="AA2" s="7" t="s">
        <v>29</v>
      </c>
      <c r="AB2" s="5"/>
      <c r="AC2" s="5"/>
    </row>
    <row r="3" spans="1:29" ht="15">
      <c r="A3" s="8" t="s">
        <v>1</v>
      </c>
      <c r="B3" s="3" t="s">
        <v>53</v>
      </c>
      <c r="C3" s="3" t="s">
        <v>53</v>
      </c>
      <c r="D3" s="9">
        <v>1</v>
      </c>
      <c r="E3" s="9">
        <v>1</v>
      </c>
      <c r="F3" s="3" t="s">
        <v>53</v>
      </c>
      <c r="G3" s="9">
        <v>1</v>
      </c>
      <c r="H3" s="9" t="s">
        <v>13</v>
      </c>
      <c r="I3" s="9" t="s">
        <v>0</v>
      </c>
      <c r="J3" s="9" t="s">
        <v>24</v>
      </c>
      <c r="K3" s="9" t="s">
        <v>0</v>
      </c>
      <c r="L3" s="9" t="s">
        <v>0</v>
      </c>
      <c r="M3" s="3" t="s">
        <v>53</v>
      </c>
      <c r="N3" s="9" t="s">
        <v>24</v>
      </c>
      <c r="O3" s="9" t="s">
        <v>24</v>
      </c>
      <c r="P3" s="3"/>
      <c r="Q3" s="9" t="s">
        <v>0</v>
      </c>
      <c r="R3" s="3"/>
      <c r="S3" s="9" t="s">
        <v>0</v>
      </c>
      <c r="T3" s="9" t="s">
        <v>24</v>
      </c>
      <c r="U3" s="9" t="s">
        <v>24</v>
      </c>
      <c r="V3" s="9" t="s">
        <v>24</v>
      </c>
      <c r="W3" s="9" t="s">
        <v>24</v>
      </c>
      <c r="X3" s="9" t="s">
        <v>24</v>
      </c>
      <c r="Y3" s="9" t="s">
        <v>24</v>
      </c>
      <c r="Z3" s="9" t="s">
        <v>24</v>
      </c>
      <c r="AA3" s="9" t="s">
        <v>24</v>
      </c>
      <c r="AB3" s="5"/>
      <c r="AC3" s="5"/>
    </row>
    <row r="4" spans="1:29" ht="15">
      <c r="A4" s="8" t="s">
        <v>560</v>
      </c>
      <c r="B4" s="3" t="s">
        <v>0</v>
      </c>
      <c r="C4" s="3" t="s">
        <v>0</v>
      </c>
      <c r="D4" s="9" t="s">
        <v>0</v>
      </c>
      <c r="E4" s="9" t="s">
        <v>0</v>
      </c>
      <c r="F4" s="3" t="s">
        <v>0</v>
      </c>
      <c r="G4" s="9" t="s">
        <v>0</v>
      </c>
      <c r="H4" s="9" t="s">
        <v>0</v>
      </c>
      <c r="I4" s="9" t="s">
        <v>0</v>
      </c>
      <c r="J4" s="9" t="s">
        <v>0</v>
      </c>
      <c r="K4" s="9" t="s">
        <v>0</v>
      </c>
      <c r="L4" s="9" t="s">
        <v>0</v>
      </c>
      <c r="M4" s="3" t="s">
        <v>0</v>
      </c>
      <c r="N4" s="9" t="s">
        <v>0</v>
      </c>
      <c r="O4" s="9" t="s">
        <v>0</v>
      </c>
      <c r="P4" s="3"/>
      <c r="Q4" s="9" t="s">
        <v>0</v>
      </c>
      <c r="R4" s="3"/>
      <c r="S4" s="9" t="s">
        <v>0</v>
      </c>
      <c r="T4" s="9">
        <v>1</v>
      </c>
      <c r="U4" s="9">
        <v>1</v>
      </c>
      <c r="V4" s="9">
        <v>1</v>
      </c>
      <c r="W4" s="9">
        <v>1</v>
      </c>
      <c r="X4" s="9">
        <v>1</v>
      </c>
      <c r="Y4" s="9">
        <v>1</v>
      </c>
      <c r="Z4" s="9">
        <v>1</v>
      </c>
      <c r="AA4" s="9">
        <v>1</v>
      </c>
      <c r="AB4" s="5"/>
      <c r="AC4" s="5"/>
    </row>
    <row r="5" spans="1:29" ht="15">
      <c r="A5" s="8" t="s">
        <v>2</v>
      </c>
      <c r="B5" s="3" t="s">
        <v>54</v>
      </c>
      <c r="C5" s="3" t="s">
        <v>54</v>
      </c>
      <c r="D5" s="9" t="s">
        <v>0</v>
      </c>
      <c r="E5" s="9" t="s">
        <v>0</v>
      </c>
      <c r="F5" s="3" t="s">
        <v>54</v>
      </c>
      <c r="G5" s="9" t="s">
        <v>0</v>
      </c>
      <c r="H5" s="9" t="s">
        <v>0</v>
      </c>
      <c r="I5" s="9" t="s">
        <v>0</v>
      </c>
      <c r="J5" s="9" t="s">
        <v>0</v>
      </c>
      <c r="K5" s="9" t="s">
        <v>0</v>
      </c>
      <c r="L5" s="9" t="s">
        <v>0</v>
      </c>
      <c r="M5" s="3" t="s">
        <v>54</v>
      </c>
      <c r="N5" s="9" t="s">
        <v>24</v>
      </c>
      <c r="O5" s="9" t="s">
        <v>24</v>
      </c>
      <c r="P5" s="3"/>
      <c r="Q5" s="9" t="s">
        <v>0</v>
      </c>
      <c r="R5" s="3"/>
      <c r="S5" s="9" t="s">
        <v>0</v>
      </c>
      <c r="T5" s="9" t="s">
        <v>24</v>
      </c>
      <c r="U5" s="9" t="s">
        <v>24</v>
      </c>
      <c r="V5" s="9" t="s">
        <v>24</v>
      </c>
      <c r="W5" s="9" t="s">
        <v>24</v>
      </c>
      <c r="X5" s="9" t="s">
        <v>24</v>
      </c>
      <c r="Y5" s="9" t="s">
        <v>24</v>
      </c>
      <c r="Z5" s="9" t="s">
        <v>24</v>
      </c>
      <c r="AA5" s="9" t="s">
        <v>24</v>
      </c>
      <c r="AB5" s="5"/>
      <c r="AC5" s="5"/>
    </row>
    <row r="6" spans="1:29" ht="15">
      <c r="A6" s="8" t="s">
        <v>3</v>
      </c>
      <c r="B6" s="3" t="s">
        <v>55</v>
      </c>
      <c r="C6" s="3" t="s">
        <v>55</v>
      </c>
      <c r="D6" s="9" t="s">
        <v>0</v>
      </c>
      <c r="E6" s="9" t="s">
        <v>0</v>
      </c>
      <c r="F6" s="3" t="s">
        <v>55</v>
      </c>
      <c r="G6" s="9" t="s">
        <v>0</v>
      </c>
      <c r="H6" s="9" t="s">
        <v>0</v>
      </c>
      <c r="I6" s="9" t="s">
        <v>0</v>
      </c>
      <c r="J6" s="9" t="s">
        <v>0</v>
      </c>
      <c r="K6" s="9" t="s">
        <v>0</v>
      </c>
      <c r="L6" s="9" t="s">
        <v>0</v>
      </c>
      <c r="M6" s="3" t="s">
        <v>55</v>
      </c>
      <c r="N6" s="9" t="s">
        <v>24</v>
      </c>
      <c r="O6" s="9" t="s">
        <v>24</v>
      </c>
      <c r="P6" s="3"/>
      <c r="Q6" s="9" t="s">
        <v>0</v>
      </c>
      <c r="R6" s="3"/>
      <c r="S6" s="9" t="s">
        <v>0</v>
      </c>
      <c r="T6" s="9" t="s">
        <v>24</v>
      </c>
      <c r="U6" s="9" t="s">
        <v>24</v>
      </c>
      <c r="V6" s="9" t="s">
        <v>24</v>
      </c>
      <c r="W6" s="9" t="s">
        <v>24</v>
      </c>
      <c r="X6" s="9" t="s">
        <v>24</v>
      </c>
      <c r="Y6" s="9" t="s">
        <v>24</v>
      </c>
      <c r="Z6" s="9" t="s">
        <v>24</v>
      </c>
      <c r="AA6" s="9" t="s">
        <v>24</v>
      </c>
      <c r="AB6" s="5"/>
      <c r="AC6" s="5"/>
    </row>
    <row r="7" spans="1:29" ht="15">
      <c r="A7" s="8" t="s">
        <v>4</v>
      </c>
      <c r="B7" s="3" t="s">
        <v>56</v>
      </c>
      <c r="C7" s="3" t="s">
        <v>56</v>
      </c>
      <c r="D7" s="9" t="s">
        <v>0</v>
      </c>
      <c r="E7" s="9" t="s">
        <v>0</v>
      </c>
      <c r="F7" s="3" t="s">
        <v>56</v>
      </c>
      <c r="G7" s="9" t="s">
        <v>0</v>
      </c>
      <c r="H7" s="9" t="s">
        <v>0</v>
      </c>
      <c r="I7" s="9" t="s">
        <v>0</v>
      </c>
      <c r="J7" s="9" t="s">
        <v>0</v>
      </c>
      <c r="K7" s="9" t="s">
        <v>0</v>
      </c>
      <c r="L7" s="9" t="s">
        <v>0</v>
      </c>
      <c r="M7" s="3" t="s">
        <v>56</v>
      </c>
      <c r="N7" s="9" t="s">
        <v>24</v>
      </c>
      <c r="O7" s="9" t="s">
        <v>24</v>
      </c>
      <c r="P7" s="3"/>
      <c r="Q7" s="9" t="s">
        <v>0</v>
      </c>
      <c r="R7" s="3"/>
      <c r="S7" s="9" t="s">
        <v>0</v>
      </c>
      <c r="T7" s="9" t="s">
        <v>24</v>
      </c>
      <c r="U7" s="9" t="s">
        <v>24</v>
      </c>
      <c r="V7" s="9" t="s">
        <v>24</v>
      </c>
      <c r="W7" s="9" t="s">
        <v>24</v>
      </c>
      <c r="X7" s="9" t="s">
        <v>24</v>
      </c>
      <c r="Y7" s="9" t="s">
        <v>24</v>
      </c>
      <c r="Z7" s="9" t="s">
        <v>24</v>
      </c>
      <c r="AA7" s="9" t="s">
        <v>24</v>
      </c>
      <c r="AB7" s="5"/>
      <c r="AC7" s="5"/>
    </row>
    <row r="8" spans="1:29" ht="15">
      <c r="A8" s="8" t="s">
        <v>10</v>
      </c>
      <c r="B8" s="3" t="s">
        <v>56</v>
      </c>
      <c r="C8" s="3" t="s">
        <v>56</v>
      </c>
      <c r="D8" s="9" t="s">
        <v>0</v>
      </c>
      <c r="E8" s="9" t="s">
        <v>0</v>
      </c>
      <c r="F8" s="3" t="s">
        <v>56</v>
      </c>
      <c r="G8" s="9" t="s">
        <v>0</v>
      </c>
      <c r="H8" s="9" t="s">
        <v>0</v>
      </c>
      <c r="I8" s="9" t="s">
        <v>0</v>
      </c>
      <c r="J8" s="9" t="s">
        <v>0</v>
      </c>
      <c r="K8" s="9" t="s">
        <v>0</v>
      </c>
      <c r="L8" s="9" t="s">
        <v>0</v>
      </c>
      <c r="M8" s="3" t="s">
        <v>56</v>
      </c>
      <c r="N8" s="9" t="s">
        <v>24</v>
      </c>
      <c r="O8" s="9" t="s">
        <v>24</v>
      </c>
      <c r="P8" s="3"/>
      <c r="Q8" s="9" t="s">
        <v>525</v>
      </c>
      <c r="R8" s="3"/>
      <c r="S8" s="9" t="s">
        <v>526</v>
      </c>
      <c r="T8" s="9" t="s">
        <v>24</v>
      </c>
      <c r="U8" s="9" t="s">
        <v>24</v>
      </c>
      <c r="V8" s="9" t="s">
        <v>24</v>
      </c>
      <c r="W8" s="9" t="s">
        <v>24</v>
      </c>
      <c r="X8" s="9" t="s">
        <v>24</v>
      </c>
      <c r="Y8" s="9" t="s">
        <v>24</v>
      </c>
      <c r="Z8" s="9" t="s">
        <v>24</v>
      </c>
      <c r="AA8" s="9" t="s">
        <v>24</v>
      </c>
      <c r="AB8" s="5"/>
      <c r="AC8" s="5"/>
    </row>
    <row r="9" spans="1:29" ht="15">
      <c r="A9" s="8" t="s">
        <v>556</v>
      </c>
      <c r="B9" s="3" t="s">
        <v>553</v>
      </c>
      <c r="C9" s="3" t="s">
        <v>554</v>
      </c>
      <c r="D9" s="9" t="s">
        <v>0</v>
      </c>
      <c r="E9" s="9">
        <v>1</v>
      </c>
      <c r="F9" s="3" t="s">
        <v>554</v>
      </c>
      <c r="G9" s="9" t="s">
        <v>0</v>
      </c>
      <c r="H9" s="9" t="s">
        <v>0</v>
      </c>
      <c r="I9" s="9" t="s">
        <v>0</v>
      </c>
      <c r="J9" s="9" t="s">
        <v>553</v>
      </c>
      <c r="K9" s="9" t="s">
        <v>555</v>
      </c>
      <c r="L9" s="9" t="s">
        <v>555</v>
      </c>
      <c r="M9" s="3" t="s">
        <v>553</v>
      </c>
      <c r="N9" s="9" t="s">
        <v>553</v>
      </c>
      <c r="O9" s="9" t="s">
        <v>90</v>
      </c>
      <c r="P9" s="3"/>
      <c r="Q9" s="9" t="s">
        <v>553</v>
      </c>
      <c r="R9" s="3"/>
      <c r="S9" s="9" t="s">
        <v>553</v>
      </c>
      <c r="T9" s="9" t="s">
        <v>553</v>
      </c>
      <c r="U9" s="9">
        <v>1</v>
      </c>
      <c r="V9" s="9" t="s">
        <v>553</v>
      </c>
      <c r="W9" s="9">
        <v>1</v>
      </c>
      <c r="X9" s="9" t="s">
        <v>553</v>
      </c>
      <c r="Y9" s="9">
        <v>1</v>
      </c>
      <c r="Z9" s="9" t="s">
        <v>553</v>
      </c>
      <c r="AA9" s="9">
        <v>1</v>
      </c>
      <c r="AB9" s="5"/>
      <c r="AC9" s="5"/>
    </row>
    <row r="10" spans="1:29" ht="15">
      <c r="A10" s="10">
        <v>46000001</v>
      </c>
      <c r="B10" s="4" t="s">
        <v>68</v>
      </c>
      <c r="C10" s="4" t="s">
        <v>62</v>
      </c>
      <c r="D10" s="11">
        <f>IFERROR(VLOOKUP(C10,ShipShapeEnum!$E:$F,2,FALSE),"-")</f>
        <v>1</v>
      </c>
      <c r="E10" s="19" t="s">
        <v>77</v>
      </c>
      <c r="F10" s="4" t="s">
        <v>61</v>
      </c>
      <c r="G10" s="11">
        <f>IFERROR(VLOOKUP(F10,ShipShapeEnum!$B:$C,2,FALSE),"-")</f>
        <v>1</v>
      </c>
      <c r="H10" s="19" t="s">
        <v>13</v>
      </c>
      <c r="I10" s="19" t="s">
        <v>0</v>
      </c>
      <c r="J10" s="19" t="s">
        <v>13</v>
      </c>
      <c r="K10" s="19" t="s">
        <v>0</v>
      </c>
      <c r="L10" s="19" t="s">
        <v>0</v>
      </c>
      <c r="M10" s="4" t="s">
        <v>81</v>
      </c>
      <c r="N10" s="11">
        <f>IFERROR(VLOOKUP(M10,ShipShapeEnum!$H:$I,2,FALSE),"-")</f>
        <v>1</v>
      </c>
      <c r="O10" s="11" t="s">
        <v>2688</v>
      </c>
      <c r="P10" s="30"/>
      <c r="Q10" s="11" t="str">
        <f>IFERROR(INDEX(SailPattern!$A:$A,MATCH(P10,SailPattern!$B:$B,0)),"-")</f>
        <v>-</v>
      </c>
      <c r="R10" s="30"/>
      <c r="S10" s="11" t="str">
        <f>IFERROR(INDEX(SailCrest!$A:$A,MATCH(R10,SailCrest!$B:$B,0)),"-")</f>
        <v>-</v>
      </c>
      <c r="T10" s="19">
        <v>2</v>
      </c>
      <c r="U10" s="19" t="s">
        <v>221</v>
      </c>
      <c r="V10" s="19" t="s">
        <v>0</v>
      </c>
      <c r="W10" s="19" t="s">
        <v>0</v>
      </c>
      <c r="X10" s="19" t="s">
        <v>0</v>
      </c>
      <c r="Y10" s="19" t="s">
        <v>0</v>
      </c>
      <c r="Z10" s="19" t="s">
        <v>0</v>
      </c>
      <c r="AA10" s="19" t="s">
        <v>0</v>
      </c>
      <c r="AC10" s="5"/>
    </row>
    <row r="11" spans="1:29" ht="15">
      <c r="A11" s="10">
        <f>A10+1</f>
        <v>46000002</v>
      </c>
      <c r="B11" s="4" t="s">
        <v>72</v>
      </c>
      <c r="C11" s="4" t="s">
        <v>62</v>
      </c>
      <c r="D11" s="11">
        <f>IFERROR(VLOOKUP(C11,ShipShapeEnum!$E:$F,2,FALSE),"-")</f>
        <v>1</v>
      </c>
      <c r="E11" s="19" t="s">
        <v>18</v>
      </c>
      <c r="F11" s="4" t="s">
        <v>61</v>
      </c>
      <c r="G11" s="11">
        <f>IFERROR(VLOOKUP(F11,ShipShapeEnum!$B:$C,2,FALSE),"-")</f>
        <v>1</v>
      </c>
      <c r="H11" s="19" t="s">
        <v>13</v>
      </c>
      <c r="I11" s="19" t="s">
        <v>0</v>
      </c>
      <c r="J11" s="19" t="s">
        <v>13</v>
      </c>
      <c r="K11" s="19" t="s">
        <v>0</v>
      </c>
      <c r="L11" s="19" t="s">
        <v>0</v>
      </c>
      <c r="M11" s="4" t="s">
        <v>81</v>
      </c>
      <c r="N11" s="11">
        <f>IFERROR(VLOOKUP(M11,ShipShapeEnum!$H:$I,2,FALSE),"-")</f>
        <v>1</v>
      </c>
      <c r="O11" s="11" t="s">
        <v>2688</v>
      </c>
      <c r="P11" s="30"/>
      <c r="Q11" s="11" t="str">
        <f>IFERROR(INDEX(SailPattern!$A:$A,MATCH(P11,SailPattern!$B:$B,0)),"-")</f>
        <v>-</v>
      </c>
      <c r="R11" s="30"/>
      <c r="S11" s="11" t="str">
        <f>IFERROR(INDEX(SailCrest!$A:$A,MATCH(R11,SailCrest!$B:$B,0)),"-")</f>
        <v>-</v>
      </c>
      <c r="T11" s="19" t="s">
        <v>0</v>
      </c>
      <c r="U11" s="19" t="s">
        <v>0</v>
      </c>
      <c r="V11" s="19" t="s">
        <v>0</v>
      </c>
      <c r="W11" s="19" t="s">
        <v>0</v>
      </c>
      <c r="X11" s="19" t="s">
        <v>0</v>
      </c>
      <c r="Y11" s="19" t="s">
        <v>0</v>
      </c>
      <c r="Z11" s="19" t="s">
        <v>0</v>
      </c>
      <c r="AA11" s="19" t="s">
        <v>0</v>
      </c>
      <c r="AC11" s="5"/>
    </row>
    <row r="12" spans="1:29" ht="15">
      <c r="A12" s="10">
        <f t="shared" ref="A12:A75" si="0">A11+1</f>
        <v>46000003</v>
      </c>
      <c r="B12" s="4" t="s">
        <v>74</v>
      </c>
      <c r="C12" s="4" t="s">
        <v>62</v>
      </c>
      <c r="D12" s="11">
        <f>IFERROR(VLOOKUP(C12,ShipShapeEnum!$E:$F,2,FALSE),"-")</f>
        <v>1</v>
      </c>
      <c r="E12" s="19" t="s">
        <v>77</v>
      </c>
      <c r="F12" s="4" t="s">
        <v>61</v>
      </c>
      <c r="G12" s="11">
        <f>IFERROR(VLOOKUP(F12,ShipShapeEnum!$B:$C,2,FALSE),"-")</f>
        <v>1</v>
      </c>
      <c r="H12" s="19" t="s">
        <v>13</v>
      </c>
      <c r="I12" s="19" t="s">
        <v>0</v>
      </c>
      <c r="J12" s="19" t="s">
        <v>13</v>
      </c>
      <c r="K12" s="19" t="s">
        <v>0</v>
      </c>
      <c r="L12" s="19" t="s">
        <v>0</v>
      </c>
      <c r="M12" s="4" t="s">
        <v>81</v>
      </c>
      <c r="N12" s="11">
        <f>IFERROR(VLOOKUP(M12,ShipShapeEnum!$H:$I,2,FALSE),"-")</f>
        <v>1</v>
      </c>
      <c r="O12" s="11" t="s">
        <v>2688</v>
      </c>
      <c r="P12" s="30"/>
      <c r="Q12" s="11" t="str">
        <f>IFERROR(INDEX(SailPattern!$A:$A,MATCH(P12,SailPattern!$B:$B,0)),"-")</f>
        <v>-</v>
      </c>
      <c r="R12" s="30"/>
      <c r="S12" s="11" t="str">
        <f>IFERROR(INDEX(SailCrest!$A:$A,MATCH(R12,SailCrest!$B:$B,0)),"-")</f>
        <v>-</v>
      </c>
      <c r="T12" s="19">
        <v>2</v>
      </c>
      <c r="U12" s="19" t="s">
        <v>82</v>
      </c>
      <c r="V12" s="19">
        <v>3</v>
      </c>
      <c r="W12" s="19" t="s">
        <v>82</v>
      </c>
      <c r="X12" s="19" t="s">
        <v>0</v>
      </c>
      <c r="Y12" s="19" t="s">
        <v>0</v>
      </c>
      <c r="Z12" s="19" t="s">
        <v>0</v>
      </c>
      <c r="AA12" s="19" t="s">
        <v>0</v>
      </c>
      <c r="AB12" s="5"/>
      <c r="AC12" s="5"/>
    </row>
    <row r="13" spans="1:29" ht="15">
      <c r="A13" s="10">
        <f t="shared" si="0"/>
        <v>46000004</v>
      </c>
      <c r="B13" s="4" t="s">
        <v>75</v>
      </c>
      <c r="C13" s="4" t="s">
        <v>62</v>
      </c>
      <c r="D13" s="11">
        <f>IFERROR(VLOOKUP(C13,ShipShapeEnum!$E:$F,2,FALSE),"-")</f>
        <v>1</v>
      </c>
      <c r="E13" s="19" t="s">
        <v>77</v>
      </c>
      <c r="F13" s="4" t="s">
        <v>61</v>
      </c>
      <c r="G13" s="11">
        <f>IFERROR(VLOOKUP(F13,ShipShapeEnum!$B:$C,2,FALSE),"-")</f>
        <v>1</v>
      </c>
      <c r="H13" s="19" t="s">
        <v>13</v>
      </c>
      <c r="I13" s="19" t="s">
        <v>0</v>
      </c>
      <c r="J13" s="19" t="s">
        <v>13</v>
      </c>
      <c r="K13" s="19" t="s">
        <v>0</v>
      </c>
      <c r="L13" s="19" t="s">
        <v>0</v>
      </c>
      <c r="M13" s="4" t="s">
        <v>81</v>
      </c>
      <c r="N13" s="11">
        <f>IFERROR(VLOOKUP(M13,ShipShapeEnum!$H:$I,2,FALSE),"-")</f>
        <v>1</v>
      </c>
      <c r="O13" s="11" t="s">
        <v>2688</v>
      </c>
      <c r="P13" s="30"/>
      <c r="Q13" s="11" t="str">
        <f>IFERROR(INDEX(SailPattern!$A:$A,MATCH(P13,SailPattern!$B:$B,0)),"-")</f>
        <v>-</v>
      </c>
      <c r="R13" s="30"/>
      <c r="S13" s="11" t="str">
        <f>IFERROR(INDEX(SailCrest!$A:$A,MATCH(R13,SailCrest!$B:$B,0)),"-")</f>
        <v>-</v>
      </c>
      <c r="T13" s="19" t="s">
        <v>0</v>
      </c>
      <c r="U13" s="19" t="s">
        <v>0</v>
      </c>
      <c r="V13" s="19" t="s">
        <v>0</v>
      </c>
      <c r="W13" s="19" t="s">
        <v>0</v>
      </c>
      <c r="X13" s="19" t="s">
        <v>0</v>
      </c>
      <c r="Y13" s="19" t="s">
        <v>0</v>
      </c>
      <c r="Z13" s="19" t="s">
        <v>0</v>
      </c>
      <c r="AA13" s="19" t="s">
        <v>0</v>
      </c>
    </row>
    <row r="14" spans="1:29" ht="15">
      <c r="A14" s="10">
        <f t="shared" si="0"/>
        <v>46000005</v>
      </c>
      <c r="B14" s="4" t="s">
        <v>73</v>
      </c>
      <c r="C14" s="4" t="s">
        <v>62</v>
      </c>
      <c r="D14" s="11">
        <f>IFERROR(VLOOKUP(C14,ShipShapeEnum!$E:$F,2,FALSE),"-")</f>
        <v>1</v>
      </c>
      <c r="E14" s="19" t="s">
        <v>77</v>
      </c>
      <c r="F14" s="4" t="s">
        <v>61</v>
      </c>
      <c r="G14" s="11">
        <f>IFERROR(VLOOKUP(F14,ShipShapeEnum!$B:$C,2,FALSE),"-")</f>
        <v>1</v>
      </c>
      <c r="H14" s="19" t="s">
        <v>13</v>
      </c>
      <c r="I14" s="19" t="s">
        <v>79</v>
      </c>
      <c r="J14" s="19" t="s">
        <v>79</v>
      </c>
      <c r="K14" s="19" t="s">
        <v>79</v>
      </c>
      <c r="L14" s="19" t="s">
        <v>79</v>
      </c>
      <c r="M14" s="4" t="s">
        <v>81</v>
      </c>
      <c r="N14" s="11">
        <f>IFERROR(VLOOKUP(M14,ShipShapeEnum!$H:$I,2,FALSE),"-")</f>
        <v>1</v>
      </c>
      <c r="O14" s="11" t="s">
        <v>2688</v>
      </c>
      <c r="P14" s="30"/>
      <c r="Q14" s="11" t="str">
        <f>IFERROR(INDEX(SailPattern!$A:$A,MATCH(P14,SailPattern!$B:$B,0)),"-")</f>
        <v>-</v>
      </c>
      <c r="R14" s="30"/>
      <c r="S14" s="11" t="str">
        <f>IFERROR(INDEX(SailCrest!$A:$A,MATCH(R14,SailCrest!$B:$B,0)),"-")</f>
        <v>-</v>
      </c>
      <c r="T14" s="19">
        <v>2</v>
      </c>
      <c r="U14" s="19" t="s">
        <v>97</v>
      </c>
      <c r="V14" s="19">
        <v>3</v>
      </c>
      <c r="W14" s="19" t="s">
        <v>83</v>
      </c>
      <c r="X14" s="19" t="s">
        <v>0</v>
      </c>
      <c r="Y14" s="19" t="s">
        <v>0</v>
      </c>
      <c r="Z14" s="19" t="s">
        <v>0</v>
      </c>
      <c r="AA14" s="19" t="s">
        <v>0</v>
      </c>
    </row>
    <row r="15" spans="1:29" ht="15">
      <c r="A15" s="10">
        <f t="shared" si="0"/>
        <v>46000006</v>
      </c>
      <c r="B15" s="4" t="s">
        <v>76</v>
      </c>
      <c r="C15" s="4" t="s">
        <v>62</v>
      </c>
      <c r="D15" s="11">
        <f>IFERROR(VLOOKUP(C15,ShipShapeEnum!$E:$F,2,FALSE),"-")</f>
        <v>1</v>
      </c>
      <c r="E15" s="19" t="s">
        <v>77</v>
      </c>
      <c r="F15" s="4" t="s">
        <v>61</v>
      </c>
      <c r="G15" s="11">
        <f>IFERROR(VLOOKUP(F15,ShipShapeEnum!$B:$C,2,FALSE),"-")</f>
        <v>1</v>
      </c>
      <c r="H15" s="19" t="s">
        <v>13</v>
      </c>
      <c r="I15" s="19" t="s">
        <v>78</v>
      </c>
      <c r="J15" s="19" t="s">
        <v>78</v>
      </c>
      <c r="K15" s="19" t="s">
        <v>78</v>
      </c>
      <c r="L15" s="19" t="s">
        <v>78</v>
      </c>
      <c r="M15" s="4" t="s">
        <v>81</v>
      </c>
      <c r="N15" s="11">
        <f>IFERROR(VLOOKUP(M15,ShipShapeEnum!$H:$I,2,FALSE),"-")</f>
        <v>1</v>
      </c>
      <c r="O15" s="11" t="s">
        <v>2688</v>
      </c>
      <c r="P15" s="30"/>
      <c r="Q15" s="11" t="str">
        <f>IFERROR(INDEX(SailPattern!$A:$A,MATCH(P15,SailPattern!$B:$B,0)),"-")</f>
        <v>-</v>
      </c>
      <c r="R15" s="30"/>
      <c r="S15" s="11" t="str">
        <f>IFERROR(INDEX(SailCrest!$A:$A,MATCH(R15,SailCrest!$B:$B,0)),"-")</f>
        <v>-</v>
      </c>
      <c r="T15" s="19" t="s">
        <v>0</v>
      </c>
      <c r="U15" s="19" t="s">
        <v>0</v>
      </c>
      <c r="V15" s="19" t="s">
        <v>0</v>
      </c>
      <c r="W15" s="19" t="s">
        <v>0</v>
      </c>
      <c r="X15" s="19" t="s">
        <v>0</v>
      </c>
      <c r="Y15" s="19" t="s">
        <v>0</v>
      </c>
      <c r="Z15" s="19" t="s">
        <v>0</v>
      </c>
      <c r="AA15" s="19" t="s">
        <v>0</v>
      </c>
    </row>
    <row r="16" spans="1:29" ht="15.75" customHeight="1">
      <c r="A16" s="10">
        <f t="shared" si="0"/>
        <v>46000007</v>
      </c>
      <c r="B16" s="4" t="s">
        <v>71</v>
      </c>
      <c r="C16" s="4" t="s">
        <v>62</v>
      </c>
      <c r="D16" s="11">
        <f>IFERROR(VLOOKUP(C16,ShipShapeEnum!$E:$F,2,FALSE),"-")</f>
        <v>1</v>
      </c>
      <c r="E16" s="19" t="s">
        <v>77</v>
      </c>
      <c r="F16" s="4" t="s">
        <v>61</v>
      </c>
      <c r="G16" s="11">
        <f>IFERROR(VLOOKUP(F16,ShipShapeEnum!$B:$C,2,FALSE),"-")</f>
        <v>1</v>
      </c>
      <c r="H16" s="19" t="s">
        <v>80</v>
      </c>
      <c r="I16" s="19" t="s">
        <v>78</v>
      </c>
      <c r="J16" s="19" t="s">
        <v>78</v>
      </c>
      <c r="K16" s="19" t="s">
        <v>78</v>
      </c>
      <c r="L16" s="19" t="s">
        <v>78</v>
      </c>
      <c r="M16" s="4" t="s">
        <v>81</v>
      </c>
      <c r="N16" s="11">
        <f>IFERROR(VLOOKUP(M16,ShipShapeEnum!$H:$I,2,FALSE),"-")</f>
        <v>1</v>
      </c>
      <c r="O16" s="11" t="s">
        <v>2688</v>
      </c>
      <c r="P16" s="30"/>
      <c r="Q16" s="11" t="str">
        <f>IFERROR(INDEX(SailPattern!$A:$A,MATCH(P16,SailPattern!$B:$B,0)),"-")</f>
        <v>-</v>
      </c>
      <c r="R16" s="30"/>
      <c r="S16" s="11" t="str">
        <f>IFERROR(INDEX(SailCrest!$A:$A,MATCH(R16,SailCrest!$B:$B,0)),"-")</f>
        <v>-</v>
      </c>
      <c r="T16" s="19">
        <v>2</v>
      </c>
      <c r="U16" s="19" t="s">
        <v>84</v>
      </c>
      <c r="V16" s="19">
        <v>3</v>
      </c>
      <c r="W16" s="19" t="s">
        <v>98</v>
      </c>
      <c r="X16" s="19" t="s">
        <v>86</v>
      </c>
      <c r="Y16" s="19" t="s">
        <v>78</v>
      </c>
      <c r="Z16" s="19" t="s">
        <v>80</v>
      </c>
      <c r="AA16" s="19" t="s">
        <v>78</v>
      </c>
    </row>
    <row r="17" spans="1:27" ht="15">
      <c r="A17" s="10">
        <f t="shared" si="0"/>
        <v>46000008</v>
      </c>
      <c r="B17" s="4" t="s">
        <v>168</v>
      </c>
      <c r="C17" s="4" t="s">
        <v>62</v>
      </c>
      <c r="D17" s="11">
        <f>IFERROR(VLOOKUP(C17,ShipShapeEnum!$E:$F,2,FALSE),"-")</f>
        <v>1</v>
      </c>
      <c r="E17" s="19" t="s">
        <v>100</v>
      </c>
      <c r="F17" s="4" t="s">
        <v>61</v>
      </c>
      <c r="G17" s="11">
        <f>IFERROR(VLOOKUP(F17,ShipShapeEnum!$B:$C,2,FALSE),"-")</f>
        <v>1</v>
      </c>
      <c r="H17" s="19" t="s">
        <v>0</v>
      </c>
      <c r="I17" s="19" t="s">
        <v>78</v>
      </c>
      <c r="J17" s="19" t="s">
        <v>78</v>
      </c>
      <c r="K17" s="19" t="s">
        <v>78</v>
      </c>
      <c r="L17" s="19" t="s">
        <v>78</v>
      </c>
      <c r="M17" s="4" t="s">
        <v>81</v>
      </c>
      <c r="N17" s="11">
        <f>IFERROR(VLOOKUP(M17,ShipShapeEnum!$H:$I,2,FALSE),"-")</f>
        <v>1</v>
      </c>
      <c r="O17" s="11" t="s">
        <v>2688</v>
      </c>
      <c r="P17" s="30"/>
      <c r="Q17" s="11" t="str">
        <f>IFERROR(INDEX(SailPattern!$A:$A,MATCH(P17,SailPattern!$B:$B,0)),"-")</f>
        <v>-</v>
      </c>
      <c r="R17" s="30"/>
      <c r="S17" s="11" t="str">
        <f>IFERROR(INDEX(SailCrest!$A:$A,MATCH(R17,SailCrest!$B:$B,0)),"-")</f>
        <v>-</v>
      </c>
      <c r="T17" s="19">
        <v>2</v>
      </c>
      <c r="U17" s="19" t="s">
        <v>103</v>
      </c>
      <c r="V17" s="19" t="s">
        <v>104</v>
      </c>
      <c r="W17" s="19" t="s">
        <v>102</v>
      </c>
      <c r="X17" s="19" t="s">
        <v>0</v>
      </c>
      <c r="Y17" s="19" t="s">
        <v>0</v>
      </c>
      <c r="Z17" s="19" t="s">
        <v>0</v>
      </c>
      <c r="AA17" s="19" t="s">
        <v>0</v>
      </c>
    </row>
    <row r="18" spans="1:27" ht="15.75" customHeight="1">
      <c r="A18" s="10">
        <f t="shared" si="0"/>
        <v>46000009</v>
      </c>
      <c r="B18" s="4" t="s">
        <v>170</v>
      </c>
      <c r="C18" s="4" t="s">
        <v>62</v>
      </c>
      <c r="D18" s="11">
        <f>IFERROR(VLOOKUP(C18,ShipShapeEnum!$E:$F,2,FALSE),"-")</f>
        <v>1</v>
      </c>
      <c r="E18" s="19" t="s">
        <v>100</v>
      </c>
      <c r="F18" s="4" t="s">
        <v>61</v>
      </c>
      <c r="G18" s="11">
        <f>IFERROR(VLOOKUP(F18,ShipShapeEnum!$B:$C,2,FALSE),"-")</f>
        <v>1</v>
      </c>
      <c r="H18" s="19" t="s">
        <v>80</v>
      </c>
      <c r="I18" s="19" t="s">
        <v>78</v>
      </c>
      <c r="J18" s="19" t="s">
        <v>78</v>
      </c>
      <c r="K18" s="19" t="s">
        <v>78</v>
      </c>
      <c r="L18" s="19" t="s">
        <v>78</v>
      </c>
      <c r="M18" s="4" t="s">
        <v>81</v>
      </c>
      <c r="N18" s="11">
        <f>IFERROR(VLOOKUP(M18,ShipShapeEnum!$H:$I,2,FALSE),"-")</f>
        <v>1</v>
      </c>
      <c r="O18" s="11" t="s">
        <v>2688</v>
      </c>
      <c r="P18" s="30"/>
      <c r="Q18" s="11" t="str">
        <f>IFERROR(INDEX(SailPattern!$A:$A,MATCH(P18,SailPattern!$B:$B,0)),"-")</f>
        <v>-</v>
      </c>
      <c r="R18" s="30"/>
      <c r="S18" s="11" t="str">
        <f>IFERROR(INDEX(SailCrest!$A:$A,MATCH(R18,SailCrest!$B:$B,0)),"-")</f>
        <v>-</v>
      </c>
      <c r="T18" s="19" t="s">
        <v>0</v>
      </c>
      <c r="U18" s="19" t="s">
        <v>0</v>
      </c>
      <c r="V18" s="19" t="s">
        <v>101</v>
      </c>
      <c r="W18" s="19" t="s">
        <v>107</v>
      </c>
      <c r="X18" s="19" t="s">
        <v>86</v>
      </c>
      <c r="Y18" s="19" t="s">
        <v>78</v>
      </c>
      <c r="Z18" s="19" t="s">
        <v>80</v>
      </c>
      <c r="AA18" s="19" t="s">
        <v>78</v>
      </c>
    </row>
    <row r="19" spans="1:27" ht="15">
      <c r="A19" s="10">
        <f t="shared" si="0"/>
        <v>46000010</v>
      </c>
      <c r="B19" s="4" t="s">
        <v>172</v>
      </c>
      <c r="C19" s="4" t="s">
        <v>62</v>
      </c>
      <c r="D19" s="11">
        <f>IFERROR(VLOOKUP(C19,ShipShapeEnum!$E:$F,2,FALSE),"-")</f>
        <v>1</v>
      </c>
      <c r="E19" s="19" t="s">
        <v>100</v>
      </c>
      <c r="F19" s="4" t="s">
        <v>61</v>
      </c>
      <c r="G19" s="11">
        <f>IFERROR(VLOOKUP(F19,ShipShapeEnum!$B:$C,2,FALSE),"-")</f>
        <v>1</v>
      </c>
      <c r="H19" s="19" t="s">
        <v>78</v>
      </c>
      <c r="I19" s="19" t="s">
        <v>79</v>
      </c>
      <c r="J19" s="19" t="s">
        <v>79</v>
      </c>
      <c r="K19" s="19" t="s">
        <v>79</v>
      </c>
      <c r="L19" s="19" t="s">
        <v>79</v>
      </c>
      <c r="M19" s="4" t="s">
        <v>81</v>
      </c>
      <c r="N19" s="11">
        <f>IFERROR(VLOOKUP(M19,ShipShapeEnum!$H:$I,2,FALSE),"-")</f>
        <v>1</v>
      </c>
      <c r="O19" s="11" t="s">
        <v>2688</v>
      </c>
      <c r="P19" s="30"/>
      <c r="Q19" s="11" t="str">
        <f>IFERROR(INDEX(SailPattern!$A:$A,MATCH(P19,SailPattern!$B:$B,0)),"-")</f>
        <v>-</v>
      </c>
      <c r="R19" s="30"/>
      <c r="S19" s="11" t="str">
        <f>IFERROR(INDEX(SailCrest!$A:$A,MATCH(R19,SailCrest!$B:$B,0)),"-")</f>
        <v>-</v>
      </c>
      <c r="T19" s="19">
        <v>2</v>
      </c>
      <c r="U19" s="19" t="s">
        <v>82</v>
      </c>
      <c r="V19" s="19" t="s">
        <v>86</v>
      </c>
      <c r="W19" s="19" t="s">
        <v>78</v>
      </c>
      <c r="X19" s="19" t="s">
        <v>85</v>
      </c>
      <c r="Y19" s="19" t="s">
        <v>86</v>
      </c>
      <c r="Z19" s="19" t="s">
        <v>78</v>
      </c>
      <c r="AA19" s="19" t="s">
        <v>86</v>
      </c>
    </row>
    <row r="20" spans="1:27" ht="15">
      <c r="A20" s="10">
        <f t="shared" si="0"/>
        <v>46000011</v>
      </c>
      <c r="B20" s="4" t="s">
        <v>174</v>
      </c>
      <c r="C20" s="4" t="s">
        <v>62</v>
      </c>
      <c r="D20" s="11">
        <f>IFERROR(VLOOKUP(C20,ShipShapeEnum!$E:$F,2,FALSE),"-")</f>
        <v>1</v>
      </c>
      <c r="E20" s="19" t="s">
        <v>100</v>
      </c>
      <c r="F20" s="4" t="s">
        <v>61</v>
      </c>
      <c r="G20" s="11">
        <f>IFERROR(VLOOKUP(F20,ShipShapeEnum!$B:$C,2,FALSE),"-")</f>
        <v>1</v>
      </c>
      <c r="H20" s="19" t="s">
        <v>79</v>
      </c>
      <c r="I20" s="19" t="s">
        <v>89</v>
      </c>
      <c r="J20" s="19" t="s">
        <v>89</v>
      </c>
      <c r="K20" s="19" t="s">
        <v>89</v>
      </c>
      <c r="L20" s="19" t="s">
        <v>89</v>
      </c>
      <c r="M20" s="4" t="s">
        <v>81</v>
      </c>
      <c r="N20" s="11">
        <f>IFERROR(VLOOKUP(M20,ShipShapeEnum!$H:$I,2,FALSE),"-")</f>
        <v>1</v>
      </c>
      <c r="O20" s="11" t="s">
        <v>2688</v>
      </c>
      <c r="P20" s="30"/>
      <c r="Q20" s="11" t="str">
        <f>IFERROR(INDEX(SailPattern!$A:$A,MATCH(P20,SailPattern!$B:$B,0)),"-")</f>
        <v>-</v>
      </c>
      <c r="R20" s="30"/>
      <c r="S20" s="11" t="str">
        <f>IFERROR(INDEX(SailCrest!$A:$A,MATCH(R20,SailCrest!$B:$B,0)),"-")</f>
        <v>-</v>
      </c>
      <c r="T20" s="19" t="s">
        <v>0</v>
      </c>
      <c r="U20" s="19" t="s">
        <v>0</v>
      </c>
      <c r="V20" s="19" t="s">
        <v>0</v>
      </c>
      <c r="W20" s="19" t="s">
        <v>86</v>
      </c>
      <c r="X20" s="19" t="s">
        <v>78</v>
      </c>
      <c r="Y20" s="19" t="s">
        <v>90</v>
      </c>
      <c r="Z20" s="19" t="s">
        <v>78</v>
      </c>
      <c r="AA20" s="19" t="s">
        <v>78</v>
      </c>
    </row>
    <row r="21" spans="1:27" ht="15">
      <c r="A21" s="10">
        <f t="shared" si="0"/>
        <v>46000012</v>
      </c>
      <c r="B21" s="4" t="s">
        <v>176</v>
      </c>
      <c r="C21" s="4" t="s">
        <v>62</v>
      </c>
      <c r="D21" s="11">
        <f>IFERROR(VLOOKUP(C21,ShipShapeEnum!$E:$F,2,FALSE),"-")</f>
        <v>1</v>
      </c>
      <c r="E21" s="19" t="s">
        <v>100</v>
      </c>
      <c r="F21" s="4" t="s">
        <v>61</v>
      </c>
      <c r="G21" s="11">
        <f>IFERROR(VLOOKUP(F21,ShipShapeEnum!$B:$C,2,FALSE),"-")</f>
        <v>1</v>
      </c>
      <c r="H21" s="19" t="s">
        <v>78</v>
      </c>
      <c r="I21" s="19" t="s">
        <v>101</v>
      </c>
      <c r="J21" s="19" t="s">
        <v>101</v>
      </c>
      <c r="K21" s="19" t="s">
        <v>101</v>
      </c>
      <c r="L21" s="19" t="s">
        <v>101</v>
      </c>
      <c r="M21" s="4" t="s">
        <v>81</v>
      </c>
      <c r="N21" s="11">
        <f>IFERROR(VLOOKUP(M21,ShipShapeEnum!$H:$I,2,FALSE),"-")</f>
        <v>1</v>
      </c>
      <c r="O21" s="11" t="s">
        <v>2688</v>
      </c>
      <c r="P21" s="30"/>
      <c r="Q21" s="11" t="str">
        <f>IFERROR(INDEX(SailPattern!$A:$A,MATCH(P21,SailPattern!$B:$B,0)),"-")</f>
        <v>-</v>
      </c>
      <c r="R21" s="30"/>
      <c r="S21" s="11" t="str">
        <f>IFERROR(INDEX(SailCrest!$A:$A,MATCH(R21,SailCrest!$B:$B,0)),"-")</f>
        <v>-</v>
      </c>
      <c r="T21" s="19">
        <v>2</v>
      </c>
      <c r="U21" s="19" t="s">
        <v>83</v>
      </c>
      <c r="V21" s="19" t="s">
        <v>78</v>
      </c>
      <c r="W21" s="19" t="s">
        <v>86</v>
      </c>
      <c r="X21" s="19" t="s">
        <v>92</v>
      </c>
      <c r="Y21" s="19" t="s">
        <v>93</v>
      </c>
      <c r="Z21" s="19" t="s">
        <v>78</v>
      </c>
      <c r="AA21" s="19" t="s">
        <v>78</v>
      </c>
    </row>
    <row r="22" spans="1:27" ht="15">
      <c r="A22" s="10">
        <f t="shared" si="0"/>
        <v>46000013</v>
      </c>
      <c r="B22" s="4" t="s">
        <v>178</v>
      </c>
      <c r="C22" s="4" t="s">
        <v>62</v>
      </c>
      <c r="D22" s="11">
        <f>IFERROR(VLOOKUP(C22,ShipShapeEnum!$E:$F,2,FALSE),"-")</f>
        <v>1</v>
      </c>
      <c r="E22" s="19" t="s">
        <v>100</v>
      </c>
      <c r="F22" s="4" t="s">
        <v>61</v>
      </c>
      <c r="G22" s="11">
        <f>IFERROR(VLOOKUP(F22,ShipShapeEnum!$B:$C,2,FALSE),"-")</f>
        <v>1</v>
      </c>
      <c r="H22" s="19" t="s">
        <v>78</v>
      </c>
      <c r="I22" s="19" t="s">
        <v>102</v>
      </c>
      <c r="J22" s="19" t="s">
        <v>102</v>
      </c>
      <c r="K22" s="19" t="s">
        <v>102</v>
      </c>
      <c r="L22" s="19" t="s">
        <v>102</v>
      </c>
      <c r="M22" s="4" t="s">
        <v>81</v>
      </c>
      <c r="N22" s="11">
        <f>IFERROR(VLOOKUP(M22,ShipShapeEnum!$H:$I,2,FALSE),"-")</f>
        <v>1</v>
      </c>
      <c r="O22" s="11" t="s">
        <v>2688</v>
      </c>
      <c r="P22" s="30"/>
      <c r="Q22" s="11" t="str">
        <f>IFERROR(INDEX(SailPattern!$A:$A,MATCH(P22,SailPattern!$B:$B,0)),"-")</f>
        <v>-</v>
      </c>
      <c r="R22" s="30"/>
      <c r="S22" s="11" t="str">
        <f>IFERROR(INDEX(SailCrest!$A:$A,MATCH(R22,SailCrest!$B:$B,0)),"-")</f>
        <v>-</v>
      </c>
      <c r="T22" s="19" t="s">
        <v>0</v>
      </c>
      <c r="U22" s="19" t="s">
        <v>0</v>
      </c>
      <c r="V22" s="19" t="s">
        <v>0</v>
      </c>
      <c r="W22" s="19" t="s">
        <v>78</v>
      </c>
      <c r="X22" s="19" t="s">
        <v>78</v>
      </c>
      <c r="Y22" s="19" t="s">
        <v>94</v>
      </c>
      <c r="Z22" s="19" t="s">
        <v>91</v>
      </c>
      <c r="AA22" s="19" t="s">
        <v>78</v>
      </c>
    </row>
    <row r="23" spans="1:27" ht="15">
      <c r="A23" s="10">
        <f t="shared" si="0"/>
        <v>46000014</v>
      </c>
      <c r="B23" s="4" t="s">
        <v>180</v>
      </c>
      <c r="C23" s="4" t="s">
        <v>62</v>
      </c>
      <c r="D23" s="11">
        <f>IFERROR(VLOOKUP(C23,ShipShapeEnum!$E:$F,2,FALSE),"-")</f>
        <v>1</v>
      </c>
      <c r="E23" s="19" t="s">
        <v>108</v>
      </c>
      <c r="F23" s="4" t="s">
        <v>61</v>
      </c>
      <c r="G23" s="11">
        <f>IFERROR(VLOOKUP(F23,ShipShapeEnum!$B:$C,2,FALSE),"-")</f>
        <v>1</v>
      </c>
      <c r="H23" s="19" t="s">
        <v>78</v>
      </c>
      <c r="I23" s="19" t="s">
        <v>102</v>
      </c>
      <c r="J23" s="19" t="s">
        <v>102</v>
      </c>
      <c r="K23" s="19" t="s">
        <v>102</v>
      </c>
      <c r="L23" s="19" t="s">
        <v>102</v>
      </c>
      <c r="M23" s="4" t="s">
        <v>81</v>
      </c>
      <c r="N23" s="11">
        <f>IFERROR(VLOOKUP(M23,ShipShapeEnum!$H:$I,2,FALSE),"-")</f>
        <v>1</v>
      </c>
      <c r="O23" s="11" t="s">
        <v>2688</v>
      </c>
      <c r="P23" s="30"/>
      <c r="Q23" s="11" t="str">
        <f>IFERROR(INDEX(SailPattern!$A:$A,MATCH(P23,SailPattern!$B:$B,0)),"-")</f>
        <v>-</v>
      </c>
      <c r="R23" s="30"/>
      <c r="S23" s="11" t="str">
        <f>IFERROR(INDEX(SailCrest!$A:$A,MATCH(R23,SailCrest!$B:$B,0)),"-")</f>
        <v>-</v>
      </c>
      <c r="T23" s="19">
        <v>2</v>
      </c>
      <c r="U23" s="19" t="s">
        <v>103</v>
      </c>
      <c r="V23" s="19" t="s">
        <v>87</v>
      </c>
      <c r="W23" s="19" t="s">
        <v>78</v>
      </c>
      <c r="X23" s="19" t="s">
        <v>78</v>
      </c>
      <c r="Y23" s="19" t="s">
        <v>94</v>
      </c>
      <c r="Z23" s="19" t="s">
        <v>91</v>
      </c>
      <c r="AA23" s="19" t="s">
        <v>78</v>
      </c>
    </row>
    <row r="24" spans="1:27" ht="15">
      <c r="A24" s="10">
        <f t="shared" si="0"/>
        <v>46000015</v>
      </c>
      <c r="B24" s="4" t="s">
        <v>182</v>
      </c>
      <c r="C24" s="4" t="s">
        <v>62</v>
      </c>
      <c r="D24" s="11">
        <f>IFERROR(VLOOKUP(C24,ShipShapeEnum!$E:$F,2,FALSE),"-")</f>
        <v>1</v>
      </c>
      <c r="E24" s="19" t="s">
        <v>108</v>
      </c>
      <c r="F24" s="4" t="s">
        <v>61</v>
      </c>
      <c r="G24" s="11">
        <f>IFERROR(VLOOKUP(F24,ShipShapeEnum!$B:$C,2,FALSE),"-")</f>
        <v>1</v>
      </c>
      <c r="H24" s="19" t="s">
        <v>0</v>
      </c>
      <c r="I24" s="19" t="s">
        <v>78</v>
      </c>
      <c r="J24" s="19" t="s">
        <v>78</v>
      </c>
      <c r="K24" s="19" t="s">
        <v>78</v>
      </c>
      <c r="L24" s="19" t="s">
        <v>78</v>
      </c>
      <c r="M24" s="4" t="s">
        <v>81</v>
      </c>
      <c r="N24" s="11">
        <f>IFERROR(VLOOKUP(M24,ShipShapeEnum!$H:$I,2,FALSE),"-")</f>
        <v>1</v>
      </c>
      <c r="O24" s="11" t="s">
        <v>2688</v>
      </c>
      <c r="P24" s="30"/>
      <c r="Q24" s="11" t="str">
        <f>IFERROR(INDEX(SailPattern!$A:$A,MATCH(P24,SailPattern!$B:$B,0)),"-")</f>
        <v>-</v>
      </c>
      <c r="R24" s="30"/>
      <c r="S24" s="11" t="str">
        <f>IFERROR(INDEX(SailCrest!$A:$A,MATCH(R24,SailCrest!$B:$B,0)),"-")</f>
        <v>-</v>
      </c>
      <c r="T24" s="19" t="s">
        <v>0</v>
      </c>
      <c r="U24" s="19" t="s">
        <v>0</v>
      </c>
      <c r="V24" s="19" t="s">
        <v>104</v>
      </c>
      <c r="W24" s="19" t="s">
        <v>101</v>
      </c>
      <c r="X24" s="19" t="s">
        <v>0</v>
      </c>
      <c r="Y24" s="19" t="s">
        <v>0</v>
      </c>
      <c r="Z24" s="19" t="s">
        <v>0</v>
      </c>
      <c r="AA24" s="19" t="s">
        <v>0</v>
      </c>
    </row>
    <row r="25" spans="1:27" ht="15.75" customHeight="1">
      <c r="A25" s="10">
        <f t="shared" si="0"/>
        <v>46000016</v>
      </c>
      <c r="B25" s="4" t="s">
        <v>184</v>
      </c>
      <c r="C25" s="4" t="s">
        <v>62</v>
      </c>
      <c r="D25" s="11">
        <f>IFERROR(VLOOKUP(C25,ShipShapeEnum!$E:$F,2,FALSE),"-")</f>
        <v>1</v>
      </c>
      <c r="E25" s="19" t="s">
        <v>108</v>
      </c>
      <c r="F25" s="4" t="s">
        <v>61</v>
      </c>
      <c r="G25" s="11">
        <f>IFERROR(VLOOKUP(F25,ShipShapeEnum!$B:$C,2,FALSE),"-")</f>
        <v>1</v>
      </c>
      <c r="H25" s="19" t="s">
        <v>80</v>
      </c>
      <c r="I25" s="19" t="s">
        <v>78</v>
      </c>
      <c r="J25" s="19" t="s">
        <v>78</v>
      </c>
      <c r="K25" s="19" t="s">
        <v>78</v>
      </c>
      <c r="L25" s="19" t="s">
        <v>78</v>
      </c>
      <c r="M25" s="4" t="s">
        <v>81</v>
      </c>
      <c r="N25" s="11">
        <f>IFERROR(VLOOKUP(M25,ShipShapeEnum!$H:$I,2,FALSE),"-")</f>
        <v>1</v>
      </c>
      <c r="O25" s="11" t="s">
        <v>2688</v>
      </c>
      <c r="P25" s="30"/>
      <c r="Q25" s="11" t="str">
        <f>IFERROR(INDEX(SailPattern!$A:$A,MATCH(P25,SailPattern!$B:$B,0)),"-")</f>
        <v>-</v>
      </c>
      <c r="R25" s="30"/>
      <c r="S25" s="11" t="str">
        <f>IFERROR(INDEX(SailCrest!$A:$A,MATCH(R25,SailCrest!$B:$B,0)),"-")</f>
        <v>-</v>
      </c>
      <c r="T25" s="19">
        <v>2</v>
      </c>
      <c r="U25" s="19" t="s">
        <v>82</v>
      </c>
      <c r="V25" s="19" t="s">
        <v>105</v>
      </c>
      <c r="W25" s="19" t="s">
        <v>102</v>
      </c>
      <c r="X25" s="19" t="s">
        <v>86</v>
      </c>
      <c r="Y25" s="19" t="s">
        <v>78</v>
      </c>
      <c r="Z25" s="19" t="s">
        <v>80</v>
      </c>
      <c r="AA25" s="19" t="s">
        <v>78</v>
      </c>
    </row>
    <row r="26" spans="1:27" ht="15">
      <c r="A26" s="10">
        <f t="shared" si="0"/>
        <v>46000017</v>
      </c>
      <c r="B26" s="4" t="s">
        <v>186</v>
      </c>
      <c r="C26" s="4" t="s">
        <v>62</v>
      </c>
      <c r="D26" s="11">
        <f>IFERROR(VLOOKUP(C26,ShipShapeEnum!$E:$F,2,FALSE),"-")</f>
        <v>1</v>
      </c>
      <c r="E26" s="19" t="s">
        <v>108</v>
      </c>
      <c r="F26" s="4" t="s">
        <v>61</v>
      </c>
      <c r="G26" s="11">
        <f>IFERROR(VLOOKUP(F26,ShipShapeEnum!$B:$C,2,FALSE),"-")</f>
        <v>1</v>
      </c>
      <c r="H26" s="19" t="s">
        <v>78</v>
      </c>
      <c r="I26" s="19" t="s">
        <v>79</v>
      </c>
      <c r="J26" s="19" t="s">
        <v>79</v>
      </c>
      <c r="K26" s="19" t="s">
        <v>79</v>
      </c>
      <c r="L26" s="19" t="s">
        <v>79</v>
      </c>
      <c r="M26" s="4" t="s">
        <v>81</v>
      </c>
      <c r="N26" s="11">
        <f>IFERROR(VLOOKUP(M26,ShipShapeEnum!$H:$I,2,FALSE),"-")</f>
        <v>1</v>
      </c>
      <c r="O26" s="11" t="s">
        <v>2688</v>
      </c>
      <c r="P26" s="30"/>
      <c r="Q26" s="11" t="str">
        <f>IFERROR(INDEX(SailPattern!$A:$A,MATCH(P26,SailPattern!$B:$B,0)),"-")</f>
        <v>-</v>
      </c>
      <c r="R26" s="30"/>
      <c r="S26" s="11" t="str">
        <f>IFERROR(INDEX(SailCrest!$A:$A,MATCH(R26,SailCrest!$B:$B,0)),"-")</f>
        <v>-</v>
      </c>
      <c r="T26" s="19" t="s">
        <v>0</v>
      </c>
      <c r="U26" s="19" t="s">
        <v>0</v>
      </c>
      <c r="V26" s="19" t="s">
        <v>0</v>
      </c>
      <c r="W26" s="19" t="s">
        <v>78</v>
      </c>
      <c r="X26" s="19" t="s">
        <v>85</v>
      </c>
      <c r="Y26" s="19" t="s">
        <v>86</v>
      </c>
      <c r="Z26" s="19" t="s">
        <v>78</v>
      </c>
      <c r="AA26" s="19" t="s">
        <v>86</v>
      </c>
    </row>
    <row r="27" spans="1:27" ht="15">
      <c r="A27" s="10">
        <f t="shared" si="0"/>
        <v>46000018</v>
      </c>
      <c r="B27" s="4" t="s">
        <v>188</v>
      </c>
      <c r="C27" s="4" t="s">
        <v>62</v>
      </c>
      <c r="D27" s="11">
        <f>IFERROR(VLOOKUP(C27,ShipShapeEnum!$E:$F,2,FALSE),"-")</f>
        <v>1</v>
      </c>
      <c r="E27" s="19" t="s">
        <v>108</v>
      </c>
      <c r="F27" s="4" t="s">
        <v>61</v>
      </c>
      <c r="G27" s="11">
        <f>IFERROR(VLOOKUP(F27,ShipShapeEnum!$B:$C,2,FALSE),"-")</f>
        <v>1</v>
      </c>
      <c r="H27" s="19" t="s">
        <v>79</v>
      </c>
      <c r="I27" s="19" t="s">
        <v>89</v>
      </c>
      <c r="J27" s="19" t="s">
        <v>89</v>
      </c>
      <c r="K27" s="19" t="s">
        <v>89</v>
      </c>
      <c r="L27" s="19" t="s">
        <v>89</v>
      </c>
      <c r="M27" s="4" t="s">
        <v>81</v>
      </c>
      <c r="N27" s="11">
        <f>IFERROR(VLOOKUP(M27,ShipShapeEnum!$H:$I,2,FALSE),"-")</f>
        <v>1</v>
      </c>
      <c r="O27" s="11" t="s">
        <v>2688</v>
      </c>
      <c r="P27" s="30"/>
      <c r="Q27" s="11" t="str">
        <f>IFERROR(INDEX(SailPattern!$A:$A,MATCH(P27,SailPattern!$B:$B,0)),"-")</f>
        <v>-</v>
      </c>
      <c r="R27" s="30"/>
      <c r="S27" s="11" t="str">
        <f>IFERROR(INDEX(SailCrest!$A:$A,MATCH(R27,SailCrest!$B:$B,0)),"-")</f>
        <v>-</v>
      </c>
      <c r="T27" s="19">
        <v>2</v>
      </c>
      <c r="U27" s="19" t="s">
        <v>83</v>
      </c>
      <c r="V27" s="19" t="s">
        <v>86</v>
      </c>
      <c r="W27" s="19" t="s">
        <v>86</v>
      </c>
      <c r="X27" s="19" t="s">
        <v>78</v>
      </c>
      <c r="Y27" s="19" t="s">
        <v>90</v>
      </c>
      <c r="Z27" s="19" t="s">
        <v>78</v>
      </c>
      <c r="AA27" s="19" t="s">
        <v>78</v>
      </c>
    </row>
    <row r="28" spans="1:27" ht="15">
      <c r="A28" s="10">
        <f t="shared" si="0"/>
        <v>46000019</v>
      </c>
      <c r="B28" s="4" t="s">
        <v>190</v>
      </c>
      <c r="C28" s="4" t="s">
        <v>62</v>
      </c>
      <c r="D28" s="11">
        <f>IFERROR(VLOOKUP(C28,ShipShapeEnum!$E:$F,2,FALSE),"-")</f>
        <v>1</v>
      </c>
      <c r="E28" s="19" t="s">
        <v>108</v>
      </c>
      <c r="F28" s="4" t="s">
        <v>61</v>
      </c>
      <c r="G28" s="11">
        <f>IFERROR(VLOOKUP(F28,ShipShapeEnum!$B:$C,2,FALSE),"-")</f>
        <v>1</v>
      </c>
      <c r="H28" s="19" t="s">
        <v>78</v>
      </c>
      <c r="I28" s="19" t="s">
        <v>102</v>
      </c>
      <c r="J28" s="19" t="s">
        <v>102</v>
      </c>
      <c r="K28" s="19" t="s">
        <v>102</v>
      </c>
      <c r="L28" s="19" t="s">
        <v>102</v>
      </c>
      <c r="M28" s="4" t="s">
        <v>81</v>
      </c>
      <c r="N28" s="11">
        <f>IFERROR(VLOOKUP(M28,ShipShapeEnum!$H:$I,2,FALSE),"-")</f>
        <v>1</v>
      </c>
      <c r="O28" s="11" t="s">
        <v>2688</v>
      </c>
      <c r="P28" s="30"/>
      <c r="Q28" s="11" t="str">
        <f>IFERROR(INDEX(SailPattern!$A:$A,MATCH(P28,SailPattern!$B:$B,0)),"-")</f>
        <v>-</v>
      </c>
      <c r="R28" s="30"/>
      <c r="S28" s="11" t="str">
        <f>IFERROR(INDEX(SailCrest!$A:$A,MATCH(R28,SailCrest!$B:$B,0)),"-")</f>
        <v>-</v>
      </c>
      <c r="T28" s="19" t="s">
        <v>0</v>
      </c>
      <c r="U28" s="19" t="s">
        <v>0</v>
      </c>
      <c r="V28" s="19" t="s">
        <v>0</v>
      </c>
      <c r="W28" s="19" t="s">
        <v>86</v>
      </c>
      <c r="X28" s="19" t="s">
        <v>92</v>
      </c>
      <c r="Y28" s="19" t="s">
        <v>93</v>
      </c>
      <c r="Z28" s="19" t="s">
        <v>78</v>
      </c>
      <c r="AA28" s="19" t="s">
        <v>78</v>
      </c>
    </row>
    <row r="29" spans="1:27" ht="15">
      <c r="A29" s="10">
        <f t="shared" si="0"/>
        <v>46000020</v>
      </c>
      <c r="B29" s="4" t="s">
        <v>111</v>
      </c>
      <c r="C29" s="4" t="s">
        <v>62</v>
      </c>
      <c r="D29" s="11">
        <f>IFERROR(VLOOKUP(C29,ShipShapeEnum!$E:$F,2,FALSE),"-")</f>
        <v>1</v>
      </c>
      <c r="E29" s="19" t="s">
        <v>110</v>
      </c>
      <c r="F29" s="4" t="s">
        <v>61</v>
      </c>
      <c r="G29" s="11">
        <f>IFERROR(VLOOKUP(F29,ShipShapeEnum!$B:$C,2,FALSE),"-")</f>
        <v>1</v>
      </c>
      <c r="H29" s="19" t="s">
        <v>78</v>
      </c>
      <c r="I29" s="19" t="s">
        <v>102</v>
      </c>
      <c r="J29" s="19" t="s">
        <v>102</v>
      </c>
      <c r="K29" s="19" t="s">
        <v>102</v>
      </c>
      <c r="L29" s="19" t="s">
        <v>102</v>
      </c>
      <c r="M29" s="4" t="s">
        <v>81</v>
      </c>
      <c r="N29" s="11">
        <f>IFERROR(VLOOKUP(M29,ShipShapeEnum!$H:$I,2,FALSE),"-")</f>
        <v>1</v>
      </c>
      <c r="O29" s="11" t="s">
        <v>2688</v>
      </c>
      <c r="P29" s="30"/>
      <c r="Q29" s="11" t="str">
        <f>IFERROR(INDEX(SailPattern!$A:$A,MATCH(P29,SailPattern!$B:$B,0)),"-")</f>
        <v>-</v>
      </c>
      <c r="R29" s="30"/>
      <c r="S29" s="11" t="str">
        <f>IFERROR(INDEX(SailCrest!$A:$A,MATCH(R29,SailCrest!$B:$B,0)),"-")</f>
        <v>-</v>
      </c>
      <c r="T29" s="19">
        <v>2</v>
      </c>
      <c r="U29" s="19" t="s">
        <v>103</v>
      </c>
      <c r="V29" s="19" t="s">
        <v>87</v>
      </c>
      <c r="W29" s="19" t="s">
        <v>78</v>
      </c>
      <c r="X29" s="19" t="s">
        <v>78</v>
      </c>
      <c r="Y29" s="19" t="s">
        <v>94</v>
      </c>
      <c r="Z29" s="19" t="s">
        <v>91</v>
      </c>
      <c r="AA29" s="19" t="s">
        <v>78</v>
      </c>
    </row>
    <row r="30" spans="1:27" ht="15">
      <c r="A30" s="10">
        <f t="shared" si="0"/>
        <v>46000021</v>
      </c>
      <c r="B30" s="4" t="s">
        <v>112</v>
      </c>
      <c r="C30" s="4" t="s">
        <v>62</v>
      </c>
      <c r="D30" s="11">
        <f>IFERROR(VLOOKUP(C30,ShipShapeEnum!$E:$F,2,FALSE),"-")</f>
        <v>1</v>
      </c>
      <c r="E30" s="19" t="s">
        <v>110</v>
      </c>
      <c r="F30" s="4" t="s">
        <v>61</v>
      </c>
      <c r="G30" s="11">
        <f>IFERROR(VLOOKUP(F30,ShipShapeEnum!$B:$C,2,FALSE),"-")</f>
        <v>1</v>
      </c>
      <c r="H30" s="19" t="s">
        <v>78</v>
      </c>
      <c r="I30" s="19" t="s">
        <v>101</v>
      </c>
      <c r="J30" s="19" t="s">
        <v>101</v>
      </c>
      <c r="K30" s="19" t="s">
        <v>101</v>
      </c>
      <c r="L30" s="19" t="s">
        <v>101</v>
      </c>
      <c r="M30" s="4" t="s">
        <v>81</v>
      </c>
      <c r="N30" s="11">
        <f>IFERROR(VLOOKUP(M30,ShipShapeEnum!$H:$I,2,FALSE),"-")</f>
        <v>1</v>
      </c>
      <c r="O30" s="11" t="s">
        <v>2688</v>
      </c>
      <c r="P30" s="30"/>
      <c r="Q30" s="11" t="str">
        <f>IFERROR(INDEX(SailPattern!$A:$A,MATCH(P30,SailPattern!$B:$B,0)),"-")</f>
        <v>-</v>
      </c>
      <c r="R30" s="30"/>
      <c r="S30" s="11" t="str">
        <f>IFERROR(INDEX(SailCrest!$A:$A,MATCH(R30,SailCrest!$B:$B,0)),"-")</f>
        <v>-</v>
      </c>
      <c r="T30" s="19" t="s">
        <v>0</v>
      </c>
      <c r="U30" s="19" t="s">
        <v>0</v>
      </c>
      <c r="V30" s="19" t="s">
        <v>87</v>
      </c>
      <c r="W30" s="19" t="s">
        <v>78</v>
      </c>
      <c r="X30" s="19" t="s">
        <v>78</v>
      </c>
      <c r="Y30" s="19" t="s">
        <v>94</v>
      </c>
      <c r="Z30" s="19" t="s">
        <v>91</v>
      </c>
      <c r="AA30" s="19" t="s">
        <v>78</v>
      </c>
    </row>
    <row r="31" spans="1:27" ht="15">
      <c r="A31" s="10">
        <f t="shared" si="0"/>
        <v>46000022</v>
      </c>
      <c r="B31" s="4" t="s">
        <v>113</v>
      </c>
      <c r="C31" s="4" t="s">
        <v>62</v>
      </c>
      <c r="D31" s="11">
        <f>IFERROR(VLOOKUP(C31,ShipShapeEnum!$E:$F,2,FALSE),"-")</f>
        <v>1</v>
      </c>
      <c r="E31" s="19" t="s">
        <v>110</v>
      </c>
      <c r="F31" s="4" t="s">
        <v>61</v>
      </c>
      <c r="G31" s="11">
        <f>IFERROR(VLOOKUP(F31,ShipShapeEnum!$B:$C,2,FALSE),"-")</f>
        <v>1</v>
      </c>
      <c r="H31" s="19" t="s">
        <v>0</v>
      </c>
      <c r="I31" s="19" t="s">
        <v>78</v>
      </c>
      <c r="J31" s="19" t="s">
        <v>78</v>
      </c>
      <c r="K31" s="19" t="s">
        <v>78</v>
      </c>
      <c r="L31" s="19" t="s">
        <v>78</v>
      </c>
      <c r="M31" s="4" t="s">
        <v>81</v>
      </c>
      <c r="N31" s="11">
        <f>IFERROR(VLOOKUP(M31,ShipShapeEnum!$H:$I,2,FALSE),"-")</f>
        <v>1</v>
      </c>
      <c r="O31" s="11" t="s">
        <v>2688</v>
      </c>
      <c r="P31" s="30"/>
      <c r="Q31" s="11" t="str">
        <f>IFERROR(INDEX(SailPattern!$A:$A,MATCH(P31,SailPattern!$B:$B,0)),"-")</f>
        <v>-</v>
      </c>
      <c r="R31" s="30"/>
      <c r="S31" s="11" t="str">
        <f>IFERROR(INDEX(SailCrest!$A:$A,MATCH(R31,SailCrest!$B:$B,0)),"-")</f>
        <v>-</v>
      </c>
      <c r="T31" s="19">
        <v>2</v>
      </c>
      <c r="U31" s="19" t="s">
        <v>82</v>
      </c>
      <c r="V31" s="19" t="s">
        <v>105</v>
      </c>
      <c r="W31" s="19" t="s">
        <v>101</v>
      </c>
      <c r="X31" s="19" t="s">
        <v>0</v>
      </c>
      <c r="Y31" s="19" t="s">
        <v>0</v>
      </c>
      <c r="Z31" s="19" t="s">
        <v>0</v>
      </c>
      <c r="AA31" s="19" t="s">
        <v>0</v>
      </c>
    </row>
    <row r="32" spans="1:27" ht="15.75" customHeight="1">
      <c r="A32" s="10">
        <f t="shared" si="0"/>
        <v>46000023</v>
      </c>
      <c r="B32" s="4" t="s">
        <v>114</v>
      </c>
      <c r="C32" s="4" t="s">
        <v>62</v>
      </c>
      <c r="D32" s="11">
        <f>IFERROR(VLOOKUP(C32,ShipShapeEnum!$E:$F,2,FALSE),"-")</f>
        <v>1</v>
      </c>
      <c r="E32" s="19" t="s">
        <v>110</v>
      </c>
      <c r="F32" s="4" t="s">
        <v>61</v>
      </c>
      <c r="G32" s="11">
        <f>IFERROR(VLOOKUP(F32,ShipShapeEnum!$B:$C,2,FALSE),"-")</f>
        <v>1</v>
      </c>
      <c r="H32" s="19" t="s">
        <v>80</v>
      </c>
      <c r="I32" s="19" t="s">
        <v>78</v>
      </c>
      <c r="J32" s="19" t="s">
        <v>78</v>
      </c>
      <c r="K32" s="19" t="s">
        <v>78</v>
      </c>
      <c r="L32" s="19" t="s">
        <v>78</v>
      </c>
      <c r="M32" s="4" t="s">
        <v>81</v>
      </c>
      <c r="N32" s="11">
        <f>IFERROR(VLOOKUP(M32,ShipShapeEnum!$H:$I,2,FALSE),"-")</f>
        <v>1</v>
      </c>
      <c r="O32" s="11" t="s">
        <v>2688</v>
      </c>
      <c r="P32" s="30"/>
      <c r="Q32" s="11" t="str">
        <f>IFERROR(INDEX(SailPattern!$A:$A,MATCH(P32,SailPattern!$B:$B,0)),"-")</f>
        <v>-</v>
      </c>
      <c r="R32" s="30"/>
      <c r="S32" s="11" t="str">
        <f>IFERROR(INDEX(SailCrest!$A:$A,MATCH(R32,SailCrest!$B:$B,0)),"-")</f>
        <v>-</v>
      </c>
      <c r="T32" s="19" t="s">
        <v>0</v>
      </c>
      <c r="U32" s="19" t="s">
        <v>0</v>
      </c>
      <c r="V32" s="19" t="s">
        <v>0</v>
      </c>
      <c r="W32" s="19" t="s">
        <v>102</v>
      </c>
      <c r="X32" s="19" t="s">
        <v>86</v>
      </c>
      <c r="Y32" s="19" t="s">
        <v>78</v>
      </c>
      <c r="Z32" s="19" t="s">
        <v>80</v>
      </c>
      <c r="AA32" s="19" t="s">
        <v>78</v>
      </c>
    </row>
    <row r="33" spans="1:27" ht="15">
      <c r="A33" s="10">
        <f t="shared" si="0"/>
        <v>46000024</v>
      </c>
      <c r="B33" s="4" t="s">
        <v>115</v>
      </c>
      <c r="C33" s="4" t="s">
        <v>62</v>
      </c>
      <c r="D33" s="11">
        <f>IFERROR(VLOOKUP(C33,ShipShapeEnum!$E:$F,2,FALSE),"-")</f>
        <v>1</v>
      </c>
      <c r="E33" s="19" t="s">
        <v>110</v>
      </c>
      <c r="F33" s="4" t="s">
        <v>61</v>
      </c>
      <c r="G33" s="11">
        <f>IFERROR(VLOOKUP(F33,ShipShapeEnum!$B:$C,2,FALSE),"-")</f>
        <v>1</v>
      </c>
      <c r="H33" s="19" t="s">
        <v>78</v>
      </c>
      <c r="I33" s="19" t="s">
        <v>79</v>
      </c>
      <c r="J33" s="19" t="s">
        <v>79</v>
      </c>
      <c r="K33" s="19" t="s">
        <v>79</v>
      </c>
      <c r="L33" s="19" t="s">
        <v>79</v>
      </c>
      <c r="M33" s="4" t="s">
        <v>81</v>
      </c>
      <c r="N33" s="11">
        <f>IFERROR(VLOOKUP(M33,ShipShapeEnum!$H:$I,2,FALSE),"-")</f>
        <v>1</v>
      </c>
      <c r="O33" s="11" t="s">
        <v>2688</v>
      </c>
      <c r="P33" s="30"/>
      <c r="Q33" s="11" t="str">
        <f>IFERROR(INDEX(SailPattern!$A:$A,MATCH(P33,SailPattern!$B:$B,0)),"-")</f>
        <v>-</v>
      </c>
      <c r="R33" s="30"/>
      <c r="S33" s="11" t="str">
        <f>IFERROR(INDEX(SailCrest!$A:$A,MATCH(R33,SailCrest!$B:$B,0)),"-")</f>
        <v>-</v>
      </c>
      <c r="T33" s="19">
        <v>2</v>
      </c>
      <c r="U33" s="19" t="s">
        <v>83</v>
      </c>
      <c r="V33" s="19" t="s">
        <v>86</v>
      </c>
      <c r="W33" s="19" t="s">
        <v>78</v>
      </c>
      <c r="X33" s="19" t="s">
        <v>85</v>
      </c>
      <c r="Y33" s="19" t="s">
        <v>86</v>
      </c>
      <c r="Z33" s="19" t="s">
        <v>78</v>
      </c>
      <c r="AA33" s="19" t="s">
        <v>86</v>
      </c>
    </row>
    <row r="34" spans="1:27" ht="15">
      <c r="A34" s="10">
        <f t="shared" si="0"/>
        <v>46000025</v>
      </c>
      <c r="B34" s="4" t="s">
        <v>116</v>
      </c>
      <c r="C34" s="4" t="s">
        <v>62</v>
      </c>
      <c r="D34" s="11">
        <f>IFERROR(VLOOKUP(C34,ShipShapeEnum!$E:$F,2,FALSE),"-")</f>
        <v>1</v>
      </c>
      <c r="E34" s="19" t="s">
        <v>110</v>
      </c>
      <c r="F34" s="4" t="s">
        <v>61</v>
      </c>
      <c r="G34" s="11">
        <f>IFERROR(VLOOKUP(F34,ShipShapeEnum!$B:$C,2,FALSE),"-")</f>
        <v>1</v>
      </c>
      <c r="H34" s="19" t="s">
        <v>79</v>
      </c>
      <c r="I34" s="19" t="s">
        <v>89</v>
      </c>
      <c r="J34" s="19" t="s">
        <v>89</v>
      </c>
      <c r="K34" s="19" t="s">
        <v>89</v>
      </c>
      <c r="L34" s="19" t="s">
        <v>89</v>
      </c>
      <c r="M34" s="4" t="s">
        <v>81</v>
      </c>
      <c r="N34" s="11">
        <f>IFERROR(VLOOKUP(M34,ShipShapeEnum!$H:$I,2,FALSE),"-")</f>
        <v>1</v>
      </c>
      <c r="O34" s="11" t="s">
        <v>2688</v>
      </c>
      <c r="P34" s="30"/>
      <c r="Q34" s="11" t="str">
        <f>IFERROR(INDEX(SailPattern!$A:$A,MATCH(P34,SailPattern!$B:$B,0)),"-")</f>
        <v>-</v>
      </c>
      <c r="R34" s="30"/>
      <c r="S34" s="11" t="str">
        <f>IFERROR(INDEX(SailCrest!$A:$A,MATCH(R34,SailCrest!$B:$B,0)),"-")</f>
        <v>-</v>
      </c>
      <c r="T34" s="19" t="s">
        <v>0</v>
      </c>
      <c r="U34" s="19" t="s">
        <v>0</v>
      </c>
      <c r="V34" s="19" t="s">
        <v>0</v>
      </c>
      <c r="W34" s="19" t="s">
        <v>86</v>
      </c>
      <c r="X34" s="19" t="s">
        <v>78</v>
      </c>
      <c r="Y34" s="19" t="s">
        <v>90</v>
      </c>
      <c r="Z34" s="19" t="s">
        <v>78</v>
      </c>
      <c r="AA34" s="19" t="s">
        <v>78</v>
      </c>
    </row>
    <row r="35" spans="1:27" ht="15">
      <c r="A35" s="10">
        <f t="shared" si="0"/>
        <v>46000026</v>
      </c>
      <c r="B35" s="4" t="s">
        <v>118</v>
      </c>
      <c r="C35" s="4" t="s">
        <v>62</v>
      </c>
      <c r="D35" s="11">
        <f>IFERROR(VLOOKUP(C35,ShipShapeEnum!$E:$F,2,FALSE),"-")</f>
        <v>1</v>
      </c>
      <c r="E35" s="19" t="s">
        <v>117</v>
      </c>
      <c r="F35" s="4" t="s">
        <v>61</v>
      </c>
      <c r="G35" s="11">
        <f>IFERROR(VLOOKUP(F35,ShipShapeEnum!$B:$C,2,FALSE),"-")</f>
        <v>1</v>
      </c>
      <c r="H35" s="19" t="s">
        <v>78</v>
      </c>
      <c r="I35" s="19" t="s">
        <v>102</v>
      </c>
      <c r="J35" s="19" t="s">
        <v>102</v>
      </c>
      <c r="K35" s="19" t="s">
        <v>102</v>
      </c>
      <c r="L35" s="19" t="s">
        <v>102</v>
      </c>
      <c r="M35" s="4" t="s">
        <v>81</v>
      </c>
      <c r="N35" s="11">
        <f>IFERROR(VLOOKUP(M35,ShipShapeEnum!$H:$I,2,FALSE),"-")</f>
        <v>1</v>
      </c>
      <c r="O35" s="11" t="s">
        <v>2688</v>
      </c>
      <c r="P35" s="30"/>
      <c r="Q35" s="11" t="str">
        <f>IFERROR(INDEX(SailPattern!$A:$A,MATCH(P35,SailPattern!$B:$B,0)),"-")</f>
        <v>-</v>
      </c>
      <c r="R35" s="30"/>
      <c r="S35" s="11" t="str">
        <f>IFERROR(INDEX(SailCrest!$A:$A,MATCH(R35,SailCrest!$B:$B,0)),"-")</f>
        <v>-</v>
      </c>
      <c r="T35" s="19">
        <v>2</v>
      </c>
      <c r="U35" s="19" t="s">
        <v>103</v>
      </c>
      <c r="V35" s="19" t="s">
        <v>78</v>
      </c>
      <c r="W35" s="19" t="s">
        <v>86</v>
      </c>
      <c r="X35" s="19" t="s">
        <v>92</v>
      </c>
      <c r="Y35" s="19" t="s">
        <v>93</v>
      </c>
      <c r="Z35" s="19" t="s">
        <v>78</v>
      </c>
      <c r="AA35" s="19" t="s">
        <v>78</v>
      </c>
    </row>
    <row r="36" spans="1:27" ht="15">
      <c r="A36" s="10">
        <f t="shared" si="0"/>
        <v>46000027</v>
      </c>
      <c r="B36" s="4" t="s">
        <v>119</v>
      </c>
      <c r="C36" s="4" t="s">
        <v>62</v>
      </c>
      <c r="D36" s="11">
        <f>IFERROR(VLOOKUP(C36,ShipShapeEnum!$E:$F,2,FALSE),"-")</f>
        <v>1</v>
      </c>
      <c r="E36" s="19" t="s">
        <v>117</v>
      </c>
      <c r="F36" s="4" t="s">
        <v>61</v>
      </c>
      <c r="G36" s="11">
        <f>IFERROR(VLOOKUP(F36,ShipShapeEnum!$B:$C,2,FALSE),"-")</f>
        <v>1</v>
      </c>
      <c r="H36" s="19" t="s">
        <v>78</v>
      </c>
      <c r="I36" s="19" t="s">
        <v>101</v>
      </c>
      <c r="J36" s="19" t="s">
        <v>101</v>
      </c>
      <c r="K36" s="19" t="s">
        <v>101</v>
      </c>
      <c r="L36" s="19" t="s">
        <v>101</v>
      </c>
      <c r="M36" s="4" t="s">
        <v>81</v>
      </c>
      <c r="N36" s="11">
        <f>IFERROR(VLOOKUP(M36,ShipShapeEnum!$H:$I,2,FALSE),"-")</f>
        <v>1</v>
      </c>
      <c r="O36" s="11" t="s">
        <v>2688</v>
      </c>
      <c r="P36" s="30"/>
      <c r="Q36" s="11" t="str">
        <f>IFERROR(INDEX(SailPattern!$A:$A,MATCH(P36,SailPattern!$B:$B,0)),"-")</f>
        <v>-</v>
      </c>
      <c r="R36" s="30"/>
      <c r="S36" s="11" t="str">
        <f>IFERROR(INDEX(SailCrest!$A:$A,MATCH(R36,SailCrest!$B:$B,0)),"-")</f>
        <v>-</v>
      </c>
      <c r="T36" s="19" t="s">
        <v>0</v>
      </c>
      <c r="U36" s="19" t="s">
        <v>0</v>
      </c>
      <c r="V36" s="19" t="s">
        <v>87</v>
      </c>
      <c r="W36" s="19" t="s">
        <v>78</v>
      </c>
      <c r="X36" s="19" t="s">
        <v>78</v>
      </c>
      <c r="Y36" s="19" t="s">
        <v>94</v>
      </c>
      <c r="Z36" s="19" t="s">
        <v>91</v>
      </c>
      <c r="AA36" s="19" t="s">
        <v>78</v>
      </c>
    </row>
    <row r="37" spans="1:27" ht="15">
      <c r="A37" s="10">
        <f>A36+1</f>
        <v>46000028</v>
      </c>
      <c r="B37" s="4" t="s">
        <v>120</v>
      </c>
      <c r="C37" s="4" t="s">
        <v>62</v>
      </c>
      <c r="D37" s="11">
        <f>IFERROR(VLOOKUP(C37,ShipShapeEnum!$E:$F,2,FALSE),"-")</f>
        <v>1</v>
      </c>
      <c r="E37" s="19" t="s">
        <v>117</v>
      </c>
      <c r="F37" s="4" t="s">
        <v>61</v>
      </c>
      <c r="G37" s="11">
        <f>IFERROR(VLOOKUP(F37,ShipShapeEnum!$B:$C,2,FALSE),"-")</f>
        <v>1</v>
      </c>
      <c r="H37" s="19" t="s">
        <v>78</v>
      </c>
      <c r="I37" s="19" t="s">
        <v>102</v>
      </c>
      <c r="J37" s="19" t="s">
        <v>102</v>
      </c>
      <c r="K37" s="19" t="s">
        <v>102</v>
      </c>
      <c r="L37" s="19" t="s">
        <v>102</v>
      </c>
      <c r="M37" s="4" t="s">
        <v>81</v>
      </c>
      <c r="N37" s="11">
        <f>IFERROR(VLOOKUP(M37,ShipShapeEnum!$H:$I,2,FALSE),"-")</f>
        <v>1</v>
      </c>
      <c r="O37" s="11" t="s">
        <v>2688</v>
      </c>
      <c r="P37" s="30"/>
      <c r="Q37" s="11" t="str">
        <f>IFERROR(INDEX(SailPattern!$A:$A,MATCH(P37,SailPattern!$B:$B,0)),"-")</f>
        <v>-</v>
      </c>
      <c r="R37" s="30"/>
      <c r="S37" s="11" t="str">
        <f>IFERROR(INDEX(SailCrest!$A:$A,MATCH(R37,SailCrest!$B:$B,0)),"-")</f>
        <v>-</v>
      </c>
      <c r="T37" s="19">
        <v>2</v>
      </c>
      <c r="U37" s="19" t="s">
        <v>82</v>
      </c>
      <c r="V37" s="19" t="s">
        <v>87</v>
      </c>
      <c r="W37" s="19" t="s">
        <v>78</v>
      </c>
      <c r="X37" s="19" t="s">
        <v>78</v>
      </c>
      <c r="Y37" s="19" t="s">
        <v>94</v>
      </c>
      <c r="Z37" s="19" t="s">
        <v>91</v>
      </c>
      <c r="AA37" s="19" t="s">
        <v>78</v>
      </c>
    </row>
    <row r="38" spans="1:27" ht="15">
      <c r="A38" s="10">
        <f t="shared" si="0"/>
        <v>46000029</v>
      </c>
      <c r="B38" s="4" t="s">
        <v>121</v>
      </c>
      <c r="C38" s="4" t="s">
        <v>62</v>
      </c>
      <c r="D38" s="11">
        <f>IFERROR(VLOOKUP(C38,ShipShapeEnum!$E:$F,2,FALSE),"-")</f>
        <v>1</v>
      </c>
      <c r="E38" s="19" t="s">
        <v>117</v>
      </c>
      <c r="F38" s="4" t="s">
        <v>61</v>
      </c>
      <c r="G38" s="11">
        <f>IFERROR(VLOOKUP(F38,ShipShapeEnum!$B:$C,2,FALSE),"-")</f>
        <v>1</v>
      </c>
      <c r="H38" s="19" t="s">
        <v>78</v>
      </c>
      <c r="I38" s="19" t="s">
        <v>102</v>
      </c>
      <c r="J38" s="19" t="s">
        <v>102</v>
      </c>
      <c r="K38" s="19" t="s">
        <v>102</v>
      </c>
      <c r="L38" s="19" t="s">
        <v>102</v>
      </c>
      <c r="M38" s="4" t="s">
        <v>81</v>
      </c>
      <c r="N38" s="11">
        <f>IFERROR(VLOOKUP(M38,ShipShapeEnum!$H:$I,2,FALSE),"-")</f>
        <v>1</v>
      </c>
      <c r="O38" s="11" t="s">
        <v>2688</v>
      </c>
      <c r="P38" s="30"/>
      <c r="Q38" s="11" t="str">
        <f>IFERROR(INDEX(SailPattern!$A:$A,MATCH(P38,SailPattern!$B:$B,0)),"-")</f>
        <v>-</v>
      </c>
      <c r="R38" s="30"/>
      <c r="S38" s="11" t="str">
        <f>IFERROR(INDEX(SailCrest!$A:$A,MATCH(R38,SailCrest!$B:$B,0)),"-")</f>
        <v>-</v>
      </c>
      <c r="T38" s="19" t="s">
        <v>0</v>
      </c>
      <c r="U38" s="19" t="s">
        <v>0</v>
      </c>
      <c r="V38" s="19" t="s">
        <v>0</v>
      </c>
      <c r="W38" s="19" t="s">
        <v>86</v>
      </c>
      <c r="X38" s="19" t="s">
        <v>92</v>
      </c>
      <c r="Y38" s="19" t="s">
        <v>93</v>
      </c>
      <c r="Z38" s="19" t="s">
        <v>78</v>
      </c>
      <c r="AA38" s="19" t="s">
        <v>78</v>
      </c>
    </row>
    <row r="39" spans="1:27" ht="15">
      <c r="A39" s="10">
        <f t="shared" si="0"/>
        <v>46000030</v>
      </c>
      <c r="B39" s="4" t="s">
        <v>122</v>
      </c>
      <c r="C39" s="4" t="s">
        <v>62</v>
      </c>
      <c r="D39" s="11">
        <f>IFERROR(VLOOKUP(C39,ShipShapeEnum!$E:$F,2,FALSE),"-")</f>
        <v>1</v>
      </c>
      <c r="E39" s="19" t="s">
        <v>117</v>
      </c>
      <c r="F39" s="4" t="s">
        <v>61</v>
      </c>
      <c r="G39" s="11">
        <f>IFERROR(VLOOKUP(F39,ShipShapeEnum!$B:$C,2,FALSE),"-")</f>
        <v>1</v>
      </c>
      <c r="H39" s="19" t="s">
        <v>78</v>
      </c>
      <c r="I39" s="19" t="s">
        <v>101</v>
      </c>
      <c r="J39" s="19" t="s">
        <v>101</v>
      </c>
      <c r="K39" s="19" t="s">
        <v>101</v>
      </c>
      <c r="L39" s="19" t="s">
        <v>101</v>
      </c>
      <c r="M39" s="4" t="s">
        <v>81</v>
      </c>
      <c r="N39" s="11">
        <f>IFERROR(VLOOKUP(M39,ShipShapeEnum!$H:$I,2,FALSE),"-")</f>
        <v>1</v>
      </c>
      <c r="O39" s="11" t="s">
        <v>2688</v>
      </c>
      <c r="P39" s="30"/>
      <c r="Q39" s="11" t="str">
        <f>IFERROR(INDEX(SailPattern!$A:$A,MATCH(P39,SailPattern!$B:$B,0)),"-")</f>
        <v>-</v>
      </c>
      <c r="R39" s="30"/>
      <c r="S39" s="11" t="str">
        <f>IFERROR(INDEX(SailCrest!$A:$A,MATCH(R39,SailCrest!$B:$B,0)),"-")</f>
        <v>-</v>
      </c>
      <c r="T39" s="19">
        <v>2</v>
      </c>
      <c r="U39" s="19" t="s">
        <v>83</v>
      </c>
      <c r="V39" s="19" t="s">
        <v>87</v>
      </c>
      <c r="W39" s="19" t="s">
        <v>78</v>
      </c>
      <c r="X39" s="19" t="s">
        <v>78</v>
      </c>
      <c r="Y39" s="19" t="s">
        <v>94</v>
      </c>
      <c r="Z39" s="19" t="s">
        <v>91</v>
      </c>
      <c r="AA39" s="19" t="s">
        <v>78</v>
      </c>
    </row>
    <row r="40" spans="1:27" ht="15">
      <c r="A40" s="10">
        <f t="shared" si="0"/>
        <v>46000031</v>
      </c>
      <c r="B40" s="4" t="s">
        <v>123</v>
      </c>
      <c r="C40" s="4" t="s">
        <v>62</v>
      </c>
      <c r="D40" s="11">
        <f>IFERROR(VLOOKUP(C40,ShipShapeEnum!$E:$F,2,FALSE),"-")</f>
        <v>1</v>
      </c>
      <c r="E40" s="19" t="s">
        <v>117</v>
      </c>
      <c r="F40" s="4" t="s">
        <v>61</v>
      </c>
      <c r="G40" s="11">
        <f>IFERROR(VLOOKUP(F40,ShipShapeEnum!$B:$C,2,FALSE),"-")</f>
        <v>1</v>
      </c>
      <c r="H40" s="19" t="s">
        <v>78</v>
      </c>
      <c r="I40" s="19" t="s">
        <v>102</v>
      </c>
      <c r="J40" s="19" t="s">
        <v>102</v>
      </c>
      <c r="K40" s="19" t="s">
        <v>102</v>
      </c>
      <c r="L40" s="19" t="s">
        <v>102</v>
      </c>
      <c r="M40" s="4" t="s">
        <v>81</v>
      </c>
      <c r="N40" s="11">
        <f>IFERROR(VLOOKUP(M40,ShipShapeEnum!$H:$I,2,FALSE),"-")</f>
        <v>1</v>
      </c>
      <c r="O40" s="11" t="s">
        <v>2688</v>
      </c>
      <c r="P40" s="30"/>
      <c r="Q40" s="11" t="str">
        <f>IFERROR(INDEX(SailPattern!$A:$A,MATCH(P40,SailPattern!$B:$B,0)),"-")</f>
        <v>-</v>
      </c>
      <c r="R40" s="30"/>
      <c r="S40" s="11" t="str">
        <f>IFERROR(INDEX(SailCrest!$A:$A,MATCH(R40,SailCrest!$B:$B,0)),"-")</f>
        <v>-</v>
      </c>
      <c r="T40" s="19" t="s">
        <v>0</v>
      </c>
      <c r="U40" s="19" t="s">
        <v>0</v>
      </c>
      <c r="V40" s="19" t="s">
        <v>0</v>
      </c>
      <c r="W40" s="19" t="s">
        <v>78</v>
      </c>
      <c r="X40" s="19" t="s">
        <v>78</v>
      </c>
      <c r="Y40" s="19" t="s">
        <v>94</v>
      </c>
      <c r="Z40" s="19" t="s">
        <v>91</v>
      </c>
      <c r="AA40" s="19" t="s">
        <v>78</v>
      </c>
    </row>
    <row r="41" spans="1:27" ht="15">
      <c r="A41" s="10">
        <f t="shared" si="0"/>
        <v>46000032</v>
      </c>
      <c r="B41" s="4" t="s">
        <v>125</v>
      </c>
      <c r="C41" s="4" t="s">
        <v>62</v>
      </c>
      <c r="D41" s="11">
        <f>IFERROR(VLOOKUP(C41,ShipShapeEnum!$E:$F,2,FALSE),"-")</f>
        <v>1</v>
      </c>
      <c r="E41" s="19" t="s">
        <v>124</v>
      </c>
      <c r="F41" s="4" t="s">
        <v>61</v>
      </c>
      <c r="G41" s="11">
        <f>IFERROR(VLOOKUP(F41,ShipShapeEnum!$B:$C,2,FALSE),"-")</f>
        <v>1</v>
      </c>
      <c r="H41" s="19" t="s">
        <v>78</v>
      </c>
      <c r="I41" s="19" t="s">
        <v>102</v>
      </c>
      <c r="J41" s="19" t="s">
        <v>102</v>
      </c>
      <c r="K41" s="19" t="s">
        <v>102</v>
      </c>
      <c r="L41" s="19" t="s">
        <v>102</v>
      </c>
      <c r="M41" s="4" t="s">
        <v>81</v>
      </c>
      <c r="N41" s="11">
        <f>IFERROR(VLOOKUP(M41,ShipShapeEnum!$H:$I,2,FALSE),"-")</f>
        <v>1</v>
      </c>
      <c r="O41" s="11" t="s">
        <v>2688</v>
      </c>
      <c r="P41" s="30"/>
      <c r="Q41" s="11" t="str">
        <f>IFERROR(INDEX(SailPattern!$A:$A,MATCH(P41,SailPattern!$B:$B,0)),"-")</f>
        <v>-</v>
      </c>
      <c r="R41" s="30"/>
      <c r="S41" s="11" t="str">
        <f>IFERROR(INDEX(SailCrest!$A:$A,MATCH(R41,SailCrest!$B:$B,0)),"-")</f>
        <v>-</v>
      </c>
      <c r="T41" s="19">
        <v>2</v>
      </c>
      <c r="U41" s="19" t="s">
        <v>103</v>
      </c>
      <c r="V41" s="19" t="s">
        <v>78</v>
      </c>
      <c r="W41" s="19" t="s">
        <v>86</v>
      </c>
      <c r="X41" s="19" t="s">
        <v>92</v>
      </c>
      <c r="Y41" s="19" t="s">
        <v>93</v>
      </c>
      <c r="Z41" s="19" t="s">
        <v>78</v>
      </c>
      <c r="AA41" s="19" t="s">
        <v>78</v>
      </c>
    </row>
    <row r="42" spans="1:27" ht="15">
      <c r="A42" s="10">
        <f t="shared" si="0"/>
        <v>46000033</v>
      </c>
      <c r="B42" s="4" t="s">
        <v>126</v>
      </c>
      <c r="C42" s="4" t="s">
        <v>62</v>
      </c>
      <c r="D42" s="11">
        <f>IFERROR(VLOOKUP(C42,ShipShapeEnum!$E:$F,2,FALSE),"-")</f>
        <v>1</v>
      </c>
      <c r="E42" s="19" t="s">
        <v>124</v>
      </c>
      <c r="F42" s="4" t="s">
        <v>61</v>
      </c>
      <c r="G42" s="11">
        <f>IFERROR(VLOOKUP(F42,ShipShapeEnum!$B:$C,2,FALSE),"-")</f>
        <v>1</v>
      </c>
      <c r="H42" s="19" t="s">
        <v>78</v>
      </c>
      <c r="I42" s="19" t="s">
        <v>101</v>
      </c>
      <c r="J42" s="19" t="s">
        <v>101</v>
      </c>
      <c r="K42" s="19" t="s">
        <v>101</v>
      </c>
      <c r="L42" s="19" t="s">
        <v>101</v>
      </c>
      <c r="M42" s="4" t="s">
        <v>81</v>
      </c>
      <c r="N42" s="11">
        <f>IFERROR(VLOOKUP(M42,ShipShapeEnum!$H:$I,2,FALSE),"-")</f>
        <v>1</v>
      </c>
      <c r="O42" s="11" t="s">
        <v>2688</v>
      </c>
      <c r="P42" s="30"/>
      <c r="Q42" s="11" t="str">
        <f>IFERROR(INDEX(SailPattern!$A:$A,MATCH(P42,SailPattern!$B:$B,0)),"-")</f>
        <v>-</v>
      </c>
      <c r="R42" s="30"/>
      <c r="S42" s="11" t="str">
        <f>IFERROR(INDEX(SailCrest!$A:$A,MATCH(R42,SailCrest!$B:$B,0)),"-")</f>
        <v>-</v>
      </c>
      <c r="T42" s="19" t="s">
        <v>0</v>
      </c>
      <c r="U42" s="19" t="s">
        <v>0</v>
      </c>
      <c r="V42" s="19" t="s">
        <v>87</v>
      </c>
      <c r="W42" s="19" t="s">
        <v>78</v>
      </c>
      <c r="X42" s="19" t="s">
        <v>78</v>
      </c>
      <c r="Y42" s="19" t="s">
        <v>94</v>
      </c>
      <c r="Z42" s="19" t="s">
        <v>91</v>
      </c>
      <c r="AA42" s="19" t="s">
        <v>78</v>
      </c>
    </row>
    <row r="43" spans="1:27" ht="15">
      <c r="A43" s="10">
        <f t="shared" si="0"/>
        <v>46000034</v>
      </c>
      <c r="B43" s="4" t="s">
        <v>127</v>
      </c>
      <c r="C43" s="4" t="s">
        <v>62</v>
      </c>
      <c r="D43" s="11">
        <f>IFERROR(VLOOKUP(C43,ShipShapeEnum!$E:$F,2,FALSE),"-")</f>
        <v>1</v>
      </c>
      <c r="E43" s="19" t="s">
        <v>124</v>
      </c>
      <c r="F43" s="4" t="s">
        <v>61</v>
      </c>
      <c r="G43" s="11">
        <f>IFERROR(VLOOKUP(F43,ShipShapeEnum!$B:$C,2,FALSE),"-")</f>
        <v>1</v>
      </c>
      <c r="H43" s="19" t="s">
        <v>78</v>
      </c>
      <c r="I43" s="19" t="s">
        <v>102</v>
      </c>
      <c r="J43" s="19" t="s">
        <v>102</v>
      </c>
      <c r="K43" s="19" t="s">
        <v>102</v>
      </c>
      <c r="L43" s="19" t="s">
        <v>102</v>
      </c>
      <c r="M43" s="4" t="s">
        <v>81</v>
      </c>
      <c r="N43" s="11">
        <f>IFERROR(VLOOKUP(M43,ShipShapeEnum!$H:$I,2,FALSE),"-")</f>
        <v>1</v>
      </c>
      <c r="O43" s="11" t="s">
        <v>2688</v>
      </c>
      <c r="P43" s="30"/>
      <c r="Q43" s="11" t="str">
        <f>IFERROR(INDEX(SailPattern!$A:$A,MATCH(P43,SailPattern!$B:$B,0)),"-")</f>
        <v>-</v>
      </c>
      <c r="R43" s="30"/>
      <c r="S43" s="11" t="str">
        <f>IFERROR(INDEX(SailCrest!$A:$A,MATCH(R43,SailCrest!$B:$B,0)),"-")</f>
        <v>-</v>
      </c>
      <c r="T43" s="19">
        <v>2</v>
      </c>
      <c r="U43" s="19" t="s">
        <v>82</v>
      </c>
      <c r="V43" s="19" t="s">
        <v>87</v>
      </c>
      <c r="W43" s="19" t="s">
        <v>78</v>
      </c>
      <c r="X43" s="19" t="s">
        <v>78</v>
      </c>
      <c r="Y43" s="19" t="s">
        <v>94</v>
      </c>
      <c r="Z43" s="19" t="s">
        <v>91</v>
      </c>
      <c r="AA43" s="19" t="s">
        <v>78</v>
      </c>
    </row>
    <row r="44" spans="1:27" ht="15">
      <c r="A44" s="10">
        <f t="shared" si="0"/>
        <v>46000035</v>
      </c>
      <c r="B44" s="4" t="s">
        <v>128</v>
      </c>
      <c r="C44" s="4" t="s">
        <v>62</v>
      </c>
      <c r="D44" s="11">
        <f>IFERROR(VLOOKUP(C44,ShipShapeEnum!$E:$F,2,FALSE),"-")</f>
        <v>1</v>
      </c>
      <c r="E44" s="19" t="s">
        <v>124</v>
      </c>
      <c r="F44" s="4" t="s">
        <v>61</v>
      </c>
      <c r="G44" s="11">
        <f>IFERROR(VLOOKUP(F44,ShipShapeEnum!$B:$C,2,FALSE),"-")</f>
        <v>1</v>
      </c>
      <c r="H44" s="19" t="s">
        <v>78</v>
      </c>
      <c r="I44" s="19" t="s">
        <v>102</v>
      </c>
      <c r="J44" s="19" t="s">
        <v>102</v>
      </c>
      <c r="K44" s="19" t="s">
        <v>102</v>
      </c>
      <c r="L44" s="19" t="s">
        <v>102</v>
      </c>
      <c r="M44" s="4" t="s">
        <v>81</v>
      </c>
      <c r="N44" s="11">
        <f>IFERROR(VLOOKUP(M44,ShipShapeEnum!$H:$I,2,FALSE),"-")</f>
        <v>1</v>
      </c>
      <c r="O44" s="11" t="s">
        <v>2688</v>
      </c>
      <c r="P44" s="30"/>
      <c r="Q44" s="11" t="str">
        <f>IFERROR(INDEX(SailPattern!$A:$A,MATCH(P44,SailPattern!$B:$B,0)),"-")</f>
        <v>-</v>
      </c>
      <c r="R44" s="30"/>
      <c r="S44" s="11" t="str">
        <f>IFERROR(INDEX(SailCrest!$A:$A,MATCH(R44,SailCrest!$B:$B,0)),"-")</f>
        <v>-</v>
      </c>
      <c r="T44" s="19" t="s">
        <v>0</v>
      </c>
      <c r="U44" s="19" t="s">
        <v>0</v>
      </c>
      <c r="V44" s="19" t="s">
        <v>0</v>
      </c>
      <c r="W44" s="19" t="s">
        <v>86</v>
      </c>
      <c r="X44" s="19" t="s">
        <v>92</v>
      </c>
      <c r="Y44" s="19" t="s">
        <v>93</v>
      </c>
      <c r="Z44" s="19" t="s">
        <v>78</v>
      </c>
      <c r="AA44" s="19" t="s">
        <v>78</v>
      </c>
    </row>
    <row r="45" spans="1:27" ht="15">
      <c r="A45" s="10">
        <f t="shared" si="0"/>
        <v>46000036</v>
      </c>
      <c r="B45" s="4" t="s">
        <v>129</v>
      </c>
      <c r="C45" s="4" t="s">
        <v>62</v>
      </c>
      <c r="D45" s="11">
        <f>IFERROR(VLOOKUP(C45,ShipShapeEnum!$E:$F,2,FALSE),"-")</f>
        <v>1</v>
      </c>
      <c r="E45" s="19" t="s">
        <v>124</v>
      </c>
      <c r="F45" s="4" t="s">
        <v>61</v>
      </c>
      <c r="G45" s="11">
        <f>IFERROR(VLOOKUP(F45,ShipShapeEnum!$B:$C,2,FALSE),"-")</f>
        <v>1</v>
      </c>
      <c r="H45" s="19" t="s">
        <v>78</v>
      </c>
      <c r="I45" s="19" t="s">
        <v>101</v>
      </c>
      <c r="J45" s="19" t="s">
        <v>101</v>
      </c>
      <c r="K45" s="19" t="s">
        <v>101</v>
      </c>
      <c r="L45" s="19" t="s">
        <v>101</v>
      </c>
      <c r="M45" s="4" t="s">
        <v>81</v>
      </c>
      <c r="N45" s="11">
        <f>IFERROR(VLOOKUP(M45,ShipShapeEnum!$H:$I,2,FALSE),"-")</f>
        <v>1</v>
      </c>
      <c r="O45" s="11" t="s">
        <v>2688</v>
      </c>
      <c r="P45" s="30"/>
      <c r="Q45" s="11" t="str">
        <f>IFERROR(INDEX(SailPattern!$A:$A,MATCH(P45,SailPattern!$B:$B,0)),"-")</f>
        <v>-</v>
      </c>
      <c r="R45" s="30"/>
      <c r="S45" s="11" t="str">
        <f>IFERROR(INDEX(SailCrest!$A:$A,MATCH(R45,SailCrest!$B:$B,0)),"-")</f>
        <v>-</v>
      </c>
      <c r="T45" s="19">
        <v>2</v>
      </c>
      <c r="U45" s="19" t="s">
        <v>83</v>
      </c>
      <c r="V45" s="19" t="s">
        <v>87</v>
      </c>
      <c r="W45" s="19" t="s">
        <v>78</v>
      </c>
      <c r="X45" s="19" t="s">
        <v>78</v>
      </c>
      <c r="Y45" s="19" t="s">
        <v>94</v>
      </c>
      <c r="Z45" s="19" t="s">
        <v>91</v>
      </c>
      <c r="AA45" s="19" t="s">
        <v>78</v>
      </c>
    </row>
    <row r="46" spans="1:27" ht="15">
      <c r="A46" s="10">
        <f t="shared" si="0"/>
        <v>46000037</v>
      </c>
      <c r="B46" s="4" t="s">
        <v>130</v>
      </c>
      <c r="C46" s="4" t="s">
        <v>62</v>
      </c>
      <c r="D46" s="11">
        <f>IFERROR(VLOOKUP(C46,ShipShapeEnum!$E:$F,2,FALSE),"-")</f>
        <v>1</v>
      </c>
      <c r="E46" s="19" t="s">
        <v>124</v>
      </c>
      <c r="F46" s="4" t="s">
        <v>61</v>
      </c>
      <c r="G46" s="11">
        <f>IFERROR(VLOOKUP(F46,ShipShapeEnum!$B:$C,2,FALSE),"-")</f>
        <v>1</v>
      </c>
      <c r="H46" s="19" t="s">
        <v>78</v>
      </c>
      <c r="I46" s="19" t="s">
        <v>102</v>
      </c>
      <c r="J46" s="19" t="s">
        <v>102</v>
      </c>
      <c r="K46" s="19" t="s">
        <v>102</v>
      </c>
      <c r="L46" s="19" t="s">
        <v>102</v>
      </c>
      <c r="M46" s="4" t="s">
        <v>81</v>
      </c>
      <c r="N46" s="11">
        <f>IFERROR(VLOOKUP(M46,ShipShapeEnum!$H:$I,2,FALSE),"-")</f>
        <v>1</v>
      </c>
      <c r="O46" s="11" t="s">
        <v>2688</v>
      </c>
      <c r="P46" s="30"/>
      <c r="Q46" s="11" t="str">
        <f>IFERROR(INDEX(SailPattern!$A:$A,MATCH(P46,SailPattern!$B:$B,0)),"-")</f>
        <v>-</v>
      </c>
      <c r="R46" s="30"/>
      <c r="S46" s="11" t="str">
        <f>IFERROR(INDEX(SailCrest!$A:$A,MATCH(R46,SailCrest!$B:$B,0)),"-")</f>
        <v>-</v>
      </c>
      <c r="T46" s="19" t="s">
        <v>0</v>
      </c>
      <c r="U46" s="19" t="s">
        <v>0</v>
      </c>
      <c r="V46" s="19" t="s">
        <v>0</v>
      </c>
      <c r="W46" s="19" t="s">
        <v>78</v>
      </c>
      <c r="X46" s="19" t="s">
        <v>78</v>
      </c>
      <c r="Y46" s="19" t="s">
        <v>94</v>
      </c>
      <c r="Z46" s="19" t="s">
        <v>91</v>
      </c>
      <c r="AA46" s="19" t="s">
        <v>78</v>
      </c>
    </row>
    <row r="47" spans="1:27" ht="15">
      <c r="A47" s="10">
        <f t="shared" si="0"/>
        <v>46000038</v>
      </c>
      <c r="B47" s="4" t="s">
        <v>157</v>
      </c>
      <c r="C47" s="4" t="s">
        <v>62</v>
      </c>
      <c r="D47" s="11">
        <f>IFERROR(VLOOKUP(C47,ShipShapeEnum!$E:$F,2,FALSE),"-")</f>
        <v>1</v>
      </c>
      <c r="E47" s="19" t="s">
        <v>160</v>
      </c>
      <c r="F47" s="4" t="s">
        <v>61</v>
      </c>
      <c r="G47" s="11">
        <f>IFERROR(VLOOKUP(F47,ShipShapeEnum!$B:$C,2,FALSE),"-")</f>
        <v>1</v>
      </c>
      <c r="H47" s="19" t="s">
        <v>78</v>
      </c>
      <c r="I47" s="19" t="s">
        <v>102</v>
      </c>
      <c r="J47" s="19" t="s">
        <v>102</v>
      </c>
      <c r="K47" s="19" t="s">
        <v>102</v>
      </c>
      <c r="L47" s="19" t="s">
        <v>102</v>
      </c>
      <c r="M47" s="4" t="s">
        <v>81</v>
      </c>
      <c r="N47" s="11">
        <f>IFERROR(VLOOKUP(M47,ShipShapeEnum!$H:$I,2,FALSE),"-")</f>
        <v>1</v>
      </c>
      <c r="O47" s="11" t="s">
        <v>2688</v>
      </c>
      <c r="P47" s="30"/>
      <c r="Q47" s="11" t="str">
        <f>IFERROR(INDEX(SailPattern!$A:$A,MATCH(P47,SailPattern!$B:$B,0)),"-")</f>
        <v>-</v>
      </c>
      <c r="R47" s="30"/>
      <c r="S47" s="11" t="str">
        <f>IFERROR(INDEX(SailCrest!$A:$A,MATCH(R47,SailCrest!$B:$B,0)),"-")</f>
        <v>-</v>
      </c>
      <c r="T47" s="19" t="s">
        <v>0</v>
      </c>
      <c r="U47" s="19" t="s">
        <v>0</v>
      </c>
      <c r="V47" s="19" t="s">
        <v>78</v>
      </c>
      <c r="W47" s="19" t="s">
        <v>86</v>
      </c>
      <c r="X47" s="19" t="s">
        <v>92</v>
      </c>
      <c r="Y47" s="19" t="s">
        <v>93</v>
      </c>
      <c r="Z47" s="19" t="s">
        <v>78</v>
      </c>
      <c r="AA47" s="19" t="s">
        <v>78</v>
      </c>
    </row>
    <row r="48" spans="1:27" ht="15">
      <c r="A48" s="10">
        <f t="shared" si="0"/>
        <v>46000039</v>
      </c>
      <c r="B48" s="4" t="s">
        <v>217</v>
      </c>
      <c r="C48" s="4" t="s">
        <v>62</v>
      </c>
      <c r="D48" s="11">
        <f>IFERROR(VLOOKUP(C48,ShipShapeEnum!$E:$F,2,FALSE),"-")</f>
        <v>1</v>
      </c>
      <c r="E48" s="19" t="s">
        <v>220</v>
      </c>
      <c r="F48" s="4" t="s">
        <v>61</v>
      </c>
      <c r="G48" s="11">
        <v>1</v>
      </c>
      <c r="H48" s="19" t="s">
        <v>24</v>
      </c>
      <c r="I48" s="19" t="s">
        <v>24</v>
      </c>
      <c r="J48" s="19" t="s">
        <v>24</v>
      </c>
      <c r="K48" s="19" t="s">
        <v>24</v>
      </c>
      <c r="L48" s="19" t="s">
        <v>24</v>
      </c>
      <c r="M48" s="4" t="s">
        <v>81</v>
      </c>
      <c r="N48" s="11">
        <f>IFERROR(VLOOKUP(M48,ShipShapeEnum!$H:$I,2,FALSE),"-")</f>
        <v>1</v>
      </c>
      <c r="O48" s="11" t="s">
        <v>2688</v>
      </c>
      <c r="P48" s="30"/>
      <c r="Q48" s="11" t="str">
        <f>IFERROR(INDEX(SailPattern!$A:$A,MATCH(P48,SailPattern!$B:$B,0)),"-")</f>
        <v>-</v>
      </c>
      <c r="R48" s="30"/>
      <c r="S48" s="11" t="str">
        <f>IFERROR(INDEX(SailCrest!$A:$A,MATCH(R48,SailCrest!$B:$B,0)),"-")</f>
        <v>-</v>
      </c>
      <c r="T48" s="19">
        <v>2</v>
      </c>
      <c r="U48" s="19" t="s">
        <v>230</v>
      </c>
      <c r="V48" s="19" t="s">
        <v>24</v>
      </c>
      <c r="W48" s="19" t="s">
        <v>24</v>
      </c>
      <c r="X48" s="19" t="s">
        <v>24</v>
      </c>
      <c r="Y48" s="19" t="s">
        <v>24</v>
      </c>
      <c r="Z48" s="19" t="s">
        <v>24</v>
      </c>
      <c r="AA48" s="19" t="s">
        <v>24</v>
      </c>
    </row>
    <row r="49" spans="1:27" ht="15">
      <c r="A49" s="10">
        <f t="shared" si="0"/>
        <v>46000040</v>
      </c>
      <c r="B49" s="4" t="s">
        <v>218</v>
      </c>
      <c r="C49" s="4" t="s">
        <v>62</v>
      </c>
      <c r="D49" s="11">
        <f>IFERROR(VLOOKUP(C49,ShipShapeEnum!$E:$F,2,FALSE),"-")</f>
        <v>1</v>
      </c>
      <c r="E49" s="19" t="s">
        <v>219</v>
      </c>
      <c r="F49" s="4" t="s">
        <v>61</v>
      </c>
      <c r="G49" s="11">
        <v>1</v>
      </c>
      <c r="H49" s="19" t="s">
        <v>24</v>
      </c>
      <c r="I49" s="19" t="s">
        <v>24</v>
      </c>
      <c r="J49" s="19" t="s">
        <v>24</v>
      </c>
      <c r="K49" s="19" t="s">
        <v>24</v>
      </c>
      <c r="L49" s="19" t="s">
        <v>24</v>
      </c>
      <c r="M49" s="4" t="s">
        <v>81</v>
      </c>
      <c r="N49" s="11">
        <f>IFERROR(VLOOKUP(M49,ShipShapeEnum!$H:$I,2,FALSE),"-")</f>
        <v>1</v>
      </c>
      <c r="O49" s="11" t="s">
        <v>2688</v>
      </c>
      <c r="P49" s="30"/>
      <c r="Q49" s="11" t="str">
        <f>IFERROR(INDEX(SailPattern!$A:$A,MATCH(P49,SailPattern!$B:$B,0)),"-")</f>
        <v>-</v>
      </c>
      <c r="R49" s="30"/>
      <c r="S49" s="11" t="str">
        <f>IFERROR(INDEX(SailCrest!$A:$A,MATCH(R49,SailCrest!$B:$B,0)),"-")</f>
        <v>-</v>
      </c>
      <c r="T49" s="19">
        <v>2</v>
      </c>
      <c r="U49" s="19" t="s">
        <v>103</v>
      </c>
      <c r="V49" s="19" t="s">
        <v>24</v>
      </c>
      <c r="W49" s="19" t="s">
        <v>24</v>
      </c>
      <c r="X49" s="19" t="s">
        <v>24</v>
      </c>
      <c r="Y49" s="19" t="s">
        <v>24</v>
      </c>
      <c r="Z49" s="19" t="s">
        <v>24</v>
      </c>
      <c r="AA49" s="19" t="s">
        <v>24</v>
      </c>
    </row>
    <row r="50" spans="1:27" ht="15">
      <c r="A50" s="10">
        <f t="shared" si="0"/>
        <v>46000041</v>
      </c>
      <c r="B50" s="4" t="s">
        <v>225</v>
      </c>
      <c r="C50" s="4" t="s">
        <v>62</v>
      </c>
      <c r="D50" s="11">
        <f>IFERROR(VLOOKUP(C50,ShipShapeEnum!$E:$F,2,FALSE),"-")</f>
        <v>1</v>
      </c>
      <c r="E50" s="19" t="s">
        <v>226</v>
      </c>
      <c r="F50" s="4" t="s">
        <v>61</v>
      </c>
      <c r="G50" s="11">
        <v>1</v>
      </c>
      <c r="H50" s="19" t="s">
        <v>0</v>
      </c>
      <c r="I50" s="19" t="s">
        <v>0</v>
      </c>
      <c r="J50" s="19" t="s">
        <v>0</v>
      </c>
      <c r="K50" s="19" t="s">
        <v>0</v>
      </c>
      <c r="L50" s="19" t="s">
        <v>0</v>
      </c>
      <c r="M50" s="4" t="s">
        <v>81</v>
      </c>
      <c r="N50" s="11">
        <f>IFERROR(VLOOKUP(M50,ShipShapeEnum!$H:$I,2,FALSE),"-")</f>
        <v>1</v>
      </c>
      <c r="O50" s="11" t="s">
        <v>2688</v>
      </c>
      <c r="P50" s="30"/>
      <c r="Q50" s="11" t="str">
        <f>IFERROR(INDEX(SailPattern!$A:$A,MATCH(P50,SailPattern!$B:$B,0)),"-")</f>
        <v>-</v>
      </c>
      <c r="R50" s="30"/>
      <c r="S50" s="11" t="str">
        <f>IFERROR(INDEX(SailCrest!$A:$A,MATCH(R50,SailCrest!$B:$B,0)),"-")</f>
        <v>-</v>
      </c>
      <c r="T50" s="19" t="s">
        <v>0</v>
      </c>
      <c r="U50" s="19" t="s">
        <v>0</v>
      </c>
      <c r="V50" s="19" t="s">
        <v>0</v>
      </c>
      <c r="W50" s="19" t="s">
        <v>0</v>
      </c>
      <c r="X50" s="19" t="s">
        <v>0</v>
      </c>
      <c r="Y50" s="19" t="s">
        <v>0</v>
      </c>
      <c r="Z50" s="19" t="s">
        <v>0</v>
      </c>
      <c r="AA50" s="19" t="s">
        <v>0</v>
      </c>
    </row>
    <row r="51" spans="1:27" ht="15">
      <c r="A51" s="10">
        <f t="shared" si="0"/>
        <v>46000042</v>
      </c>
      <c r="B51" s="4" t="s">
        <v>228</v>
      </c>
      <c r="C51" s="4" t="s">
        <v>62</v>
      </c>
      <c r="D51" s="11">
        <f>IFERROR(VLOOKUP(C51,ShipShapeEnum!$E:$F,2,FALSE),"-")</f>
        <v>1</v>
      </c>
      <c r="E51" s="19" t="s">
        <v>229</v>
      </c>
      <c r="F51" s="4" t="s">
        <v>61</v>
      </c>
      <c r="G51" s="11">
        <v>1</v>
      </c>
      <c r="H51" s="19" t="s">
        <v>0</v>
      </c>
      <c r="I51" s="19" t="s">
        <v>0</v>
      </c>
      <c r="J51" s="19" t="s">
        <v>0</v>
      </c>
      <c r="K51" s="19" t="s">
        <v>0</v>
      </c>
      <c r="L51" s="19" t="s">
        <v>0</v>
      </c>
      <c r="M51" s="4" t="s">
        <v>81</v>
      </c>
      <c r="N51" s="11">
        <f>IFERROR(VLOOKUP(M51,ShipShapeEnum!$H:$I,2,FALSE),"-")</f>
        <v>1</v>
      </c>
      <c r="O51" s="11" t="s">
        <v>2688</v>
      </c>
      <c r="P51" s="30"/>
      <c r="Q51" s="11" t="str">
        <f>IFERROR(INDEX(SailPattern!$A:$A,MATCH(P51,SailPattern!$B:$B,0)),"-")</f>
        <v>-</v>
      </c>
      <c r="R51" s="30"/>
      <c r="S51" s="11" t="str">
        <f>IFERROR(INDEX(SailCrest!$A:$A,MATCH(R51,SailCrest!$B:$B,0)),"-")</f>
        <v>-</v>
      </c>
      <c r="T51" s="19" t="s">
        <v>0</v>
      </c>
      <c r="U51" s="19" t="s">
        <v>0</v>
      </c>
      <c r="V51" s="19" t="s">
        <v>0</v>
      </c>
      <c r="W51" s="19" t="s">
        <v>0</v>
      </c>
      <c r="X51" s="19" t="s">
        <v>0</v>
      </c>
      <c r="Y51" s="19" t="s">
        <v>0</v>
      </c>
      <c r="Z51" s="19" t="s">
        <v>0</v>
      </c>
      <c r="AA51" s="19" t="s">
        <v>0</v>
      </c>
    </row>
    <row r="52" spans="1:27" ht="15">
      <c r="A52" s="10">
        <f t="shared" si="0"/>
        <v>46000043</v>
      </c>
      <c r="B52" s="4" t="s">
        <v>238</v>
      </c>
      <c r="C52" s="4" t="s">
        <v>62</v>
      </c>
      <c r="D52" s="11">
        <f>IFERROR(VLOOKUP(C52,ShipShapeEnum!$E:$F,2,FALSE),"-")</f>
        <v>1</v>
      </c>
      <c r="E52" s="19" t="s">
        <v>239</v>
      </c>
      <c r="F52" s="4" t="s">
        <v>61</v>
      </c>
      <c r="G52" s="11">
        <v>1</v>
      </c>
      <c r="H52" s="19" t="s">
        <v>0</v>
      </c>
      <c r="I52" s="19" t="s">
        <v>0</v>
      </c>
      <c r="J52" s="19" t="s">
        <v>0</v>
      </c>
      <c r="K52" s="19" t="s">
        <v>0</v>
      </c>
      <c r="L52" s="19" t="s">
        <v>0</v>
      </c>
      <c r="M52" s="4" t="s">
        <v>81</v>
      </c>
      <c r="N52" s="11">
        <f>IFERROR(VLOOKUP(M52,ShipShapeEnum!$H:$I,2,FALSE),"-")</f>
        <v>1</v>
      </c>
      <c r="O52" s="11" t="s">
        <v>2688</v>
      </c>
      <c r="P52" s="30"/>
      <c r="Q52" s="11" t="str">
        <f>IFERROR(INDEX(SailPattern!$A:$A,MATCH(P52,SailPattern!$B:$B,0)),"-")</f>
        <v>-</v>
      </c>
      <c r="R52" s="30"/>
      <c r="S52" s="11" t="str">
        <f>IFERROR(INDEX(SailCrest!$A:$A,MATCH(R52,SailCrest!$B:$B,0)),"-")</f>
        <v>-</v>
      </c>
      <c r="T52" s="19" t="s">
        <v>0</v>
      </c>
      <c r="U52" s="19" t="s">
        <v>0</v>
      </c>
      <c r="V52" s="19" t="s">
        <v>0</v>
      </c>
      <c r="W52" s="19" t="s">
        <v>0</v>
      </c>
      <c r="X52" s="19" t="s">
        <v>0</v>
      </c>
      <c r="Y52" s="19" t="s">
        <v>0</v>
      </c>
      <c r="Z52" s="19" t="s">
        <v>0</v>
      </c>
      <c r="AA52" s="19" t="s">
        <v>0</v>
      </c>
    </row>
    <row r="53" spans="1:27" ht="15">
      <c r="A53" s="10">
        <f t="shared" si="0"/>
        <v>46000044</v>
      </c>
      <c r="B53" s="4" t="s">
        <v>243</v>
      </c>
      <c r="C53" s="4" t="s">
        <v>62</v>
      </c>
      <c r="D53" s="11">
        <f>IFERROR(VLOOKUP(C53,ShipShapeEnum!$E:$F,2,FALSE),"-")</f>
        <v>1</v>
      </c>
      <c r="E53" s="19" t="s">
        <v>244</v>
      </c>
      <c r="F53" s="4" t="s">
        <v>61</v>
      </c>
      <c r="G53" s="11">
        <v>1</v>
      </c>
      <c r="H53" s="19" t="s">
        <v>0</v>
      </c>
      <c r="I53" s="19" t="s">
        <v>0</v>
      </c>
      <c r="J53" s="19" t="s">
        <v>0</v>
      </c>
      <c r="K53" s="19" t="s">
        <v>0</v>
      </c>
      <c r="L53" s="19" t="s">
        <v>0</v>
      </c>
      <c r="M53" s="4" t="s">
        <v>81</v>
      </c>
      <c r="N53" s="11">
        <f>IFERROR(VLOOKUP(M53,ShipShapeEnum!$H:$I,2,FALSE),"-")</f>
        <v>1</v>
      </c>
      <c r="O53" s="11" t="s">
        <v>2688</v>
      </c>
      <c r="P53" s="30"/>
      <c r="Q53" s="11" t="str">
        <f>IFERROR(INDEX(SailPattern!$A:$A,MATCH(P53,SailPattern!$B:$B,0)),"-")</f>
        <v>-</v>
      </c>
      <c r="R53" s="30"/>
      <c r="S53" s="11" t="str">
        <f>IFERROR(INDEX(SailCrest!$A:$A,MATCH(R53,SailCrest!$B:$B,0)),"-")</f>
        <v>-</v>
      </c>
      <c r="T53" s="19" t="s">
        <v>0</v>
      </c>
      <c r="U53" s="19" t="s">
        <v>0</v>
      </c>
      <c r="V53" s="19" t="s">
        <v>0</v>
      </c>
      <c r="W53" s="19" t="s">
        <v>0</v>
      </c>
      <c r="X53" s="19" t="s">
        <v>0</v>
      </c>
      <c r="Y53" s="19" t="s">
        <v>0</v>
      </c>
      <c r="Z53" s="19" t="s">
        <v>0</v>
      </c>
      <c r="AA53" s="19" t="s">
        <v>0</v>
      </c>
    </row>
    <row r="54" spans="1:27" ht="15">
      <c r="A54" s="10">
        <f t="shared" si="0"/>
        <v>46000045</v>
      </c>
      <c r="B54" s="4" t="s">
        <v>248</v>
      </c>
      <c r="C54" s="4" t="s">
        <v>62</v>
      </c>
      <c r="D54" s="11">
        <f>IFERROR(VLOOKUP(C54,ShipShapeEnum!$E:$F,2,FALSE),"-")</f>
        <v>1</v>
      </c>
      <c r="E54" s="19" t="s">
        <v>247</v>
      </c>
      <c r="F54" s="4" t="s">
        <v>61</v>
      </c>
      <c r="G54" s="11">
        <v>1</v>
      </c>
      <c r="H54" s="19" t="s">
        <v>0</v>
      </c>
      <c r="I54" s="19" t="s">
        <v>0</v>
      </c>
      <c r="J54" s="19" t="s">
        <v>0</v>
      </c>
      <c r="K54" s="19" t="s">
        <v>0</v>
      </c>
      <c r="L54" s="19" t="s">
        <v>0</v>
      </c>
      <c r="M54" s="4" t="s">
        <v>81</v>
      </c>
      <c r="N54" s="11">
        <f>IFERROR(VLOOKUP(M54,ShipShapeEnum!$H:$I,2,FALSE),"-")</f>
        <v>1</v>
      </c>
      <c r="O54" s="11" t="s">
        <v>2688</v>
      </c>
      <c r="P54" s="30"/>
      <c r="Q54" s="11" t="str">
        <f>IFERROR(INDEX(SailPattern!$A:$A,MATCH(P54,SailPattern!$B:$B,0)),"-")</f>
        <v>-</v>
      </c>
      <c r="R54" s="30"/>
      <c r="S54" s="11" t="str">
        <f>IFERROR(INDEX(SailCrest!$A:$A,MATCH(R54,SailCrest!$B:$B,0)),"-")</f>
        <v>-</v>
      </c>
      <c r="T54" s="19" t="s">
        <v>0</v>
      </c>
      <c r="U54" s="19" t="s">
        <v>0</v>
      </c>
      <c r="V54" s="19" t="s">
        <v>0</v>
      </c>
      <c r="W54" s="19" t="s">
        <v>0</v>
      </c>
      <c r="X54" s="19" t="s">
        <v>0</v>
      </c>
      <c r="Y54" s="19" t="s">
        <v>0</v>
      </c>
      <c r="Z54" s="19" t="s">
        <v>0</v>
      </c>
      <c r="AA54" s="19" t="s">
        <v>0</v>
      </c>
    </row>
    <row r="55" spans="1:27" ht="15">
      <c r="A55" s="10">
        <f>A54+1</f>
        <v>46000046</v>
      </c>
      <c r="B55" s="4" t="s">
        <v>267</v>
      </c>
      <c r="C55" s="4" t="s">
        <v>62</v>
      </c>
      <c r="D55" s="11">
        <f>IFERROR(VLOOKUP(C55,ShipShapeEnum!$E:$F,2,FALSE),"-")</f>
        <v>1</v>
      </c>
      <c r="E55" s="19" t="s">
        <v>268</v>
      </c>
      <c r="F55" s="4" t="s">
        <v>61</v>
      </c>
      <c r="G55" s="11">
        <v>1</v>
      </c>
      <c r="H55" s="19" t="s">
        <v>0</v>
      </c>
      <c r="I55" s="19" t="s">
        <v>0</v>
      </c>
      <c r="J55" s="19" t="s">
        <v>0</v>
      </c>
      <c r="K55" s="19" t="s">
        <v>0</v>
      </c>
      <c r="L55" s="19" t="s">
        <v>0</v>
      </c>
      <c r="M55" s="4" t="s">
        <v>81</v>
      </c>
      <c r="N55" s="11">
        <f>IFERROR(VLOOKUP(M55,ShipShapeEnum!$H:$I,2,FALSE),"-")</f>
        <v>1</v>
      </c>
      <c r="O55" s="11" t="s">
        <v>2688</v>
      </c>
      <c r="P55" s="30"/>
      <c r="Q55" s="11" t="str">
        <f>IFERROR(INDEX(SailPattern!$A:$A,MATCH(P55,SailPattern!$B:$B,0)),"-")</f>
        <v>-</v>
      </c>
      <c r="R55" s="30"/>
      <c r="S55" s="11" t="str">
        <f>IFERROR(INDEX(SailCrest!$A:$A,MATCH(R55,SailCrest!$B:$B,0)),"-")</f>
        <v>-</v>
      </c>
      <c r="T55" s="19" t="s">
        <v>0</v>
      </c>
      <c r="U55" s="19" t="s">
        <v>0</v>
      </c>
      <c r="V55" s="19" t="s">
        <v>0</v>
      </c>
      <c r="W55" s="19" t="s">
        <v>0</v>
      </c>
      <c r="X55" s="19" t="s">
        <v>0</v>
      </c>
      <c r="Y55" s="19" t="s">
        <v>0</v>
      </c>
      <c r="Z55" s="19" t="s">
        <v>0</v>
      </c>
      <c r="AA55" s="19" t="s">
        <v>0</v>
      </c>
    </row>
    <row r="56" spans="1:27" ht="15">
      <c r="A56" s="10">
        <f t="shared" si="0"/>
        <v>46000047</v>
      </c>
      <c r="B56" s="4" t="s">
        <v>276</v>
      </c>
      <c r="C56" s="4" t="s">
        <v>62</v>
      </c>
      <c r="D56" s="11">
        <f>IFERROR(VLOOKUP(C56,ShipShapeEnum!$E:$F,2,FALSE),"-")</f>
        <v>1</v>
      </c>
      <c r="E56" s="19" t="s">
        <v>278</v>
      </c>
      <c r="F56" s="4" t="s">
        <v>61</v>
      </c>
      <c r="G56" s="11">
        <f>IFERROR(VLOOKUP(F56,ShipShapeEnum!$B:$C,2,FALSE),"-")</f>
        <v>1</v>
      </c>
      <c r="H56" s="19" t="s">
        <v>0</v>
      </c>
      <c r="I56" s="19" t="s">
        <v>0</v>
      </c>
      <c r="J56" s="19" t="s">
        <v>0</v>
      </c>
      <c r="K56" s="19" t="s">
        <v>0</v>
      </c>
      <c r="L56" s="19" t="s">
        <v>0</v>
      </c>
      <c r="M56" s="4" t="s">
        <v>81</v>
      </c>
      <c r="N56" s="11">
        <f>IFERROR(VLOOKUP(M56,ShipShapeEnum!$H:$I,2,FALSE),"-")</f>
        <v>1</v>
      </c>
      <c r="O56" s="11" t="s">
        <v>2688</v>
      </c>
      <c r="P56" s="30"/>
      <c r="Q56" s="11" t="str">
        <f>IFERROR(INDEX(SailPattern!$A:$A,MATCH(P56,SailPattern!$B:$B,0)),"-")</f>
        <v>-</v>
      </c>
      <c r="R56" s="30"/>
      <c r="S56" s="11" t="str">
        <f>IFERROR(INDEX(SailCrest!$A:$A,MATCH(R56,SailCrest!$B:$B,0)),"-")</f>
        <v>-</v>
      </c>
      <c r="T56" s="19" t="s">
        <v>0</v>
      </c>
      <c r="U56" s="19" t="s">
        <v>0</v>
      </c>
      <c r="V56" s="19" t="s">
        <v>0</v>
      </c>
      <c r="W56" s="19" t="s">
        <v>0</v>
      </c>
      <c r="X56" s="19" t="s">
        <v>0</v>
      </c>
      <c r="Y56" s="19" t="s">
        <v>0</v>
      </c>
      <c r="Z56" s="19" t="s">
        <v>0</v>
      </c>
      <c r="AA56" s="19" t="s">
        <v>0</v>
      </c>
    </row>
    <row r="57" spans="1:27" ht="15">
      <c r="A57" s="10">
        <f t="shared" si="0"/>
        <v>46000048</v>
      </c>
      <c r="B57" s="4" t="s">
        <v>323</v>
      </c>
      <c r="C57" s="4" t="s">
        <v>62</v>
      </c>
      <c r="D57" s="11">
        <f>IFERROR(VLOOKUP(C57,ShipShapeEnum!$E:$F,2,FALSE),"-")</f>
        <v>1</v>
      </c>
      <c r="E57" s="19" t="s">
        <v>284</v>
      </c>
      <c r="F57" s="4" t="s">
        <v>61</v>
      </c>
      <c r="G57" s="11">
        <f>IFERROR(VLOOKUP(F57,ShipShapeEnum!$B:$C,2,FALSE),"-")</f>
        <v>1</v>
      </c>
      <c r="H57" s="19" t="s">
        <v>0</v>
      </c>
      <c r="I57" s="19" t="s">
        <v>0</v>
      </c>
      <c r="J57" s="19" t="s">
        <v>0</v>
      </c>
      <c r="K57" s="19" t="s">
        <v>0</v>
      </c>
      <c r="L57" s="19" t="s">
        <v>0</v>
      </c>
      <c r="M57" s="4" t="s">
        <v>81</v>
      </c>
      <c r="N57" s="11">
        <f>IFERROR(VLOOKUP(M57,ShipShapeEnum!$H:$I,2,FALSE),"-")</f>
        <v>1</v>
      </c>
      <c r="O57" s="11" t="s">
        <v>2688</v>
      </c>
      <c r="P57" s="30"/>
      <c r="Q57" s="11" t="str">
        <f>IFERROR(INDEX(SailPattern!$A:$A,MATCH(P57,SailPattern!$B:$B,0)),"-")</f>
        <v>-</v>
      </c>
      <c r="R57" s="30"/>
      <c r="S57" s="11" t="str">
        <f>IFERROR(INDEX(SailCrest!$A:$A,MATCH(R57,SailCrest!$B:$B,0)),"-")</f>
        <v>-</v>
      </c>
      <c r="T57" s="19" t="s">
        <v>0</v>
      </c>
      <c r="U57" s="19" t="s">
        <v>0</v>
      </c>
      <c r="V57" s="19" t="s">
        <v>0</v>
      </c>
      <c r="W57" s="19" t="s">
        <v>0</v>
      </c>
      <c r="X57" s="19" t="s">
        <v>0</v>
      </c>
      <c r="Y57" s="19" t="s">
        <v>0</v>
      </c>
      <c r="Z57" s="19" t="s">
        <v>0</v>
      </c>
      <c r="AA57" s="19" t="s">
        <v>0</v>
      </c>
    </row>
    <row r="58" spans="1:27" ht="15">
      <c r="A58" s="10">
        <f t="shared" si="0"/>
        <v>46000049</v>
      </c>
      <c r="B58" s="4" t="s">
        <v>286</v>
      </c>
      <c r="C58" s="4" t="s">
        <v>62</v>
      </c>
      <c r="D58" s="11">
        <f>IFERROR(VLOOKUP(C58,ShipShapeEnum!$E:$F,2,FALSE),"-")</f>
        <v>1</v>
      </c>
      <c r="E58" s="19" t="s">
        <v>287</v>
      </c>
      <c r="F58" s="4" t="s">
        <v>61</v>
      </c>
      <c r="G58" s="11">
        <f>IFERROR(VLOOKUP(F58,ShipShapeEnum!$B:$C,2,FALSE),"-")</f>
        <v>1</v>
      </c>
      <c r="H58" s="19" t="s">
        <v>0</v>
      </c>
      <c r="I58" s="19" t="s">
        <v>0</v>
      </c>
      <c r="J58" s="19" t="s">
        <v>0</v>
      </c>
      <c r="K58" s="19" t="s">
        <v>0</v>
      </c>
      <c r="L58" s="19" t="s">
        <v>0</v>
      </c>
      <c r="M58" s="4" t="s">
        <v>81</v>
      </c>
      <c r="N58" s="11">
        <f>IFERROR(VLOOKUP(M58,ShipShapeEnum!$H:$I,2,FALSE),"-")</f>
        <v>1</v>
      </c>
      <c r="O58" s="11" t="s">
        <v>2688</v>
      </c>
      <c r="P58" s="30"/>
      <c r="Q58" s="11" t="str">
        <f>IFERROR(INDEX(SailPattern!$A:$A,MATCH(P58,SailPattern!$B:$B,0)),"-")</f>
        <v>-</v>
      </c>
      <c r="R58" s="30"/>
      <c r="S58" s="11" t="str">
        <f>IFERROR(INDEX(SailCrest!$A:$A,MATCH(R58,SailCrest!$B:$B,0)),"-")</f>
        <v>-</v>
      </c>
      <c r="T58" s="19" t="s">
        <v>0</v>
      </c>
      <c r="U58" s="19" t="s">
        <v>0</v>
      </c>
      <c r="V58" s="19" t="s">
        <v>0</v>
      </c>
      <c r="W58" s="19" t="s">
        <v>0</v>
      </c>
      <c r="X58" s="19" t="s">
        <v>0</v>
      </c>
      <c r="Y58" s="19" t="s">
        <v>0</v>
      </c>
      <c r="Z58" s="19" t="s">
        <v>0</v>
      </c>
      <c r="AA58" s="19" t="s">
        <v>0</v>
      </c>
    </row>
    <row r="59" spans="1:27" ht="15">
      <c r="A59" s="10">
        <f t="shared" si="0"/>
        <v>46000050</v>
      </c>
      <c r="B59" s="4" t="s">
        <v>290</v>
      </c>
      <c r="C59" s="4" t="s">
        <v>62</v>
      </c>
      <c r="D59" s="11">
        <f>IFERROR(VLOOKUP(C59,ShipShapeEnum!$E:$F,2,FALSE),"-")</f>
        <v>1</v>
      </c>
      <c r="E59" s="19" t="s">
        <v>291</v>
      </c>
      <c r="F59" s="4" t="s">
        <v>61</v>
      </c>
      <c r="G59" s="11">
        <f>IFERROR(VLOOKUP(F59,ShipShapeEnum!$B:$C,2,FALSE),"-")</f>
        <v>1</v>
      </c>
      <c r="H59" s="19" t="s">
        <v>0</v>
      </c>
      <c r="I59" s="19" t="s">
        <v>0</v>
      </c>
      <c r="J59" s="19" t="s">
        <v>0</v>
      </c>
      <c r="K59" s="19" t="s">
        <v>0</v>
      </c>
      <c r="L59" s="19" t="s">
        <v>0</v>
      </c>
      <c r="M59" s="4" t="s">
        <v>81</v>
      </c>
      <c r="N59" s="11">
        <f>IFERROR(VLOOKUP(M59,ShipShapeEnum!$H:$I,2,FALSE),"-")</f>
        <v>1</v>
      </c>
      <c r="O59" s="11" t="s">
        <v>2688</v>
      </c>
      <c r="P59" s="30"/>
      <c r="Q59" s="11" t="str">
        <f>IFERROR(INDEX(SailPattern!$A:$A,MATCH(P59,SailPattern!$B:$B,0)),"-")</f>
        <v>-</v>
      </c>
      <c r="R59" s="30"/>
      <c r="S59" s="11" t="str">
        <f>IFERROR(INDEX(SailCrest!$A:$A,MATCH(R59,SailCrest!$B:$B,0)),"-")</f>
        <v>-</v>
      </c>
      <c r="T59" s="19" t="s">
        <v>0</v>
      </c>
      <c r="U59" s="19" t="s">
        <v>0</v>
      </c>
      <c r="V59" s="19" t="s">
        <v>0</v>
      </c>
      <c r="W59" s="19" t="s">
        <v>0</v>
      </c>
      <c r="X59" s="19" t="s">
        <v>0</v>
      </c>
      <c r="Y59" s="19" t="s">
        <v>0</v>
      </c>
      <c r="Z59" s="19" t="s">
        <v>0</v>
      </c>
      <c r="AA59" s="19" t="s">
        <v>0</v>
      </c>
    </row>
    <row r="60" spans="1:27" ht="15">
      <c r="A60" s="10">
        <f t="shared" si="0"/>
        <v>46000051</v>
      </c>
      <c r="B60" s="4" t="s">
        <v>293</v>
      </c>
      <c r="C60" s="4" t="s">
        <v>62</v>
      </c>
      <c r="D60" s="11">
        <f>IFERROR(VLOOKUP(C60,ShipShapeEnum!$E:$F,2,FALSE),"-")</f>
        <v>1</v>
      </c>
      <c r="E60" s="19" t="s">
        <v>294</v>
      </c>
      <c r="F60" s="4" t="s">
        <v>61</v>
      </c>
      <c r="G60" s="11">
        <f>IFERROR(VLOOKUP(F60,ShipShapeEnum!$B:$C,2,FALSE),"-")</f>
        <v>1</v>
      </c>
      <c r="H60" s="19" t="s">
        <v>0</v>
      </c>
      <c r="I60" s="19" t="s">
        <v>0</v>
      </c>
      <c r="J60" s="19" t="s">
        <v>0</v>
      </c>
      <c r="K60" s="19" t="s">
        <v>0</v>
      </c>
      <c r="L60" s="19" t="s">
        <v>0</v>
      </c>
      <c r="M60" s="4" t="s">
        <v>81</v>
      </c>
      <c r="N60" s="11">
        <f>IFERROR(VLOOKUP(M60,ShipShapeEnum!$H:$I,2,FALSE),"-")</f>
        <v>1</v>
      </c>
      <c r="O60" s="11" t="s">
        <v>2688</v>
      </c>
      <c r="P60" s="30"/>
      <c r="Q60" s="11" t="str">
        <f>IFERROR(INDEX(SailPattern!$A:$A,MATCH(P60,SailPattern!$B:$B,0)),"-")</f>
        <v>-</v>
      </c>
      <c r="R60" s="30"/>
      <c r="S60" s="11" t="str">
        <f>IFERROR(INDEX(SailCrest!$A:$A,MATCH(R60,SailCrest!$B:$B,0)),"-")</f>
        <v>-</v>
      </c>
      <c r="T60" s="19" t="s">
        <v>0</v>
      </c>
      <c r="U60" s="19" t="s">
        <v>0</v>
      </c>
      <c r="V60" s="19" t="s">
        <v>0</v>
      </c>
      <c r="W60" s="19" t="s">
        <v>0</v>
      </c>
      <c r="X60" s="19" t="s">
        <v>0</v>
      </c>
      <c r="Y60" s="19" t="s">
        <v>0</v>
      </c>
      <c r="Z60" s="19" t="s">
        <v>0</v>
      </c>
      <c r="AA60" s="19" t="s">
        <v>0</v>
      </c>
    </row>
    <row r="61" spans="1:27" ht="15">
      <c r="A61" s="10">
        <f t="shared" si="0"/>
        <v>46000052</v>
      </c>
      <c r="B61" s="4" t="s">
        <v>297</v>
      </c>
      <c r="C61" s="4" t="s">
        <v>62</v>
      </c>
      <c r="D61" s="11">
        <f>IFERROR(VLOOKUP(C61,ShipShapeEnum!$E:$F,2,FALSE),"-")</f>
        <v>1</v>
      </c>
      <c r="E61" s="19" t="s">
        <v>296</v>
      </c>
      <c r="F61" s="4" t="s">
        <v>61</v>
      </c>
      <c r="G61" s="11">
        <f>IFERROR(VLOOKUP(F61,ShipShapeEnum!$B:$C,2,FALSE),"-")</f>
        <v>1</v>
      </c>
      <c r="H61" s="19" t="s">
        <v>0</v>
      </c>
      <c r="I61" s="19" t="s">
        <v>0</v>
      </c>
      <c r="J61" s="19" t="s">
        <v>0</v>
      </c>
      <c r="K61" s="19" t="s">
        <v>0</v>
      </c>
      <c r="L61" s="19" t="s">
        <v>0</v>
      </c>
      <c r="M61" s="4" t="s">
        <v>81</v>
      </c>
      <c r="N61" s="11">
        <f>IFERROR(VLOOKUP(M61,ShipShapeEnum!$H:$I,2,FALSE),"-")</f>
        <v>1</v>
      </c>
      <c r="O61" s="11" t="s">
        <v>2688</v>
      </c>
      <c r="P61" s="30"/>
      <c r="Q61" s="11" t="str">
        <f>IFERROR(INDEX(SailPattern!$A:$A,MATCH(P61,SailPattern!$B:$B,0)),"-")</f>
        <v>-</v>
      </c>
      <c r="R61" s="30"/>
      <c r="S61" s="11" t="str">
        <f>IFERROR(INDEX(SailCrest!$A:$A,MATCH(R61,SailCrest!$B:$B,0)),"-")</f>
        <v>-</v>
      </c>
      <c r="T61" s="19" t="s">
        <v>0</v>
      </c>
      <c r="U61" s="19" t="s">
        <v>0</v>
      </c>
      <c r="V61" s="19" t="s">
        <v>0</v>
      </c>
      <c r="W61" s="19" t="s">
        <v>0</v>
      </c>
      <c r="X61" s="19" t="s">
        <v>0</v>
      </c>
      <c r="Y61" s="19" t="s">
        <v>0</v>
      </c>
      <c r="Z61" s="19" t="s">
        <v>0</v>
      </c>
      <c r="AA61" s="19" t="s">
        <v>0</v>
      </c>
    </row>
    <row r="62" spans="1:27" ht="15">
      <c r="A62" s="10">
        <f t="shared" si="0"/>
        <v>46000053</v>
      </c>
      <c r="B62" s="4" t="s">
        <v>299</v>
      </c>
      <c r="C62" s="4" t="s">
        <v>62</v>
      </c>
      <c r="D62" s="11">
        <f>IFERROR(VLOOKUP(C62,ShipShapeEnum!$E:$F,2,FALSE),"-")</f>
        <v>1</v>
      </c>
      <c r="E62" s="19" t="s">
        <v>300</v>
      </c>
      <c r="F62" s="4" t="s">
        <v>61</v>
      </c>
      <c r="G62" s="11">
        <f>IFERROR(VLOOKUP(F62,ShipShapeEnum!$B:$C,2,FALSE),"-")</f>
        <v>1</v>
      </c>
      <c r="H62" s="19" t="s">
        <v>0</v>
      </c>
      <c r="I62" s="19" t="s">
        <v>0</v>
      </c>
      <c r="J62" s="19" t="s">
        <v>0</v>
      </c>
      <c r="K62" s="19" t="s">
        <v>0</v>
      </c>
      <c r="L62" s="19" t="s">
        <v>0</v>
      </c>
      <c r="M62" s="4" t="s">
        <v>81</v>
      </c>
      <c r="N62" s="11">
        <f>IFERROR(VLOOKUP(M62,ShipShapeEnum!$H:$I,2,FALSE),"-")</f>
        <v>1</v>
      </c>
      <c r="O62" s="11" t="s">
        <v>2688</v>
      </c>
      <c r="P62" s="30"/>
      <c r="Q62" s="11" t="str">
        <f>IFERROR(INDEX(SailPattern!$A:$A,MATCH(P62,SailPattern!$B:$B,0)),"-")</f>
        <v>-</v>
      </c>
      <c r="R62" s="30"/>
      <c r="S62" s="11" t="str">
        <f>IFERROR(INDEX(SailCrest!$A:$A,MATCH(R62,SailCrest!$B:$B,0)),"-")</f>
        <v>-</v>
      </c>
      <c r="T62" s="19" t="s">
        <v>0</v>
      </c>
      <c r="U62" s="19" t="s">
        <v>0</v>
      </c>
      <c r="V62" s="19" t="s">
        <v>0</v>
      </c>
      <c r="W62" s="19" t="s">
        <v>0</v>
      </c>
      <c r="X62" s="19" t="s">
        <v>0</v>
      </c>
      <c r="Y62" s="19" t="s">
        <v>0</v>
      </c>
      <c r="Z62" s="19" t="s">
        <v>0</v>
      </c>
      <c r="AA62" s="19" t="s">
        <v>0</v>
      </c>
    </row>
    <row r="63" spans="1:27" ht="15">
      <c r="A63" s="10">
        <f t="shared" si="0"/>
        <v>46000054</v>
      </c>
      <c r="B63" s="4" t="s">
        <v>305</v>
      </c>
      <c r="C63" s="4" t="s">
        <v>62</v>
      </c>
      <c r="D63" s="11">
        <f>IFERROR(VLOOKUP(C63,ShipShapeEnum!$E:$F,2,FALSE),"-")</f>
        <v>1</v>
      </c>
      <c r="E63" s="19" t="s">
        <v>306</v>
      </c>
      <c r="F63" s="4" t="s">
        <v>61</v>
      </c>
      <c r="G63" s="11">
        <f>IFERROR(VLOOKUP(F63,ShipShapeEnum!$B:$C,2,FALSE),"-")</f>
        <v>1</v>
      </c>
      <c r="H63" s="19" t="s">
        <v>0</v>
      </c>
      <c r="I63" s="19" t="s">
        <v>0</v>
      </c>
      <c r="J63" s="19" t="s">
        <v>0</v>
      </c>
      <c r="K63" s="19" t="s">
        <v>0</v>
      </c>
      <c r="L63" s="19" t="s">
        <v>0</v>
      </c>
      <c r="M63" s="4" t="s">
        <v>81</v>
      </c>
      <c r="N63" s="11">
        <f>IFERROR(VLOOKUP(M63,ShipShapeEnum!$H:$I,2,FALSE),"-")</f>
        <v>1</v>
      </c>
      <c r="O63" s="11" t="s">
        <v>2688</v>
      </c>
      <c r="P63" s="30"/>
      <c r="Q63" s="11" t="str">
        <f>IFERROR(INDEX(SailPattern!$A:$A,MATCH(P63,SailPattern!$B:$B,0)),"-")</f>
        <v>-</v>
      </c>
      <c r="R63" s="30"/>
      <c r="S63" s="11" t="str">
        <f>IFERROR(INDEX(SailCrest!$A:$A,MATCH(R63,SailCrest!$B:$B,0)),"-")</f>
        <v>-</v>
      </c>
      <c r="T63" s="19" t="s">
        <v>0</v>
      </c>
      <c r="U63" s="19" t="s">
        <v>0</v>
      </c>
      <c r="V63" s="19" t="s">
        <v>0</v>
      </c>
      <c r="W63" s="19" t="s">
        <v>0</v>
      </c>
      <c r="X63" s="19" t="s">
        <v>0</v>
      </c>
      <c r="Y63" s="19" t="s">
        <v>0</v>
      </c>
      <c r="Z63" s="19" t="s">
        <v>0</v>
      </c>
      <c r="AA63" s="19" t="s">
        <v>0</v>
      </c>
    </row>
    <row r="64" spans="1:27" ht="15">
      <c r="A64" s="10">
        <f t="shared" si="0"/>
        <v>46000055</v>
      </c>
      <c r="B64" s="4" t="s">
        <v>310</v>
      </c>
      <c r="C64" s="4" t="s">
        <v>62</v>
      </c>
      <c r="D64" s="11">
        <f>IFERROR(VLOOKUP(C64,ShipShapeEnum!$E:$F,2,FALSE),"-")</f>
        <v>1</v>
      </c>
      <c r="E64" s="19" t="s">
        <v>312</v>
      </c>
      <c r="F64" s="4" t="s">
        <v>61</v>
      </c>
      <c r="G64" s="11">
        <f>IFERROR(VLOOKUP(F64,ShipShapeEnum!$B:$C,2,FALSE),"-")</f>
        <v>1</v>
      </c>
      <c r="H64" s="19" t="s">
        <v>0</v>
      </c>
      <c r="I64" s="19" t="s">
        <v>0</v>
      </c>
      <c r="J64" s="19" t="s">
        <v>0</v>
      </c>
      <c r="K64" s="19" t="s">
        <v>0</v>
      </c>
      <c r="L64" s="19" t="s">
        <v>0</v>
      </c>
      <c r="M64" s="4" t="s">
        <v>81</v>
      </c>
      <c r="N64" s="11">
        <f>IFERROR(VLOOKUP(M64,ShipShapeEnum!$H:$I,2,FALSE),"-")</f>
        <v>1</v>
      </c>
      <c r="O64" s="11" t="s">
        <v>2688</v>
      </c>
      <c r="P64" s="30"/>
      <c r="Q64" s="11" t="str">
        <f>IFERROR(INDEX(SailPattern!$A:$A,MATCH(P64,SailPattern!$B:$B,0)),"-")</f>
        <v>-</v>
      </c>
      <c r="R64" s="30"/>
      <c r="S64" s="11" t="str">
        <f>IFERROR(INDEX(SailCrest!$A:$A,MATCH(R64,SailCrest!$B:$B,0)),"-")</f>
        <v>-</v>
      </c>
      <c r="T64" s="19" t="s">
        <v>0</v>
      </c>
      <c r="U64" s="19" t="s">
        <v>0</v>
      </c>
      <c r="V64" s="19" t="s">
        <v>0</v>
      </c>
      <c r="W64" s="19" t="s">
        <v>0</v>
      </c>
      <c r="X64" s="19" t="s">
        <v>0</v>
      </c>
      <c r="Y64" s="19" t="s">
        <v>0</v>
      </c>
      <c r="Z64" s="19" t="s">
        <v>0</v>
      </c>
      <c r="AA64" s="19" t="s">
        <v>0</v>
      </c>
    </row>
    <row r="65" spans="1:27" ht="15">
      <c r="A65" s="10">
        <f>A64+1</f>
        <v>46000056</v>
      </c>
      <c r="B65" s="4" t="s">
        <v>352</v>
      </c>
      <c r="C65" s="4" t="s">
        <v>62</v>
      </c>
      <c r="D65" s="11">
        <f>IFERROR(VLOOKUP(C65,ShipShapeEnum!$E:$F,2,FALSE),"-")</f>
        <v>1</v>
      </c>
      <c r="E65" s="19" t="s">
        <v>353</v>
      </c>
      <c r="F65" s="4" t="s">
        <v>61</v>
      </c>
      <c r="G65" s="11">
        <f>IFERROR(VLOOKUP(F65,ShipShapeEnum!$B:$C,2,FALSE),"-")</f>
        <v>1</v>
      </c>
      <c r="H65" s="19" t="s">
        <v>0</v>
      </c>
      <c r="I65" s="19" t="s">
        <v>0</v>
      </c>
      <c r="J65" s="19" t="s">
        <v>0</v>
      </c>
      <c r="K65" s="19" t="s">
        <v>0</v>
      </c>
      <c r="L65" s="19" t="s">
        <v>0</v>
      </c>
      <c r="M65" s="4" t="s">
        <v>81</v>
      </c>
      <c r="N65" s="11">
        <f>IFERROR(VLOOKUP(M65,ShipShapeEnum!$H:$I,2,FALSE),"-")</f>
        <v>1</v>
      </c>
      <c r="O65" s="11" t="s">
        <v>2688</v>
      </c>
      <c r="P65" s="30"/>
      <c r="Q65" s="11" t="str">
        <f>IFERROR(INDEX(SailPattern!$A:$A,MATCH(P65,SailPattern!$B:$B,0)),"-")</f>
        <v>-</v>
      </c>
      <c r="R65" s="30"/>
      <c r="S65" s="11" t="str">
        <f>IFERROR(INDEX(SailCrest!$A:$A,MATCH(R65,SailCrest!$B:$B,0)),"-")</f>
        <v>-</v>
      </c>
      <c r="T65" s="19" t="s">
        <v>0</v>
      </c>
      <c r="U65" s="19" t="s">
        <v>0</v>
      </c>
      <c r="V65" s="19" t="s">
        <v>0</v>
      </c>
      <c r="W65" s="19" t="s">
        <v>0</v>
      </c>
      <c r="X65" s="19" t="s">
        <v>0</v>
      </c>
      <c r="Y65" s="19" t="s">
        <v>0</v>
      </c>
      <c r="Z65" s="19" t="s">
        <v>0</v>
      </c>
      <c r="AA65" s="19" t="s">
        <v>0</v>
      </c>
    </row>
    <row r="66" spans="1:27" ht="15">
      <c r="A66" s="10">
        <f t="shared" si="0"/>
        <v>46000057</v>
      </c>
      <c r="B66" s="40" t="s">
        <v>361</v>
      </c>
      <c r="C66" s="4" t="s">
        <v>62</v>
      </c>
      <c r="D66" s="11">
        <f>IFERROR(VLOOKUP(C66,ShipShapeEnum!$E:$F,2,FALSE),"-")</f>
        <v>1</v>
      </c>
      <c r="E66" s="19" t="s">
        <v>160</v>
      </c>
      <c r="F66" s="4" t="s">
        <v>61</v>
      </c>
      <c r="G66" s="11">
        <f>IFERROR(VLOOKUP(F66,ShipShapeEnum!$B:$C,2,FALSE),"-")</f>
        <v>1</v>
      </c>
      <c r="H66" s="19" t="s">
        <v>0</v>
      </c>
      <c r="I66" s="19" t="s">
        <v>0</v>
      </c>
      <c r="J66" s="19" t="s">
        <v>0</v>
      </c>
      <c r="K66" s="19" t="s">
        <v>0</v>
      </c>
      <c r="L66" s="19" t="s">
        <v>0</v>
      </c>
      <c r="M66" s="4" t="s">
        <v>81</v>
      </c>
      <c r="N66" s="11">
        <f>IFERROR(VLOOKUP(M66,ShipShapeEnum!$H:$I,2,FALSE),"-")</f>
        <v>1</v>
      </c>
      <c r="O66" s="11" t="s">
        <v>2688</v>
      </c>
      <c r="P66" s="30"/>
      <c r="Q66" s="11" t="str">
        <f>IFERROR(INDEX(SailPattern!$A:$A,MATCH(P66,SailPattern!$B:$B,0)),"-")</f>
        <v>-</v>
      </c>
      <c r="R66" s="30"/>
      <c r="S66" s="11" t="str">
        <f>IFERROR(INDEX(SailCrest!$A:$A,MATCH(R66,SailCrest!$B:$B,0)),"-")</f>
        <v>-</v>
      </c>
      <c r="T66" s="19">
        <v>2</v>
      </c>
      <c r="U66" s="19" t="s">
        <v>371</v>
      </c>
      <c r="V66" s="19" t="s">
        <v>0</v>
      </c>
      <c r="W66" s="19" t="s">
        <v>0</v>
      </c>
      <c r="X66" s="19" t="s">
        <v>0</v>
      </c>
      <c r="Y66" s="19" t="s">
        <v>0</v>
      </c>
      <c r="Z66" s="19" t="s">
        <v>0</v>
      </c>
      <c r="AA66" s="19" t="s">
        <v>0</v>
      </c>
    </row>
    <row r="67" spans="1:27" ht="15">
      <c r="A67" s="10">
        <f t="shared" si="0"/>
        <v>46000058</v>
      </c>
      <c r="B67" s="40" t="s">
        <v>462</v>
      </c>
      <c r="C67" s="4" t="s">
        <v>62</v>
      </c>
      <c r="D67" s="11">
        <f>IFERROR(VLOOKUP(C67,ShipShapeEnum!$E:$F,2,FALSE),"-")</f>
        <v>1</v>
      </c>
      <c r="E67" s="19" t="s">
        <v>226</v>
      </c>
      <c r="F67" s="4" t="s">
        <v>61</v>
      </c>
      <c r="G67" s="11">
        <v>1</v>
      </c>
      <c r="H67" s="19" t="s">
        <v>0</v>
      </c>
      <c r="I67" s="19" t="s">
        <v>0</v>
      </c>
      <c r="J67" s="19" t="s">
        <v>0</v>
      </c>
      <c r="K67" s="19" t="s">
        <v>0</v>
      </c>
      <c r="L67" s="19" t="s">
        <v>0</v>
      </c>
      <c r="M67" s="4" t="s">
        <v>81</v>
      </c>
      <c r="N67" s="11">
        <f>IFERROR(VLOOKUP(M67,ShipShapeEnum!$H:$I,2,FALSE),"-")</f>
        <v>1</v>
      </c>
      <c r="O67" s="11" t="s">
        <v>2688</v>
      </c>
      <c r="P67" s="30"/>
      <c r="Q67" s="11" t="str">
        <f>IFERROR(INDEX(SailPattern!$A:$A,MATCH(P67,SailPattern!$B:$B,0)),"-")</f>
        <v>-</v>
      </c>
      <c r="R67" s="30"/>
      <c r="S67" s="11" t="str">
        <f>IFERROR(INDEX(SailCrest!$A:$A,MATCH(R67,SailCrest!$B:$B,0)),"-")</f>
        <v>-</v>
      </c>
      <c r="T67" s="19">
        <v>2</v>
      </c>
      <c r="U67" s="19" t="s">
        <v>1570</v>
      </c>
      <c r="V67" s="19" t="s">
        <v>0</v>
      </c>
      <c r="W67" s="19" t="s">
        <v>0</v>
      </c>
      <c r="X67" s="19" t="s">
        <v>0</v>
      </c>
      <c r="Y67" s="19" t="s">
        <v>0</v>
      </c>
      <c r="Z67" s="19" t="s">
        <v>0</v>
      </c>
      <c r="AA67" s="19" t="s">
        <v>0</v>
      </c>
    </row>
    <row r="68" spans="1:27" ht="15">
      <c r="A68" s="10">
        <f t="shared" si="0"/>
        <v>46000059</v>
      </c>
      <c r="B68" s="40" t="s">
        <v>362</v>
      </c>
      <c r="C68" s="4" t="s">
        <v>62</v>
      </c>
      <c r="D68" s="11">
        <f>IFERROR(VLOOKUP(C68,ShipShapeEnum!$E:$F,2,FALSE),"-")</f>
        <v>1</v>
      </c>
      <c r="E68" s="19" t="s">
        <v>239</v>
      </c>
      <c r="F68" s="4" t="s">
        <v>61</v>
      </c>
      <c r="G68" s="11">
        <v>1</v>
      </c>
      <c r="H68" s="19" t="s">
        <v>0</v>
      </c>
      <c r="I68" s="19" t="s">
        <v>0</v>
      </c>
      <c r="J68" s="19" t="s">
        <v>0</v>
      </c>
      <c r="K68" s="19" t="s">
        <v>0</v>
      </c>
      <c r="L68" s="19" t="s">
        <v>0</v>
      </c>
      <c r="M68" s="4" t="s">
        <v>81</v>
      </c>
      <c r="N68" s="11">
        <f>IFERROR(VLOOKUP(M68,ShipShapeEnum!$H:$I,2,FALSE),"-")</f>
        <v>1</v>
      </c>
      <c r="O68" s="11" t="s">
        <v>2688</v>
      </c>
      <c r="P68" s="30"/>
      <c r="Q68" s="11" t="str">
        <f>IFERROR(INDEX(SailPattern!$A:$A,MATCH(P68,SailPattern!$B:$B,0)),"-")</f>
        <v>-</v>
      </c>
      <c r="R68" s="30"/>
      <c r="S68" s="11" t="str">
        <f>IFERROR(INDEX(SailCrest!$A:$A,MATCH(R68,SailCrest!$B:$B,0)),"-")</f>
        <v>-</v>
      </c>
      <c r="T68" s="19">
        <v>2</v>
      </c>
      <c r="U68" s="19" t="s">
        <v>1196</v>
      </c>
      <c r="V68" s="19" t="s">
        <v>0</v>
      </c>
      <c r="W68" s="19" t="s">
        <v>0</v>
      </c>
      <c r="X68" s="19" t="s">
        <v>0</v>
      </c>
      <c r="Y68" s="19" t="s">
        <v>0</v>
      </c>
      <c r="Z68" s="19" t="s">
        <v>0</v>
      </c>
      <c r="AA68" s="19" t="s">
        <v>0</v>
      </c>
    </row>
    <row r="69" spans="1:27" ht="15">
      <c r="A69" s="10">
        <f t="shared" si="0"/>
        <v>46000060</v>
      </c>
      <c r="B69" s="40" t="s">
        <v>363</v>
      </c>
      <c r="C69" s="4" t="s">
        <v>62</v>
      </c>
      <c r="D69" s="11">
        <f>IFERROR(VLOOKUP(C69,ShipShapeEnum!$E:$F,2,FALSE),"-")</f>
        <v>1</v>
      </c>
      <c r="E69" s="19" t="s">
        <v>268</v>
      </c>
      <c r="F69" s="4" t="s">
        <v>61</v>
      </c>
      <c r="G69" s="11">
        <v>1</v>
      </c>
      <c r="H69" s="19" t="s">
        <v>0</v>
      </c>
      <c r="I69" s="19" t="s">
        <v>0</v>
      </c>
      <c r="J69" s="19" t="s">
        <v>0</v>
      </c>
      <c r="K69" s="19" t="s">
        <v>0</v>
      </c>
      <c r="L69" s="19" t="s">
        <v>0</v>
      </c>
      <c r="M69" s="4" t="s">
        <v>81</v>
      </c>
      <c r="N69" s="11">
        <f>IFERROR(VLOOKUP(M69,ShipShapeEnum!$H:$I,2,FALSE),"-")</f>
        <v>1</v>
      </c>
      <c r="O69" s="11" t="s">
        <v>2688</v>
      </c>
      <c r="P69" s="30"/>
      <c r="Q69" s="11" t="str">
        <f>IFERROR(INDEX(SailPattern!$A:$A,MATCH(P69,SailPattern!$B:$B,0)),"-")</f>
        <v>-</v>
      </c>
      <c r="R69" s="30"/>
      <c r="S69" s="11" t="str">
        <f>IFERROR(INDEX(SailCrest!$A:$A,MATCH(R69,SailCrest!$B:$B,0)),"-")</f>
        <v>-</v>
      </c>
      <c r="T69" s="19">
        <v>2</v>
      </c>
      <c r="U69" s="19" t="s">
        <v>1571</v>
      </c>
      <c r="V69" s="19" t="s">
        <v>0</v>
      </c>
      <c r="W69" s="19" t="s">
        <v>0</v>
      </c>
      <c r="X69" s="19" t="s">
        <v>0</v>
      </c>
      <c r="Y69" s="19" t="s">
        <v>0</v>
      </c>
      <c r="Z69" s="19" t="s">
        <v>0</v>
      </c>
      <c r="AA69" s="19" t="s">
        <v>0</v>
      </c>
    </row>
    <row r="70" spans="1:27" ht="15">
      <c r="A70" s="10">
        <f t="shared" si="0"/>
        <v>46000061</v>
      </c>
      <c r="B70" s="40" t="s">
        <v>364</v>
      </c>
      <c r="C70" s="4" t="s">
        <v>62</v>
      </c>
      <c r="D70" s="11">
        <f>IFERROR(VLOOKUP(C70,ShipShapeEnum!$E:$F,2,FALSE),"-")</f>
        <v>1</v>
      </c>
      <c r="E70" s="19" t="s">
        <v>268</v>
      </c>
      <c r="F70" s="4" t="s">
        <v>61</v>
      </c>
      <c r="G70" s="11">
        <v>1</v>
      </c>
      <c r="H70" s="19" t="s">
        <v>0</v>
      </c>
      <c r="I70" s="19" t="s">
        <v>0</v>
      </c>
      <c r="J70" s="19" t="s">
        <v>0</v>
      </c>
      <c r="K70" s="19" t="s">
        <v>0</v>
      </c>
      <c r="L70" s="19" t="s">
        <v>0</v>
      </c>
      <c r="M70" s="4" t="s">
        <v>81</v>
      </c>
      <c r="N70" s="11">
        <f>IFERROR(VLOOKUP(M70,ShipShapeEnum!$H:$I,2,FALSE),"-")</f>
        <v>1</v>
      </c>
      <c r="O70" s="11" t="s">
        <v>2688</v>
      </c>
      <c r="P70" s="30"/>
      <c r="Q70" s="11" t="str">
        <f>IFERROR(INDEX(SailPattern!$A:$A,MATCH(P70,SailPattern!$B:$B,0)),"-")</f>
        <v>-</v>
      </c>
      <c r="R70" s="30"/>
      <c r="S70" s="11" t="str">
        <f>IFERROR(INDEX(SailCrest!$A:$A,MATCH(R70,SailCrest!$B:$B,0)),"-")</f>
        <v>-</v>
      </c>
      <c r="T70" s="19">
        <v>2</v>
      </c>
      <c r="U70" s="19" t="s">
        <v>365</v>
      </c>
      <c r="V70" s="19" t="s">
        <v>0</v>
      </c>
      <c r="W70" s="19" t="s">
        <v>0</v>
      </c>
      <c r="X70" s="19" t="s">
        <v>0</v>
      </c>
      <c r="Y70" s="19" t="s">
        <v>0</v>
      </c>
      <c r="Z70" s="19" t="s">
        <v>0</v>
      </c>
      <c r="AA70" s="19" t="s">
        <v>0</v>
      </c>
    </row>
    <row r="71" spans="1:27" ht="15">
      <c r="A71" s="10">
        <f t="shared" si="0"/>
        <v>46000062</v>
      </c>
      <c r="B71" s="40" t="s">
        <v>366</v>
      </c>
      <c r="C71" s="4" t="s">
        <v>62</v>
      </c>
      <c r="D71" s="11">
        <f>IFERROR(VLOOKUP(C71,ShipShapeEnum!$E:$F,2,FALSE),"-")</f>
        <v>1</v>
      </c>
      <c r="E71" s="19" t="s">
        <v>563</v>
      </c>
      <c r="F71" s="4" t="s">
        <v>61</v>
      </c>
      <c r="G71" s="11">
        <f>IFERROR(VLOOKUP(F71,ShipShapeEnum!$B:$C,2,FALSE),"-")</f>
        <v>1</v>
      </c>
      <c r="H71" s="19" t="s">
        <v>0</v>
      </c>
      <c r="I71" s="19" t="s">
        <v>0</v>
      </c>
      <c r="J71" s="19" t="s">
        <v>0</v>
      </c>
      <c r="K71" s="19" t="s">
        <v>0</v>
      </c>
      <c r="L71" s="19" t="s">
        <v>0</v>
      </c>
      <c r="M71" s="4" t="s">
        <v>81</v>
      </c>
      <c r="N71" s="11">
        <f>IFERROR(VLOOKUP(M71,ShipShapeEnum!$H:$I,2,FALSE),"-")</f>
        <v>1</v>
      </c>
      <c r="O71" s="11" t="s">
        <v>2688</v>
      </c>
      <c r="P71" s="30"/>
      <c r="Q71" s="11" t="str">
        <f>IFERROR(INDEX(SailPattern!$A:$A,MATCH(P71,SailPattern!$B:$B,0)),"-")</f>
        <v>-</v>
      </c>
      <c r="R71" s="30"/>
      <c r="S71" s="11" t="str">
        <f>IFERROR(INDEX(SailCrest!$A:$A,MATCH(R71,SailCrest!$B:$B,0)),"-")</f>
        <v>-</v>
      </c>
      <c r="T71" s="19">
        <v>2</v>
      </c>
      <c r="U71" s="19" t="s">
        <v>1197</v>
      </c>
      <c r="V71" s="19" t="s">
        <v>0</v>
      </c>
      <c r="W71" s="19" t="s">
        <v>0</v>
      </c>
      <c r="X71" s="19" t="s">
        <v>0</v>
      </c>
      <c r="Y71" s="19" t="s">
        <v>0</v>
      </c>
      <c r="Z71" s="19" t="s">
        <v>0</v>
      </c>
      <c r="AA71" s="19" t="s">
        <v>0</v>
      </c>
    </row>
    <row r="72" spans="1:27" ht="15">
      <c r="A72" s="10">
        <f t="shared" si="0"/>
        <v>46000063</v>
      </c>
      <c r="B72" s="39" t="s">
        <v>537</v>
      </c>
      <c r="C72" s="4" t="s">
        <v>62</v>
      </c>
      <c r="D72" s="11">
        <f>IFERROR(VLOOKUP(C72,ShipShapeEnum!$E:$F,2,FALSE),"-")</f>
        <v>1</v>
      </c>
      <c r="E72" s="19" t="s">
        <v>244</v>
      </c>
      <c r="F72" s="4" t="s">
        <v>61</v>
      </c>
      <c r="G72" s="11">
        <f>IFERROR(VLOOKUP(F72,ShipShapeEnum!$B:$C,2,FALSE),"-")</f>
        <v>1</v>
      </c>
      <c r="H72" s="19" t="s">
        <v>0</v>
      </c>
      <c r="I72" s="19" t="s">
        <v>0</v>
      </c>
      <c r="J72" s="19" t="s">
        <v>0</v>
      </c>
      <c r="K72" s="19" t="s">
        <v>0</v>
      </c>
      <c r="L72" s="19" t="s">
        <v>0</v>
      </c>
      <c r="M72" s="4" t="s">
        <v>81</v>
      </c>
      <c r="N72" s="11">
        <f>IFERROR(VLOOKUP(M72,ShipShapeEnum!$H:$I,2,FALSE),"-")</f>
        <v>1</v>
      </c>
      <c r="O72" s="11" t="s">
        <v>2688</v>
      </c>
      <c r="P72" s="30" t="s">
        <v>1246</v>
      </c>
      <c r="Q72" s="11">
        <f>IFERROR(INDEX(SailPattern!$A:$A,MATCH(P72,SailPattern!$B:$B,0)),"-")</f>
        <v>47290001</v>
      </c>
      <c r="R72" s="30"/>
      <c r="S72" s="11" t="str">
        <f>IFERROR(INDEX(SailCrest!$A:$A,MATCH(R72,SailCrest!$B:$B,0)),"-")</f>
        <v>-</v>
      </c>
      <c r="T72" s="19">
        <v>2</v>
      </c>
      <c r="U72" s="19" t="s">
        <v>103</v>
      </c>
      <c r="V72" s="19" t="s">
        <v>545</v>
      </c>
      <c r="W72" s="19" t="s">
        <v>545</v>
      </c>
      <c r="X72" s="19" t="s">
        <v>545</v>
      </c>
      <c r="Y72" s="19" t="s">
        <v>545</v>
      </c>
      <c r="Z72" s="19" t="s">
        <v>545</v>
      </c>
      <c r="AA72" s="19" t="s">
        <v>545</v>
      </c>
    </row>
    <row r="73" spans="1:27" ht="15">
      <c r="A73" s="10">
        <f t="shared" si="0"/>
        <v>46000064</v>
      </c>
      <c r="B73" s="39" t="s">
        <v>538</v>
      </c>
      <c r="C73" s="4" t="s">
        <v>62</v>
      </c>
      <c r="D73" s="11">
        <f>IFERROR(VLOOKUP(C73,ShipShapeEnum!$E:$F,2,FALSE),"-")</f>
        <v>1</v>
      </c>
      <c r="E73" s="19" t="s">
        <v>542</v>
      </c>
      <c r="F73" s="4" t="s">
        <v>61</v>
      </c>
      <c r="G73" s="11">
        <f>IFERROR(VLOOKUP(F73,ShipShapeEnum!$B:$C,2,FALSE),"-")</f>
        <v>1</v>
      </c>
      <c r="H73" s="19" t="s">
        <v>0</v>
      </c>
      <c r="I73" s="19" t="s">
        <v>0</v>
      </c>
      <c r="J73" s="19" t="s">
        <v>0</v>
      </c>
      <c r="K73" s="19" t="s">
        <v>0</v>
      </c>
      <c r="L73" s="19" t="s">
        <v>0</v>
      </c>
      <c r="M73" s="4" t="s">
        <v>81</v>
      </c>
      <c r="N73" s="11">
        <f>IFERROR(VLOOKUP(M73,ShipShapeEnum!$H:$I,2,FALSE),"-")</f>
        <v>1</v>
      </c>
      <c r="O73" s="11" t="s">
        <v>2688</v>
      </c>
      <c r="P73" s="30" t="s">
        <v>529</v>
      </c>
      <c r="Q73" s="11">
        <f>IFERROR(INDEX(SailPattern!$A:$A,MATCH(P73,SailPattern!$B:$B,0)),"-")</f>
        <v>47290002</v>
      </c>
      <c r="R73" s="30"/>
      <c r="S73" s="11" t="str">
        <f>IFERROR(INDEX(SailCrest!$A:$A,MATCH(R73,SailCrest!$B:$B,0)),"-")</f>
        <v>-</v>
      </c>
      <c r="T73" s="19" t="s">
        <v>545</v>
      </c>
      <c r="U73" s="19" t="s">
        <v>545</v>
      </c>
      <c r="V73" s="19" t="s">
        <v>545</v>
      </c>
      <c r="W73" s="19" t="s">
        <v>545</v>
      </c>
      <c r="X73" s="19" t="s">
        <v>545</v>
      </c>
      <c r="Y73" s="19" t="s">
        <v>545</v>
      </c>
      <c r="Z73" s="19" t="s">
        <v>545</v>
      </c>
      <c r="AA73" s="19" t="s">
        <v>545</v>
      </c>
    </row>
    <row r="74" spans="1:27" ht="15">
      <c r="A74" s="10">
        <f t="shared" si="0"/>
        <v>46000065</v>
      </c>
      <c r="B74" s="39" t="s">
        <v>1659</v>
      </c>
      <c r="C74" s="4" t="s">
        <v>62</v>
      </c>
      <c r="D74" s="11">
        <f>IFERROR(VLOOKUP(C74,ShipShapeEnum!$E:$F,2,FALSE),"-")</f>
        <v>1</v>
      </c>
      <c r="E74" s="19" t="s">
        <v>100</v>
      </c>
      <c r="F74" s="4" t="s">
        <v>61</v>
      </c>
      <c r="G74" s="11">
        <f>IFERROR(VLOOKUP(F74,ShipShapeEnum!$B:$C,2,FALSE),"-")</f>
        <v>1</v>
      </c>
      <c r="H74" s="19" t="s">
        <v>0</v>
      </c>
      <c r="I74" s="19" t="s">
        <v>0</v>
      </c>
      <c r="J74" s="19" t="s">
        <v>0</v>
      </c>
      <c r="K74" s="19" t="s">
        <v>0</v>
      </c>
      <c r="L74" s="19" t="s">
        <v>0</v>
      </c>
      <c r="M74" s="4" t="s">
        <v>81</v>
      </c>
      <c r="N74" s="11">
        <f>IFERROR(VLOOKUP(M74,ShipShapeEnum!$H:$I,2,FALSE),"-")</f>
        <v>1</v>
      </c>
      <c r="O74" s="11" t="s">
        <v>2688</v>
      </c>
      <c r="P74" s="30" t="s">
        <v>530</v>
      </c>
      <c r="Q74" s="11">
        <f>IFERROR(INDEX(SailPattern!$A:$A,MATCH(P74,SailPattern!$B:$B,0)),"-")</f>
        <v>47290003</v>
      </c>
      <c r="R74" s="30"/>
      <c r="S74" s="11" t="str">
        <f>IFERROR(INDEX(SailCrest!$A:$A,MATCH(R74,SailCrest!$B:$B,0)),"-")</f>
        <v>-</v>
      </c>
      <c r="T74" s="19">
        <v>2</v>
      </c>
      <c r="U74" s="19" t="s">
        <v>103</v>
      </c>
      <c r="V74" s="19" t="s">
        <v>545</v>
      </c>
      <c r="W74" s="19" t="s">
        <v>545</v>
      </c>
      <c r="X74" s="19" t="s">
        <v>545</v>
      </c>
      <c r="Y74" s="19" t="s">
        <v>545</v>
      </c>
      <c r="Z74" s="19" t="s">
        <v>545</v>
      </c>
      <c r="AA74" s="19" t="s">
        <v>545</v>
      </c>
    </row>
    <row r="75" spans="1:27" ht="15">
      <c r="A75" s="10">
        <f t="shared" si="0"/>
        <v>46000066</v>
      </c>
      <c r="B75" s="39" t="s">
        <v>1660</v>
      </c>
      <c r="C75" s="4" t="s">
        <v>62</v>
      </c>
      <c r="D75" s="11">
        <f>IFERROR(VLOOKUP(C75,ShipShapeEnum!$E:$F,2,FALSE),"-")</f>
        <v>1</v>
      </c>
      <c r="E75" s="19" t="s">
        <v>108</v>
      </c>
      <c r="F75" s="4" t="s">
        <v>61</v>
      </c>
      <c r="G75" s="11">
        <f>IFERROR(VLOOKUP(F75,ShipShapeEnum!$B:$C,2,FALSE),"-")</f>
        <v>1</v>
      </c>
      <c r="H75" s="19" t="s">
        <v>0</v>
      </c>
      <c r="I75" s="19" t="s">
        <v>0</v>
      </c>
      <c r="J75" s="19" t="s">
        <v>0</v>
      </c>
      <c r="K75" s="19" t="s">
        <v>0</v>
      </c>
      <c r="L75" s="19" t="s">
        <v>0</v>
      </c>
      <c r="M75" s="4" t="s">
        <v>81</v>
      </c>
      <c r="N75" s="11">
        <f>IFERROR(VLOOKUP(M75,ShipShapeEnum!$H:$I,2,FALSE),"-")</f>
        <v>1</v>
      </c>
      <c r="O75" s="11" t="s">
        <v>2688</v>
      </c>
      <c r="P75" s="30" t="s">
        <v>531</v>
      </c>
      <c r="Q75" s="11">
        <f>IFERROR(INDEX(SailPattern!$A:$A,MATCH(P75,SailPattern!$B:$B,0)),"-")</f>
        <v>47290004</v>
      </c>
      <c r="R75" s="30"/>
      <c r="S75" s="11" t="str">
        <f>IFERROR(INDEX(SailCrest!$A:$A,MATCH(R75,SailCrest!$B:$B,0)),"-")</f>
        <v>-</v>
      </c>
      <c r="T75" s="19">
        <v>2</v>
      </c>
      <c r="U75" s="19" t="s">
        <v>103</v>
      </c>
      <c r="V75" s="19" t="s">
        <v>545</v>
      </c>
      <c r="W75" s="19" t="s">
        <v>545</v>
      </c>
      <c r="X75" s="19" t="s">
        <v>545</v>
      </c>
      <c r="Y75" s="19" t="s">
        <v>545</v>
      </c>
      <c r="Z75" s="19" t="s">
        <v>545</v>
      </c>
      <c r="AA75" s="19" t="s">
        <v>545</v>
      </c>
    </row>
    <row r="76" spans="1:27" ht="15">
      <c r="A76" s="10">
        <f t="shared" ref="A76:A85" si="1">A75+1</f>
        <v>46000067</v>
      </c>
      <c r="B76" s="39" t="s">
        <v>539</v>
      </c>
      <c r="C76" s="4" t="s">
        <v>62</v>
      </c>
      <c r="D76" s="11">
        <f>IFERROR(VLOOKUP(C76,ShipShapeEnum!$E:$F,2,FALSE),"-")</f>
        <v>1</v>
      </c>
      <c r="E76" s="19" t="s">
        <v>543</v>
      </c>
      <c r="F76" s="4" t="s">
        <v>61</v>
      </c>
      <c r="G76" s="11">
        <f>IFERROR(VLOOKUP(F76,ShipShapeEnum!$B:$C,2,FALSE),"-")</f>
        <v>1</v>
      </c>
      <c r="H76" s="19" t="s">
        <v>0</v>
      </c>
      <c r="I76" s="19" t="s">
        <v>0</v>
      </c>
      <c r="J76" s="19" t="s">
        <v>0</v>
      </c>
      <c r="K76" s="19" t="s">
        <v>0</v>
      </c>
      <c r="L76" s="19" t="s">
        <v>0</v>
      </c>
      <c r="M76" s="4" t="s">
        <v>81</v>
      </c>
      <c r="N76" s="11">
        <f>IFERROR(VLOOKUP(M76,ShipShapeEnum!$H:$I,2,FALSE),"-")</f>
        <v>1</v>
      </c>
      <c r="O76" s="11" t="s">
        <v>2688</v>
      </c>
      <c r="P76" s="30" t="s">
        <v>532</v>
      </c>
      <c r="Q76" s="11">
        <f>IFERROR(INDEX(SailPattern!$A:$A,MATCH(P76,SailPattern!$B:$B,0)),"-")</f>
        <v>47290005</v>
      </c>
      <c r="R76" s="30"/>
      <c r="S76" s="11" t="str">
        <f>IFERROR(INDEX(SailCrest!$A:$A,MATCH(R76,SailCrest!$B:$B,0)),"-")</f>
        <v>-</v>
      </c>
      <c r="T76" s="19">
        <v>2</v>
      </c>
      <c r="U76" s="19" t="s">
        <v>546</v>
      </c>
      <c r="V76" s="19" t="s">
        <v>545</v>
      </c>
      <c r="W76" s="19" t="s">
        <v>545</v>
      </c>
      <c r="X76" s="19" t="s">
        <v>545</v>
      </c>
      <c r="Y76" s="19" t="s">
        <v>545</v>
      </c>
      <c r="Z76" s="19" t="s">
        <v>545</v>
      </c>
      <c r="AA76" s="19" t="s">
        <v>545</v>
      </c>
    </row>
    <row r="77" spans="1:27" ht="15">
      <c r="A77" s="10">
        <f t="shared" si="1"/>
        <v>46000068</v>
      </c>
      <c r="B77" s="39" t="s">
        <v>540</v>
      </c>
      <c r="C77" s="4" t="s">
        <v>62</v>
      </c>
      <c r="D77" s="11">
        <f>IFERROR(VLOOKUP(C77,ShipShapeEnum!$E:$F,2,FALSE),"-")</f>
        <v>1</v>
      </c>
      <c r="E77" s="19" t="s">
        <v>239</v>
      </c>
      <c r="F77" s="4" t="s">
        <v>61</v>
      </c>
      <c r="G77" s="11">
        <f>IFERROR(VLOOKUP(F77,ShipShapeEnum!$B:$C,2,FALSE),"-")</f>
        <v>1</v>
      </c>
      <c r="H77" s="19" t="s">
        <v>0</v>
      </c>
      <c r="I77" s="19" t="s">
        <v>0</v>
      </c>
      <c r="J77" s="19" t="s">
        <v>0</v>
      </c>
      <c r="K77" s="19" t="s">
        <v>0</v>
      </c>
      <c r="L77" s="19" t="s">
        <v>0</v>
      </c>
      <c r="M77" s="4" t="s">
        <v>81</v>
      </c>
      <c r="N77" s="11">
        <f>IFERROR(VLOOKUP(M77,ShipShapeEnum!$H:$I,2,FALSE),"-")</f>
        <v>1</v>
      </c>
      <c r="O77" s="11" t="s">
        <v>2688</v>
      </c>
      <c r="P77" s="30" t="s">
        <v>533</v>
      </c>
      <c r="Q77" s="11">
        <f>IFERROR(INDEX(SailPattern!$A:$A,MATCH(P77,SailPattern!$B:$B,0)),"-")</f>
        <v>47290006</v>
      </c>
      <c r="R77" s="30"/>
      <c r="S77" s="11" t="str">
        <f>IFERROR(INDEX(SailCrest!$A:$A,MATCH(R77,SailCrest!$B:$B,0)),"-")</f>
        <v>-</v>
      </c>
      <c r="T77" s="19">
        <v>2</v>
      </c>
      <c r="U77" s="19" t="s">
        <v>103</v>
      </c>
      <c r="V77" s="19" t="s">
        <v>545</v>
      </c>
      <c r="W77" s="19" t="s">
        <v>545</v>
      </c>
      <c r="X77" s="19" t="s">
        <v>545</v>
      </c>
      <c r="Y77" s="19" t="s">
        <v>545</v>
      </c>
      <c r="Z77" s="19" t="s">
        <v>545</v>
      </c>
      <c r="AA77" s="19" t="s">
        <v>545</v>
      </c>
    </row>
    <row r="78" spans="1:27" ht="15">
      <c r="A78" s="10">
        <f t="shared" si="1"/>
        <v>46000069</v>
      </c>
      <c r="B78" s="39" t="s">
        <v>541</v>
      </c>
      <c r="C78" s="4" t="s">
        <v>62</v>
      </c>
      <c r="D78" s="11">
        <f>IFERROR(VLOOKUP(C78,ShipShapeEnum!$E:$F,2,FALSE),"-")</f>
        <v>1</v>
      </c>
      <c r="E78" s="19" t="s">
        <v>544</v>
      </c>
      <c r="F78" s="4" t="s">
        <v>61</v>
      </c>
      <c r="G78" s="11">
        <f>IFERROR(VLOOKUP(F78,ShipShapeEnum!$B:$C,2,FALSE),"-")</f>
        <v>1</v>
      </c>
      <c r="H78" s="19" t="s">
        <v>0</v>
      </c>
      <c r="I78" s="19" t="s">
        <v>0</v>
      </c>
      <c r="J78" s="19" t="s">
        <v>0</v>
      </c>
      <c r="K78" s="19" t="s">
        <v>0</v>
      </c>
      <c r="L78" s="19" t="s">
        <v>0</v>
      </c>
      <c r="M78" s="4" t="s">
        <v>81</v>
      </c>
      <c r="N78" s="11">
        <f>IFERROR(VLOOKUP(M78,ShipShapeEnum!$H:$I,2,FALSE),"-")</f>
        <v>1</v>
      </c>
      <c r="O78" s="11" t="s">
        <v>2688</v>
      </c>
      <c r="P78" s="30" t="s">
        <v>535</v>
      </c>
      <c r="Q78" s="11">
        <f>IFERROR(INDEX(SailPattern!$A:$A,MATCH(P78,SailPattern!$B:$B,0)),"-")</f>
        <v>47290008</v>
      </c>
      <c r="R78" s="30"/>
      <c r="S78" s="11" t="str">
        <f>IFERROR(INDEX(SailCrest!$A:$A,MATCH(R78,SailCrest!$B:$B,0)),"-")</f>
        <v>-</v>
      </c>
      <c r="T78" s="19">
        <v>2</v>
      </c>
      <c r="U78" s="19" t="s">
        <v>1195</v>
      </c>
      <c r="V78" s="19" t="s">
        <v>545</v>
      </c>
      <c r="W78" s="19" t="s">
        <v>545</v>
      </c>
      <c r="X78" s="19" t="s">
        <v>545</v>
      </c>
      <c r="Y78" s="19" t="s">
        <v>545</v>
      </c>
      <c r="Z78" s="19" t="s">
        <v>545</v>
      </c>
      <c r="AA78" s="19" t="s">
        <v>545</v>
      </c>
    </row>
    <row r="79" spans="1:27" ht="15">
      <c r="A79" s="10">
        <f t="shared" si="1"/>
        <v>46000070</v>
      </c>
      <c r="B79" s="4" t="s">
        <v>564</v>
      </c>
      <c r="C79" s="4" t="s">
        <v>62</v>
      </c>
      <c r="D79" s="11">
        <f>IFERROR(VLOOKUP(C79,ShipShapeEnum!$E:$F,2,FALSE),"-")</f>
        <v>1</v>
      </c>
      <c r="E79" s="19" t="s">
        <v>565</v>
      </c>
      <c r="F79" s="4" t="s">
        <v>61</v>
      </c>
      <c r="G79" s="11">
        <f>IFERROR(VLOOKUP(F79,ShipShapeEnum!$B:$C,2,FALSE),"-")</f>
        <v>1</v>
      </c>
      <c r="H79" s="19" t="s">
        <v>0</v>
      </c>
      <c r="I79" s="19" t="s">
        <v>0</v>
      </c>
      <c r="J79" s="19" t="s">
        <v>0</v>
      </c>
      <c r="K79" s="19" t="s">
        <v>0</v>
      </c>
      <c r="L79" s="19" t="s">
        <v>0</v>
      </c>
      <c r="M79" s="4" t="s">
        <v>81</v>
      </c>
      <c r="N79" s="11">
        <f>IFERROR(VLOOKUP(M79,ShipShapeEnum!$H:$I,2,FALSE),"-")</f>
        <v>1</v>
      </c>
      <c r="O79" s="11" t="s">
        <v>2688</v>
      </c>
      <c r="P79" s="30"/>
      <c r="Q79" s="11" t="str">
        <f>IFERROR(INDEX(SailPattern!$A:$A,MATCH(P79,SailPattern!$B:$B,0)),"-")</f>
        <v>-</v>
      </c>
      <c r="R79" s="30"/>
      <c r="S79" s="11" t="str">
        <f>IFERROR(INDEX(SailCrest!$A:$A,MATCH(R79,SailCrest!$B:$B,0)),"-")</f>
        <v>-</v>
      </c>
      <c r="T79" s="19" t="s">
        <v>0</v>
      </c>
      <c r="U79" s="19" t="s">
        <v>0</v>
      </c>
      <c r="V79" s="19" t="s">
        <v>0</v>
      </c>
      <c r="W79" s="19" t="s">
        <v>0</v>
      </c>
      <c r="X79" s="19" t="s">
        <v>0</v>
      </c>
      <c r="Y79" s="19" t="s">
        <v>0</v>
      </c>
      <c r="Z79" s="19" t="s">
        <v>0</v>
      </c>
      <c r="AA79" s="19" t="s">
        <v>0</v>
      </c>
    </row>
    <row r="80" spans="1:27" ht="15">
      <c r="A80" s="10">
        <f t="shared" si="1"/>
        <v>46000071</v>
      </c>
      <c r="B80" s="4" t="s">
        <v>719</v>
      </c>
      <c r="C80" s="4" t="s">
        <v>62</v>
      </c>
      <c r="D80" s="11">
        <f>IFERROR(VLOOKUP(C80,ShipShapeEnum!$E:$F,2,FALSE),"-")</f>
        <v>1</v>
      </c>
      <c r="E80" s="19" t="s">
        <v>723</v>
      </c>
      <c r="F80" s="4" t="s">
        <v>61</v>
      </c>
      <c r="G80" s="11">
        <f>IFERROR(VLOOKUP(F80,ShipShapeEnum!$B:$C,2,FALSE),"-")</f>
        <v>1</v>
      </c>
      <c r="H80" s="19" t="s">
        <v>0</v>
      </c>
      <c r="I80" s="19" t="s">
        <v>0</v>
      </c>
      <c r="J80" s="19" t="s">
        <v>0</v>
      </c>
      <c r="K80" s="19" t="s">
        <v>0</v>
      </c>
      <c r="L80" s="19" t="s">
        <v>0</v>
      </c>
      <c r="M80" s="4" t="s">
        <v>81</v>
      </c>
      <c r="N80" s="11">
        <f>IFERROR(VLOOKUP(M80,ShipShapeEnum!$H:$I,2,FALSE),"-")</f>
        <v>1</v>
      </c>
      <c r="O80" s="11" t="s">
        <v>2688</v>
      </c>
      <c r="P80" s="30"/>
      <c r="Q80" s="11" t="str">
        <f>IFERROR(INDEX(SailPattern!$A:$A,MATCH(P80,SailPattern!$B:$B,0)),"-")</f>
        <v>-</v>
      </c>
      <c r="R80" s="30"/>
      <c r="S80" s="11" t="str">
        <f>IFERROR(INDEX(SailCrest!$A:$A,MATCH(R80,SailCrest!$B:$B,0)),"-")</f>
        <v>-</v>
      </c>
      <c r="T80" s="19" t="s">
        <v>0</v>
      </c>
      <c r="U80" s="19" t="s">
        <v>0</v>
      </c>
      <c r="V80" s="19" t="s">
        <v>0</v>
      </c>
      <c r="W80" s="19" t="s">
        <v>0</v>
      </c>
      <c r="X80" s="19" t="s">
        <v>0</v>
      </c>
      <c r="Y80" s="19" t="s">
        <v>0</v>
      </c>
      <c r="Z80" s="19" t="s">
        <v>0</v>
      </c>
      <c r="AA80" s="19" t="s">
        <v>0</v>
      </c>
    </row>
    <row r="81" spans="1:27" ht="15">
      <c r="A81" s="10">
        <f t="shared" si="1"/>
        <v>46000072</v>
      </c>
      <c r="B81" s="4" t="s">
        <v>725</v>
      </c>
      <c r="C81" s="4" t="s">
        <v>62</v>
      </c>
      <c r="D81" s="11">
        <f>IFERROR(VLOOKUP(C81,ShipShapeEnum!$E:$F,2,FALSE),"-")</f>
        <v>1</v>
      </c>
      <c r="E81" s="19" t="s">
        <v>720</v>
      </c>
      <c r="F81" s="4" t="s">
        <v>61</v>
      </c>
      <c r="G81" s="11">
        <f>IFERROR(VLOOKUP(F81,ShipShapeEnum!$B:$C,2,FALSE),"-")</f>
        <v>1</v>
      </c>
      <c r="H81" s="19" t="s">
        <v>0</v>
      </c>
      <c r="I81" s="19" t="s">
        <v>0</v>
      </c>
      <c r="J81" s="19" t="s">
        <v>0</v>
      </c>
      <c r="K81" s="19" t="s">
        <v>0</v>
      </c>
      <c r="L81" s="19" t="s">
        <v>0</v>
      </c>
      <c r="M81" s="4" t="s">
        <v>81</v>
      </c>
      <c r="N81" s="11">
        <f>IFERROR(VLOOKUP(M81,ShipShapeEnum!$H:$I,2,FALSE),"-")</f>
        <v>1</v>
      </c>
      <c r="O81" s="11" t="s">
        <v>2688</v>
      </c>
      <c r="P81" s="30"/>
      <c r="Q81" s="11" t="str">
        <f>IFERROR(INDEX(SailPattern!$A:$A,MATCH(P81,SailPattern!$B:$B,0)),"-")</f>
        <v>-</v>
      </c>
      <c r="R81" s="30"/>
      <c r="S81" s="11" t="str">
        <f>IFERROR(INDEX(SailCrest!$A:$A,MATCH(R81,SailCrest!$B:$B,0)),"-")</f>
        <v>-</v>
      </c>
      <c r="T81" s="19" t="s">
        <v>0</v>
      </c>
      <c r="U81" s="19" t="s">
        <v>0</v>
      </c>
      <c r="V81" s="19" t="s">
        <v>0</v>
      </c>
      <c r="W81" s="19" t="s">
        <v>0</v>
      </c>
      <c r="X81" s="19" t="s">
        <v>0</v>
      </c>
      <c r="Y81" s="19" t="s">
        <v>0</v>
      </c>
      <c r="Z81" s="19" t="s">
        <v>0</v>
      </c>
      <c r="AA81" s="19" t="s">
        <v>0</v>
      </c>
    </row>
    <row r="82" spans="1:27" ht="15">
      <c r="A82" s="10">
        <f t="shared" si="1"/>
        <v>46000073</v>
      </c>
      <c r="B82" s="4" t="s">
        <v>727</v>
      </c>
      <c r="C82" s="4" t="s">
        <v>62</v>
      </c>
      <c r="D82" s="11">
        <f>IFERROR(VLOOKUP(C82,ShipShapeEnum!$E:$F,2,FALSE),"-")</f>
        <v>1</v>
      </c>
      <c r="E82" s="19" t="s">
        <v>728</v>
      </c>
      <c r="F82" s="4" t="s">
        <v>61</v>
      </c>
      <c r="G82" s="11">
        <f>IFERROR(VLOOKUP(F82,ShipShapeEnum!$B:$C,2,FALSE),"-")</f>
        <v>1</v>
      </c>
      <c r="H82" s="19" t="s">
        <v>0</v>
      </c>
      <c r="I82" s="19" t="s">
        <v>0</v>
      </c>
      <c r="J82" s="19" t="s">
        <v>0</v>
      </c>
      <c r="K82" s="19" t="s">
        <v>0</v>
      </c>
      <c r="L82" s="19" t="s">
        <v>0</v>
      </c>
      <c r="M82" s="4" t="s">
        <v>81</v>
      </c>
      <c r="N82" s="11">
        <f>IFERROR(VLOOKUP(M82,ShipShapeEnum!$H:$I,2,FALSE),"-")</f>
        <v>1</v>
      </c>
      <c r="O82" s="11" t="s">
        <v>2688</v>
      </c>
      <c r="P82" s="30"/>
      <c r="Q82" s="11" t="str">
        <f>IFERROR(INDEX(SailPattern!$A:$A,MATCH(P82,SailPattern!$B:$B,0)),"-")</f>
        <v>-</v>
      </c>
      <c r="R82" s="30"/>
      <c r="S82" s="11" t="str">
        <f>IFERROR(INDEX(SailCrest!$A:$A,MATCH(R82,SailCrest!$B:$B,0)),"-")</f>
        <v>-</v>
      </c>
      <c r="T82" s="19" t="s">
        <v>0</v>
      </c>
      <c r="U82" s="19" t="s">
        <v>0</v>
      </c>
      <c r="V82" s="19" t="s">
        <v>0</v>
      </c>
      <c r="W82" s="19" t="s">
        <v>0</v>
      </c>
      <c r="X82" s="19" t="s">
        <v>0</v>
      </c>
      <c r="Y82" s="19" t="s">
        <v>0</v>
      </c>
      <c r="Z82" s="19" t="s">
        <v>0</v>
      </c>
      <c r="AA82" s="19" t="s">
        <v>0</v>
      </c>
    </row>
    <row r="83" spans="1:27" ht="15">
      <c r="A83" s="10">
        <f t="shared" si="1"/>
        <v>46000074</v>
      </c>
      <c r="B83" s="4" t="s">
        <v>732</v>
      </c>
      <c r="C83" s="4" t="s">
        <v>62</v>
      </c>
      <c r="D83" s="11">
        <f>IFERROR(VLOOKUP(C83,ShipShapeEnum!$E:$F,2,FALSE),"-")</f>
        <v>1</v>
      </c>
      <c r="E83" s="19" t="s">
        <v>731</v>
      </c>
      <c r="F83" s="4" t="s">
        <v>61</v>
      </c>
      <c r="G83" s="11">
        <f>IFERROR(VLOOKUP(F83,ShipShapeEnum!$B:$C,2,FALSE),"-")</f>
        <v>1</v>
      </c>
      <c r="H83" s="19" t="s">
        <v>0</v>
      </c>
      <c r="I83" s="19" t="s">
        <v>0</v>
      </c>
      <c r="J83" s="19" t="s">
        <v>0</v>
      </c>
      <c r="K83" s="19" t="s">
        <v>0</v>
      </c>
      <c r="L83" s="19" t="s">
        <v>0</v>
      </c>
      <c r="M83" s="4" t="s">
        <v>81</v>
      </c>
      <c r="N83" s="11">
        <f>IFERROR(VLOOKUP(M83,ShipShapeEnum!$H:$I,2,FALSE),"-")</f>
        <v>1</v>
      </c>
      <c r="O83" s="11" t="s">
        <v>2688</v>
      </c>
      <c r="P83" s="30"/>
      <c r="Q83" s="11" t="str">
        <f>IFERROR(INDEX(SailPattern!$A:$A,MATCH(P83,SailPattern!$B:$B,0)),"-")</f>
        <v>-</v>
      </c>
      <c r="R83" s="30"/>
      <c r="S83" s="11" t="str">
        <f>IFERROR(INDEX(SailCrest!$A:$A,MATCH(R83,SailCrest!$B:$B,0)),"-")</f>
        <v>-</v>
      </c>
      <c r="T83" s="19" t="s">
        <v>0</v>
      </c>
      <c r="U83" s="19" t="s">
        <v>0</v>
      </c>
      <c r="V83" s="19" t="s">
        <v>0</v>
      </c>
      <c r="W83" s="19" t="s">
        <v>0</v>
      </c>
      <c r="X83" s="19" t="s">
        <v>0</v>
      </c>
      <c r="Y83" s="19" t="s">
        <v>0</v>
      </c>
      <c r="Z83" s="19" t="s">
        <v>0</v>
      </c>
      <c r="AA83" s="19" t="s">
        <v>0</v>
      </c>
    </row>
    <row r="84" spans="1:27" ht="15">
      <c r="A84" s="10">
        <f t="shared" si="1"/>
        <v>46000075</v>
      </c>
      <c r="B84" s="4" t="s">
        <v>754</v>
      </c>
      <c r="C84" s="4" t="s">
        <v>62</v>
      </c>
      <c r="D84" s="11">
        <f>IFERROR(VLOOKUP(C84,ShipShapeEnum!$E:$F,2,FALSE),"-")</f>
        <v>1</v>
      </c>
      <c r="E84" s="19" t="s">
        <v>752</v>
      </c>
      <c r="F84" s="4" t="s">
        <v>61</v>
      </c>
      <c r="G84" s="11">
        <f>IFERROR(VLOOKUP(F84,ShipShapeEnum!$B:$C,2,FALSE),"-")</f>
        <v>1</v>
      </c>
      <c r="H84" s="19" t="s">
        <v>0</v>
      </c>
      <c r="I84" s="19" t="s">
        <v>0</v>
      </c>
      <c r="J84" s="19" t="s">
        <v>0</v>
      </c>
      <c r="K84" s="19" t="s">
        <v>0</v>
      </c>
      <c r="L84" s="19" t="s">
        <v>0</v>
      </c>
      <c r="M84" s="4" t="s">
        <v>81</v>
      </c>
      <c r="N84" s="11">
        <f>IFERROR(VLOOKUP(M84,ShipShapeEnum!$H:$I,2,FALSE),"-")</f>
        <v>1</v>
      </c>
      <c r="O84" s="11" t="s">
        <v>2688</v>
      </c>
      <c r="P84" s="30"/>
      <c r="Q84" s="11" t="str">
        <f>IFERROR(INDEX(SailPattern!$A:$A,MATCH(P84,SailPattern!$B:$B,0)),"-")</f>
        <v>-</v>
      </c>
      <c r="R84" s="30"/>
      <c r="S84" s="11" t="str">
        <f>IFERROR(INDEX(SailCrest!$A:$A,MATCH(R84,SailCrest!$B:$B,0)),"-")</f>
        <v>-</v>
      </c>
      <c r="T84" s="19" t="s">
        <v>0</v>
      </c>
      <c r="U84" s="19" t="s">
        <v>0</v>
      </c>
      <c r="V84" s="19" t="s">
        <v>0</v>
      </c>
      <c r="W84" s="19" t="s">
        <v>0</v>
      </c>
      <c r="X84" s="19" t="s">
        <v>0</v>
      </c>
      <c r="Y84" s="19" t="s">
        <v>0</v>
      </c>
      <c r="Z84" s="19" t="s">
        <v>0</v>
      </c>
      <c r="AA84" s="19" t="s">
        <v>0</v>
      </c>
    </row>
    <row r="85" spans="1:27" ht="15">
      <c r="A85" s="10">
        <f t="shared" si="1"/>
        <v>46000076</v>
      </c>
      <c r="B85" s="4" t="s">
        <v>762</v>
      </c>
      <c r="C85" s="4" t="s">
        <v>62</v>
      </c>
      <c r="D85" s="11">
        <f>IFERROR(VLOOKUP(C85,ShipShapeEnum!$E:$F,2,FALSE),"-")</f>
        <v>1</v>
      </c>
      <c r="E85" s="19" t="s">
        <v>763</v>
      </c>
      <c r="F85" s="4" t="s">
        <v>61</v>
      </c>
      <c r="G85" s="11">
        <f>IFERROR(VLOOKUP(F85,ShipShapeEnum!$B:$C,2,FALSE),"-")</f>
        <v>1</v>
      </c>
      <c r="H85" s="19" t="s">
        <v>0</v>
      </c>
      <c r="I85" s="19" t="s">
        <v>0</v>
      </c>
      <c r="J85" s="19" t="s">
        <v>0</v>
      </c>
      <c r="K85" s="19" t="s">
        <v>0</v>
      </c>
      <c r="L85" s="19" t="s">
        <v>0</v>
      </c>
      <c r="M85" s="4" t="s">
        <v>81</v>
      </c>
      <c r="N85" s="11">
        <f>IFERROR(VLOOKUP(M85,ShipShapeEnum!$H:$I,2,FALSE),"-")</f>
        <v>1</v>
      </c>
      <c r="O85" s="11" t="s">
        <v>2688</v>
      </c>
      <c r="P85" s="30"/>
      <c r="Q85" s="11" t="str">
        <f>IFERROR(INDEX(SailPattern!$A:$A,MATCH(P85,SailPattern!$B:$B,0)),"-")</f>
        <v>-</v>
      </c>
      <c r="R85" s="30"/>
      <c r="S85" s="11" t="str">
        <f>IFERROR(INDEX(SailCrest!$A:$A,MATCH(R85,SailCrest!$B:$B,0)),"-")</f>
        <v>-</v>
      </c>
      <c r="T85" s="19" t="s">
        <v>0</v>
      </c>
      <c r="U85" s="19" t="s">
        <v>0</v>
      </c>
      <c r="V85" s="19" t="s">
        <v>0</v>
      </c>
      <c r="W85" s="19" t="s">
        <v>0</v>
      </c>
      <c r="X85" s="19" t="s">
        <v>0</v>
      </c>
      <c r="Y85" s="19" t="s">
        <v>0</v>
      </c>
      <c r="Z85" s="19" t="s">
        <v>0</v>
      </c>
      <c r="AA85" s="19" t="s">
        <v>0</v>
      </c>
    </row>
    <row r="86" spans="1:27" ht="15">
      <c r="A86" s="10">
        <f t="shared" ref="A86:A91" si="2">A85+1</f>
        <v>46000077</v>
      </c>
      <c r="B86" s="4" t="s">
        <v>823</v>
      </c>
      <c r="C86" s="4" t="s">
        <v>62</v>
      </c>
      <c r="D86" s="11">
        <f>IFERROR(VLOOKUP(C86,ShipShapeEnum!$E:$F,2,FALSE),"-")</f>
        <v>1</v>
      </c>
      <c r="E86" s="19" t="s">
        <v>824</v>
      </c>
      <c r="F86" s="4" t="s">
        <v>61</v>
      </c>
      <c r="G86" s="11">
        <f>IFERROR(VLOOKUP(F86,ShipShapeEnum!$B:$C,2,FALSE),"-")</f>
        <v>1</v>
      </c>
      <c r="H86" s="19" t="s">
        <v>0</v>
      </c>
      <c r="I86" s="19" t="s">
        <v>0</v>
      </c>
      <c r="J86" s="19" t="s">
        <v>0</v>
      </c>
      <c r="K86" s="19" t="s">
        <v>0</v>
      </c>
      <c r="L86" s="19" t="s">
        <v>0</v>
      </c>
      <c r="M86" s="4" t="s">
        <v>81</v>
      </c>
      <c r="N86" s="11">
        <f>IFERROR(VLOOKUP(M86,ShipShapeEnum!$H:$I,2,FALSE),"-")</f>
        <v>1</v>
      </c>
      <c r="O86" s="11" t="s">
        <v>2688</v>
      </c>
      <c r="P86" s="30"/>
      <c r="Q86" s="11" t="str">
        <f>IFERROR(INDEX(SailPattern!$A:$A,MATCH(P86,SailPattern!$B:$B,0)),"-")</f>
        <v>-</v>
      </c>
      <c r="R86" s="30"/>
      <c r="S86" s="11" t="str">
        <f>IFERROR(INDEX(SailCrest!$A:$A,MATCH(R86,SailCrest!$B:$B,0)),"-")</f>
        <v>-</v>
      </c>
      <c r="T86" s="19" t="s">
        <v>0</v>
      </c>
      <c r="U86" s="19" t="s">
        <v>0</v>
      </c>
      <c r="V86" s="19" t="s">
        <v>0</v>
      </c>
      <c r="W86" s="19" t="s">
        <v>0</v>
      </c>
      <c r="X86" s="19" t="s">
        <v>0</v>
      </c>
      <c r="Y86" s="19" t="s">
        <v>0</v>
      </c>
      <c r="Z86" s="19" t="s">
        <v>0</v>
      </c>
      <c r="AA86" s="19" t="s">
        <v>0</v>
      </c>
    </row>
    <row r="87" spans="1:27" ht="15">
      <c r="A87" s="10">
        <f t="shared" si="2"/>
        <v>46000078</v>
      </c>
      <c r="B87" s="4" t="s">
        <v>827</v>
      </c>
      <c r="C87" s="4" t="s">
        <v>62</v>
      </c>
      <c r="D87" s="11">
        <f>IFERROR(VLOOKUP(C87,ShipShapeEnum!$E:$F,2,FALSE),"-")</f>
        <v>1</v>
      </c>
      <c r="E87" s="19" t="s">
        <v>828</v>
      </c>
      <c r="F87" s="4" t="s">
        <v>61</v>
      </c>
      <c r="G87" s="11">
        <f>IFERROR(VLOOKUP(F87,ShipShapeEnum!$B:$C,2,FALSE),"-")</f>
        <v>1</v>
      </c>
      <c r="H87" s="19" t="s">
        <v>0</v>
      </c>
      <c r="I87" s="19" t="s">
        <v>0</v>
      </c>
      <c r="J87" s="19" t="s">
        <v>0</v>
      </c>
      <c r="K87" s="19" t="s">
        <v>0</v>
      </c>
      <c r="L87" s="19" t="s">
        <v>0</v>
      </c>
      <c r="M87" s="4" t="s">
        <v>81</v>
      </c>
      <c r="N87" s="11">
        <f>IFERROR(VLOOKUP(M87,ShipShapeEnum!$H:$I,2,FALSE),"-")</f>
        <v>1</v>
      </c>
      <c r="O87" s="11" t="s">
        <v>2688</v>
      </c>
      <c r="P87" s="30"/>
      <c r="Q87" s="11" t="str">
        <f>IFERROR(INDEX(SailPattern!$A:$A,MATCH(P87,SailPattern!$B:$B,0)),"-")</f>
        <v>-</v>
      </c>
      <c r="R87" s="30"/>
      <c r="S87" s="11" t="str">
        <f>IFERROR(INDEX(SailCrest!$A:$A,MATCH(R87,SailCrest!$B:$B,0)),"-")</f>
        <v>-</v>
      </c>
      <c r="T87" s="19" t="s">
        <v>0</v>
      </c>
      <c r="U87" s="19" t="s">
        <v>0</v>
      </c>
      <c r="V87" s="19" t="s">
        <v>0</v>
      </c>
      <c r="W87" s="19" t="s">
        <v>0</v>
      </c>
      <c r="X87" s="19" t="s">
        <v>0</v>
      </c>
      <c r="Y87" s="19" t="s">
        <v>0</v>
      </c>
      <c r="Z87" s="19" t="s">
        <v>0</v>
      </c>
      <c r="AA87" s="19" t="s">
        <v>0</v>
      </c>
    </row>
    <row r="88" spans="1:27" ht="15">
      <c r="A88" s="10">
        <f t="shared" si="2"/>
        <v>46000079</v>
      </c>
      <c r="B88" s="4" t="s">
        <v>831</v>
      </c>
      <c r="C88" s="4" t="s">
        <v>62</v>
      </c>
      <c r="D88" s="11">
        <f>IFERROR(VLOOKUP(C88,ShipShapeEnum!$E:$F,2,FALSE),"-")</f>
        <v>1</v>
      </c>
      <c r="E88" s="19" t="s">
        <v>832</v>
      </c>
      <c r="F88" s="4" t="s">
        <v>61</v>
      </c>
      <c r="G88" s="11">
        <f>IFERROR(VLOOKUP(F88,ShipShapeEnum!$B:$C,2,FALSE),"-")</f>
        <v>1</v>
      </c>
      <c r="H88" s="19" t="s">
        <v>0</v>
      </c>
      <c r="I88" s="19" t="s">
        <v>0</v>
      </c>
      <c r="J88" s="19" t="s">
        <v>0</v>
      </c>
      <c r="K88" s="19" t="s">
        <v>0</v>
      </c>
      <c r="L88" s="19" t="s">
        <v>0</v>
      </c>
      <c r="M88" s="4" t="s">
        <v>81</v>
      </c>
      <c r="N88" s="11">
        <f>IFERROR(VLOOKUP(M88,ShipShapeEnum!$H:$I,2,FALSE),"-")</f>
        <v>1</v>
      </c>
      <c r="O88" s="11" t="s">
        <v>2688</v>
      </c>
      <c r="P88" s="30"/>
      <c r="Q88" s="11" t="str">
        <f>IFERROR(INDEX(SailPattern!$A:$A,MATCH(P88,SailPattern!$B:$B,0)),"-")</f>
        <v>-</v>
      </c>
      <c r="R88" s="30"/>
      <c r="S88" s="11" t="str">
        <f>IFERROR(INDEX(SailCrest!$A:$A,MATCH(R88,SailCrest!$B:$B,0)),"-")</f>
        <v>-</v>
      </c>
      <c r="T88" s="19" t="s">
        <v>0</v>
      </c>
      <c r="U88" s="19" t="s">
        <v>0</v>
      </c>
      <c r="V88" s="19" t="s">
        <v>0</v>
      </c>
      <c r="W88" s="19" t="s">
        <v>0</v>
      </c>
      <c r="X88" s="19" t="s">
        <v>0</v>
      </c>
      <c r="Y88" s="19" t="s">
        <v>0</v>
      </c>
      <c r="Z88" s="19" t="s">
        <v>0</v>
      </c>
      <c r="AA88" s="19" t="s">
        <v>0</v>
      </c>
    </row>
    <row r="89" spans="1:27" ht="15">
      <c r="A89" s="10">
        <f t="shared" si="2"/>
        <v>46000080</v>
      </c>
      <c r="B89" s="4" t="s">
        <v>835</v>
      </c>
      <c r="C89" s="4" t="s">
        <v>62</v>
      </c>
      <c r="D89" s="11">
        <f>IFERROR(VLOOKUP(C89,ShipShapeEnum!$E:$F,2,FALSE),"-")</f>
        <v>1</v>
      </c>
      <c r="E89" s="19" t="s">
        <v>836</v>
      </c>
      <c r="F89" s="4" t="s">
        <v>61</v>
      </c>
      <c r="G89" s="11">
        <f>IFERROR(VLOOKUP(F89,ShipShapeEnum!$B:$C,2,FALSE),"-")</f>
        <v>1</v>
      </c>
      <c r="H89" s="19" t="s">
        <v>0</v>
      </c>
      <c r="I89" s="19" t="s">
        <v>0</v>
      </c>
      <c r="J89" s="19" t="s">
        <v>0</v>
      </c>
      <c r="K89" s="19" t="s">
        <v>0</v>
      </c>
      <c r="L89" s="19" t="s">
        <v>0</v>
      </c>
      <c r="M89" s="4" t="s">
        <v>81</v>
      </c>
      <c r="N89" s="11">
        <f>IFERROR(VLOOKUP(M89,ShipShapeEnum!$H:$I,2,FALSE),"-")</f>
        <v>1</v>
      </c>
      <c r="O89" s="11" t="s">
        <v>2688</v>
      </c>
      <c r="P89" s="30"/>
      <c r="Q89" s="11" t="str">
        <f>IFERROR(INDEX(SailPattern!$A:$A,MATCH(P89,SailPattern!$B:$B,0)),"-")</f>
        <v>-</v>
      </c>
      <c r="R89" s="30"/>
      <c r="S89" s="11" t="str">
        <f>IFERROR(INDEX(SailCrest!$A:$A,MATCH(R89,SailCrest!$B:$B,0)),"-")</f>
        <v>-</v>
      </c>
      <c r="T89" s="19" t="s">
        <v>0</v>
      </c>
      <c r="U89" s="19" t="s">
        <v>0</v>
      </c>
      <c r="V89" s="19" t="s">
        <v>0</v>
      </c>
      <c r="W89" s="19" t="s">
        <v>0</v>
      </c>
      <c r="X89" s="19" t="s">
        <v>0</v>
      </c>
      <c r="Y89" s="19" t="s">
        <v>0</v>
      </c>
      <c r="Z89" s="19" t="s">
        <v>0</v>
      </c>
      <c r="AA89" s="19" t="s">
        <v>0</v>
      </c>
    </row>
    <row r="90" spans="1:27" ht="15">
      <c r="A90" s="10">
        <f t="shared" si="2"/>
        <v>46000081</v>
      </c>
      <c r="B90" s="4" t="s">
        <v>1661</v>
      </c>
      <c r="C90" s="4" t="s">
        <v>62</v>
      </c>
      <c r="D90" s="11">
        <f>IFERROR(VLOOKUP(C90,ShipShapeEnum!$E:$F,2,FALSE),"-")</f>
        <v>1</v>
      </c>
      <c r="E90" s="19" t="s">
        <v>837</v>
      </c>
      <c r="F90" s="4" t="s">
        <v>61</v>
      </c>
      <c r="G90" s="11">
        <f>IFERROR(VLOOKUP(F90,ShipShapeEnum!$B:$C,2,FALSE),"-")</f>
        <v>1</v>
      </c>
      <c r="H90" s="19" t="s">
        <v>0</v>
      </c>
      <c r="I90" s="19" t="s">
        <v>0</v>
      </c>
      <c r="J90" s="19" t="s">
        <v>0</v>
      </c>
      <c r="K90" s="19" t="s">
        <v>0</v>
      </c>
      <c r="L90" s="19" t="s">
        <v>0</v>
      </c>
      <c r="M90" s="4" t="s">
        <v>81</v>
      </c>
      <c r="N90" s="11">
        <f>IFERROR(VLOOKUP(M90,ShipShapeEnum!$H:$I,2,FALSE),"-")</f>
        <v>1</v>
      </c>
      <c r="O90" s="11" t="s">
        <v>2688</v>
      </c>
      <c r="P90" s="30"/>
      <c r="Q90" s="11" t="str">
        <f>IFERROR(INDEX(SailPattern!$A:$A,MATCH(P90,SailPattern!$B:$B,0)),"-")</f>
        <v>-</v>
      </c>
      <c r="R90" s="30"/>
      <c r="S90" s="11" t="str">
        <f>IFERROR(INDEX(SailCrest!$A:$A,MATCH(R90,SailCrest!$B:$B,0)),"-")</f>
        <v>-</v>
      </c>
      <c r="T90" s="19" t="s">
        <v>0</v>
      </c>
      <c r="U90" s="19" t="s">
        <v>0</v>
      </c>
      <c r="V90" s="19" t="s">
        <v>0</v>
      </c>
      <c r="W90" s="19" t="s">
        <v>0</v>
      </c>
      <c r="X90" s="19" t="s">
        <v>0</v>
      </c>
      <c r="Y90" s="19" t="s">
        <v>0</v>
      </c>
      <c r="Z90" s="19" t="s">
        <v>0</v>
      </c>
      <c r="AA90" s="19" t="s">
        <v>0</v>
      </c>
    </row>
    <row r="91" spans="1:27" ht="15">
      <c r="A91" s="10">
        <f t="shared" si="2"/>
        <v>46000082</v>
      </c>
      <c r="B91" s="4" t="s">
        <v>1100</v>
      </c>
      <c r="C91" s="4" t="s">
        <v>62</v>
      </c>
      <c r="D91" s="11">
        <f>IFERROR(VLOOKUP(C91,ShipShapeEnum!$E:$F,2,FALSE),"-")</f>
        <v>1</v>
      </c>
      <c r="E91" s="19" t="s">
        <v>1103</v>
      </c>
      <c r="F91" s="4" t="s">
        <v>61</v>
      </c>
      <c r="G91" s="11">
        <f>IFERROR(VLOOKUP(F91,ShipShapeEnum!$B:$C,2,FALSE),"-")</f>
        <v>1</v>
      </c>
      <c r="H91" s="19" t="s">
        <v>0</v>
      </c>
      <c r="I91" s="19" t="s">
        <v>0</v>
      </c>
      <c r="J91" s="19" t="s">
        <v>0</v>
      </c>
      <c r="K91" s="19" t="s">
        <v>0</v>
      </c>
      <c r="L91" s="19" t="s">
        <v>0</v>
      </c>
      <c r="M91" s="4" t="s">
        <v>81</v>
      </c>
      <c r="N91" s="11">
        <f>IFERROR(VLOOKUP(M91,ShipShapeEnum!$H:$I,2,FALSE),"-")</f>
        <v>1</v>
      </c>
      <c r="O91" s="11" t="s">
        <v>2688</v>
      </c>
      <c r="P91" s="30"/>
      <c r="Q91" s="11" t="str">
        <f>IFERROR(INDEX(SailPattern!$A:$A,MATCH(P91,SailPattern!$B:$B,0)),"-")</f>
        <v>-</v>
      </c>
      <c r="R91" s="30"/>
      <c r="S91" s="11" t="str">
        <f>IFERROR(INDEX(SailCrest!$A:$A,MATCH(R91,SailCrest!$B:$B,0)),"-")</f>
        <v>-</v>
      </c>
      <c r="T91" s="19" t="s">
        <v>0</v>
      </c>
      <c r="U91" s="19" t="s">
        <v>0</v>
      </c>
      <c r="V91" s="19" t="s">
        <v>0</v>
      </c>
      <c r="W91" s="19" t="s">
        <v>0</v>
      </c>
      <c r="X91" s="19" t="s">
        <v>0</v>
      </c>
      <c r="Y91" s="19" t="s">
        <v>0</v>
      </c>
      <c r="Z91" s="19" t="s">
        <v>0</v>
      </c>
      <c r="AA91" s="19" t="s">
        <v>0</v>
      </c>
    </row>
    <row r="92" spans="1:27" ht="15">
      <c r="A92" s="10">
        <f t="shared" ref="A92:A105" si="3">A91+1</f>
        <v>46000083</v>
      </c>
      <c r="B92" s="4" t="s">
        <v>1101</v>
      </c>
      <c r="C92" s="4" t="s">
        <v>62</v>
      </c>
      <c r="D92" s="11">
        <f>IFERROR(VLOOKUP(C92,ShipShapeEnum!$E:$F,2,FALSE),"-")</f>
        <v>1</v>
      </c>
      <c r="E92" s="19" t="s">
        <v>1104</v>
      </c>
      <c r="F92" s="4" t="s">
        <v>61</v>
      </c>
      <c r="G92" s="11">
        <f>IFERROR(VLOOKUP(F92,ShipShapeEnum!$B:$C,2,FALSE),"-")</f>
        <v>1</v>
      </c>
      <c r="H92" s="19" t="s">
        <v>0</v>
      </c>
      <c r="I92" s="19" t="s">
        <v>0</v>
      </c>
      <c r="J92" s="19" t="s">
        <v>0</v>
      </c>
      <c r="K92" s="19" t="s">
        <v>0</v>
      </c>
      <c r="L92" s="19" t="s">
        <v>0</v>
      </c>
      <c r="M92" s="4" t="s">
        <v>81</v>
      </c>
      <c r="N92" s="11">
        <f>IFERROR(VLOOKUP(M92,ShipShapeEnum!$H:$I,2,FALSE),"-")</f>
        <v>1</v>
      </c>
      <c r="O92" s="11" t="s">
        <v>2688</v>
      </c>
      <c r="P92" s="30"/>
      <c r="Q92" s="11" t="str">
        <f>IFERROR(INDEX(SailPattern!$A:$A,MATCH(P92,SailPattern!$B:$B,0)),"-")</f>
        <v>-</v>
      </c>
      <c r="R92" s="30"/>
      <c r="S92" s="11" t="str">
        <f>IFERROR(INDEX(SailCrest!$A:$A,MATCH(R92,SailCrest!$B:$B,0)),"-")</f>
        <v>-</v>
      </c>
      <c r="T92" s="19" t="s">
        <v>0</v>
      </c>
      <c r="U92" s="19" t="s">
        <v>0</v>
      </c>
      <c r="V92" s="19" t="s">
        <v>0</v>
      </c>
      <c r="W92" s="19" t="s">
        <v>0</v>
      </c>
      <c r="X92" s="19" t="s">
        <v>0</v>
      </c>
      <c r="Y92" s="19" t="s">
        <v>0</v>
      </c>
      <c r="Z92" s="19" t="s">
        <v>0</v>
      </c>
      <c r="AA92" s="19" t="s">
        <v>0</v>
      </c>
    </row>
    <row r="93" spans="1:27" ht="15">
      <c r="A93" s="10">
        <f t="shared" si="3"/>
        <v>46000084</v>
      </c>
      <c r="B93" s="4" t="s">
        <v>1102</v>
      </c>
      <c r="C93" s="4" t="s">
        <v>62</v>
      </c>
      <c r="D93" s="11">
        <f>IFERROR(VLOOKUP(C93,ShipShapeEnum!$E:$F,2,FALSE),"-")</f>
        <v>1</v>
      </c>
      <c r="E93" s="19" t="s">
        <v>1105</v>
      </c>
      <c r="F93" s="4" t="s">
        <v>61</v>
      </c>
      <c r="G93" s="11">
        <f>IFERROR(VLOOKUP(F93,ShipShapeEnum!$B:$C,2,FALSE),"-")</f>
        <v>1</v>
      </c>
      <c r="H93" s="19" t="s">
        <v>0</v>
      </c>
      <c r="I93" s="19" t="s">
        <v>0</v>
      </c>
      <c r="J93" s="19" t="s">
        <v>0</v>
      </c>
      <c r="K93" s="19" t="s">
        <v>0</v>
      </c>
      <c r="L93" s="19" t="s">
        <v>0</v>
      </c>
      <c r="M93" s="4" t="s">
        <v>81</v>
      </c>
      <c r="N93" s="11">
        <f>IFERROR(VLOOKUP(M93,ShipShapeEnum!$H:$I,2,FALSE),"-")</f>
        <v>1</v>
      </c>
      <c r="O93" s="11" t="s">
        <v>2688</v>
      </c>
      <c r="P93" s="30"/>
      <c r="Q93" s="11" t="str">
        <f>IFERROR(INDEX(SailPattern!$A:$A,MATCH(P93,SailPattern!$B:$B,0)),"-")</f>
        <v>-</v>
      </c>
      <c r="R93" s="30"/>
      <c r="S93" s="11" t="str">
        <f>IFERROR(INDEX(SailCrest!$A:$A,MATCH(R93,SailCrest!$B:$B,0)),"-")</f>
        <v>-</v>
      </c>
      <c r="T93" s="19" t="s">
        <v>0</v>
      </c>
      <c r="U93" s="19" t="s">
        <v>0</v>
      </c>
      <c r="V93" s="19" t="s">
        <v>0</v>
      </c>
      <c r="W93" s="19" t="s">
        <v>0</v>
      </c>
      <c r="X93" s="19" t="s">
        <v>0</v>
      </c>
      <c r="Y93" s="19" t="s">
        <v>0</v>
      </c>
      <c r="Z93" s="19" t="s">
        <v>0</v>
      </c>
      <c r="AA93" s="19" t="s">
        <v>0</v>
      </c>
    </row>
    <row r="94" spans="1:27" ht="15">
      <c r="A94" s="10">
        <f t="shared" si="3"/>
        <v>46000085</v>
      </c>
      <c r="B94" s="4" t="s">
        <v>1115</v>
      </c>
      <c r="C94" s="4" t="s">
        <v>62</v>
      </c>
      <c r="D94" s="11">
        <f>IFERROR(VLOOKUP(C94,ShipShapeEnum!$E:$F,2,FALSE),"-")</f>
        <v>1</v>
      </c>
      <c r="E94" s="19" t="s">
        <v>1113</v>
      </c>
      <c r="F94" s="4" t="s">
        <v>61</v>
      </c>
      <c r="G94" s="11">
        <f>IFERROR(VLOOKUP(F94,ShipShapeEnum!$B:$C,2,FALSE),"-")</f>
        <v>1</v>
      </c>
      <c r="H94" s="19" t="s">
        <v>0</v>
      </c>
      <c r="I94" s="19" t="s">
        <v>0</v>
      </c>
      <c r="J94" s="19" t="s">
        <v>0</v>
      </c>
      <c r="K94" s="19" t="s">
        <v>0</v>
      </c>
      <c r="L94" s="19" t="s">
        <v>0</v>
      </c>
      <c r="M94" s="4" t="s">
        <v>81</v>
      </c>
      <c r="N94" s="11">
        <f>IFERROR(VLOOKUP(M94,ShipShapeEnum!$H:$I,2,FALSE),"-")</f>
        <v>1</v>
      </c>
      <c r="O94" s="11" t="s">
        <v>2688</v>
      </c>
      <c r="P94" s="30"/>
      <c r="Q94" s="11" t="str">
        <f>IFERROR(INDEX(SailPattern!$A:$A,MATCH(P94,SailPattern!$B:$B,0)),"-")</f>
        <v>-</v>
      </c>
      <c r="R94" s="30"/>
      <c r="S94" s="11" t="str">
        <f>IFERROR(INDEX(SailCrest!$A:$A,MATCH(R94,SailCrest!$B:$B,0)),"-")</f>
        <v>-</v>
      </c>
      <c r="T94" s="19" t="s">
        <v>0</v>
      </c>
      <c r="U94" s="19" t="s">
        <v>0</v>
      </c>
      <c r="V94" s="19" t="s">
        <v>0</v>
      </c>
      <c r="W94" s="19" t="s">
        <v>0</v>
      </c>
      <c r="X94" s="19" t="s">
        <v>0</v>
      </c>
      <c r="Y94" s="19" t="s">
        <v>0</v>
      </c>
      <c r="Z94" s="19" t="s">
        <v>0</v>
      </c>
      <c r="AA94" s="19" t="s">
        <v>0</v>
      </c>
    </row>
    <row r="95" spans="1:27" ht="15">
      <c r="A95" s="10">
        <f t="shared" si="3"/>
        <v>46000086</v>
      </c>
      <c r="B95" s="4" t="s">
        <v>1120</v>
      </c>
      <c r="C95" s="4" t="s">
        <v>62</v>
      </c>
      <c r="D95" s="11">
        <f>IFERROR(VLOOKUP(C95,ShipShapeEnum!$E:$F,2,FALSE),"-")</f>
        <v>1</v>
      </c>
      <c r="E95" s="19" t="s">
        <v>1116</v>
      </c>
      <c r="F95" s="4" t="s">
        <v>61</v>
      </c>
      <c r="G95" s="11">
        <f>IFERROR(VLOOKUP(F95,ShipShapeEnum!$B:$C,2,FALSE),"-")</f>
        <v>1</v>
      </c>
      <c r="H95" s="19" t="s">
        <v>0</v>
      </c>
      <c r="I95" s="19" t="s">
        <v>0</v>
      </c>
      <c r="J95" s="19" t="s">
        <v>0</v>
      </c>
      <c r="K95" s="19" t="s">
        <v>0</v>
      </c>
      <c r="L95" s="19" t="s">
        <v>0</v>
      </c>
      <c r="M95" s="4" t="s">
        <v>81</v>
      </c>
      <c r="N95" s="11">
        <f>IFERROR(VLOOKUP(M95,ShipShapeEnum!$H:$I,2,FALSE),"-")</f>
        <v>1</v>
      </c>
      <c r="O95" s="11" t="s">
        <v>2688</v>
      </c>
      <c r="P95" s="30"/>
      <c r="Q95" s="11" t="str">
        <f>IFERROR(INDEX(SailPattern!$A:$A,MATCH(P95,SailPattern!$B:$B,0)),"-")</f>
        <v>-</v>
      </c>
      <c r="R95" s="30"/>
      <c r="S95" s="11" t="str">
        <f>IFERROR(INDEX(SailCrest!$A:$A,MATCH(R95,SailCrest!$B:$B,0)),"-")</f>
        <v>-</v>
      </c>
      <c r="T95" s="19" t="s">
        <v>0</v>
      </c>
      <c r="U95" s="19" t="s">
        <v>0</v>
      </c>
      <c r="V95" s="19" t="s">
        <v>0</v>
      </c>
      <c r="W95" s="19" t="s">
        <v>0</v>
      </c>
      <c r="X95" s="19" t="s">
        <v>0</v>
      </c>
      <c r="Y95" s="19" t="s">
        <v>0</v>
      </c>
      <c r="Z95" s="19" t="s">
        <v>0</v>
      </c>
      <c r="AA95" s="19" t="s">
        <v>0</v>
      </c>
    </row>
    <row r="96" spans="1:27" ht="15">
      <c r="A96" s="10">
        <f t="shared" si="3"/>
        <v>46000087</v>
      </c>
      <c r="B96" s="4" t="s">
        <v>1131</v>
      </c>
      <c r="C96" s="4" t="s">
        <v>62</v>
      </c>
      <c r="D96" s="11">
        <f>IFERROR(VLOOKUP(C96,ShipShapeEnum!$E:$F,2,FALSE),"-")</f>
        <v>1</v>
      </c>
      <c r="E96" s="19" t="s">
        <v>1124</v>
      </c>
      <c r="F96" s="4" t="s">
        <v>61</v>
      </c>
      <c r="G96" s="11">
        <f>IFERROR(VLOOKUP(F96,ShipShapeEnum!$B:$C,2,FALSE),"-")</f>
        <v>1</v>
      </c>
      <c r="H96" s="19" t="s">
        <v>0</v>
      </c>
      <c r="I96" s="19" t="s">
        <v>0</v>
      </c>
      <c r="J96" s="19" t="s">
        <v>0</v>
      </c>
      <c r="K96" s="19" t="s">
        <v>0</v>
      </c>
      <c r="L96" s="19" t="s">
        <v>0</v>
      </c>
      <c r="M96" s="4" t="s">
        <v>81</v>
      </c>
      <c r="N96" s="11">
        <f>IFERROR(VLOOKUP(M96,ShipShapeEnum!$H:$I,2,FALSE),"-")</f>
        <v>1</v>
      </c>
      <c r="O96" s="11" t="s">
        <v>2688</v>
      </c>
      <c r="P96" s="30"/>
      <c r="Q96" s="11" t="str">
        <f>IFERROR(INDEX(SailPattern!$A:$A,MATCH(P96,SailPattern!$B:$B,0)),"-")</f>
        <v>-</v>
      </c>
      <c r="R96" s="30"/>
      <c r="S96" s="11" t="str">
        <f>IFERROR(INDEX(SailCrest!$A:$A,MATCH(R96,SailCrest!$B:$B,0)),"-")</f>
        <v>-</v>
      </c>
      <c r="T96" s="19" t="s">
        <v>0</v>
      </c>
      <c r="U96" s="19" t="s">
        <v>0</v>
      </c>
      <c r="V96" s="19" t="s">
        <v>0</v>
      </c>
      <c r="W96" s="19" t="s">
        <v>0</v>
      </c>
      <c r="X96" s="19" t="s">
        <v>0</v>
      </c>
      <c r="Y96" s="19" t="s">
        <v>0</v>
      </c>
      <c r="Z96" s="19" t="s">
        <v>0</v>
      </c>
      <c r="AA96" s="19" t="s">
        <v>0</v>
      </c>
    </row>
    <row r="97" spans="1:27" ht="15">
      <c r="A97" s="10">
        <f t="shared" si="3"/>
        <v>46000088</v>
      </c>
      <c r="B97" s="4" t="s">
        <v>1132</v>
      </c>
      <c r="C97" s="4" t="s">
        <v>62</v>
      </c>
      <c r="D97" s="11">
        <f>IFERROR(VLOOKUP(C97,ShipShapeEnum!$E:$F,2,FALSE),"-")</f>
        <v>1</v>
      </c>
      <c r="E97" s="19" t="s">
        <v>1128</v>
      </c>
      <c r="F97" s="4" t="s">
        <v>61</v>
      </c>
      <c r="G97" s="11">
        <f>IFERROR(VLOOKUP(F97,ShipShapeEnum!$B:$C,2,FALSE),"-")</f>
        <v>1</v>
      </c>
      <c r="H97" s="19" t="s">
        <v>0</v>
      </c>
      <c r="I97" s="19" t="s">
        <v>0</v>
      </c>
      <c r="J97" s="19" t="s">
        <v>0</v>
      </c>
      <c r="K97" s="19" t="s">
        <v>0</v>
      </c>
      <c r="L97" s="19" t="s">
        <v>0</v>
      </c>
      <c r="M97" s="4" t="s">
        <v>81</v>
      </c>
      <c r="N97" s="11">
        <f>IFERROR(VLOOKUP(M97,ShipShapeEnum!$H:$I,2,FALSE),"-")</f>
        <v>1</v>
      </c>
      <c r="O97" s="11" t="s">
        <v>2688</v>
      </c>
      <c r="P97" s="30"/>
      <c r="Q97" s="11" t="str">
        <f>IFERROR(INDEX(SailPattern!$A:$A,MATCH(P97,SailPattern!$B:$B,0)),"-")</f>
        <v>-</v>
      </c>
      <c r="R97" s="30"/>
      <c r="S97" s="11" t="str">
        <f>IFERROR(INDEX(SailCrest!$A:$A,MATCH(R97,SailCrest!$B:$B,0)),"-")</f>
        <v>-</v>
      </c>
      <c r="T97" s="19" t="s">
        <v>0</v>
      </c>
      <c r="U97" s="19" t="s">
        <v>0</v>
      </c>
      <c r="V97" s="19" t="s">
        <v>0</v>
      </c>
      <c r="W97" s="19" t="s">
        <v>0</v>
      </c>
      <c r="X97" s="19" t="s">
        <v>0</v>
      </c>
      <c r="Y97" s="19" t="s">
        <v>0</v>
      </c>
      <c r="Z97" s="19" t="s">
        <v>0</v>
      </c>
      <c r="AA97" s="19" t="s">
        <v>0</v>
      </c>
    </row>
    <row r="98" spans="1:27" ht="15">
      <c r="A98" s="10">
        <f t="shared" si="3"/>
        <v>46000089</v>
      </c>
      <c r="B98" s="4" t="s">
        <v>1135</v>
      </c>
      <c r="C98" s="4" t="s">
        <v>62</v>
      </c>
      <c r="D98" s="11">
        <f>IFERROR(VLOOKUP(C98,ShipShapeEnum!$E:$F,2,FALSE),"-")</f>
        <v>1</v>
      </c>
      <c r="E98" s="19" t="s">
        <v>1137</v>
      </c>
      <c r="F98" s="4" t="s">
        <v>61</v>
      </c>
      <c r="G98" s="11">
        <f>IFERROR(VLOOKUP(F98,ShipShapeEnum!$B:$C,2,FALSE),"-")</f>
        <v>1</v>
      </c>
      <c r="H98" s="19" t="s">
        <v>0</v>
      </c>
      <c r="I98" s="19" t="s">
        <v>0</v>
      </c>
      <c r="J98" s="19" t="s">
        <v>0</v>
      </c>
      <c r="K98" s="19" t="s">
        <v>0</v>
      </c>
      <c r="L98" s="19" t="s">
        <v>0</v>
      </c>
      <c r="M98" s="4" t="s">
        <v>81</v>
      </c>
      <c r="N98" s="11">
        <f>IFERROR(VLOOKUP(M98,ShipShapeEnum!$H:$I,2,FALSE),"-")</f>
        <v>1</v>
      </c>
      <c r="O98" s="11" t="s">
        <v>2688</v>
      </c>
      <c r="P98" s="30"/>
      <c r="Q98" s="11" t="str">
        <f>IFERROR(INDEX(SailPattern!$A:$A,MATCH(P98,SailPattern!$B:$B,0)),"-")</f>
        <v>-</v>
      </c>
      <c r="R98" s="30"/>
      <c r="S98" s="11" t="str">
        <f>IFERROR(INDEX(SailCrest!$A:$A,MATCH(R98,SailCrest!$B:$B,0)),"-")</f>
        <v>-</v>
      </c>
      <c r="T98" s="19" t="s">
        <v>0</v>
      </c>
      <c r="U98" s="19" t="s">
        <v>0</v>
      </c>
      <c r="V98" s="19" t="s">
        <v>0</v>
      </c>
      <c r="W98" s="19" t="s">
        <v>0</v>
      </c>
      <c r="X98" s="19" t="s">
        <v>0</v>
      </c>
      <c r="Y98" s="19" t="s">
        <v>0</v>
      </c>
      <c r="Z98" s="19" t="s">
        <v>0</v>
      </c>
      <c r="AA98" s="19" t="s">
        <v>0</v>
      </c>
    </row>
    <row r="99" spans="1:27" ht="15">
      <c r="A99" s="10">
        <f t="shared" si="3"/>
        <v>46000090</v>
      </c>
      <c r="B99" s="4" t="s">
        <v>1142</v>
      </c>
      <c r="C99" s="4" t="s">
        <v>62</v>
      </c>
      <c r="D99" s="11">
        <f>IFERROR(VLOOKUP(C99,ShipShapeEnum!$E:$F,2,FALSE),"-")</f>
        <v>1</v>
      </c>
      <c r="E99" s="19" t="s">
        <v>1138</v>
      </c>
      <c r="F99" s="4" t="s">
        <v>61</v>
      </c>
      <c r="G99" s="11">
        <f>IFERROR(VLOOKUP(F99,ShipShapeEnum!$B:$C,2,FALSE),"-")</f>
        <v>1</v>
      </c>
      <c r="H99" s="19" t="s">
        <v>0</v>
      </c>
      <c r="I99" s="19" t="s">
        <v>0</v>
      </c>
      <c r="J99" s="19" t="s">
        <v>0</v>
      </c>
      <c r="K99" s="19" t="s">
        <v>0</v>
      </c>
      <c r="L99" s="19" t="s">
        <v>0</v>
      </c>
      <c r="M99" s="4" t="s">
        <v>81</v>
      </c>
      <c r="N99" s="11">
        <f>IFERROR(VLOOKUP(M99,ShipShapeEnum!$H:$I,2,FALSE),"-")</f>
        <v>1</v>
      </c>
      <c r="O99" s="11" t="s">
        <v>2688</v>
      </c>
      <c r="P99" s="30"/>
      <c r="Q99" s="11" t="str">
        <f>IFERROR(INDEX(SailPattern!$A:$A,MATCH(P99,SailPattern!$B:$B,0)),"-")</f>
        <v>-</v>
      </c>
      <c r="R99" s="30"/>
      <c r="S99" s="11" t="str">
        <f>IFERROR(INDEX(SailCrest!$A:$A,MATCH(R99,SailCrest!$B:$B,0)),"-")</f>
        <v>-</v>
      </c>
      <c r="T99" s="19" t="s">
        <v>0</v>
      </c>
      <c r="U99" s="19" t="s">
        <v>0</v>
      </c>
      <c r="V99" s="19" t="s">
        <v>0</v>
      </c>
      <c r="W99" s="19" t="s">
        <v>0</v>
      </c>
      <c r="X99" s="19" t="s">
        <v>0</v>
      </c>
      <c r="Y99" s="19" t="s">
        <v>0</v>
      </c>
      <c r="Z99" s="19" t="s">
        <v>0</v>
      </c>
      <c r="AA99" s="19" t="s">
        <v>0</v>
      </c>
    </row>
    <row r="100" spans="1:27" ht="15">
      <c r="A100" s="10">
        <f t="shared" si="3"/>
        <v>46000091</v>
      </c>
      <c r="B100" s="4" t="s">
        <v>1145</v>
      </c>
      <c r="C100" s="4" t="s">
        <v>62</v>
      </c>
      <c r="D100" s="11">
        <f>IFERROR(VLOOKUP(C100,ShipShapeEnum!$E:$F,2,FALSE),"-")</f>
        <v>1</v>
      </c>
      <c r="E100" s="19" t="s">
        <v>1147</v>
      </c>
      <c r="F100" s="4" t="s">
        <v>61</v>
      </c>
      <c r="G100" s="11">
        <f>IFERROR(VLOOKUP(F100,ShipShapeEnum!$B:$C,2,FALSE),"-")</f>
        <v>1</v>
      </c>
      <c r="H100" s="19" t="s">
        <v>0</v>
      </c>
      <c r="I100" s="19" t="s">
        <v>0</v>
      </c>
      <c r="J100" s="19" t="s">
        <v>0</v>
      </c>
      <c r="K100" s="19" t="s">
        <v>0</v>
      </c>
      <c r="L100" s="19" t="s">
        <v>0</v>
      </c>
      <c r="M100" s="4" t="s">
        <v>81</v>
      </c>
      <c r="N100" s="11">
        <f>IFERROR(VLOOKUP(M100,ShipShapeEnum!$H:$I,2,FALSE),"-")</f>
        <v>1</v>
      </c>
      <c r="O100" s="11" t="s">
        <v>2688</v>
      </c>
      <c r="P100" s="30"/>
      <c r="Q100" s="11" t="str">
        <f>IFERROR(INDEX(SailPattern!$A:$A,MATCH(P100,SailPattern!$B:$B,0)),"-")</f>
        <v>-</v>
      </c>
      <c r="R100" s="30"/>
      <c r="S100" s="11" t="str">
        <f>IFERROR(INDEX(SailCrest!$A:$A,MATCH(R100,SailCrest!$B:$B,0)),"-")</f>
        <v>-</v>
      </c>
      <c r="T100" s="19" t="s">
        <v>0</v>
      </c>
      <c r="U100" s="19" t="s">
        <v>0</v>
      </c>
      <c r="V100" s="19" t="s">
        <v>0</v>
      </c>
      <c r="W100" s="19" t="s">
        <v>0</v>
      </c>
      <c r="X100" s="19" t="s">
        <v>0</v>
      </c>
      <c r="Y100" s="19" t="s">
        <v>0</v>
      </c>
      <c r="Z100" s="19" t="s">
        <v>0</v>
      </c>
      <c r="AA100" s="19" t="s">
        <v>0</v>
      </c>
    </row>
    <row r="101" spans="1:27" ht="15">
      <c r="A101" s="10">
        <f t="shared" si="3"/>
        <v>46000092</v>
      </c>
      <c r="B101" s="4" t="s">
        <v>1155</v>
      </c>
      <c r="C101" s="4" t="s">
        <v>62</v>
      </c>
      <c r="D101" s="11">
        <f>IFERROR(VLOOKUP(C101,ShipShapeEnum!$E:$F,2,FALSE),"-")</f>
        <v>1</v>
      </c>
      <c r="E101" s="19" t="s">
        <v>1154</v>
      </c>
      <c r="F101" s="4" t="s">
        <v>61</v>
      </c>
      <c r="G101" s="11">
        <f>IFERROR(VLOOKUP(F101,ShipShapeEnum!$B:$C,2,FALSE),"-")</f>
        <v>1</v>
      </c>
      <c r="H101" s="19" t="s">
        <v>0</v>
      </c>
      <c r="I101" s="19" t="s">
        <v>0</v>
      </c>
      <c r="J101" s="19" t="s">
        <v>0</v>
      </c>
      <c r="K101" s="19" t="s">
        <v>0</v>
      </c>
      <c r="L101" s="19" t="s">
        <v>0</v>
      </c>
      <c r="M101" s="4" t="s">
        <v>81</v>
      </c>
      <c r="N101" s="11">
        <f>IFERROR(VLOOKUP(M101,ShipShapeEnum!$H:$I,2,FALSE),"-")</f>
        <v>1</v>
      </c>
      <c r="O101" s="11" t="s">
        <v>2688</v>
      </c>
      <c r="P101" s="30"/>
      <c r="Q101" s="11" t="str">
        <f>IFERROR(INDEX(SailPattern!$A:$A,MATCH(P101,SailPattern!$B:$B,0)),"-")</f>
        <v>-</v>
      </c>
      <c r="R101" s="30"/>
      <c r="S101" s="11" t="str">
        <f>IFERROR(INDEX(SailCrest!$A:$A,MATCH(R101,SailCrest!$B:$B,0)),"-")</f>
        <v>-</v>
      </c>
      <c r="T101" s="19" t="s">
        <v>0</v>
      </c>
      <c r="U101" s="19" t="s">
        <v>0</v>
      </c>
      <c r="V101" s="19" t="s">
        <v>0</v>
      </c>
      <c r="W101" s="19" t="s">
        <v>0</v>
      </c>
      <c r="X101" s="19" t="s">
        <v>0</v>
      </c>
      <c r="Y101" s="19" t="s">
        <v>0</v>
      </c>
      <c r="Z101" s="19" t="s">
        <v>0</v>
      </c>
      <c r="AA101" s="19" t="s">
        <v>0</v>
      </c>
    </row>
    <row r="102" spans="1:27" ht="15">
      <c r="A102" s="10">
        <f t="shared" si="3"/>
        <v>46000093</v>
      </c>
      <c r="B102" s="4" t="s">
        <v>1244</v>
      </c>
      <c r="C102" s="4" t="s">
        <v>62</v>
      </c>
      <c r="D102" s="11">
        <f>IFERROR(VLOOKUP(C102,ShipShapeEnum!$E:$F,2,FALSE),"-")</f>
        <v>1</v>
      </c>
      <c r="E102" s="19" t="s">
        <v>117</v>
      </c>
      <c r="F102" s="4" t="s">
        <v>61</v>
      </c>
      <c r="G102" s="11">
        <f>IFERROR(VLOOKUP(F102,ShipShapeEnum!$B:$C,2,FALSE),"-")</f>
        <v>1</v>
      </c>
      <c r="H102" s="19" t="s">
        <v>0</v>
      </c>
      <c r="I102" s="19" t="s">
        <v>0</v>
      </c>
      <c r="J102" s="19" t="s">
        <v>0</v>
      </c>
      <c r="K102" s="19" t="s">
        <v>0</v>
      </c>
      <c r="L102" s="19" t="s">
        <v>0</v>
      </c>
      <c r="M102" s="4" t="s">
        <v>81</v>
      </c>
      <c r="N102" s="11">
        <f>IFERROR(VLOOKUP(M102,ShipShapeEnum!$H:$I,2,FALSE),"-")</f>
        <v>1</v>
      </c>
      <c r="O102" s="11" t="s">
        <v>2688</v>
      </c>
      <c r="P102" s="30" t="s">
        <v>1248</v>
      </c>
      <c r="Q102" s="11">
        <f>IFERROR(INDEX(SailPattern!$A:$A,MATCH(P102,SailPattern!$B:$B,0)),"-")</f>
        <v>47210001</v>
      </c>
      <c r="R102" s="30" t="s">
        <v>1363</v>
      </c>
      <c r="S102" s="11">
        <f>IFERROR(INDEX(SailCrest!$A:$A,MATCH(R102,SailCrest!$B:$B,0)),"-")</f>
        <v>47100046</v>
      </c>
      <c r="T102" s="19">
        <v>2</v>
      </c>
      <c r="U102" s="19" t="s">
        <v>103</v>
      </c>
      <c r="V102" s="19" t="s">
        <v>0</v>
      </c>
      <c r="W102" s="19" t="s">
        <v>0</v>
      </c>
      <c r="X102" s="19" t="s">
        <v>0</v>
      </c>
      <c r="Y102" s="19" t="s">
        <v>0</v>
      </c>
      <c r="Z102" s="19" t="s">
        <v>0</v>
      </c>
      <c r="AA102" s="19" t="s">
        <v>0</v>
      </c>
    </row>
    <row r="103" spans="1:27" ht="15">
      <c r="A103" s="10">
        <f t="shared" si="3"/>
        <v>46000094</v>
      </c>
      <c r="B103" s="4" t="s">
        <v>1245</v>
      </c>
      <c r="C103" s="4" t="s">
        <v>62</v>
      </c>
      <c r="D103" s="11">
        <f>IFERROR(VLOOKUP(C103,ShipShapeEnum!$E:$F,2,FALSE),"-")</f>
        <v>1</v>
      </c>
      <c r="E103" s="19" t="s">
        <v>100</v>
      </c>
      <c r="F103" s="4" t="s">
        <v>61</v>
      </c>
      <c r="G103" s="11">
        <f>IFERROR(VLOOKUP(F103,ShipShapeEnum!$B:$C,2,FALSE),"-")</f>
        <v>1</v>
      </c>
      <c r="H103" s="19" t="s">
        <v>0</v>
      </c>
      <c r="I103" s="19" t="s">
        <v>0</v>
      </c>
      <c r="J103" s="19" t="s">
        <v>0</v>
      </c>
      <c r="K103" s="19" t="s">
        <v>0</v>
      </c>
      <c r="L103" s="19" t="s">
        <v>0</v>
      </c>
      <c r="M103" s="4" t="s">
        <v>81</v>
      </c>
      <c r="N103" s="11">
        <f>IFERROR(VLOOKUP(M103,ShipShapeEnum!$H:$I,2,FALSE),"-")</f>
        <v>1</v>
      </c>
      <c r="O103" s="11" t="s">
        <v>2688</v>
      </c>
      <c r="P103" s="30" t="s">
        <v>1248</v>
      </c>
      <c r="Q103" s="11">
        <f>IFERROR(INDEX(SailPattern!$A:$A,MATCH(P103,SailPattern!$B:$B,0)),"-")</f>
        <v>47210001</v>
      </c>
      <c r="R103" s="30"/>
      <c r="S103" s="11" t="str">
        <f>IFERROR(INDEX(SailCrest!$A:$A,MATCH(R103,SailCrest!$B:$B,0)),"-")</f>
        <v>-</v>
      </c>
      <c r="T103" s="19">
        <v>2</v>
      </c>
      <c r="U103" s="19" t="s">
        <v>103</v>
      </c>
      <c r="V103" s="19" t="s">
        <v>0</v>
      </c>
      <c r="W103" s="19" t="s">
        <v>0</v>
      </c>
      <c r="X103" s="19" t="s">
        <v>0</v>
      </c>
      <c r="Y103" s="19" t="s">
        <v>0</v>
      </c>
      <c r="Z103" s="19" t="s">
        <v>0</v>
      </c>
      <c r="AA103" s="19" t="s">
        <v>0</v>
      </c>
    </row>
    <row r="104" spans="1:27" ht="15">
      <c r="A104" s="10">
        <f t="shared" si="3"/>
        <v>46000095</v>
      </c>
      <c r="B104" s="4" t="s">
        <v>1364</v>
      </c>
      <c r="C104" s="4" t="s">
        <v>62</v>
      </c>
      <c r="D104" s="11">
        <f>IFERROR(VLOOKUP(C104,ShipShapeEnum!$E:$F,2,FALSE),"-")</f>
        <v>1</v>
      </c>
      <c r="E104" s="19" t="s">
        <v>1365</v>
      </c>
      <c r="F104" s="4" t="s">
        <v>61</v>
      </c>
      <c r="G104" s="11">
        <f>IFERROR(VLOOKUP(F104,ShipShapeEnum!$B:$C,2,FALSE),"-")</f>
        <v>1</v>
      </c>
      <c r="H104" s="19" t="s">
        <v>0</v>
      </c>
      <c r="I104" s="19" t="s">
        <v>0</v>
      </c>
      <c r="J104" s="19" t="s">
        <v>0</v>
      </c>
      <c r="K104" s="19" t="s">
        <v>0</v>
      </c>
      <c r="L104" s="19" t="s">
        <v>0</v>
      </c>
      <c r="M104" s="4" t="s">
        <v>81</v>
      </c>
      <c r="N104" s="11">
        <f>IFERROR(VLOOKUP(M104,ShipShapeEnum!$H:$I,2,FALSE),"-")</f>
        <v>1</v>
      </c>
      <c r="O104" s="11" t="s">
        <v>2688</v>
      </c>
      <c r="P104" s="30"/>
      <c r="Q104" s="11" t="str">
        <f>IFERROR(INDEX(SailPattern!$A:$A,MATCH(P104,SailPattern!$B:$B,0)),"-")</f>
        <v>-</v>
      </c>
      <c r="R104" s="30"/>
      <c r="S104" s="11" t="str">
        <f>IFERROR(INDEX(SailCrest!$A:$A,MATCH(R104,SailCrest!$B:$B,0)),"-")</f>
        <v>-</v>
      </c>
      <c r="T104" s="19" t="s">
        <v>0</v>
      </c>
      <c r="U104" s="19" t="s">
        <v>0</v>
      </c>
      <c r="V104" s="19" t="s">
        <v>0</v>
      </c>
      <c r="W104" s="19" t="s">
        <v>0</v>
      </c>
      <c r="X104" s="19" t="s">
        <v>0</v>
      </c>
      <c r="Y104" s="19" t="s">
        <v>0</v>
      </c>
      <c r="Z104" s="19" t="s">
        <v>0</v>
      </c>
      <c r="AA104" s="19" t="s">
        <v>0</v>
      </c>
    </row>
    <row r="105" spans="1:27" ht="15">
      <c r="A105" s="10">
        <f t="shared" si="3"/>
        <v>46000096</v>
      </c>
      <c r="B105" s="4" t="s">
        <v>1369</v>
      </c>
      <c r="C105" s="4" t="s">
        <v>62</v>
      </c>
      <c r="D105" s="11">
        <f>IFERROR(VLOOKUP(C105,ShipShapeEnum!$E:$F,2,FALSE),"-")</f>
        <v>1</v>
      </c>
      <c r="E105" s="19" t="s">
        <v>1370</v>
      </c>
      <c r="F105" s="4" t="s">
        <v>61</v>
      </c>
      <c r="G105" s="11">
        <f>IFERROR(VLOOKUP(F105,ShipShapeEnum!$B:$C,2,FALSE),"-")</f>
        <v>1</v>
      </c>
      <c r="H105" s="19" t="s">
        <v>0</v>
      </c>
      <c r="I105" s="19" t="s">
        <v>0</v>
      </c>
      <c r="J105" s="19" t="s">
        <v>0</v>
      </c>
      <c r="K105" s="19" t="s">
        <v>0</v>
      </c>
      <c r="L105" s="19" t="s">
        <v>0</v>
      </c>
      <c r="M105" s="4" t="s">
        <v>81</v>
      </c>
      <c r="N105" s="11">
        <f>IFERROR(VLOOKUP(M105,ShipShapeEnum!$H:$I,2,FALSE),"-")</f>
        <v>1</v>
      </c>
      <c r="O105" s="11" t="s">
        <v>2688</v>
      </c>
      <c r="P105" s="30"/>
      <c r="Q105" s="11" t="str">
        <f>IFERROR(INDEX(SailPattern!$A:$A,MATCH(P105,SailPattern!$B:$B,0)),"-")</f>
        <v>-</v>
      </c>
      <c r="R105" s="30"/>
      <c r="S105" s="11" t="str">
        <f>IFERROR(INDEX(SailCrest!$A:$A,MATCH(R105,SailCrest!$B:$B,0)),"-")</f>
        <v>-</v>
      </c>
      <c r="T105" s="19" t="s">
        <v>0</v>
      </c>
      <c r="U105" s="19" t="s">
        <v>0</v>
      </c>
      <c r="V105" s="19" t="s">
        <v>0</v>
      </c>
      <c r="W105" s="19" t="s">
        <v>0</v>
      </c>
      <c r="X105" s="19" t="s">
        <v>0</v>
      </c>
      <c r="Y105" s="19" t="s">
        <v>0</v>
      </c>
      <c r="Z105" s="19" t="s">
        <v>0</v>
      </c>
      <c r="AA105" s="19" t="s">
        <v>0</v>
      </c>
    </row>
    <row r="106" spans="1:27" ht="15">
      <c r="A106" s="10">
        <f>A105+1</f>
        <v>46000097</v>
      </c>
      <c r="B106" s="4" t="s">
        <v>2414</v>
      </c>
      <c r="C106" s="4" t="s">
        <v>62</v>
      </c>
      <c r="D106" s="11">
        <f>IFERROR(VLOOKUP(C106,ShipShapeEnum!$E:$F,2,FALSE),"-")</f>
        <v>1</v>
      </c>
      <c r="E106" s="19" t="s">
        <v>1372</v>
      </c>
      <c r="F106" s="4" t="s">
        <v>61</v>
      </c>
      <c r="G106" s="11">
        <f>IFERROR(VLOOKUP(F106,ShipShapeEnum!$B:$C,2,FALSE),"-")</f>
        <v>1</v>
      </c>
      <c r="H106" s="19" t="s">
        <v>0</v>
      </c>
      <c r="I106" s="19" t="s">
        <v>0</v>
      </c>
      <c r="J106" s="19" t="s">
        <v>0</v>
      </c>
      <c r="K106" s="19" t="s">
        <v>0</v>
      </c>
      <c r="L106" s="19" t="s">
        <v>0</v>
      </c>
      <c r="M106" s="4" t="s">
        <v>81</v>
      </c>
      <c r="N106" s="11">
        <f>IFERROR(VLOOKUP(M106,ShipShapeEnum!$H:$I,2,FALSE),"-")</f>
        <v>1</v>
      </c>
      <c r="O106" s="11" t="s">
        <v>2688</v>
      </c>
      <c r="P106" s="30"/>
      <c r="Q106" s="11" t="str">
        <f>IFERROR(INDEX(SailPattern!$A:$A,MATCH(P106,SailPattern!$B:$B,0)),"-")</f>
        <v>-</v>
      </c>
      <c r="R106" s="30"/>
      <c r="S106" s="11" t="str">
        <f>IFERROR(INDEX(SailCrest!$A:$A,MATCH(R106,SailCrest!$B:$B,0)),"-")</f>
        <v>-</v>
      </c>
      <c r="T106" s="19" t="s">
        <v>0</v>
      </c>
      <c r="U106" s="19" t="s">
        <v>0</v>
      </c>
      <c r="V106" s="19" t="s">
        <v>0</v>
      </c>
      <c r="W106" s="19" t="s">
        <v>0</v>
      </c>
      <c r="X106" s="19" t="s">
        <v>0</v>
      </c>
      <c r="Y106" s="19" t="s">
        <v>0</v>
      </c>
      <c r="Z106" s="19" t="s">
        <v>0</v>
      </c>
      <c r="AA106" s="19" t="s">
        <v>0</v>
      </c>
    </row>
    <row r="107" spans="1:27" ht="15">
      <c r="A107" s="10">
        <f>A106+1</f>
        <v>46000098</v>
      </c>
      <c r="B107" s="4" t="s">
        <v>1376</v>
      </c>
      <c r="C107" s="4" t="s">
        <v>62</v>
      </c>
      <c r="D107" s="11">
        <f>IFERROR(VLOOKUP(C107,ShipShapeEnum!$E:$F,2,FALSE),"-")</f>
        <v>1</v>
      </c>
      <c r="E107" s="19" t="s">
        <v>1377</v>
      </c>
      <c r="F107" s="4" t="s">
        <v>61</v>
      </c>
      <c r="G107" s="11">
        <f>IFERROR(VLOOKUP(F107,ShipShapeEnum!$B:$C,2,FALSE),"-")</f>
        <v>1</v>
      </c>
      <c r="H107" s="19" t="s">
        <v>0</v>
      </c>
      <c r="I107" s="19" t="s">
        <v>0</v>
      </c>
      <c r="J107" s="19" t="s">
        <v>0</v>
      </c>
      <c r="K107" s="19" t="s">
        <v>0</v>
      </c>
      <c r="L107" s="19" t="s">
        <v>0</v>
      </c>
      <c r="M107" s="4" t="s">
        <v>81</v>
      </c>
      <c r="N107" s="11">
        <f>IFERROR(VLOOKUP(M107,ShipShapeEnum!$H:$I,2,FALSE),"-")</f>
        <v>1</v>
      </c>
      <c r="O107" s="11" t="s">
        <v>2688</v>
      </c>
      <c r="P107" s="30"/>
      <c r="Q107" s="11" t="str">
        <f>IFERROR(INDEX(SailPattern!$A:$A,MATCH(P107,SailPattern!$B:$B,0)),"-")</f>
        <v>-</v>
      </c>
      <c r="R107" s="30"/>
      <c r="S107" s="11" t="str">
        <f>IFERROR(INDEX(SailCrest!$A:$A,MATCH(R107,SailCrest!$B:$B,0)),"-")</f>
        <v>-</v>
      </c>
      <c r="T107" s="19" t="s">
        <v>0</v>
      </c>
      <c r="U107" s="19" t="s">
        <v>0</v>
      </c>
      <c r="V107" s="19" t="s">
        <v>0</v>
      </c>
      <c r="W107" s="19" t="s">
        <v>0</v>
      </c>
      <c r="X107" s="19" t="s">
        <v>0</v>
      </c>
      <c r="Y107" s="19" t="s">
        <v>0</v>
      </c>
      <c r="Z107" s="19" t="s">
        <v>0</v>
      </c>
      <c r="AA107" s="19" t="s">
        <v>0</v>
      </c>
    </row>
    <row r="108" spans="1:27" ht="15">
      <c r="A108" s="10">
        <f t="shared" ref="A108:A146" si="4">A107+1</f>
        <v>46000099</v>
      </c>
      <c r="B108" s="4" t="s">
        <v>1380</v>
      </c>
      <c r="C108" s="4" t="s">
        <v>62</v>
      </c>
      <c r="D108" s="11">
        <f>IFERROR(VLOOKUP(C108,ShipShapeEnum!$E:$F,2,FALSE),"-")</f>
        <v>1</v>
      </c>
      <c r="E108" s="19" t="s">
        <v>1382</v>
      </c>
      <c r="F108" s="4" t="s">
        <v>61</v>
      </c>
      <c r="G108" s="11">
        <f>IFERROR(VLOOKUP(F108,ShipShapeEnum!$B:$C,2,FALSE),"-")</f>
        <v>1</v>
      </c>
      <c r="H108" s="19" t="s">
        <v>0</v>
      </c>
      <c r="I108" s="19" t="s">
        <v>0</v>
      </c>
      <c r="J108" s="19" t="s">
        <v>0</v>
      </c>
      <c r="K108" s="19" t="s">
        <v>0</v>
      </c>
      <c r="L108" s="19" t="s">
        <v>0</v>
      </c>
      <c r="M108" s="4" t="s">
        <v>81</v>
      </c>
      <c r="N108" s="11">
        <f>IFERROR(VLOOKUP(M108,ShipShapeEnum!$H:$I,2,FALSE),"-")</f>
        <v>1</v>
      </c>
      <c r="O108" s="11" t="s">
        <v>2688</v>
      </c>
      <c r="P108" s="30"/>
      <c r="Q108" s="11" t="str">
        <f>IFERROR(INDEX(SailPattern!$A:$A,MATCH(P108,SailPattern!$B:$B,0)),"-")</f>
        <v>-</v>
      </c>
      <c r="R108" s="30"/>
      <c r="S108" s="11" t="str">
        <f>IFERROR(INDEX(SailCrest!$A:$A,MATCH(R108,SailCrest!$B:$B,0)),"-")</f>
        <v>-</v>
      </c>
      <c r="T108" s="19" t="s">
        <v>0</v>
      </c>
      <c r="U108" s="19" t="s">
        <v>0</v>
      </c>
      <c r="V108" s="19" t="s">
        <v>0</v>
      </c>
      <c r="W108" s="19" t="s">
        <v>0</v>
      </c>
      <c r="X108" s="19" t="s">
        <v>0</v>
      </c>
      <c r="Y108" s="19" t="s">
        <v>0</v>
      </c>
      <c r="Z108" s="19" t="s">
        <v>0</v>
      </c>
      <c r="AA108" s="19" t="s">
        <v>0</v>
      </c>
    </row>
    <row r="109" spans="1:27" ht="15">
      <c r="A109" s="10">
        <f t="shared" si="4"/>
        <v>46000100</v>
      </c>
      <c r="B109" s="4" t="s">
        <v>1390</v>
      </c>
      <c r="C109" s="4" t="s">
        <v>62</v>
      </c>
      <c r="D109" s="11">
        <f>IFERROR(VLOOKUP(C109,ShipShapeEnum!$E:$F,2,FALSE),"-")</f>
        <v>1</v>
      </c>
      <c r="E109" s="19" t="s">
        <v>1383</v>
      </c>
      <c r="F109" s="4" t="s">
        <v>61</v>
      </c>
      <c r="G109" s="11">
        <f>IFERROR(VLOOKUP(F109,ShipShapeEnum!$B:$C,2,FALSE),"-")</f>
        <v>1</v>
      </c>
      <c r="H109" s="19" t="s">
        <v>0</v>
      </c>
      <c r="I109" s="19" t="s">
        <v>0</v>
      </c>
      <c r="J109" s="19" t="s">
        <v>0</v>
      </c>
      <c r="K109" s="19" t="s">
        <v>0</v>
      </c>
      <c r="L109" s="19" t="s">
        <v>0</v>
      </c>
      <c r="M109" s="4" t="s">
        <v>81</v>
      </c>
      <c r="N109" s="11">
        <f>IFERROR(VLOOKUP(M109,ShipShapeEnum!$H:$I,2,FALSE),"-")</f>
        <v>1</v>
      </c>
      <c r="O109" s="11" t="s">
        <v>2688</v>
      </c>
      <c r="P109" s="30"/>
      <c r="Q109" s="11" t="str">
        <f>IFERROR(INDEX(SailPattern!$A:$A,MATCH(P109,SailPattern!$B:$B,0)),"-")</f>
        <v>-</v>
      </c>
      <c r="R109" s="30"/>
      <c r="S109" s="11" t="str">
        <f>IFERROR(INDEX(SailCrest!$A:$A,MATCH(R109,SailCrest!$B:$B,0)),"-")</f>
        <v>-</v>
      </c>
      <c r="T109" s="19" t="s">
        <v>0</v>
      </c>
      <c r="U109" s="19" t="s">
        <v>0</v>
      </c>
      <c r="V109" s="19" t="s">
        <v>0</v>
      </c>
      <c r="W109" s="19" t="s">
        <v>0</v>
      </c>
      <c r="X109" s="19" t="s">
        <v>0</v>
      </c>
      <c r="Y109" s="19" t="s">
        <v>0</v>
      </c>
      <c r="Z109" s="19" t="s">
        <v>0</v>
      </c>
      <c r="AA109" s="19" t="s">
        <v>0</v>
      </c>
    </row>
    <row r="110" spans="1:27" ht="15">
      <c r="A110" s="10">
        <f t="shared" si="4"/>
        <v>46000101</v>
      </c>
      <c r="B110" s="4" t="s">
        <v>1391</v>
      </c>
      <c r="C110" s="4" t="s">
        <v>62</v>
      </c>
      <c r="D110" s="11">
        <f>IFERROR(VLOOKUP(C110,ShipShapeEnum!$E:$F,2,FALSE),"-")</f>
        <v>1</v>
      </c>
      <c r="E110" s="19" t="s">
        <v>1384</v>
      </c>
      <c r="F110" s="4" t="s">
        <v>61</v>
      </c>
      <c r="G110" s="11">
        <f>IFERROR(VLOOKUP(F110,ShipShapeEnum!$B:$C,2,FALSE),"-")</f>
        <v>1</v>
      </c>
      <c r="H110" s="19" t="s">
        <v>0</v>
      </c>
      <c r="I110" s="19" t="s">
        <v>0</v>
      </c>
      <c r="J110" s="19" t="s">
        <v>0</v>
      </c>
      <c r="K110" s="19" t="s">
        <v>0</v>
      </c>
      <c r="L110" s="19" t="s">
        <v>0</v>
      </c>
      <c r="M110" s="4" t="s">
        <v>81</v>
      </c>
      <c r="N110" s="11">
        <f>IFERROR(VLOOKUP(M110,ShipShapeEnum!$H:$I,2,FALSE),"-")</f>
        <v>1</v>
      </c>
      <c r="O110" s="11" t="s">
        <v>2688</v>
      </c>
      <c r="P110" s="30"/>
      <c r="Q110" s="11" t="str">
        <f>IFERROR(INDEX(SailPattern!$A:$A,MATCH(P110,SailPattern!$B:$B,0)),"-")</f>
        <v>-</v>
      </c>
      <c r="R110" s="30"/>
      <c r="S110" s="11" t="str">
        <f>IFERROR(INDEX(SailCrest!$A:$A,MATCH(R110,SailCrest!$B:$B,0)),"-")</f>
        <v>-</v>
      </c>
      <c r="T110" s="19" t="s">
        <v>0</v>
      </c>
      <c r="U110" s="19" t="s">
        <v>0</v>
      </c>
      <c r="V110" s="19" t="s">
        <v>0</v>
      </c>
      <c r="W110" s="19" t="s">
        <v>0</v>
      </c>
      <c r="X110" s="19" t="s">
        <v>0</v>
      </c>
      <c r="Y110" s="19" t="s">
        <v>0</v>
      </c>
      <c r="Z110" s="19" t="s">
        <v>0</v>
      </c>
      <c r="AA110" s="19" t="s">
        <v>0</v>
      </c>
    </row>
    <row r="111" spans="1:27" ht="15">
      <c r="A111" s="10">
        <f t="shared" si="4"/>
        <v>46000102</v>
      </c>
      <c r="B111" s="4" t="s">
        <v>1393</v>
      </c>
      <c r="C111" s="4" t="s">
        <v>62</v>
      </c>
      <c r="D111" s="11">
        <f>IFERROR(VLOOKUP(C111,ShipShapeEnum!$E:$F,2,FALSE),"-")</f>
        <v>1</v>
      </c>
      <c r="E111" s="19" t="s">
        <v>1394</v>
      </c>
      <c r="F111" s="4" t="s">
        <v>61</v>
      </c>
      <c r="G111" s="11">
        <f>IFERROR(VLOOKUP(F111,ShipShapeEnum!$B:$C,2,FALSE),"-")</f>
        <v>1</v>
      </c>
      <c r="H111" s="19" t="s">
        <v>0</v>
      </c>
      <c r="I111" s="19" t="s">
        <v>0</v>
      </c>
      <c r="J111" s="19" t="s">
        <v>0</v>
      </c>
      <c r="K111" s="19" t="s">
        <v>0</v>
      </c>
      <c r="L111" s="19" t="s">
        <v>0</v>
      </c>
      <c r="M111" s="4" t="s">
        <v>81</v>
      </c>
      <c r="N111" s="11">
        <f>IFERROR(VLOOKUP(M111,ShipShapeEnum!$H:$I,2,FALSE),"-")</f>
        <v>1</v>
      </c>
      <c r="O111" s="11" t="s">
        <v>2688</v>
      </c>
      <c r="P111" s="30"/>
      <c r="Q111" s="11" t="str">
        <f>IFERROR(INDEX(SailPattern!$A:$A,MATCH(P111,SailPattern!$B:$B,0)),"-")</f>
        <v>-</v>
      </c>
      <c r="R111" s="30"/>
      <c r="S111" s="11" t="str">
        <f>IFERROR(INDEX(SailCrest!$A:$A,MATCH(R111,SailCrest!$B:$B,0)),"-")</f>
        <v>-</v>
      </c>
      <c r="T111" s="19" t="s">
        <v>0</v>
      </c>
      <c r="U111" s="19" t="s">
        <v>0</v>
      </c>
      <c r="V111" s="19" t="s">
        <v>0</v>
      </c>
      <c r="W111" s="19" t="s">
        <v>0</v>
      </c>
      <c r="X111" s="19" t="s">
        <v>0</v>
      </c>
      <c r="Y111" s="19" t="s">
        <v>0</v>
      </c>
      <c r="Z111" s="19" t="s">
        <v>0</v>
      </c>
      <c r="AA111" s="19" t="s">
        <v>0</v>
      </c>
    </row>
    <row r="112" spans="1:27" ht="15">
      <c r="A112" s="10">
        <f t="shared" si="4"/>
        <v>46000103</v>
      </c>
      <c r="B112" s="4" t="s">
        <v>1406</v>
      </c>
      <c r="C112" s="4" t="s">
        <v>62</v>
      </c>
      <c r="D112" s="11">
        <f>IFERROR(VLOOKUP(C112,ShipShapeEnum!$E:$F,2,FALSE),"-")</f>
        <v>1</v>
      </c>
      <c r="E112" s="19" t="s">
        <v>1399</v>
      </c>
      <c r="F112" s="4" t="s">
        <v>61</v>
      </c>
      <c r="G112" s="11">
        <f>IFERROR(VLOOKUP(F112,ShipShapeEnum!$B:$C,2,FALSE),"-")</f>
        <v>1</v>
      </c>
      <c r="H112" s="19" t="s">
        <v>0</v>
      </c>
      <c r="I112" s="19" t="s">
        <v>0</v>
      </c>
      <c r="J112" s="19" t="s">
        <v>0</v>
      </c>
      <c r="K112" s="19" t="s">
        <v>0</v>
      </c>
      <c r="L112" s="19" t="s">
        <v>0</v>
      </c>
      <c r="M112" s="4" t="s">
        <v>81</v>
      </c>
      <c r="N112" s="11">
        <f>IFERROR(VLOOKUP(M112,ShipShapeEnum!$H:$I,2,FALSE),"-")</f>
        <v>1</v>
      </c>
      <c r="O112" s="11" t="s">
        <v>2688</v>
      </c>
      <c r="P112" s="30"/>
      <c r="Q112" s="11" t="str">
        <f>IFERROR(INDEX(SailPattern!$A:$A,MATCH(P112,SailPattern!$B:$B,0)),"-")</f>
        <v>-</v>
      </c>
      <c r="R112" s="30"/>
      <c r="S112" s="11" t="str">
        <f>IFERROR(INDEX(SailCrest!$A:$A,MATCH(R112,SailCrest!$B:$B,0)),"-")</f>
        <v>-</v>
      </c>
      <c r="T112" s="19" t="s">
        <v>0</v>
      </c>
      <c r="U112" s="19" t="s">
        <v>0</v>
      </c>
      <c r="V112" s="19" t="s">
        <v>0</v>
      </c>
      <c r="W112" s="19" t="s">
        <v>0</v>
      </c>
      <c r="X112" s="19" t="s">
        <v>0</v>
      </c>
      <c r="Y112" s="19" t="s">
        <v>0</v>
      </c>
      <c r="Z112" s="19" t="s">
        <v>0</v>
      </c>
      <c r="AA112" s="19" t="s">
        <v>0</v>
      </c>
    </row>
    <row r="113" spans="1:27" ht="15">
      <c r="A113" s="10">
        <f t="shared" si="4"/>
        <v>46000104</v>
      </c>
      <c r="B113" s="4" t="s">
        <v>1409</v>
      </c>
      <c r="C113" s="4" t="s">
        <v>62</v>
      </c>
      <c r="D113" s="11">
        <f>IFERROR(VLOOKUP(C113,ShipShapeEnum!$E:$F,2,FALSE),"-")</f>
        <v>1</v>
      </c>
      <c r="E113" s="19" t="s">
        <v>1400</v>
      </c>
      <c r="F113" s="4" t="s">
        <v>61</v>
      </c>
      <c r="G113" s="11">
        <f>IFERROR(VLOOKUP(F113,ShipShapeEnum!$B:$C,2,FALSE),"-")</f>
        <v>1</v>
      </c>
      <c r="H113" s="19" t="s">
        <v>0</v>
      </c>
      <c r="I113" s="19" t="s">
        <v>0</v>
      </c>
      <c r="J113" s="19" t="s">
        <v>0</v>
      </c>
      <c r="K113" s="19" t="s">
        <v>0</v>
      </c>
      <c r="L113" s="19" t="s">
        <v>0</v>
      </c>
      <c r="M113" s="4" t="s">
        <v>81</v>
      </c>
      <c r="N113" s="11">
        <f>IFERROR(VLOOKUP(M113,ShipShapeEnum!$H:$I,2,FALSE),"-")</f>
        <v>1</v>
      </c>
      <c r="O113" s="11" t="s">
        <v>2688</v>
      </c>
      <c r="P113" s="30"/>
      <c r="Q113" s="11" t="str">
        <f>IFERROR(INDEX(SailPattern!$A:$A,MATCH(P113,SailPattern!$B:$B,0)),"-")</f>
        <v>-</v>
      </c>
      <c r="R113" s="30"/>
      <c r="S113" s="11" t="str">
        <f>IFERROR(INDEX(SailCrest!$A:$A,MATCH(R113,SailCrest!$B:$B,0)),"-")</f>
        <v>-</v>
      </c>
      <c r="T113" s="19" t="s">
        <v>0</v>
      </c>
      <c r="U113" s="19" t="s">
        <v>0</v>
      </c>
      <c r="V113" s="19" t="s">
        <v>0</v>
      </c>
      <c r="W113" s="19" t="s">
        <v>0</v>
      </c>
      <c r="X113" s="19" t="s">
        <v>0</v>
      </c>
      <c r="Y113" s="19" t="s">
        <v>0</v>
      </c>
      <c r="Z113" s="19" t="s">
        <v>0</v>
      </c>
      <c r="AA113" s="19" t="s">
        <v>0</v>
      </c>
    </row>
    <row r="114" spans="1:27" ht="15">
      <c r="A114" s="10">
        <f t="shared" si="4"/>
        <v>46000105</v>
      </c>
      <c r="B114" s="4" t="s">
        <v>1412</v>
      </c>
      <c r="C114" s="4" t="s">
        <v>62</v>
      </c>
      <c r="D114" s="11">
        <f>IFERROR(VLOOKUP(C114,ShipShapeEnum!$E:$F,2,FALSE),"-")</f>
        <v>1</v>
      </c>
      <c r="E114" s="19" t="s">
        <v>1401</v>
      </c>
      <c r="F114" s="4" t="s">
        <v>61</v>
      </c>
      <c r="G114" s="11">
        <f>IFERROR(VLOOKUP(F114,ShipShapeEnum!$B:$C,2,FALSE),"-")</f>
        <v>1</v>
      </c>
      <c r="H114" s="19" t="s">
        <v>0</v>
      </c>
      <c r="I114" s="19" t="s">
        <v>0</v>
      </c>
      <c r="J114" s="19" t="s">
        <v>0</v>
      </c>
      <c r="K114" s="19" t="s">
        <v>0</v>
      </c>
      <c r="L114" s="19" t="s">
        <v>0</v>
      </c>
      <c r="M114" s="4" t="s">
        <v>81</v>
      </c>
      <c r="N114" s="11">
        <f>IFERROR(VLOOKUP(M114,ShipShapeEnum!$H:$I,2,FALSE),"-")</f>
        <v>1</v>
      </c>
      <c r="O114" s="11" t="s">
        <v>2688</v>
      </c>
      <c r="P114" s="30"/>
      <c r="Q114" s="11" t="str">
        <f>IFERROR(INDEX(SailPattern!$A:$A,MATCH(P114,SailPattern!$B:$B,0)),"-")</f>
        <v>-</v>
      </c>
      <c r="R114" s="30"/>
      <c r="S114" s="11" t="str">
        <f>IFERROR(INDEX(SailCrest!$A:$A,MATCH(R114,SailCrest!$B:$B,0)),"-")</f>
        <v>-</v>
      </c>
      <c r="T114" s="19" t="s">
        <v>0</v>
      </c>
      <c r="U114" s="19" t="s">
        <v>0</v>
      </c>
      <c r="V114" s="19" t="s">
        <v>0</v>
      </c>
      <c r="W114" s="19" t="s">
        <v>0</v>
      </c>
      <c r="X114" s="19" t="s">
        <v>0</v>
      </c>
      <c r="Y114" s="19" t="s">
        <v>0</v>
      </c>
      <c r="Z114" s="19" t="s">
        <v>0</v>
      </c>
      <c r="AA114" s="19" t="s">
        <v>0</v>
      </c>
    </row>
    <row r="115" spans="1:27" ht="15">
      <c r="A115" s="10">
        <f t="shared" si="4"/>
        <v>46000106</v>
      </c>
      <c r="B115" s="4" t="s">
        <v>1419</v>
      </c>
      <c r="C115" s="4" t="s">
        <v>62</v>
      </c>
      <c r="D115" s="11">
        <f>IFERROR(VLOOKUP(C115,ShipShapeEnum!$E:$F,2,FALSE),"-")</f>
        <v>1</v>
      </c>
      <c r="E115" s="19" t="s">
        <v>1414</v>
      </c>
      <c r="F115" s="4" t="s">
        <v>61</v>
      </c>
      <c r="G115" s="11">
        <f>IFERROR(VLOOKUP(F115,ShipShapeEnum!$B:$C,2,FALSE),"-")</f>
        <v>1</v>
      </c>
      <c r="H115" s="19" t="s">
        <v>0</v>
      </c>
      <c r="I115" s="19" t="s">
        <v>0</v>
      </c>
      <c r="J115" s="19" t="s">
        <v>0</v>
      </c>
      <c r="K115" s="19" t="s">
        <v>0</v>
      </c>
      <c r="L115" s="19" t="s">
        <v>0</v>
      </c>
      <c r="M115" s="4" t="s">
        <v>81</v>
      </c>
      <c r="N115" s="11">
        <f>IFERROR(VLOOKUP(M115,ShipShapeEnum!$H:$I,2,FALSE),"-")</f>
        <v>1</v>
      </c>
      <c r="O115" s="11" t="s">
        <v>2688</v>
      </c>
      <c r="P115" s="30"/>
      <c r="Q115" s="11" t="str">
        <f>IFERROR(INDEX(SailPattern!$A:$A,MATCH(P115,SailPattern!$B:$B,0)),"-")</f>
        <v>-</v>
      </c>
      <c r="R115" s="30"/>
      <c r="S115" s="11" t="str">
        <f>IFERROR(INDEX(SailCrest!$A:$A,MATCH(R115,SailCrest!$B:$B,0)),"-")</f>
        <v>-</v>
      </c>
      <c r="T115" s="19" t="s">
        <v>0</v>
      </c>
      <c r="U115" s="19" t="s">
        <v>0</v>
      </c>
      <c r="V115" s="19" t="s">
        <v>0</v>
      </c>
      <c r="W115" s="19" t="s">
        <v>0</v>
      </c>
      <c r="X115" s="19" t="s">
        <v>0</v>
      </c>
      <c r="Y115" s="19" t="s">
        <v>0</v>
      </c>
      <c r="Z115" s="19" t="s">
        <v>0</v>
      </c>
      <c r="AA115" s="19" t="s">
        <v>0</v>
      </c>
    </row>
    <row r="116" spans="1:27" ht="15">
      <c r="A116" s="10">
        <f t="shared" si="4"/>
        <v>46000107</v>
      </c>
      <c r="B116" s="4" t="s">
        <v>1420</v>
      </c>
      <c r="C116" s="4" t="s">
        <v>62</v>
      </c>
      <c r="D116" s="11">
        <f>IFERROR(VLOOKUP(C116,ShipShapeEnum!$E:$F,2,FALSE),"-")</f>
        <v>1</v>
      </c>
      <c r="E116" s="19" t="s">
        <v>1421</v>
      </c>
      <c r="F116" s="4" t="s">
        <v>61</v>
      </c>
      <c r="G116" s="11">
        <f>IFERROR(VLOOKUP(F116,ShipShapeEnum!$B:$C,2,FALSE),"-")</f>
        <v>1</v>
      </c>
      <c r="H116" s="19" t="s">
        <v>0</v>
      </c>
      <c r="I116" s="19" t="s">
        <v>0</v>
      </c>
      <c r="J116" s="19" t="s">
        <v>0</v>
      </c>
      <c r="K116" s="19" t="s">
        <v>0</v>
      </c>
      <c r="L116" s="19" t="s">
        <v>0</v>
      </c>
      <c r="M116" s="4" t="s">
        <v>81</v>
      </c>
      <c r="N116" s="11">
        <f>IFERROR(VLOOKUP(M116,ShipShapeEnum!$H:$I,2,FALSE),"-")</f>
        <v>1</v>
      </c>
      <c r="O116" s="11" t="s">
        <v>2688</v>
      </c>
      <c r="P116" s="30"/>
      <c r="Q116" s="11" t="str">
        <f>IFERROR(INDEX(SailPattern!$A:$A,MATCH(P116,SailPattern!$B:$B,0)),"-")</f>
        <v>-</v>
      </c>
      <c r="R116" s="30"/>
      <c r="S116" s="11" t="str">
        <f>IFERROR(INDEX(SailCrest!$A:$A,MATCH(R116,SailCrest!$B:$B,0)),"-")</f>
        <v>-</v>
      </c>
      <c r="T116" s="19" t="s">
        <v>0</v>
      </c>
      <c r="U116" s="19" t="s">
        <v>0</v>
      </c>
      <c r="V116" s="19" t="s">
        <v>0</v>
      </c>
      <c r="W116" s="19" t="s">
        <v>0</v>
      </c>
      <c r="X116" s="19" t="s">
        <v>0</v>
      </c>
      <c r="Y116" s="19" t="s">
        <v>0</v>
      </c>
      <c r="Z116" s="19" t="s">
        <v>0</v>
      </c>
      <c r="AA116" s="19" t="s">
        <v>0</v>
      </c>
    </row>
    <row r="117" spans="1:27" ht="15">
      <c r="A117" s="10">
        <f t="shared" si="4"/>
        <v>46000108</v>
      </c>
      <c r="B117" s="4" t="s">
        <v>1424</v>
      </c>
      <c r="C117" s="4" t="s">
        <v>62</v>
      </c>
      <c r="D117" s="11">
        <f>IFERROR(VLOOKUP(C117,ShipShapeEnum!$E:$F,2,FALSE),"-")</f>
        <v>1</v>
      </c>
      <c r="E117" s="19" t="s">
        <v>1425</v>
      </c>
      <c r="F117" s="4" t="s">
        <v>61</v>
      </c>
      <c r="G117" s="11">
        <f>IFERROR(VLOOKUP(F117,ShipShapeEnum!$B:$C,2,FALSE),"-")</f>
        <v>1</v>
      </c>
      <c r="H117" s="19" t="s">
        <v>0</v>
      </c>
      <c r="I117" s="19" t="s">
        <v>0</v>
      </c>
      <c r="J117" s="19" t="s">
        <v>0</v>
      </c>
      <c r="K117" s="19" t="s">
        <v>0</v>
      </c>
      <c r="L117" s="19" t="s">
        <v>0</v>
      </c>
      <c r="M117" s="4" t="s">
        <v>81</v>
      </c>
      <c r="N117" s="11">
        <f>IFERROR(VLOOKUP(M117,ShipShapeEnum!$H:$I,2,FALSE),"-")</f>
        <v>1</v>
      </c>
      <c r="O117" s="11" t="s">
        <v>2688</v>
      </c>
      <c r="P117" s="30"/>
      <c r="Q117" s="11" t="str">
        <f>IFERROR(INDEX(SailPattern!$A:$A,MATCH(P117,SailPattern!$B:$B,0)),"-")</f>
        <v>-</v>
      </c>
      <c r="R117" s="30"/>
      <c r="S117" s="11" t="str">
        <f>IFERROR(INDEX(SailCrest!$A:$A,MATCH(R117,SailCrest!$B:$B,0)),"-")</f>
        <v>-</v>
      </c>
      <c r="T117" s="19" t="s">
        <v>0</v>
      </c>
      <c r="U117" s="19" t="s">
        <v>0</v>
      </c>
      <c r="V117" s="19" t="s">
        <v>0</v>
      </c>
      <c r="W117" s="19" t="s">
        <v>0</v>
      </c>
      <c r="X117" s="19" t="s">
        <v>0</v>
      </c>
      <c r="Y117" s="19" t="s">
        <v>0</v>
      </c>
      <c r="Z117" s="19" t="s">
        <v>0</v>
      </c>
      <c r="AA117" s="19" t="s">
        <v>0</v>
      </c>
    </row>
    <row r="118" spans="1:27" ht="15">
      <c r="A118" s="10">
        <f t="shared" si="4"/>
        <v>46000109</v>
      </c>
      <c r="B118" s="4" t="s">
        <v>1428</v>
      </c>
      <c r="C118" s="4" t="s">
        <v>62</v>
      </c>
      <c r="D118" s="11">
        <f>IFERROR(VLOOKUP(C118,ShipShapeEnum!$E:$F,2,FALSE),"-")</f>
        <v>1</v>
      </c>
      <c r="E118" s="19" t="s">
        <v>1429</v>
      </c>
      <c r="F118" s="4" t="s">
        <v>61</v>
      </c>
      <c r="G118" s="11">
        <f>IFERROR(VLOOKUP(F118,ShipShapeEnum!$B:$C,2,FALSE),"-")</f>
        <v>1</v>
      </c>
      <c r="H118" s="19" t="s">
        <v>0</v>
      </c>
      <c r="I118" s="19" t="s">
        <v>0</v>
      </c>
      <c r="J118" s="19" t="s">
        <v>0</v>
      </c>
      <c r="K118" s="19" t="s">
        <v>0</v>
      </c>
      <c r="L118" s="19" t="s">
        <v>0</v>
      </c>
      <c r="M118" s="4" t="s">
        <v>81</v>
      </c>
      <c r="N118" s="11">
        <f>IFERROR(VLOOKUP(M118,ShipShapeEnum!$H:$I,2,FALSE),"-")</f>
        <v>1</v>
      </c>
      <c r="O118" s="11" t="s">
        <v>2688</v>
      </c>
      <c r="P118" s="30"/>
      <c r="Q118" s="11" t="str">
        <f>IFERROR(INDEX(SailPattern!$A:$A,MATCH(P118,SailPattern!$B:$B,0)),"-")</f>
        <v>-</v>
      </c>
      <c r="R118" s="30"/>
      <c r="S118" s="11" t="str">
        <f>IFERROR(INDEX(SailCrest!$A:$A,MATCH(R118,SailCrest!$B:$B,0)),"-")</f>
        <v>-</v>
      </c>
      <c r="T118" s="19" t="s">
        <v>0</v>
      </c>
      <c r="U118" s="19" t="s">
        <v>0</v>
      </c>
      <c r="V118" s="19" t="s">
        <v>0</v>
      </c>
      <c r="W118" s="19" t="s">
        <v>0</v>
      </c>
      <c r="X118" s="19" t="s">
        <v>0</v>
      </c>
      <c r="Y118" s="19" t="s">
        <v>0</v>
      </c>
      <c r="Z118" s="19" t="s">
        <v>0</v>
      </c>
      <c r="AA118" s="19" t="s">
        <v>0</v>
      </c>
    </row>
    <row r="119" spans="1:27" ht="15">
      <c r="A119" s="10">
        <f t="shared" si="4"/>
        <v>46000110</v>
      </c>
      <c r="B119" s="4" t="s">
        <v>1432</v>
      </c>
      <c r="C119" s="4" t="s">
        <v>62</v>
      </c>
      <c r="D119" s="11">
        <f>IFERROR(VLOOKUP(C119,ShipShapeEnum!$E:$F,2,FALSE),"-")</f>
        <v>1</v>
      </c>
      <c r="E119" s="19" t="s">
        <v>1433</v>
      </c>
      <c r="F119" s="4" t="s">
        <v>61</v>
      </c>
      <c r="G119" s="11">
        <f>IFERROR(VLOOKUP(F119,ShipShapeEnum!$B:$C,2,FALSE),"-")</f>
        <v>1</v>
      </c>
      <c r="H119" s="19" t="s">
        <v>0</v>
      </c>
      <c r="I119" s="19" t="s">
        <v>0</v>
      </c>
      <c r="J119" s="19" t="s">
        <v>0</v>
      </c>
      <c r="K119" s="19" t="s">
        <v>0</v>
      </c>
      <c r="L119" s="19" t="s">
        <v>0</v>
      </c>
      <c r="M119" s="4" t="s">
        <v>81</v>
      </c>
      <c r="N119" s="11">
        <f>IFERROR(VLOOKUP(M119,ShipShapeEnum!$H:$I,2,FALSE),"-")</f>
        <v>1</v>
      </c>
      <c r="O119" s="11" t="s">
        <v>2688</v>
      </c>
      <c r="P119" s="30"/>
      <c r="Q119" s="11" t="str">
        <f>IFERROR(INDEX(SailPattern!$A:$A,MATCH(P119,SailPattern!$B:$B,0)),"-")</f>
        <v>-</v>
      </c>
      <c r="R119" s="30"/>
      <c r="S119" s="11" t="str">
        <f>IFERROR(INDEX(SailCrest!$A:$A,MATCH(R119,SailCrest!$B:$B,0)),"-")</f>
        <v>-</v>
      </c>
      <c r="T119" s="19" t="s">
        <v>0</v>
      </c>
      <c r="U119" s="19" t="s">
        <v>0</v>
      </c>
      <c r="V119" s="19" t="s">
        <v>0</v>
      </c>
      <c r="W119" s="19" t="s">
        <v>0</v>
      </c>
      <c r="X119" s="19" t="s">
        <v>0</v>
      </c>
      <c r="Y119" s="19" t="s">
        <v>0</v>
      </c>
      <c r="Z119" s="19" t="s">
        <v>0</v>
      </c>
      <c r="AA119" s="19" t="s">
        <v>0</v>
      </c>
    </row>
    <row r="120" spans="1:27" ht="15">
      <c r="A120" s="10">
        <f t="shared" si="4"/>
        <v>46000111</v>
      </c>
      <c r="B120" s="4" t="s">
        <v>1436</v>
      </c>
      <c r="C120" s="4" t="s">
        <v>62</v>
      </c>
      <c r="D120" s="11">
        <f>IFERROR(VLOOKUP(C120,ShipShapeEnum!$E:$F,2,FALSE),"-")</f>
        <v>1</v>
      </c>
      <c r="E120" s="19" t="s">
        <v>1437</v>
      </c>
      <c r="F120" s="4" t="s">
        <v>61</v>
      </c>
      <c r="G120" s="11">
        <f>IFERROR(VLOOKUP(F120,ShipShapeEnum!$B:$C,2,FALSE),"-")</f>
        <v>1</v>
      </c>
      <c r="H120" s="19" t="s">
        <v>0</v>
      </c>
      <c r="I120" s="19" t="s">
        <v>0</v>
      </c>
      <c r="J120" s="19" t="s">
        <v>0</v>
      </c>
      <c r="K120" s="19" t="s">
        <v>0</v>
      </c>
      <c r="L120" s="19" t="s">
        <v>0</v>
      </c>
      <c r="M120" s="4" t="s">
        <v>81</v>
      </c>
      <c r="N120" s="11">
        <f>IFERROR(VLOOKUP(M120,ShipShapeEnum!$H:$I,2,FALSE),"-")</f>
        <v>1</v>
      </c>
      <c r="O120" s="11" t="s">
        <v>2688</v>
      </c>
      <c r="P120" s="30"/>
      <c r="Q120" s="11" t="str">
        <f>IFERROR(INDEX(SailPattern!$A:$A,MATCH(P120,SailPattern!$B:$B,0)),"-")</f>
        <v>-</v>
      </c>
      <c r="R120" s="30"/>
      <c r="S120" s="11" t="str">
        <f>IFERROR(INDEX(SailCrest!$A:$A,MATCH(R120,SailCrest!$B:$B,0)),"-")</f>
        <v>-</v>
      </c>
      <c r="T120" s="19" t="s">
        <v>0</v>
      </c>
      <c r="U120" s="19" t="s">
        <v>0</v>
      </c>
      <c r="V120" s="19" t="s">
        <v>0</v>
      </c>
      <c r="W120" s="19" t="s">
        <v>0</v>
      </c>
      <c r="X120" s="19" t="s">
        <v>0</v>
      </c>
      <c r="Y120" s="19" t="s">
        <v>0</v>
      </c>
      <c r="Z120" s="19" t="s">
        <v>0</v>
      </c>
      <c r="AA120" s="19" t="s">
        <v>0</v>
      </c>
    </row>
    <row r="121" spans="1:27" ht="15">
      <c r="A121" s="10">
        <f t="shared" si="4"/>
        <v>46000112</v>
      </c>
      <c r="B121" s="4" t="s">
        <v>1441</v>
      </c>
      <c r="C121" s="4" t="s">
        <v>62</v>
      </c>
      <c r="D121" s="11">
        <f>IFERROR(VLOOKUP(C121,ShipShapeEnum!$E:$F,2,FALSE),"-")</f>
        <v>1</v>
      </c>
      <c r="E121" s="19" t="s">
        <v>1439</v>
      </c>
      <c r="F121" s="4" t="s">
        <v>61</v>
      </c>
      <c r="G121" s="11">
        <f>IFERROR(VLOOKUP(F121,ShipShapeEnum!$B:$C,2,FALSE),"-")</f>
        <v>1</v>
      </c>
      <c r="H121" s="19" t="s">
        <v>0</v>
      </c>
      <c r="I121" s="19" t="s">
        <v>0</v>
      </c>
      <c r="J121" s="19" t="s">
        <v>0</v>
      </c>
      <c r="K121" s="19" t="s">
        <v>0</v>
      </c>
      <c r="L121" s="19" t="s">
        <v>0</v>
      </c>
      <c r="M121" s="4" t="s">
        <v>81</v>
      </c>
      <c r="N121" s="11">
        <f>IFERROR(VLOOKUP(M121,ShipShapeEnum!$H:$I,2,FALSE),"-")</f>
        <v>1</v>
      </c>
      <c r="O121" s="11" t="s">
        <v>2688</v>
      </c>
      <c r="P121" s="30"/>
      <c r="Q121" s="11" t="str">
        <f>IFERROR(INDEX(SailPattern!$A:$A,MATCH(P121,SailPattern!$B:$B,0)),"-")</f>
        <v>-</v>
      </c>
      <c r="R121" s="30"/>
      <c r="S121" s="11" t="str">
        <f>IFERROR(INDEX(SailCrest!$A:$A,MATCH(R121,SailCrest!$B:$B,0)),"-")</f>
        <v>-</v>
      </c>
      <c r="T121" s="19" t="s">
        <v>0</v>
      </c>
      <c r="U121" s="19" t="s">
        <v>0</v>
      </c>
      <c r="V121" s="19" t="s">
        <v>0</v>
      </c>
      <c r="W121" s="19" t="s">
        <v>0</v>
      </c>
      <c r="X121" s="19" t="s">
        <v>0</v>
      </c>
      <c r="Y121" s="19" t="s">
        <v>0</v>
      </c>
      <c r="Z121" s="19" t="s">
        <v>0</v>
      </c>
      <c r="AA121" s="19" t="s">
        <v>0</v>
      </c>
    </row>
    <row r="122" spans="1:27" ht="15">
      <c r="A122" s="10">
        <f t="shared" si="4"/>
        <v>46000113</v>
      </c>
      <c r="B122" s="4" t="s">
        <v>1647</v>
      </c>
      <c r="C122" s="4" t="s">
        <v>62</v>
      </c>
      <c r="D122" s="11">
        <f>IFERROR(VLOOKUP(C122,ShipShapeEnum!$E:$F,2,FALSE),"-")</f>
        <v>1</v>
      </c>
      <c r="E122" s="19" t="s">
        <v>1449</v>
      </c>
      <c r="F122" s="4" t="s">
        <v>61</v>
      </c>
      <c r="G122" s="11">
        <f>IFERROR(VLOOKUP(F122,ShipShapeEnum!$B:$C,2,FALSE),"-")</f>
        <v>1</v>
      </c>
      <c r="H122" s="19" t="s">
        <v>0</v>
      </c>
      <c r="I122" s="19" t="s">
        <v>0</v>
      </c>
      <c r="J122" s="19" t="s">
        <v>0</v>
      </c>
      <c r="K122" s="19" t="s">
        <v>0</v>
      </c>
      <c r="L122" s="19" t="s">
        <v>0</v>
      </c>
      <c r="M122" s="4" t="s">
        <v>81</v>
      </c>
      <c r="N122" s="11">
        <f>IFERROR(VLOOKUP(M122,ShipShapeEnum!$H:$I,2,FALSE),"-")</f>
        <v>1</v>
      </c>
      <c r="O122" s="11" t="s">
        <v>2688</v>
      </c>
      <c r="P122" s="30"/>
      <c r="Q122" s="11" t="str">
        <f>IFERROR(INDEX(SailPattern!$A:$A,MATCH(P122,SailPattern!$B:$B,0)),"-")</f>
        <v>-</v>
      </c>
      <c r="R122" s="30"/>
      <c r="S122" s="11" t="str">
        <f>IFERROR(INDEX(SailCrest!$A:$A,MATCH(R122,SailCrest!$B:$B,0)),"-")</f>
        <v>-</v>
      </c>
      <c r="T122" s="19" t="s">
        <v>0</v>
      </c>
      <c r="U122" s="19" t="s">
        <v>0</v>
      </c>
      <c r="V122" s="19" t="s">
        <v>0</v>
      </c>
      <c r="W122" s="19" t="s">
        <v>0</v>
      </c>
      <c r="X122" s="19" t="s">
        <v>0</v>
      </c>
      <c r="Y122" s="19" t="s">
        <v>0</v>
      </c>
      <c r="Z122" s="19" t="s">
        <v>0</v>
      </c>
      <c r="AA122" s="19" t="s">
        <v>0</v>
      </c>
    </row>
    <row r="123" spans="1:27" ht="15">
      <c r="A123" s="10">
        <f t="shared" si="4"/>
        <v>46000114</v>
      </c>
      <c r="B123" s="4" t="s">
        <v>1451</v>
      </c>
      <c r="C123" s="4" t="s">
        <v>62</v>
      </c>
      <c r="D123" s="11">
        <f>IFERROR(VLOOKUP(C123,ShipShapeEnum!$E:$F,2,FALSE),"-")</f>
        <v>1</v>
      </c>
      <c r="E123" s="19" t="s">
        <v>1452</v>
      </c>
      <c r="F123" s="4" t="s">
        <v>61</v>
      </c>
      <c r="G123" s="11">
        <f>IFERROR(VLOOKUP(F123,ShipShapeEnum!$B:$C,2,FALSE),"-")</f>
        <v>1</v>
      </c>
      <c r="H123" s="19" t="s">
        <v>0</v>
      </c>
      <c r="I123" s="19" t="s">
        <v>0</v>
      </c>
      <c r="J123" s="19" t="s">
        <v>0</v>
      </c>
      <c r="K123" s="19" t="s">
        <v>0</v>
      </c>
      <c r="L123" s="19" t="s">
        <v>0</v>
      </c>
      <c r="M123" s="4" t="s">
        <v>81</v>
      </c>
      <c r="N123" s="11">
        <f>IFERROR(VLOOKUP(M123,ShipShapeEnum!$H:$I,2,FALSE),"-")</f>
        <v>1</v>
      </c>
      <c r="O123" s="11" t="s">
        <v>2688</v>
      </c>
      <c r="P123" s="30"/>
      <c r="Q123" s="11" t="str">
        <f>IFERROR(INDEX(SailPattern!$A:$A,MATCH(P123,SailPattern!$B:$B,0)),"-")</f>
        <v>-</v>
      </c>
      <c r="R123" s="30"/>
      <c r="S123" s="11" t="str">
        <f>IFERROR(INDEX(SailCrest!$A:$A,MATCH(R123,SailCrest!$B:$B,0)),"-")</f>
        <v>-</v>
      </c>
      <c r="T123" s="19" t="s">
        <v>0</v>
      </c>
      <c r="U123" s="19" t="s">
        <v>0</v>
      </c>
      <c r="V123" s="19" t="s">
        <v>0</v>
      </c>
      <c r="W123" s="19" t="s">
        <v>0</v>
      </c>
      <c r="X123" s="19" t="s">
        <v>0</v>
      </c>
      <c r="Y123" s="19" t="s">
        <v>0</v>
      </c>
      <c r="Z123" s="19" t="s">
        <v>0</v>
      </c>
      <c r="AA123" s="19" t="s">
        <v>0</v>
      </c>
    </row>
    <row r="124" spans="1:27" ht="15">
      <c r="A124" s="10">
        <f t="shared" si="4"/>
        <v>46000115</v>
      </c>
      <c r="B124" s="4" t="s">
        <v>1460</v>
      </c>
      <c r="C124" s="4" t="s">
        <v>62</v>
      </c>
      <c r="D124" s="11">
        <f>IFERROR(VLOOKUP(C124,ShipShapeEnum!$E:$F,2,FALSE),"-")</f>
        <v>1</v>
      </c>
      <c r="E124" s="19" t="s">
        <v>1455</v>
      </c>
      <c r="F124" s="4" t="s">
        <v>61</v>
      </c>
      <c r="G124" s="11">
        <f>IFERROR(VLOOKUP(F124,ShipShapeEnum!$B:$C,2,FALSE),"-")</f>
        <v>1</v>
      </c>
      <c r="H124" s="19" t="s">
        <v>0</v>
      </c>
      <c r="I124" s="19" t="s">
        <v>0</v>
      </c>
      <c r="J124" s="19" t="s">
        <v>0</v>
      </c>
      <c r="K124" s="19" t="s">
        <v>0</v>
      </c>
      <c r="L124" s="19" t="s">
        <v>0</v>
      </c>
      <c r="M124" s="4" t="s">
        <v>81</v>
      </c>
      <c r="N124" s="11">
        <f>IFERROR(VLOOKUP(M124,ShipShapeEnum!$H:$I,2,FALSE),"-")</f>
        <v>1</v>
      </c>
      <c r="O124" s="11" t="s">
        <v>2688</v>
      </c>
      <c r="P124" s="30"/>
      <c r="Q124" s="11" t="str">
        <f>IFERROR(INDEX(SailPattern!$A:$A,MATCH(P124,SailPattern!$B:$B,0)),"-")</f>
        <v>-</v>
      </c>
      <c r="R124" s="30"/>
      <c r="S124" s="11" t="str">
        <f>IFERROR(INDEX(SailCrest!$A:$A,MATCH(R124,SailCrest!$B:$B,0)),"-")</f>
        <v>-</v>
      </c>
      <c r="T124" s="19" t="s">
        <v>0</v>
      </c>
      <c r="U124" s="19" t="s">
        <v>0</v>
      </c>
      <c r="V124" s="19" t="s">
        <v>0</v>
      </c>
      <c r="W124" s="19" t="s">
        <v>0</v>
      </c>
      <c r="X124" s="19" t="s">
        <v>0</v>
      </c>
      <c r="Y124" s="19" t="s">
        <v>0</v>
      </c>
      <c r="Z124" s="19" t="s">
        <v>0</v>
      </c>
      <c r="AA124" s="19" t="s">
        <v>0</v>
      </c>
    </row>
    <row r="125" spans="1:27" ht="15">
      <c r="A125" s="10">
        <f t="shared" si="4"/>
        <v>46000116</v>
      </c>
      <c r="B125" s="4" t="s">
        <v>1461</v>
      </c>
      <c r="C125" s="4" t="s">
        <v>62</v>
      </c>
      <c r="D125" s="11">
        <f>IFERROR(VLOOKUP(C125,ShipShapeEnum!$E:$F,2,FALSE),"-")</f>
        <v>1</v>
      </c>
      <c r="E125" s="19" t="s">
        <v>1462</v>
      </c>
      <c r="F125" s="4" t="s">
        <v>61</v>
      </c>
      <c r="G125" s="11">
        <f>IFERROR(VLOOKUP(F125,ShipShapeEnum!$B:$C,2,FALSE),"-")</f>
        <v>1</v>
      </c>
      <c r="H125" s="19" t="s">
        <v>0</v>
      </c>
      <c r="I125" s="19" t="s">
        <v>0</v>
      </c>
      <c r="J125" s="19" t="s">
        <v>0</v>
      </c>
      <c r="K125" s="19" t="s">
        <v>0</v>
      </c>
      <c r="L125" s="19" t="s">
        <v>0</v>
      </c>
      <c r="M125" s="4" t="s">
        <v>81</v>
      </c>
      <c r="N125" s="11">
        <f>IFERROR(VLOOKUP(M125,ShipShapeEnum!$H:$I,2,FALSE),"-")</f>
        <v>1</v>
      </c>
      <c r="O125" s="11" t="s">
        <v>2688</v>
      </c>
      <c r="P125" s="30"/>
      <c r="Q125" s="11" t="str">
        <f>IFERROR(INDEX(SailPattern!$A:$A,MATCH(P125,SailPattern!$B:$B,0)),"-")</f>
        <v>-</v>
      </c>
      <c r="R125" s="30"/>
      <c r="S125" s="11" t="str">
        <f>IFERROR(INDEX(SailCrest!$A:$A,MATCH(R125,SailCrest!$B:$B,0)),"-")</f>
        <v>-</v>
      </c>
      <c r="T125" s="19" t="s">
        <v>0</v>
      </c>
      <c r="U125" s="19" t="s">
        <v>0</v>
      </c>
      <c r="V125" s="19" t="s">
        <v>0</v>
      </c>
      <c r="W125" s="19" t="s">
        <v>0</v>
      </c>
      <c r="X125" s="19" t="s">
        <v>0</v>
      </c>
      <c r="Y125" s="19" t="s">
        <v>0</v>
      </c>
      <c r="Z125" s="19" t="s">
        <v>0</v>
      </c>
      <c r="AA125" s="19" t="s">
        <v>0</v>
      </c>
    </row>
    <row r="126" spans="1:27" ht="15">
      <c r="A126" s="10">
        <f t="shared" si="4"/>
        <v>46000117</v>
      </c>
      <c r="B126" s="4" t="s">
        <v>1648</v>
      </c>
      <c r="C126" s="4" t="s">
        <v>62</v>
      </c>
      <c r="D126" s="11">
        <f>IFERROR(VLOOKUP(C126,ShipShapeEnum!$E:$F,2,FALSE),"-")</f>
        <v>1</v>
      </c>
      <c r="E126" s="19" t="s">
        <v>1467</v>
      </c>
      <c r="F126" s="4" t="s">
        <v>61</v>
      </c>
      <c r="G126" s="11">
        <f>IFERROR(VLOOKUP(F126,ShipShapeEnum!$B:$C,2,FALSE),"-")</f>
        <v>1</v>
      </c>
      <c r="H126" s="19" t="s">
        <v>0</v>
      </c>
      <c r="I126" s="19" t="s">
        <v>0</v>
      </c>
      <c r="J126" s="19" t="s">
        <v>0</v>
      </c>
      <c r="K126" s="19" t="s">
        <v>0</v>
      </c>
      <c r="L126" s="19" t="s">
        <v>0</v>
      </c>
      <c r="M126" s="4" t="s">
        <v>81</v>
      </c>
      <c r="N126" s="11">
        <f>IFERROR(VLOOKUP(M126,ShipShapeEnum!$H:$I,2,FALSE),"-")</f>
        <v>1</v>
      </c>
      <c r="O126" s="11" t="s">
        <v>2688</v>
      </c>
      <c r="P126" s="30"/>
      <c r="Q126" s="11" t="str">
        <f>IFERROR(INDEX(SailPattern!$A:$A,MATCH(P126,SailPattern!$B:$B,0)),"-")</f>
        <v>-</v>
      </c>
      <c r="R126" s="30"/>
      <c r="S126" s="11" t="str">
        <f>IFERROR(INDEX(SailCrest!$A:$A,MATCH(R126,SailCrest!$B:$B,0)),"-")</f>
        <v>-</v>
      </c>
      <c r="T126" s="19" t="s">
        <v>0</v>
      </c>
      <c r="U126" s="19" t="s">
        <v>0</v>
      </c>
      <c r="V126" s="19" t="s">
        <v>0</v>
      </c>
      <c r="W126" s="19" t="s">
        <v>0</v>
      </c>
      <c r="X126" s="19" t="s">
        <v>0</v>
      </c>
      <c r="Y126" s="19" t="s">
        <v>0</v>
      </c>
      <c r="Z126" s="19" t="s">
        <v>0</v>
      </c>
      <c r="AA126" s="19" t="s">
        <v>0</v>
      </c>
    </row>
    <row r="127" spans="1:27" ht="15">
      <c r="A127" s="10">
        <f t="shared" si="4"/>
        <v>46000118</v>
      </c>
      <c r="B127" s="4" t="s">
        <v>1469</v>
      </c>
      <c r="C127" s="4" t="s">
        <v>62</v>
      </c>
      <c r="D127" s="11">
        <f>IFERROR(VLOOKUP(C127,ShipShapeEnum!$E:$F,2,FALSE),"-")</f>
        <v>1</v>
      </c>
      <c r="E127" s="19" t="s">
        <v>1470</v>
      </c>
      <c r="F127" s="4" t="s">
        <v>61</v>
      </c>
      <c r="G127" s="11">
        <f>IFERROR(VLOOKUP(F127,ShipShapeEnum!$B:$C,2,FALSE),"-")</f>
        <v>1</v>
      </c>
      <c r="H127" s="19" t="s">
        <v>0</v>
      </c>
      <c r="I127" s="19" t="s">
        <v>0</v>
      </c>
      <c r="J127" s="19" t="s">
        <v>0</v>
      </c>
      <c r="K127" s="19" t="s">
        <v>0</v>
      </c>
      <c r="L127" s="19" t="s">
        <v>0</v>
      </c>
      <c r="M127" s="4" t="s">
        <v>81</v>
      </c>
      <c r="N127" s="11">
        <f>IFERROR(VLOOKUP(M127,ShipShapeEnum!$H:$I,2,FALSE),"-")</f>
        <v>1</v>
      </c>
      <c r="O127" s="11" t="s">
        <v>2688</v>
      </c>
      <c r="P127" s="30"/>
      <c r="Q127" s="11" t="str">
        <f>IFERROR(INDEX(SailPattern!$A:$A,MATCH(P127,SailPattern!$B:$B,0)),"-")</f>
        <v>-</v>
      </c>
      <c r="R127" s="30"/>
      <c r="S127" s="11" t="str">
        <f>IFERROR(INDEX(SailCrest!$A:$A,MATCH(R127,SailCrest!$B:$B,0)),"-")</f>
        <v>-</v>
      </c>
      <c r="T127" s="19" t="s">
        <v>0</v>
      </c>
      <c r="U127" s="19" t="s">
        <v>0</v>
      </c>
      <c r="V127" s="19" t="s">
        <v>0</v>
      </c>
      <c r="W127" s="19" t="s">
        <v>0</v>
      </c>
      <c r="X127" s="19" t="s">
        <v>0</v>
      </c>
      <c r="Y127" s="19" t="s">
        <v>0</v>
      </c>
      <c r="Z127" s="19" t="s">
        <v>0</v>
      </c>
      <c r="AA127" s="19" t="s">
        <v>0</v>
      </c>
    </row>
    <row r="128" spans="1:27" ht="15">
      <c r="A128" s="10">
        <f t="shared" si="4"/>
        <v>46000119</v>
      </c>
      <c r="B128" s="4" t="s">
        <v>1473</v>
      </c>
      <c r="C128" s="4" t="s">
        <v>62</v>
      </c>
      <c r="D128" s="11">
        <f>IFERROR(VLOOKUP(C128,ShipShapeEnum!$E:$F,2,FALSE),"-")</f>
        <v>1</v>
      </c>
      <c r="E128" s="19" t="s">
        <v>1474</v>
      </c>
      <c r="F128" s="4" t="s">
        <v>61</v>
      </c>
      <c r="G128" s="11">
        <f>IFERROR(VLOOKUP(F128,ShipShapeEnum!$B:$C,2,FALSE),"-")</f>
        <v>1</v>
      </c>
      <c r="H128" s="19" t="s">
        <v>0</v>
      </c>
      <c r="I128" s="19" t="s">
        <v>0</v>
      </c>
      <c r="J128" s="19" t="s">
        <v>0</v>
      </c>
      <c r="K128" s="19" t="s">
        <v>0</v>
      </c>
      <c r="L128" s="19" t="s">
        <v>0</v>
      </c>
      <c r="M128" s="4" t="s">
        <v>81</v>
      </c>
      <c r="N128" s="11">
        <f>IFERROR(VLOOKUP(M128,ShipShapeEnum!$H:$I,2,FALSE),"-")</f>
        <v>1</v>
      </c>
      <c r="O128" s="11" t="s">
        <v>2688</v>
      </c>
      <c r="P128" s="30"/>
      <c r="Q128" s="11" t="str">
        <f>IFERROR(INDEX(SailPattern!$A:$A,MATCH(P128,SailPattern!$B:$B,0)),"-")</f>
        <v>-</v>
      </c>
      <c r="R128" s="30"/>
      <c r="S128" s="11" t="str">
        <f>IFERROR(INDEX(SailCrest!$A:$A,MATCH(R128,SailCrest!$B:$B,0)),"-")</f>
        <v>-</v>
      </c>
      <c r="T128" s="19" t="s">
        <v>0</v>
      </c>
      <c r="U128" s="19" t="s">
        <v>0</v>
      </c>
      <c r="V128" s="19" t="s">
        <v>0</v>
      </c>
      <c r="W128" s="19" t="s">
        <v>0</v>
      </c>
      <c r="X128" s="19" t="s">
        <v>0</v>
      </c>
      <c r="Y128" s="19" t="s">
        <v>0</v>
      </c>
      <c r="Z128" s="19" t="s">
        <v>0</v>
      </c>
      <c r="AA128" s="19" t="s">
        <v>0</v>
      </c>
    </row>
    <row r="129" spans="1:27" ht="15">
      <c r="A129" s="10">
        <f t="shared" si="4"/>
        <v>46000120</v>
      </c>
      <c r="B129" s="4" t="s">
        <v>1479</v>
      </c>
      <c r="C129" s="4" t="s">
        <v>62</v>
      </c>
      <c r="D129" s="11">
        <f>IFERROR(VLOOKUP(C129,ShipShapeEnum!$E:$F,2,FALSE),"-")</f>
        <v>1</v>
      </c>
      <c r="E129" s="19" t="s">
        <v>1477</v>
      </c>
      <c r="F129" s="4" t="s">
        <v>61</v>
      </c>
      <c r="G129" s="11">
        <f>IFERROR(VLOOKUP(F129,ShipShapeEnum!$B:$C,2,FALSE),"-")</f>
        <v>1</v>
      </c>
      <c r="H129" s="19" t="s">
        <v>0</v>
      </c>
      <c r="I129" s="19" t="s">
        <v>0</v>
      </c>
      <c r="J129" s="19" t="s">
        <v>0</v>
      </c>
      <c r="K129" s="19" t="s">
        <v>0</v>
      </c>
      <c r="L129" s="19" t="s">
        <v>0</v>
      </c>
      <c r="M129" s="4" t="s">
        <v>81</v>
      </c>
      <c r="N129" s="11">
        <f>IFERROR(VLOOKUP(M129,ShipShapeEnum!$H:$I,2,FALSE),"-")</f>
        <v>1</v>
      </c>
      <c r="O129" s="11" t="s">
        <v>2688</v>
      </c>
      <c r="P129" s="30"/>
      <c r="Q129" s="11" t="str">
        <f>IFERROR(INDEX(SailPattern!$A:$A,MATCH(P129,SailPattern!$B:$B,0)),"-")</f>
        <v>-</v>
      </c>
      <c r="R129" s="30"/>
      <c r="S129" s="11" t="str">
        <f>IFERROR(INDEX(SailCrest!$A:$A,MATCH(R129,SailCrest!$B:$B,0)),"-")</f>
        <v>-</v>
      </c>
      <c r="T129" s="19" t="s">
        <v>0</v>
      </c>
      <c r="U129" s="19" t="s">
        <v>0</v>
      </c>
      <c r="V129" s="19" t="s">
        <v>0</v>
      </c>
      <c r="W129" s="19" t="s">
        <v>0</v>
      </c>
      <c r="X129" s="19" t="s">
        <v>0</v>
      </c>
      <c r="Y129" s="19" t="s">
        <v>0</v>
      </c>
      <c r="Z129" s="19" t="s">
        <v>0</v>
      </c>
      <c r="AA129" s="19" t="s">
        <v>0</v>
      </c>
    </row>
    <row r="130" spans="1:27" ht="15">
      <c r="A130" s="10">
        <f t="shared" si="4"/>
        <v>46000121</v>
      </c>
      <c r="B130" s="4" t="s">
        <v>1481</v>
      </c>
      <c r="C130" s="4" t="s">
        <v>62</v>
      </c>
      <c r="D130" s="11">
        <f>IFERROR(VLOOKUP(C130,ShipShapeEnum!$E:$F,2,FALSE),"-")</f>
        <v>1</v>
      </c>
      <c r="E130" s="19" t="s">
        <v>1482</v>
      </c>
      <c r="F130" s="4" t="s">
        <v>61</v>
      </c>
      <c r="G130" s="11">
        <f>IFERROR(VLOOKUP(F130,ShipShapeEnum!$B:$C,2,FALSE),"-")</f>
        <v>1</v>
      </c>
      <c r="H130" s="19" t="s">
        <v>0</v>
      </c>
      <c r="I130" s="19" t="s">
        <v>0</v>
      </c>
      <c r="J130" s="19" t="s">
        <v>0</v>
      </c>
      <c r="K130" s="19" t="s">
        <v>0</v>
      </c>
      <c r="L130" s="19" t="s">
        <v>0</v>
      </c>
      <c r="M130" s="4" t="s">
        <v>81</v>
      </c>
      <c r="N130" s="11">
        <f>IFERROR(VLOOKUP(M130,ShipShapeEnum!$H:$I,2,FALSE),"-")</f>
        <v>1</v>
      </c>
      <c r="O130" s="11" t="s">
        <v>2688</v>
      </c>
      <c r="P130" s="30"/>
      <c r="Q130" s="11" t="str">
        <f>IFERROR(INDEX(SailPattern!$A:$A,MATCH(P130,SailPattern!$B:$B,0)),"-")</f>
        <v>-</v>
      </c>
      <c r="R130" s="30"/>
      <c r="S130" s="11" t="str">
        <f>IFERROR(INDEX(SailCrest!$A:$A,MATCH(R130,SailCrest!$B:$B,0)),"-")</f>
        <v>-</v>
      </c>
      <c r="T130" s="19" t="s">
        <v>0</v>
      </c>
      <c r="U130" s="19" t="s">
        <v>0</v>
      </c>
      <c r="V130" s="19" t="s">
        <v>0</v>
      </c>
      <c r="W130" s="19" t="s">
        <v>0</v>
      </c>
      <c r="X130" s="19" t="s">
        <v>0</v>
      </c>
      <c r="Y130" s="19" t="s">
        <v>0</v>
      </c>
      <c r="Z130" s="19" t="s">
        <v>0</v>
      </c>
      <c r="AA130" s="19" t="s">
        <v>0</v>
      </c>
    </row>
    <row r="131" spans="1:27" ht="15">
      <c r="A131" s="10">
        <f t="shared" si="4"/>
        <v>46000122</v>
      </c>
      <c r="B131" s="4" t="s">
        <v>1649</v>
      </c>
      <c r="C131" s="4" t="s">
        <v>62</v>
      </c>
      <c r="D131" s="11">
        <f>IFERROR(VLOOKUP(C131,ShipShapeEnum!$E:$F,2,FALSE),"-")</f>
        <v>1</v>
      </c>
      <c r="E131" s="19" t="s">
        <v>1485</v>
      </c>
      <c r="F131" s="4" t="s">
        <v>61</v>
      </c>
      <c r="G131" s="11">
        <f>IFERROR(VLOOKUP(F131,ShipShapeEnum!$B:$C,2,FALSE),"-")</f>
        <v>1</v>
      </c>
      <c r="H131" s="19" t="s">
        <v>0</v>
      </c>
      <c r="I131" s="19" t="s">
        <v>0</v>
      </c>
      <c r="J131" s="19" t="s">
        <v>0</v>
      </c>
      <c r="K131" s="19" t="s">
        <v>0</v>
      </c>
      <c r="L131" s="19" t="s">
        <v>0</v>
      </c>
      <c r="M131" s="4" t="s">
        <v>81</v>
      </c>
      <c r="N131" s="11">
        <f>IFERROR(VLOOKUP(M131,ShipShapeEnum!$H:$I,2,FALSE),"-")</f>
        <v>1</v>
      </c>
      <c r="O131" s="11" t="s">
        <v>2688</v>
      </c>
      <c r="P131" s="30"/>
      <c r="Q131" s="11" t="str">
        <f>IFERROR(INDEX(SailPattern!$A:$A,MATCH(P131,SailPattern!$B:$B,0)),"-")</f>
        <v>-</v>
      </c>
      <c r="R131" s="30"/>
      <c r="S131" s="11" t="str">
        <f>IFERROR(INDEX(SailCrest!$A:$A,MATCH(R131,SailCrest!$B:$B,0)),"-")</f>
        <v>-</v>
      </c>
      <c r="T131" s="19" t="s">
        <v>0</v>
      </c>
      <c r="U131" s="19" t="s">
        <v>0</v>
      </c>
      <c r="V131" s="19" t="s">
        <v>0</v>
      </c>
      <c r="W131" s="19" t="s">
        <v>0</v>
      </c>
      <c r="X131" s="19" t="s">
        <v>0</v>
      </c>
      <c r="Y131" s="19" t="s">
        <v>0</v>
      </c>
      <c r="Z131" s="19" t="s">
        <v>0</v>
      </c>
      <c r="AA131" s="19" t="s">
        <v>0</v>
      </c>
    </row>
    <row r="132" spans="1:27" ht="15">
      <c r="A132" s="10">
        <f t="shared" si="4"/>
        <v>46000123</v>
      </c>
      <c r="B132" s="4" t="s">
        <v>1492</v>
      </c>
      <c r="C132" s="4" t="s">
        <v>62</v>
      </c>
      <c r="D132" s="11">
        <f>IFERROR(VLOOKUP(C132,ShipShapeEnum!$E:$F,2,FALSE),"-")</f>
        <v>1</v>
      </c>
      <c r="E132" s="19" t="s">
        <v>1488</v>
      </c>
      <c r="F132" s="4" t="s">
        <v>61</v>
      </c>
      <c r="G132" s="11">
        <f>IFERROR(VLOOKUP(F132,ShipShapeEnum!$B:$C,2,FALSE),"-")</f>
        <v>1</v>
      </c>
      <c r="H132" s="19" t="s">
        <v>0</v>
      </c>
      <c r="I132" s="19" t="s">
        <v>0</v>
      </c>
      <c r="J132" s="19" t="s">
        <v>0</v>
      </c>
      <c r="K132" s="19" t="s">
        <v>0</v>
      </c>
      <c r="L132" s="19" t="s">
        <v>0</v>
      </c>
      <c r="M132" s="4" t="s">
        <v>81</v>
      </c>
      <c r="N132" s="11">
        <f>IFERROR(VLOOKUP(M132,ShipShapeEnum!$H:$I,2,FALSE),"-")</f>
        <v>1</v>
      </c>
      <c r="O132" s="11" t="s">
        <v>2688</v>
      </c>
      <c r="P132" s="30"/>
      <c r="Q132" s="11" t="str">
        <f>IFERROR(INDEX(SailPattern!$A:$A,MATCH(P132,SailPattern!$B:$B,0)),"-")</f>
        <v>-</v>
      </c>
      <c r="R132" s="30"/>
      <c r="S132" s="11" t="str">
        <f>IFERROR(INDEX(SailCrest!$A:$A,MATCH(R132,SailCrest!$B:$B,0)),"-")</f>
        <v>-</v>
      </c>
      <c r="T132" s="19" t="s">
        <v>0</v>
      </c>
      <c r="U132" s="19" t="s">
        <v>0</v>
      </c>
      <c r="V132" s="19" t="s">
        <v>0</v>
      </c>
      <c r="W132" s="19" t="s">
        <v>0</v>
      </c>
      <c r="X132" s="19" t="s">
        <v>0</v>
      </c>
      <c r="Y132" s="19" t="s">
        <v>0</v>
      </c>
      <c r="Z132" s="19" t="s">
        <v>0</v>
      </c>
      <c r="AA132" s="19" t="s">
        <v>0</v>
      </c>
    </row>
    <row r="133" spans="1:27" ht="15">
      <c r="A133" s="10">
        <f t="shared" si="4"/>
        <v>46000124</v>
      </c>
      <c r="B133" s="4" t="s">
        <v>1495</v>
      </c>
      <c r="C133" s="4" t="s">
        <v>62</v>
      </c>
      <c r="D133" s="11">
        <f>IFERROR(VLOOKUP(C133,ShipShapeEnum!$E:$F,2,FALSE),"-")</f>
        <v>1</v>
      </c>
      <c r="E133" s="19" t="s">
        <v>1489</v>
      </c>
      <c r="F133" s="4" t="s">
        <v>61</v>
      </c>
      <c r="G133" s="11">
        <f>IFERROR(VLOOKUP(F133,ShipShapeEnum!$B:$C,2,FALSE),"-")</f>
        <v>1</v>
      </c>
      <c r="H133" s="19" t="s">
        <v>0</v>
      </c>
      <c r="I133" s="19" t="s">
        <v>0</v>
      </c>
      <c r="J133" s="19" t="s">
        <v>0</v>
      </c>
      <c r="K133" s="19" t="s">
        <v>0</v>
      </c>
      <c r="L133" s="19" t="s">
        <v>0</v>
      </c>
      <c r="M133" s="4" t="s">
        <v>81</v>
      </c>
      <c r="N133" s="11">
        <f>IFERROR(VLOOKUP(M133,ShipShapeEnum!$H:$I,2,FALSE),"-")</f>
        <v>1</v>
      </c>
      <c r="O133" s="11" t="s">
        <v>2688</v>
      </c>
      <c r="P133" s="30"/>
      <c r="Q133" s="11" t="str">
        <f>IFERROR(INDEX(SailPattern!$A:$A,MATCH(P133,SailPattern!$B:$B,0)),"-")</f>
        <v>-</v>
      </c>
      <c r="R133" s="30"/>
      <c r="S133" s="11" t="str">
        <f>IFERROR(INDEX(SailCrest!$A:$A,MATCH(R133,SailCrest!$B:$B,0)),"-")</f>
        <v>-</v>
      </c>
      <c r="T133" s="19" t="s">
        <v>0</v>
      </c>
      <c r="U133" s="19" t="s">
        <v>0</v>
      </c>
      <c r="V133" s="19" t="s">
        <v>0</v>
      </c>
      <c r="W133" s="19" t="s">
        <v>0</v>
      </c>
      <c r="X133" s="19" t="s">
        <v>0</v>
      </c>
      <c r="Y133" s="19" t="s">
        <v>0</v>
      </c>
      <c r="Z133" s="19" t="s">
        <v>0</v>
      </c>
      <c r="AA133" s="19" t="s">
        <v>0</v>
      </c>
    </row>
    <row r="134" spans="1:27" ht="15">
      <c r="A134" s="10">
        <f t="shared" si="4"/>
        <v>46000125</v>
      </c>
      <c r="B134" s="4" t="s">
        <v>1652</v>
      </c>
      <c r="C134" s="4" t="s">
        <v>62</v>
      </c>
      <c r="D134" s="11">
        <f>IFERROR(VLOOKUP(C134,ShipShapeEnum!$E:$F,2,FALSE),"-")</f>
        <v>1</v>
      </c>
      <c r="E134" s="19" t="s">
        <v>1496</v>
      </c>
      <c r="F134" s="4" t="s">
        <v>61</v>
      </c>
      <c r="G134" s="11">
        <f>IFERROR(VLOOKUP(F134,ShipShapeEnum!$B:$C,2,FALSE),"-")</f>
        <v>1</v>
      </c>
      <c r="H134" s="19" t="s">
        <v>0</v>
      </c>
      <c r="I134" s="19" t="s">
        <v>0</v>
      </c>
      <c r="J134" s="19" t="s">
        <v>0</v>
      </c>
      <c r="K134" s="19" t="s">
        <v>0</v>
      </c>
      <c r="L134" s="19" t="s">
        <v>0</v>
      </c>
      <c r="M134" s="4" t="s">
        <v>81</v>
      </c>
      <c r="N134" s="11">
        <f>IFERROR(VLOOKUP(M134,ShipShapeEnum!$H:$I,2,FALSE),"-")</f>
        <v>1</v>
      </c>
      <c r="O134" s="11" t="s">
        <v>2688</v>
      </c>
      <c r="P134" s="30"/>
      <c r="Q134" s="11" t="str">
        <f>IFERROR(INDEX(SailPattern!$A:$A,MATCH(P134,SailPattern!$B:$B,0)),"-")</f>
        <v>-</v>
      </c>
      <c r="R134" s="30"/>
      <c r="S134" s="11" t="str">
        <f>IFERROR(INDEX(SailCrest!$A:$A,MATCH(R134,SailCrest!$B:$B,0)),"-")</f>
        <v>-</v>
      </c>
      <c r="T134" s="19" t="s">
        <v>0</v>
      </c>
      <c r="U134" s="19" t="s">
        <v>0</v>
      </c>
      <c r="V134" s="19" t="s">
        <v>0</v>
      </c>
      <c r="W134" s="19" t="s">
        <v>0</v>
      </c>
      <c r="X134" s="19" t="s">
        <v>0</v>
      </c>
      <c r="Y134" s="19" t="s">
        <v>0</v>
      </c>
      <c r="Z134" s="19" t="s">
        <v>0</v>
      </c>
      <c r="AA134" s="19" t="s">
        <v>0</v>
      </c>
    </row>
    <row r="135" spans="1:27" ht="15">
      <c r="A135" s="10">
        <f t="shared" si="4"/>
        <v>46000126</v>
      </c>
      <c r="B135" s="4" t="s">
        <v>1501</v>
      </c>
      <c r="C135" s="4" t="s">
        <v>62</v>
      </c>
      <c r="D135" s="11">
        <f>IFERROR(VLOOKUP(C135,ShipShapeEnum!$E:$F,2,FALSE),"-")</f>
        <v>1</v>
      </c>
      <c r="E135" s="19" t="s">
        <v>1498</v>
      </c>
      <c r="F135" s="4" t="s">
        <v>61</v>
      </c>
      <c r="G135" s="11">
        <f>IFERROR(VLOOKUP(F135,ShipShapeEnum!$B:$C,2,FALSE),"-")</f>
        <v>1</v>
      </c>
      <c r="H135" s="19" t="s">
        <v>0</v>
      </c>
      <c r="I135" s="19" t="s">
        <v>0</v>
      </c>
      <c r="J135" s="19" t="s">
        <v>0</v>
      </c>
      <c r="K135" s="19" t="s">
        <v>0</v>
      </c>
      <c r="L135" s="19" t="s">
        <v>0</v>
      </c>
      <c r="M135" s="4" t="s">
        <v>81</v>
      </c>
      <c r="N135" s="11">
        <f>IFERROR(VLOOKUP(M135,ShipShapeEnum!$H:$I,2,FALSE),"-")</f>
        <v>1</v>
      </c>
      <c r="O135" s="11" t="s">
        <v>2688</v>
      </c>
      <c r="P135" s="30"/>
      <c r="Q135" s="11" t="str">
        <f>IFERROR(INDEX(SailPattern!$A:$A,MATCH(P135,SailPattern!$B:$B,0)),"-")</f>
        <v>-</v>
      </c>
      <c r="R135" s="30"/>
      <c r="S135" s="11" t="str">
        <f>IFERROR(INDEX(SailCrest!$A:$A,MATCH(R135,SailCrest!$B:$B,0)),"-")</f>
        <v>-</v>
      </c>
      <c r="T135" s="19" t="s">
        <v>0</v>
      </c>
      <c r="U135" s="19" t="s">
        <v>0</v>
      </c>
      <c r="V135" s="19" t="s">
        <v>0</v>
      </c>
      <c r="W135" s="19" t="s">
        <v>0</v>
      </c>
      <c r="X135" s="19" t="s">
        <v>0</v>
      </c>
      <c r="Y135" s="19" t="s">
        <v>0</v>
      </c>
      <c r="Z135" s="19" t="s">
        <v>0</v>
      </c>
      <c r="AA135" s="19" t="s">
        <v>0</v>
      </c>
    </row>
    <row r="136" spans="1:27" ht="15">
      <c r="A136" s="10">
        <f t="shared" si="4"/>
        <v>46000127</v>
      </c>
      <c r="B136" s="4" t="s">
        <v>1504</v>
      </c>
      <c r="C136" s="4" t="s">
        <v>62</v>
      </c>
      <c r="D136" s="11">
        <f>IFERROR(VLOOKUP(C136,ShipShapeEnum!$E:$F,2,FALSE),"-")</f>
        <v>1</v>
      </c>
      <c r="E136" s="19" t="s">
        <v>1505</v>
      </c>
      <c r="F136" s="4" t="s">
        <v>61</v>
      </c>
      <c r="G136" s="11">
        <f>IFERROR(VLOOKUP(F136,ShipShapeEnum!$B:$C,2,FALSE),"-")</f>
        <v>1</v>
      </c>
      <c r="H136" s="19" t="s">
        <v>0</v>
      </c>
      <c r="I136" s="19" t="s">
        <v>0</v>
      </c>
      <c r="J136" s="19" t="s">
        <v>0</v>
      </c>
      <c r="K136" s="19" t="s">
        <v>0</v>
      </c>
      <c r="L136" s="19" t="s">
        <v>0</v>
      </c>
      <c r="M136" s="4" t="s">
        <v>81</v>
      </c>
      <c r="N136" s="11">
        <f>IFERROR(VLOOKUP(M136,ShipShapeEnum!$H:$I,2,FALSE),"-")</f>
        <v>1</v>
      </c>
      <c r="O136" s="11" t="s">
        <v>2688</v>
      </c>
      <c r="P136" s="30"/>
      <c r="Q136" s="11" t="str">
        <f>IFERROR(INDEX(SailPattern!$A:$A,MATCH(P136,SailPattern!$B:$B,0)),"-")</f>
        <v>-</v>
      </c>
      <c r="R136" s="30"/>
      <c r="S136" s="11" t="str">
        <f>IFERROR(INDEX(SailCrest!$A:$A,MATCH(R136,SailCrest!$B:$B,0)),"-")</f>
        <v>-</v>
      </c>
      <c r="T136" s="19" t="s">
        <v>0</v>
      </c>
      <c r="U136" s="19" t="s">
        <v>0</v>
      </c>
      <c r="V136" s="19" t="s">
        <v>0</v>
      </c>
      <c r="W136" s="19" t="s">
        <v>0</v>
      </c>
      <c r="X136" s="19" t="s">
        <v>0</v>
      </c>
      <c r="Y136" s="19" t="s">
        <v>0</v>
      </c>
      <c r="Z136" s="19" t="s">
        <v>0</v>
      </c>
      <c r="AA136" s="19" t="s">
        <v>0</v>
      </c>
    </row>
    <row r="137" spans="1:27" ht="15">
      <c r="A137" s="10">
        <f t="shared" si="4"/>
        <v>46000128</v>
      </c>
      <c r="B137" s="4" t="s">
        <v>1506</v>
      </c>
      <c r="C137" s="4" t="s">
        <v>62</v>
      </c>
      <c r="D137" s="11">
        <f>IFERROR(VLOOKUP(C137,ShipShapeEnum!$E:$F,2,FALSE),"-")</f>
        <v>1</v>
      </c>
      <c r="E137" s="19" t="s">
        <v>1507</v>
      </c>
      <c r="F137" s="4" t="s">
        <v>61</v>
      </c>
      <c r="G137" s="11">
        <f>IFERROR(VLOOKUP(F137,ShipShapeEnum!$B:$C,2,FALSE),"-")</f>
        <v>1</v>
      </c>
      <c r="H137" s="19" t="s">
        <v>0</v>
      </c>
      <c r="I137" s="19" t="s">
        <v>0</v>
      </c>
      <c r="J137" s="19" t="s">
        <v>0</v>
      </c>
      <c r="K137" s="19" t="s">
        <v>0</v>
      </c>
      <c r="L137" s="19" t="s">
        <v>0</v>
      </c>
      <c r="M137" s="4" t="s">
        <v>81</v>
      </c>
      <c r="N137" s="11">
        <f>IFERROR(VLOOKUP(M137,ShipShapeEnum!$H:$I,2,FALSE),"-")</f>
        <v>1</v>
      </c>
      <c r="O137" s="11" t="s">
        <v>2688</v>
      </c>
      <c r="P137" s="30"/>
      <c r="Q137" s="11" t="str">
        <f>IFERROR(INDEX(SailPattern!$A:$A,MATCH(P137,SailPattern!$B:$B,0)),"-")</f>
        <v>-</v>
      </c>
      <c r="R137" s="30"/>
      <c r="S137" s="11" t="str">
        <f>IFERROR(INDEX(SailCrest!$A:$A,MATCH(R137,SailCrest!$B:$B,0)),"-")</f>
        <v>-</v>
      </c>
      <c r="T137" s="19" t="s">
        <v>0</v>
      </c>
      <c r="U137" s="19" t="s">
        <v>0</v>
      </c>
      <c r="V137" s="19" t="s">
        <v>0</v>
      </c>
      <c r="W137" s="19" t="s">
        <v>0</v>
      </c>
      <c r="X137" s="19" t="s">
        <v>0</v>
      </c>
      <c r="Y137" s="19" t="s">
        <v>0</v>
      </c>
      <c r="Z137" s="19" t="s">
        <v>0</v>
      </c>
      <c r="AA137" s="19" t="s">
        <v>0</v>
      </c>
    </row>
    <row r="138" spans="1:27" ht="15">
      <c r="A138" s="10">
        <f t="shared" si="4"/>
        <v>46000129</v>
      </c>
      <c r="B138" s="4" t="s">
        <v>1511</v>
      </c>
      <c r="C138" s="4" t="s">
        <v>62</v>
      </c>
      <c r="D138" s="11">
        <f>IFERROR(VLOOKUP(C138,ShipShapeEnum!$E:$F,2,FALSE),"-")</f>
        <v>1</v>
      </c>
      <c r="E138" s="19" t="s">
        <v>1510</v>
      </c>
      <c r="F138" s="4" t="s">
        <v>61</v>
      </c>
      <c r="G138" s="11">
        <f>IFERROR(VLOOKUP(F138,ShipShapeEnum!$B:$C,2,FALSE),"-")</f>
        <v>1</v>
      </c>
      <c r="H138" s="19" t="s">
        <v>0</v>
      </c>
      <c r="I138" s="19" t="s">
        <v>0</v>
      </c>
      <c r="J138" s="19" t="s">
        <v>0</v>
      </c>
      <c r="K138" s="19" t="s">
        <v>0</v>
      </c>
      <c r="L138" s="19" t="s">
        <v>0</v>
      </c>
      <c r="M138" s="4" t="s">
        <v>81</v>
      </c>
      <c r="N138" s="11">
        <f>IFERROR(VLOOKUP(M138,ShipShapeEnum!$H:$I,2,FALSE),"-")</f>
        <v>1</v>
      </c>
      <c r="O138" s="11" t="s">
        <v>2688</v>
      </c>
      <c r="P138" s="30"/>
      <c r="Q138" s="11" t="str">
        <f>IFERROR(INDEX(SailPattern!$A:$A,MATCH(P138,SailPattern!$B:$B,0)),"-")</f>
        <v>-</v>
      </c>
      <c r="R138" s="30"/>
      <c r="S138" s="11" t="str">
        <f>IFERROR(INDEX(SailCrest!$A:$A,MATCH(R138,SailCrest!$B:$B,0)),"-")</f>
        <v>-</v>
      </c>
      <c r="T138" s="19" t="s">
        <v>0</v>
      </c>
      <c r="U138" s="19" t="s">
        <v>0</v>
      </c>
      <c r="V138" s="19" t="s">
        <v>0</v>
      </c>
      <c r="W138" s="19" t="s">
        <v>0</v>
      </c>
      <c r="X138" s="19" t="s">
        <v>0</v>
      </c>
      <c r="Y138" s="19" t="s">
        <v>0</v>
      </c>
      <c r="Z138" s="19" t="s">
        <v>0</v>
      </c>
      <c r="AA138" s="19" t="s">
        <v>0</v>
      </c>
    </row>
    <row r="139" spans="1:27" ht="15">
      <c r="A139" s="10">
        <f t="shared" si="4"/>
        <v>46000130</v>
      </c>
      <c r="B139" s="4" t="s">
        <v>1656</v>
      </c>
      <c r="C139" s="4" t="s">
        <v>62</v>
      </c>
      <c r="D139" s="11">
        <f>IFERROR(VLOOKUP(C139,ShipShapeEnum!$E:$F,2,FALSE),"-")</f>
        <v>1</v>
      </c>
      <c r="E139" s="19" t="s">
        <v>1514</v>
      </c>
      <c r="F139" s="4" t="s">
        <v>61</v>
      </c>
      <c r="G139" s="11">
        <f>IFERROR(VLOOKUP(F139,ShipShapeEnum!$B:$C,2,FALSE),"-")</f>
        <v>1</v>
      </c>
      <c r="H139" s="19" t="s">
        <v>0</v>
      </c>
      <c r="I139" s="19" t="s">
        <v>0</v>
      </c>
      <c r="J139" s="19" t="s">
        <v>0</v>
      </c>
      <c r="K139" s="19" t="s">
        <v>0</v>
      </c>
      <c r="L139" s="19" t="s">
        <v>0</v>
      </c>
      <c r="M139" s="4" t="s">
        <v>81</v>
      </c>
      <c r="N139" s="11">
        <f>IFERROR(VLOOKUP(M139,ShipShapeEnum!$H:$I,2,FALSE),"-")</f>
        <v>1</v>
      </c>
      <c r="O139" s="11" t="s">
        <v>2688</v>
      </c>
      <c r="P139" s="30"/>
      <c r="Q139" s="11" t="str">
        <f>IFERROR(INDEX(SailPattern!$A:$A,MATCH(P139,SailPattern!$B:$B,0)),"-")</f>
        <v>-</v>
      </c>
      <c r="R139" s="30"/>
      <c r="S139" s="11" t="str">
        <f>IFERROR(INDEX(SailCrest!$A:$A,MATCH(R139,SailCrest!$B:$B,0)),"-")</f>
        <v>-</v>
      </c>
      <c r="T139" s="19" t="s">
        <v>0</v>
      </c>
      <c r="U139" s="19" t="s">
        <v>0</v>
      </c>
      <c r="V139" s="19" t="s">
        <v>0</v>
      </c>
      <c r="W139" s="19" t="s">
        <v>0</v>
      </c>
      <c r="X139" s="19" t="s">
        <v>0</v>
      </c>
      <c r="Y139" s="19" t="s">
        <v>0</v>
      </c>
      <c r="Z139" s="19" t="s">
        <v>0</v>
      </c>
      <c r="AA139" s="19" t="s">
        <v>0</v>
      </c>
    </row>
    <row r="140" spans="1:27" ht="15">
      <c r="A140" s="10">
        <f t="shared" si="4"/>
        <v>46000131</v>
      </c>
      <c r="B140" s="4" t="s">
        <v>1519</v>
      </c>
      <c r="C140" s="4" t="s">
        <v>62</v>
      </c>
      <c r="D140" s="11">
        <f>IFERROR(VLOOKUP(C140,ShipShapeEnum!$E:$F,2,FALSE),"-")</f>
        <v>1</v>
      </c>
      <c r="E140" s="19" t="s">
        <v>1517</v>
      </c>
      <c r="F140" s="4" t="s">
        <v>61</v>
      </c>
      <c r="G140" s="11">
        <f>IFERROR(VLOOKUP(F140,ShipShapeEnum!$B:$C,2,FALSE),"-")</f>
        <v>1</v>
      </c>
      <c r="H140" s="19" t="s">
        <v>0</v>
      </c>
      <c r="I140" s="19" t="s">
        <v>0</v>
      </c>
      <c r="J140" s="19" t="s">
        <v>0</v>
      </c>
      <c r="K140" s="19" t="s">
        <v>0</v>
      </c>
      <c r="L140" s="19" t="s">
        <v>0</v>
      </c>
      <c r="M140" s="4" t="s">
        <v>81</v>
      </c>
      <c r="N140" s="11">
        <f>IFERROR(VLOOKUP(M140,ShipShapeEnum!$H:$I,2,FALSE),"-")</f>
        <v>1</v>
      </c>
      <c r="O140" s="11" t="s">
        <v>2688</v>
      </c>
      <c r="P140" s="30"/>
      <c r="Q140" s="11" t="str">
        <f>IFERROR(INDEX(SailPattern!$A:$A,MATCH(P140,SailPattern!$B:$B,0)),"-")</f>
        <v>-</v>
      </c>
      <c r="R140" s="30"/>
      <c r="S140" s="11" t="str">
        <f>IFERROR(INDEX(SailCrest!$A:$A,MATCH(R140,SailCrest!$B:$B,0)),"-")</f>
        <v>-</v>
      </c>
      <c r="T140" s="19" t="s">
        <v>0</v>
      </c>
      <c r="U140" s="19" t="s">
        <v>0</v>
      </c>
      <c r="V140" s="19" t="s">
        <v>0</v>
      </c>
      <c r="W140" s="19" t="s">
        <v>0</v>
      </c>
      <c r="X140" s="19" t="s">
        <v>0</v>
      </c>
      <c r="Y140" s="19" t="s">
        <v>0</v>
      </c>
      <c r="Z140" s="19" t="s">
        <v>0</v>
      </c>
      <c r="AA140" s="19" t="s">
        <v>0</v>
      </c>
    </row>
    <row r="141" spans="1:27" ht="15">
      <c r="A141" s="10">
        <f t="shared" si="4"/>
        <v>46000132</v>
      </c>
      <c r="B141" s="4" t="s">
        <v>1520</v>
      </c>
      <c r="C141" s="4" t="s">
        <v>62</v>
      </c>
      <c r="D141" s="11">
        <f>IFERROR(VLOOKUP(C141,ShipShapeEnum!$E:$F,2,FALSE),"-")</f>
        <v>1</v>
      </c>
      <c r="E141" s="19" t="s">
        <v>1521</v>
      </c>
      <c r="F141" s="4" t="s">
        <v>61</v>
      </c>
      <c r="G141" s="11">
        <f>IFERROR(VLOOKUP(F141,ShipShapeEnum!$B:$C,2,FALSE),"-")</f>
        <v>1</v>
      </c>
      <c r="H141" s="19" t="s">
        <v>0</v>
      </c>
      <c r="I141" s="19" t="s">
        <v>0</v>
      </c>
      <c r="J141" s="19" t="s">
        <v>0</v>
      </c>
      <c r="K141" s="19" t="s">
        <v>0</v>
      </c>
      <c r="L141" s="19" t="s">
        <v>0</v>
      </c>
      <c r="M141" s="4" t="s">
        <v>81</v>
      </c>
      <c r="N141" s="11">
        <f>IFERROR(VLOOKUP(M141,ShipShapeEnum!$H:$I,2,FALSE),"-")</f>
        <v>1</v>
      </c>
      <c r="O141" s="11" t="s">
        <v>2688</v>
      </c>
      <c r="P141" s="30"/>
      <c r="Q141" s="11" t="str">
        <f>IFERROR(INDEX(SailPattern!$A:$A,MATCH(P141,SailPattern!$B:$B,0)),"-")</f>
        <v>-</v>
      </c>
      <c r="R141" s="30"/>
      <c r="S141" s="11" t="str">
        <f>IFERROR(INDEX(SailCrest!$A:$A,MATCH(R141,SailCrest!$B:$B,0)),"-")</f>
        <v>-</v>
      </c>
      <c r="T141" s="19" t="s">
        <v>0</v>
      </c>
      <c r="U141" s="19" t="s">
        <v>0</v>
      </c>
      <c r="V141" s="19" t="s">
        <v>0</v>
      </c>
      <c r="W141" s="19" t="s">
        <v>0</v>
      </c>
      <c r="X141" s="19" t="s">
        <v>0</v>
      </c>
      <c r="Y141" s="19" t="s">
        <v>0</v>
      </c>
      <c r="Z141" s="19" t="s">
        <v>0</v>
      </c>
      <c r="AA141" s="19" t="s">
        <v>0</v>
      </c>
    </row>
    <row r="142" spans="1:27" ht="15">
      <c r="A142" s="10">
        <f t="shared" si="4"/>
        <v>46000133</v>
      </c>
      <c r="B142" s="4" t="s">
        <v>1524</v>
      </c>
      <c r="C142" s="4" t="s">
        <v>62</v>
      </c>
      <c r="D142" s="11">
        <f>IFERROR(VLOOKUP(C142,ShipShapeEnum!$E:$F,2,FALSE),"-")</f>
        <v>1</v>
      </c>
      <c r="E142" s="19" t="s">
        <v>1525</v>
      </c>
      <c r="F142" s="4" t="s">
        <v>61</v>
      </c>
      <c r="G142" s="11">
        <f>IFERROR(VLOOKUP(F142,ShipShapeEnum!$B:$C,2,FALSE),"-")</f>
        <v>1</v>
      </c>
      <c r="H142" s="19" t="s">
        <v>0</v>
      </c>
      <c r="I142" s="19" t="s">
        <v>0</v>
      </c>
      <c r="J142" s="19" t="s">
        <v>0</v>
      </c>
      <c r="K142" s="19" t="s">
        <v>0</v>
      </c>
      <c r="L142" s="19" t="s">
        <v>0</v>
      </c>
      <c r="M142" s="4" t="s">
        <v>81</v>
      </c>
      <c r="N142" s="11">
        <f>IFERROR(VLOOKUP(M142,ShipShapeEnum!$H:$I,2,FALSE),"-")</f>
        <v>1</v>
      </c>
      <c r="O142" s="11" t="s">
        <v>2688</v>
      </c>
      <c r="P142" s="30"/>
      <c r="Q142" s="11" t="str">
        <f>IFERROR(INDEX(SailPattern!$A:$A,MATCH(P142,SailPattern!$B:$B,0)),"-")</f>
        <v>-</v>
      </c>
      <c r="R142" s="30"/>
      <c r="S142" s="11" t="str">
        <f>IFERROR(INDEX(SailCrest!$A:$A,MATCH(R142,SailCrest!$B:$B,0)),"-")</f>
        <v>-</v>
      </c>
      <c r="T142" s="19" t="s">
        <v>0</v>
      </c>
      <c r="U142" s="19" t="s">
        <v>0</v>
      </c>
      <c r="V142" s="19" t="s">
        <v>0</v>
      </c>
      <c r="W142" s="19" t="s">
        <v>0</v>
      </c>
      <c r="X142" s="19" t="s">
        <v>0</v>
      </c>
      <c r="Y142" s="19" t="s">
        <v>0</v>
      </c>
      <c r="Z142" s="19" t="s">
        <v>0</v>
      </c>
      <c r="AA142" s="19" t="s">
        <v>0</v>
      </c>
    </row>
    <row r="143" spans="1:27" ht="15">
      <c r="A143" s="10">
        <f t="shared" si="4"/>
        <v>46000134</v>
      </c>
      <c r="B143" s="4" t="s">
        <v>1530</v>
      </c>
      <c r="C143" s="4" t="s">
        <v>62</v>
      </c>
      <c r="D143" s="11">
        <f>IFERROR(VLOOKUP(C143,ShipShapeEnum!$E:$F,2,FALSE),"-")</f>
        <v>1</v>
      </c>
      <c r="E143" s="19" t="s">
        <v>1531</v>
      </c>
      <c r="F143" s="4" t="s">
        <v>61</v>
      </c>
      <c r="G143" s="11">
        <f>IFERROR(VLOOKUP(F143,ShipShapeEnum!$B:$C,2,FALSE),"-")</f>
        <v>1</v>
      </c>
      <c r="H143" s="19" t="s">
        <v>0</v>
      </c>
      <c r="I143" s="19" t="s">
        <v>0</v>
      </c>
      <c r="J143" s="19" t="s">
        <v>0</v>
      </c>
      <c r="K143" s="19" t="s">
        <v>0</v>
      </c>
      <c r="L143" s="19" t="s">
        <v>0</v>
      </c>
      <c r="M143" s="4" t="s">
        <v>81</v>
      </c>
      <c r="N143" s="11">
        <f>IFERROR(VLOOKUP(M143,ShipShapeEnum!$H:$I,2,FALSE),"-")</f>
        <v>1</v>
      </c>
      <c r="O143" s="11" t="s">
        <v>2688</v>
      </c>
      <c r="P143" s="30"/>
      <c r="Q143" s="11" t="str">
        <f>IFERROR(INDEX(SailPattern!$A:$A,MATCH(P143,SailPattern!$B:$B,0)),"-")</f>
        <v>-</v>
      </c>
      <c r="R143" s="30"/>
      <c r="S143" s="11" t="str">
        <f>IFERROR(INDEX(SailCrest!$A:$A,MATCH(R143,SailCrest!$B:$B,0)),"-")</f>
        <v>-</v>
      </c>
      <c r="T143" s="19" t="s">
        <v>0</v>
      </c>
      <c r="U143" s="19" t="s">
        <v>0</v>
      </c>
      <c r="V143" s="19" t="s">
        <v>0</v>
      </c>
      <c r="W143" s="19" t="s">
        <v>0</v>
      </c>
      <c r="X143" s="19" t="s">
        <v>0</v>
      </c>
      <c r="Y143" s="19" t="s">
        <v>0</v>
      </c>
      <c r="Z143" s="19" t="s">
        <v>0</v>
      </c>
      <c r="AA143" s="19" t="s">
        <v>0</v>
      </c>
    </row>
    <row r="144" spans="1:27" ht="15">
      <c r="A144" s="10">
        <f t="shared" si="4"/>
        <v>46000135</v>
      </c>
      <c r="B144" s="4" t="s">
        <v>1536</v>
      </c>
      <c r="C144" s="4" t="s">
        <v>62</v>
      </c>
      <c r="D144" s="11">
        <f>IFERROR(VLOOKUP(C144,ShipShapeEnum!$E:$F,2,FALSE),"-")</f>
        <v>1</v>
      </c>
      <c r="E144" s="19" t="s">
        <v>1537</v>
      </c>
      <c r="F144" s="4" t="s">
        <v>61</v>
      </c>
      <c r="G144" s="11">
        <f>IFERROR(VLOOKUP(F144,ShipShapeEnum!$B:$C,2,FALSE),"-")</f>
        <v>1</v>
      </c>
      <c r="H144" s="19" t="s">
        <v>0</v>
      </c>
      <c r="I144" s="19" t="s">
        <v>0</v>
      </c>
      <c r="J144" s="19" t="s">
        <v>0</v>
      </c>
      <c r="K144" s="19" t="s">
        <v>0</v>
      </c>
      <c r="L144" s="19" t="s">
        <v>0</v>
      </c>
      <c r="M144" s="4" t="s">
        <v>81</v>
      </c>
      <c r="N144" s="11">
        <f>IFERROR(VLOOKUP(M144,ShipShapeEnum!$H:$I,2,FALSE),"-")</f>
        <v>1</v>
      </c>
      <c r="O144" s="11" t="s">
        <v>2688</v>
      </c>
      <c r="P144" s="30"/>
      <c r="Q144" s="11" t="str">
        <f>IFERROR(INDEX(SailPattern!$A:$A,MATCH(P144,SailPattern!$B:$B,0)),"-")</f>
        <v>-</v>
      </c>
      <c r="R144" s="30"/>
      <c r="S144" s="11" t="str">
        <f>IFERROR(INDEX(SailCrest!$A:$A,MATCH(R144,SailCrest!$B:$B,0)),"-")</f>
        <v>-</v>
      </c>
      <c r="T144" s="19" t="s">
        <v>0</v>
      </c>
      <c r="U144" s="19" t="s">
        <v>0</v>
      </c>
      <c r="V144" s="19" t="s">
        <v>0</v>
      </c>
      <c r="W144" s="19" t="s">
        <v>0</v>
      </c>
      <c r="X144" s="19" t="s">
        <v>0</v>
      </c>
      <c r="Y144" s="19" t="s">
        <v>0</v>
      </c>
      <c r="Z144" s="19" t="s">
        <v>0</v>
      </c>
      <c r="AA144" s="19" t="s">
        <v>0</v>
      </c>
    </row>
    <row r="145" spans="1:27" ht="15">
      <c r="A145" s="10">
        <f t="shared" si="4"/>
        <v>46000136</v>
      </c>
      <c r="B145" s="4" t="s">
        <v>1540</v>
      </c>
      <c r="C145" s="4" t="s">
        <v>62</v>
      </c>
      <c r="D145" s="11">
        <f>IFERROR(VLOOKUP(C145,ShipShapeEnum!$E:$F,2,FALSE),"-")</f>
        <v>1</v>
      </c>
      <c r="E145" s="19" t="s">
        <v>1541</v>
      </c>
      <c r="F145" s="4" t="s">
        <v>61</v>
      </c>
      <c r="G145" s="11">
        <f>IFERROR(VLOOKUP(F145,ShipShapeEnum!$B:$C,2,FALSE),"-")</f>
        <v>1</v>
      </c>
      <c r="H145" s="19" t="s">
        <v>0</v>
      </c>
      <c r="I145" s="19" t="s">
        <v>0</v>
      </c>
      <c r="J145" s="19" t="s">
        <v>0</v>
      </c>
      <c r="K145" s="19" t="s">
        <v>0</v>
      </c>
      <c r="L145" s="19" t="s">
        <v>0</v>
      </c>
      <c r="M145" s="4" t="s">
        <v>81</v>
      </c>
      <c r="N145" s="11">
        <f>IFERROR(VLOOKUP(M145,ShipShapeEnum!$H:$I,2,FALSE),"-")</f>
        <v>1</v>
      </c>
      <c r="O145" s="11" t="s">
        <v>2688</v>
      </c>
      <c r="P145" s="30"/>
      <c r="Q145" s="11" t="str">
        <f>IFERROR(INDEX(SailPattern!$A:$A,MATCH(P145,SailPattern!$B:$B,0)),"-")</f>
        <v>-</v>
      </c>
      <c r="R145" s="30"/>
      <c r="S145" s="11" t="str">
        <f>IFERROR(INDEX(SailCrest!$A:$A,MATCH(R145,SailCrest!$B:$B,0)),"-")</f>
        <v>-</v>
      </c>
      <c r="T145" s="19" t="s">
        <v>0</v>
      </c>
      <c r="U145" s="19" t="s">
        <v>0</v>
      </c>
      <c r="V145" s="19" t="s">
        <v>0</v>
      </c>
      <c r="W145" s="19" t="s">
        <v>0</v>
      </c>
      <c r="X145" s="19" t="s">
        <v>0</v>
      </c>
      <c r="Y145" s="19" t="s">
        <v>0</v>
      </c>
      <c r="Z145" s="19" t="s">
        <v>0</v>
      </c>
      <c r="AA145" s="19" t="s">
        <v>0</v>
      </c>
    </row>
    <row r="146" spans="1:27" ht="15">
      <c r="A146" s="10">
        <f t="shared" si="4"/>
        <v>46000137</v>
      </c>
      <c r="B146" s="4" t="s">
        <v>1544</v>
      </c>
      <c r="C146" s="4" t="s">
        <v>62</v>
      </c>
      <c r="D146" s="11">
        <f>IFERROR(VLOOKUP(C146,ShipShapeEnum!$E:$F,2,FALSE),"-")</f>
        <v>1</v>
      </c>
      <c r="E146" s="19" t="s">
        <v>1545</v>
      </c>
      <c r="F146" s="4" t="s">
        <v>61</v>
      </c>
      <c r="G146" s="11">
        <f>IFERROR(VLOOKUP(F146,ShipShapeEnum!$B:$C,2,FALSE),"-")</f>
        <v>1</v>
      </c>
      <c r="H146" s="19" t="s">
        <v>0</v>
      </c>
      <c r="I146" s="19" t="s">
        <v>0</v>
      </c>
      <c r="J146" s="19" t="s">
        <v>0</v>
      </c>
      <c r="K146" s="19" t="s">
        <v>0</v>
      </c>
      <c r="L146" s="19" t="s">
        <v>0</v>
      </c>
      <c r="M146" s="4" t="s">
        <v>81</v>
      </c>
      <c r="N146" s="11">
        <f>IFERROR(VLOOKUP(M146,ShipShapeEnum!$H:$I,2,FALSE),"-")</f>
        <v>1</v>
      </c>
      <c r="O146" s="11" t="s">
        <v>2688</v>
      </c>
      <c r="P146" s="30"/>
      <c r="Q146" s="11" t="str">
        <f>IFERROR(INDEX(SailPattern!$A:$A,MATCH(P146,SailPattern!$B:$B,0)),"-")</f>
        <v>-</v>
      </c>
      <c r="R146" s="30"/>
      <c r="S146" s="11" t="str">
        <f>IFERROR(INDEX(SailCrest!$A:$A,MATCH(R146,SailCrest!$B:$B,0)),"-")</f>
        <v>-</v>
      </c>
      <c r="T146" s="19" t="s">
        <v>0</v>
      </c>
      <c r="U146" s="19" t="s">
        <v>0</v>
      </c>
      <c r="V146" s="19" t="s">
        <v>0</v>
      </c>
      <c r="W146" s="19" t="s">
        <v>0</v>
      </c>
      <c r="X146" s="19" t="s">
        <v>0</v>
      </c>
      <c r="Y146" s="19" t="s">
        <v>0</v>
      </c>
      <c r="Z146" s="19" t="s">
        <v>0</v>
      </c>
      <c r="AA146" s="19" t="s">
        <v>0</v>
      </c>
    </row>
    <row r="147" spans="1:27" ht="15">
      <c r="A147" s="10">
        <f t="shared" ref="A147:A168" si="5">A146+1</f>
        <v>46000138</v>
      </c>
      <c r="B147" s="4" t="s">
        <v>1548</v>
      </c>
      <c r="C147" s="4" t="s">
        <v>62</v>
      </c>
      <c r="D147" s="11">
        <f>IFERROR(VLOOKUP(C147,ShipShapeEnum!$E:$F,2,FALSE),"-")</f>
        <v>1</v>
      </c>
      <c r="E147" s="19" t="s">
        <v>1549</v>
      </c>
      <c r="F147" s="4" t="s">
        <v>61</v>
      </c>
      <c r="G147" s="11">
        <f>IFERROR(VLOOKUP(F147,ShipShapeEnum!$B:$C,2,FALSE),"-")</f>
        <v>1</v>
      </c>
      <c r="H147" s="19" t="s">
        <v>0</v>
      </c>
      <c r="I147" s="19" t="s">
        <v>0</v>
      </c>
      <c r="J147" s="19" t="s">
        <v>0</v>
      </c>
      <c r="K147" s="19" t="s">
        <v>0</v>
      </c>
      <c r="L147" s="19" t="s">
        <v>0</v>
      </c>
      <c r="M147" s="4" t="s">
        <v>81</v>
      </c>
      <c r="N147" s="11">
        <f>IFERROR(VLOOKUP(M147,ShipShapeEnum!$H:$I,2,FALSE),"-")</f>
        <v>1</v>
      </c>
      <c r="O147" s="11" t="s">
        <v>2688</v>
      </c>
      <c r="P147" s="30"/>
      <c r="Q147" s="11" t="str">
        <f>IFERROR(INDEX(SailPattern!$A:$A,MATCH(P147,SailPattern!$B:$B,0)),"-")</f>
        <v>-</v>
      </c>
      <c r="R147" s="30"/>
      <c r="S147" s="11" t="str">
        <f>IFERROR(INDEX(SailCrest!$A:$A,MATCH(R147,SailCrest!$B:$B,0)),"-")</f>
        <v>-</v>
      </c>
      <c r="T147" s="19" t="s">
        <v>0</v>
      </c>
      <c r="U147" s="19" t="s">
        <v>0</v>
      </c>
      <c r="V147" s="19" t="s">
        <v>0</v>
      </c>
      <c r="W147" s="19" t="s">
        <v>0</v>
      </c>
      <c r="X147" s="19" t="s">
        <v>0</v>
      </c>
      <c r="Y147" s="19" t="s">
        <v>0</v>
      </c>
      <c r="Z147" s="19" t="s">
        <v>0</v>
      </c>
      <c r="AA147" s="19" t="s">
        <v>0</v>
      </c>
    </row>
    <row r="148" spans="1:27" ht="15">
      <c r="A148" s="10">
        <f t="shared" si="5"/>
        <v>46000139</v>
      </c>
      <c r="B148" s="4" t="s">
        <v>1552</v>
      </c>
      <c r="C148" s="4" t="s">
        <v>62</v>
      </c>
      <c r="D148" s="11">
        <f>IFERROR(VLOOKUP(C148,ShipShapeEnum!$E:$F,2,FALSE),"-")</f>
        <v>1</v>
      </c>
      <c r="E148" s="19" t="s">
        <v>1553</v>
      </c>
      <c r="F148" s="4" t="s">
        <v>61</v>
      </c>
      <c r="G148" s="11">
        <f>IFERROR(VLOOKUP(F148,ShipShapeEnum!$B:$C,2,FALSE),"-")</f>
        <v>1</v>
      </c>
      <c r="H148" s="19" t="s">
        <v>0</v>
      </c>
      <c r="I148" s="19" t="s">
        <v>0</v>
      </c>
      <c r="J148" s="19" t="s">
        <v>0</v>
      </c>
      <c r="K148" s="19" t="s">
        <v>0</v>
      </c>
      <c r="L148" s="19" t="s">
        <v>0</v>
      </c>
      <c r="M148" s="4" t="s">
        <v>81</v>
      </c>
      <c r="N148" s="11">
        <f>IFERROR(VLOOKUP(M148,ShipShapeEnum!$H:$I,2,FALSE),"-")</f>
        <v>1</v>
      </c>
      <c r="O148" s="11" t="s">
        <v>2688</v>
      </c>
      <c r="P148" s="30"/>
      <c r="Q148" s="11" t="str">
        <f>IFERROR(INDEX(SailPattern!$A:$A,MATCH(P148,SailPattern!$B:$B,0)),"-")</f>
        <v>-</v>
      </c>
      <c r="R148" s="30"/>
      <c r="S148" s="11" t="str">
        <f>IFERROR(INDEX(SailCrest!$A:$A,MATCH(R148,SailCrest!$B:$B,0)),"-")</f>
        <v>-</v>
      </c>
      <c r="T148" s="19" t="s">
        <v>0</v>
      </c>
      <c r="U148" s="19" t="s">
        <v>0</v>
      </c>
      <c r="V148" s="19" t="s">
        <v>0</v>
      </c>
      <c r="W148" s="19" t="s">
        <v>0</v>
      </c>
      <c r="X148" s="19" t="s">
        <v>0</v>
      </c>
      <c r="Y148" s="19" t="s">
        <v>0</v>
      </c>
      <c r="Z148" s="19" t="s">
        <v>0</v>
      </c>
      <c r="AA148" s="19" t="s">
        <v>0</v>
      </c>
    </row>
    <row r="149" spans="1:27" ht="15">
      <c r="A149" s="10">
        <f t="shared" si="5"/>
        <v>46000140</v>
      </c>
      <c r="B149" s="4" t="s">
        <v>1655</v>
      </c>
      <c r="C149" s="4" t="s">
        <v>62</v>
      </c>
      <c r="D149" s="11">
        <f>IFERROR(VLOOKUP(C149,ShipShapeEnum!$E:$F,2,FALSE),"-")</f>
        <v>1</v>
      </c>
      <c r="E149" s="19" t="s">
        <v>1556</v>
      </c>
      <c r="F149" s="4" t="s">
        <v>61</v>
      </c>
      <c r="G149" s="11">
        <f>IFERROR(VLOOKUP(F149,ShipShapeEnum!$B:$C,2,FALSE),"-")</f>
        <v>1</v>
      </c>
      <c r="H149" s="19" t="s">
        <v>0</v>
      </c>
      <c r="I149" s="19" t="s">
        <v>0</v>
      </c>
      <c r="J149" s="19" t="s">
        <v>0</v>
      </c>
      <c r="K149" s="19" t="s">
        <v>0</v>
      </c>
      <c r="L149" s="19" t="s">
        <v>0</v>
      </c>
      <c r="M149" s="4" t="s">
        <v>81</v>
      </c>
      <c r="N149" s="11">
        <f>IFERROR(VLOOKUP(M149,ShipShapeEnum!$H:$I,2,FALSE),"-")</f>
        <v>1</v>
      </c>
      <c r="O149" s="11" t="s">
        <v>2688</v>
      </c>
      <c r="P149" s="30"/>
      <c r="Q149" s="11" t="str">
        <f>IFERROR(INDEX(SailPattern!$A:$A,MATCH(P149,SailPattern!$B:$B,0)),"-")</f>
        <v>-</v>
      </c>
      <c r="R149" s="30"/>
      <c r="S149" s="11" t="str">
        <f>IFERROR(INDEX(SailCrest!$A:$A,MATCH(R149,SailCrest!$B:$B,0)),"-")</f>
        <v>-</v>
      </c>
      <c r="T149" s="19" t="s">
        <v>0</v>
      </c>
      <c r="U149" s="19" t="s">
        <v>0</v>
      </c>
      <c r="V149" s="19" t="s">
        <v>0</v>
      </c>
      <c r="W149" s="19" t="s">
        <v>0</v>
      </c>
      <c r="X149" s="19" t="s">
        <v>0</v>
      </c>
      <c r="Y149" s="19" t="s">
        <v>0</v>
      </c>
      <c r="Z149" s="19" t="s">
        <v>0</v>
      </c>
      <c r="AA149" s="19" t="s">
        <v>0</v>
      </c>
    </row>
    <row r="150" spans="1:27" ht="15">
      <c r="A150" s="10">
        <f t="shared" si="5"/>
        <v>46000141</v>
      </c>
      <c r="B150" s="4" t="s">
        <v>1558</v>
      </c>
      <c r="C150" s="4" t="s">
        <v>62</v>
      </c>
      <c r="D150" s="11">
        <f>IFERROR(VLOOKUP(C150,ShipShapeEnum!$E:$F,2,FALSE),"-")</f>
        <v>1</v>
      </c>
      <c r="E150" s="19" t="s">
        <v>1559</v>
      </c>
      <c r="F150" s="4" t="s">
        <v>61</v>
      </c>
      <c r="G150" s="11">
        <f>IFERROR(VLOOKUP(F150,ShipShapeEnum!$B:$C,2,FALSE),"-")</f>
        <v>1</v>
      </c>
      <c r="H150" s="19" t="s">
        <v>0</v>
      </c>
      <c r="I150" s="19" t="s">
        <v>0</v>
      </c>
      <c r="J150" s="19" t="s">
        <v>0</v>
      </c>
      <c r="K150" s="19" t="s">
        <v>0</v>
      </c>
      <c r="L150" s="19" t="s">
        <v>0</v>
      </c>
      <c r="M150" s="4" t="s">
        <v>81</v>
      </c>
      <c r="N150" s="11">
        <f>IFERROR(VLOOKUP(M150,ShipShapeEnum!$H:$I,2,FALSE),"-")</f>
        <v>1</v>
      </c>
      <c r="O150" s="11" t="s">
        <v>2688</v>
      </c>
      <c r="P150" s="30"/>
      <c r="Q150" s="11" t="str">
        <f>IFERROR(INDEX(SailPattern!$A:$A,MATCH(P150,SailPattern!$B:$B,0)),"-")</f>
        <v>-</v>
      </c>
      <c r="R150" s="30"/>
      <c r="S150" s="11" t="str">
        <f>IFERROR(INDEX(SailCrest!$A:$A,MATCH(R150,SailCrest!$B:$B,0)),"-")</f>
        <v>-</v>
      </c>
      <c r="T150" s="19" t="s">
        <v>0</v>
      </c>
      <c r="U150" s="19" t="s">
        <v>0</v>
      </c>
      <c r="V150" s="19" t="s">
        <v>0</v>
      </c>
      <c r="W150" s="19" t="s">
        <v>0</v>
      </c>
      <c r="X150" s="19" t="s">
        <v>0</v>
      </c>
      <c r="Y150" s="19" t="s">
        <v>0</v>
      </c>
      <c r="Z150" s="19" t="s">
        <v>0</v>
      </c>
      <c r="AA150" s="19" t="s">
        <v>0</v>
      </c>
    </row>
    <row r="151" spans="1:27" ht="15">
      <c r="A151" s="10">
        <f t="shared" si="5"/>
        <v>46000142</v>
      </c>
      <c r="B151" s="4" t="s">
        <v>1567</v>
      </c>
      <c r="C151" s="4" t="s">
        <v>62</v>
      </c>
      <c r="D151" s="11">
        <f>IFERROR(VLOOKUP(C151,ShipShapeEnum!$E:$F,2,FALSE),"-")</f>
        <v>1</v>
      </c>
      <c r="E151" s="19" t="s">
        <v>1564</v>
      </c>
      <c r="F151" s="4" t="s">
        <v>61</v>
      </c>
      <c r="G151" s="11">
        <f>IFERROR(VLOOKUP(F151,ShipShapeEnum!$B:$C,2,FALSE),"-")</f>
        <v>1</v>
      </c>
      <c r="H151" s="19" t="s">
        <v>0</v>
      </c>
      <c r="I151" s="19" t="s">
        <v>0</v>
      </c>
      <c r="J151" s="19" t="s">
        <v>0</v>
      </c>
      <c r="K151" s="19" t="s">
        <v>0</v>
      </c>
      <c r="L151" s="19" t="s">
        <v>0</v>
      </c>
      <c r="M151" s="4" t="s">
        <v>81</v>
      </c>
      <c r="N151" s="11">
        <f>IFERROR(VLOOKUP(M151,ShipShapeEnum!$H:$I,2,FALSE),"-")</f>
        <v>1</v>
      </c>
      <c r="O151" s="11" t="s">
        <v>2688</v>
      </c>
      <c r="P151" s="30"/>
      <c r="Q151" s="11" t="str">
        <f>IFERROR(INDEX(SailPattern!$A:$A,MATCH(P151,SailPattern!$B:$B,0)),"-")</f>
        <v>-</v>
      </c>
      <c r="R151" s="30"/>
      <c r="S151" s="11" t="str">
        <f>IFERROR(INDEX(SailCrest!$A:$A,MATCH(R151,SailCrest!$B:$B,0)),"-")</f>
        <v>-</v>
      </c>
      <c r="T151" s="19" t="s">
        <v>0</v>
      </c>
      <c r="U151" s="19" t="s">
        <v>0</v>
      </c>
      <c r="V151" s="19" t="s">
        <v>0</v>
      </c>
      <c r="W151" s="19" t="s">
        <v>0</v>
      </c>
      <c r="X151" s="19" t="s">
        <v>0</v>
      </c>
      <c r="Y151" s="19" t="s">
        <v>0</v>
      </c>
      <c r="Z151" s="19" t="s">
        <v>0</v>
      </c>
      <c r="AA151" s="19" t="s">
        <v>0</v>
      </c>
    </row>
    <row r="152" spans="1:27" ht="15">
      <c r="A152" s="10">
        <f t="shared" si="5"/>
        <v>46000143</v>
      </c>
      <c r="B152" s="4" t="s">
        <v>2905</v>
      </c>
      <c r="C152" s="4" t="s">
        <v>62</v>
      </c>
      <c r="D152" s="11">
        <f>IFERROR(VLOOKUP(C152,ShipShapeEnum!$E:$F,2,FALSE),"-")</f>
        <v>1</v>
      </c>
      <c r="E152" s="19" t="s">
        <v>1568</v>
      </c>
      <c r="F152" s="4" t="s">
        <v>61</v>
      </c>
      <c r="G152" s="11">
        <f>IFERROR(VLOOKUP(F152,ShipShapeEnum!$B:$C,2,FALSE),"-")</f>
        <v>1</v>
      </c>
      <c r="H152" s="19" t="s">
        <v>0</v>
      </c>
      <c r="I152" s="19" t="s">
        <v>0</v>
      </c>
      <c r="J152" s="19" t="s">
        <v>0</v>
      </c>
      <c r="K152" s="19" t="s">
        <v>0</v>
      </c>
      <c r="L152" s="19" t="s">
        <v>0</v>
      </c>
      <c r="M152" s="4" t="s">
        <v>81</v>
      </c>
      <c r="N152" s="11">
        <f>IFERROR(VLOOKUP(M152,ShipShapeEnum!$H:$I,2,FALSE),"-")</f>
        <v>1</v>
      </c>
      <c r="O152" s="11" t="s">
        <v>2688</v>
      </c>
      <c r="P152" s="30"/>
      <c r="Q152" s="11" t="str">
        <f>IFERROR(INDEX(SailPattern!$A:$A,MATCH(P152,SailPattern!$B:$B,0)),"-")</f>
        <v>-</v>
      </c>
      <c r="R152" s="30"/>
      <c r="S152" s="11" t="str">
        <f>IFERROR(INDEX(SailCrest!$A:$A,MATCH(R152,SailCrest!$B:$B,0)),"-")</f>
        <v>-</v>
      </c>
      <c r="T152" s="19" t="s">
        <v>0</v>
      </c>
      <c r="U152" s="19" t="s">
        <v>0</v>
      </c>
      <c r="V152" s="19" t="s">
        <v>0</v>
      </c>
      <c r="W152" s="19" t="s">
        <v>0</v>
      </c>
      <c r="X152" s="19" t="s">
        <v>0</v>
      </c>
      <c r="Y152" s="19" t="s">
        <v>0</v>
      </c>
      <c r="Z152" s="19" t="s">
        <v>0</v>
      </c>
      <c r="AA152" s="19" t="s">
        <v>0</v>
      </c>
    </row>
    <row r="153" spans="1:27" ht="15">
      <c r="A153" s="10">
        <f t="shared" si="5"/>
        <v>46000144</v>
      </c>
      <c r="B153" s="4" t="s">
        <v>1572</v>
      </c>
      <c r="C153" s="4" t="s">
        <v>62</v>
      </c>
      <c r="D153" s="11">
        <f>IFERROR(VLOOKUP(C153,ShipShapeEnum!$E:$F,2,FALSE),"-")</f>
        <v>1</v>
      </c>
      <c r="E153" s="19" t="s">
        <v>1573</v>
      </c>
      <c r="F153" s="4" t="s">
        <v>61</v>
      </c>
      <c r="G153" s="11">
        <f>IFERROR(VLOOKUP(F153,ShipShapeEnum!$B:$C,2,FALSE),"-")</f>
        <v>1</v>
      </c>
      <c r="H153" s="19" t="s">
        <v>0</v>
      </c>
      <c r="I153" s="19" t="s">
        <v>0</v>
      </c>
      <c r="J153" s="19" t="s">
        <v>0</v>
      </c>
      <c r="K153" s="19" t="s">
        <v>0</v>
      </c>
      <c r="L153" s="19" t="s">
        <v>0</v>
      </c>
      <c r="M153" s="4" t="s">
        <v>81</v>
      </c>
      <c r="N153" s="11">
        <f>IFERROR(VLOOKUP(M153,ShipShapeEnum!$H:$I,2,FALSE),"-")</f>
        <v>1</v>
      </c>
      <c r="O153" s="11" t="s">
        <v>2688</v>
      </c>
      <c r="P153" s="30"/>
      <c r="Q153" s="11" t="str">
        <f>IFERROR(INDEX(SailPattern!$A:$A,MATCH(P153,SailPattern!$B:$B,0)),"-")</f>
        <v>-</v>
      </c>
      <c r="R153" s="30"/>
      <c r="S153" s="11" t="str">
        <f>IFERROR(INDEX(SailCrest!$A:$A,MATCH(R153,SailCrest!$B:$B,0)),"-")</f>
        <v>-</v>
      </c>
      <c r="T153" s="19" t="s">
        <v>0</v>
      </c>
      <c r="U153" s="19" t="s">
        <v>0</v>
      </c>
      <c r="V153" s="19" t="s">
        <v>0</v>
      </c>
      <c r="W153" s="19" t="s">
        <v>0</v>
      </c>
      <c r="X153" s="19" t="s">
        <v>0</v>
      </c>
      <c r="Y153" s="19" t="s">
        <v>0</v>
      </c>
      <c r="Z153" s="19" t="s">
        <v>0</v>
      </c>
      <c r="AA153" s="19" t="s">
        <v>0</v>
      </c>
    </row>
    <row r="154" spans="1:27" ht="15">
      <c r="A154" s="10">
        <f t="shared" si="5"/>
        <v>46000145</v>
      </c>
      <c r="B154" s="4" t="s">
        <v>1577</v>
      </c>
      <c r="C154" s="4" t="s">
        <v>62</v>
      </c>
      <c r="D154" s="11">
        <f>IFERROR(VLOOKUP(C154,ShipShapeEnum!$E:$F,2,FALSE),"-")</f>
        <v>1</v>
      </c>
      <c r="E154" s="19" t="s">
        <v>1576</v>
      </c>
      <c r="F154" s="4" t="s">
        <v>61</v>
      </c>
      <c r="G154" s="11">
        <f>IFERROR(VLOOKUP(F154,ShipShapeEnum!$B:$C,2,FALSE),"-")</f>
        <v>1</v>
      </c>
      <c r="H154" s="19" t="s">
        <v>0</v>
      </c>
      <c r="I154" s="19" t="s">
        <v>0</v>
      </c>
      <c r="J154" s="19" t="s">
        <v>0</v>
      </c>
      <c r="K154" s="19" t="s">
        <v>0</v>
      </c>
      <c r="L154" s="19" t="s">
        <v>0</v>
      </c>
      <c r="M154" s="4" t="s">
        <v>81</v>
      </c>
      <c r="N154" s="11">
        <f>IFERROR(VLOOKUP(M154,ShipShapeEnum!$H:$I,2,FALSE),"-")</f>
        <v>1</v>
      </c>
      <c r="O154" s="11" t="s">
        <v>2688</v>
      </c>
      <c r="P154" s="30"/>
      <c r="Q154" s="11" t="str">
        <f>IFERROR(INDEX(SailPattern!$A:$A,MATCH(P154,SailPattern!$B:$B,0)),"-")</f>
        <v>-</v>
      </c>
      <c r="R154" s="30"/>
      <c r="S154" s="11" t="str">
        <f>IFERROR(INDEX(SailCrest!$A:$A,MATCH(R154,SailCrest!$B:$B,0)),"-")</f>
        <v>-</v>
      </c>
      <c r="T154" s="19" t="s">
        <v>0</v>
      </c>
      <c r="U154" s="19" t="s">
        <v>0</v>
      </c>
      <c r="V154" s="19" t="s">
        <v>0</v>
      </c>
      <c r="W154" s="19" t="s">
        <v>0</v>
      </c>
      <c r="X154" s="19" t="s">
        <v>0</v>
      </c>
      <c r="Y154" s="19" t="s">
        <v>0</v>
      </c>
      <c r="Z154" s="19" t="s">
        <v>0</v>
      </c>
      <c r="AA154" s="19" t="s">
        <v>0</v>
      </c>
    </row>
    <row r="155" spans="1:27" ht="15">
      <c r="A155" s="10">
        <f t="shared" si="5"/>
        <v>46000146</v>
      </c>
      <c r="B155" s="4" t="s">
        <v>1583</v>
      </c>
      <c r="C155" s="4" t="s">
        <v>62</v>
      </c>
      <c r="D155" s="11">
        <f>IFERROR(VLOOKUP(C155,ShipShapeEnum!$E:$F,2,FALSE),"-")</f>
        <v>1</v>
      </c>
      <c r="E155" s="19" t="s">
        <v>1582</v>
      </c>
      <c r="F155" s="4" t="s">
        <v>61</v>
      </c>
      <c r="G155" s="11">
        <f>IFERROR(VLOOKUP(F155,ShipShapeEnum!$B:$C,2,FALSE),"-")</f>
        <v>1</v>
      </c>
      <c r="H155" s="19" t="s">
        <v>0</v>
      </c>
      <c r="I155" s="19" t="s">
        <v>0</v>
      </c>
      <c r="J155" s="19" t="s">
        <v>0</v>
      </c>
      <c r="K155" s="19" t="s">
        <v>0</v>
      </c>
      <c r="L155" s="19" t="s">
        <v>0</v>
      </c>
      <c r="M155" s="4" t="s">
        <v>81</v>
      </c>
      <c r="N155" s="11">
        <f>IFERROR(VLOOKUP(M155,ShipShapeEnum!$H:$I,2,FALSE),"-")</f>
        <v>1</v>
      </c>
      <c r="O155" s="11" t="s">
        <v>2688</v>
      </c>
      <c r="P155" s="30"/>
      <c r="Q155" s="11" t="str">
        <f>IFERROR(INDEX(SailPattern!$A:$A,MATCH(P155,SailPattern!$B:$B,0)),"-")</f>
        <v>-</v>
      </c>
      <c r="R155" s="30"/>
      <c r="S155" s="11" t="str">
        <f>IFERROR(INDEX(SailCrest!$A:$A,MATCH(R155,SailCrest!$B:$B,0)),"-")</f>
        <v>-</v>
      </c>
      <c r="T155" s="19" t="s">
        <v>0</v>
      </c>
      <c r="U155" s="19" t="s">
        <v>0</v>
      </c>
      <c r="V155" s="19" t="s">
        <v>0</v>
      </c>
      <c r="W155" s="19" t="s">
        <v>0</v>
      </c>
      <c r="X155" s="19" t="s">
        <v>0</v>
      </c>
      <c r="Y155" s="19" t="s">
        <v>0</v>
      </c>
      <c r="Z155" s="19" t="s">
        <v>0</v>
      </c>
      <c r="AA155" s="19" t="s">
        <v>0</v>
      </c>
    </row>
    <row r="156" spans="1:27" ht="15">
      <c r="A156" s="10">
        <f t="shared" si="5"/>
        <v>46000147</v>
      </c>
      <c r="B156" s="4" t="s">
        <v>1621</v>
      </c>
      <c r="C156" s="4" t="s">
        <v>62</v>
      </c>
      <c r="D156" s="11">
        <f>IFERROR(VLOOKUP(C156,ShipShapeEnum!$E:$F,2,FALSE),"-")</f>
        <v>1</v>
      </c>
      <c r="E156" s="19" t="s">
        <v>1622</v>
      </c>
      <c r="F156" s="4" t="s">
        <v>61</v>
      </c>
      <c r="G156" s="11">
        <f>IFERROR(VLOOKUP(F156,ShipShapeEnum!$B:$C,2,FALSE),"-")</f>
        <v>1</v>
      </c>
      <c r="H156" s="19" t="s">
        <v>0</v>
      </c>
      <c r="I156" s="19" t="s">
        <v>0</v>
      </c>
      <c r="J156" s="19" t="s">
        <v>0</v>
      </c>
      <c r="K156" s="19" t="s">
        <v>0</v>
      </c>
      <c r="L156" s="19" t="s">
        <v>0</v>
      </c>
      <c r="M156" s="4" t="s">
        <v>81</v>
      </c>
      <c r="N156" s="11">
        <f>IFERROR(VLOOKUP(M156,ShipShapeEnum!$H:$I,2,FALSE),"-")</f>
        <v>1</v>
      </c>
      <c r="O156" s="11" t="s">
        <v>2688</v>
      </c>
      <c r="P156" s="30"/>
      <c r="Q156" s="11" t="str">
        <f>IFERROR(INDEX(SailPattern!$A:$A,MATCH(P156,SailPattern!$B:$B,0)),"-")</f>
        <v>-</v>
      </c>
      <c r="R156" s="30"/>
      <c r="S156" s="11" t="str">
        <f>IFERROR(INDEX(SailCrest!$A:$A,MATCH(R156,SailCrest!$B:$B,0)),"-")</f>
        <v>-</v>
      </c>
      <c r="T156" s="19" t="s">
        <v>0</v>
      </c>
      <c r="U156" s="19" t="s">
        <v>0</v>
      </c>
      <c r="V156" s="19" t="s">
        <v>0</v>
      </c>
      <c r="W156" s="19" t="s">
        <v>0</v>
      </c>
      <c r="X156" s="19" t="s">
        <v>0</v>
      </c>
      <c r="Y156" s="19" t="s">
        <v>0</v>
      </c>
      <c r="Z156" s="19" t="s">
        <v>0</v>
      </c>
      <c r="AA156" s="19" t="s">
        <v>0</v>
      </c>
    </row>
    <row r="157" spans="1:27" ht="15">
      <c r="A157" s="10">
        <f t="shared" si="5"/>
        <v>46000148</v>
      </c>
      <c r="B157" s="4" t="s">
        <v>1625</v>
      </c>
      <c r="C157" s="4" t="s">
        <v>62</v>
      </c>
      <c r="D157" s="11">
        <f>IFERROR(VLOOKUP(C157,ShipShapeEnum!$E:$F,2,FALSE),"-")</f>
        <v>1</v>
      </c>
      <c r="E157" s="19" t="s">
        <v>1626</v>
      </c>
      <c r="F157" s="4" t="s">
        <v>61</v>
      </c>
      <c r="G157" s="11">
        <f>IFERROR(VLOOKUP(F157,ShipShapeEnum!$B:$C,2,FALSE),"-")</f>
        <v>1</v>
      </c>
      <c r="H157" s="19" t="s">
        <v>0</v>
      </c>
      <c r="I157" s="19" t="s">
        <v>0</v>
      </c>
      <c r="J157" s="19" t="s">
        <v>0</v>
      </c>
      <c r="K157" s="19" t="s">
        <v>0</v>
      </c>
      <c r="L157" s="19" t="s">
        <v>0</v>
      </c>
      <c r="M157" s="4" t="s">
        <v>81</v>
      </c>
      <c r="N157" s="11">
        <f>IFERROR(VLOOKUP(M157,ShipShapeEnum!$H:$I,2,FALSE),"-")</f>
        <v>1</v>
      </c>
      <c r="O157" s="11" t="s">
        <v>2688</v>
      </c>
      <c r="P157" s="30"/>
      <c r="Q157" s="11" t="str">
        <f>IFERROR(INDEX(SailPattern!$A:$A,MATCH(P157,SailPattern!$B:$B,0)),"-")</f>
        <v>-</v>
      </c>
      <c r="R157" s="30"/>
      <c r="S157" s="11" t="str">
        <f>IFERROR(INDEX(SailCrest!$A:$A,MATCH(R157,SailCrest!$B:$B,0)),"-")</f>
        <v>-</v>
      </c>
      <c r="T157" s="19" t="s">
        <v>0</v>
      </c>
      <c r="U157" s="19" t="s">
        <v>0</v>
      </c>
      <c r="V157" s="19" t="s">
        <v>0</v>
      </c>
      <c r="W157" s="19" t="s">
        <v>0</v>
      </c>
      <c r="X157" s="19" t="s">
        <v>0</v>
      </c>
      <c r="Y157" s="19" t="s">
        <v>0</v>
      </c>
      <c r="Z157" s="19" t="s">
        <v>0</v>
      </c>
      <c r="AA157" s="19" t="s">
        <v>0</v>
      </c>
    </row>
    <row r="158" spans="1:27" ht="15">
      <c r="A158" s="10">
        <f t="shared" si="5"/>
        <v>46000149</v>
      </c>
      <c r="B158" s="4" t="s">
        <v>1639</v>
      </c>
      <c r="C158" s="4" t="s">
        <v>62</v>
      </c>
      <c r="D158" s="11">
        <f>IFERROR(VLOOKUP(C158,ShipShapeEnum!$E:$F,2,FALSE),"-")</f>
        <v>1</v>
      </c>
      <c r="E158" s="19" t="s">
        <v>1637</v>
      </c>
      <c r="F158" s="4" t="s">
        <v>61</v>
      </c>
      <c r="G158" s="11">
        <f>IFERROR(VLOOKUP(F158,ShipShapeEnum!$B:$C,2,FALSE),"-")</f>
        <v>1</v>
      </c>
      <c r="H158" s="19" t="s">
        <v>0</v>
      </c>
      <c r="I158" s="19" t="s">
        <v>0</v>
      </c>
      <c r="J158" s="19" t="s">
        <v>0</v>
      </c>
      <c r="K158" s="19" t="s">
        <v>0</v>
      </c>
      <c r="L158" s="19" t="s">
        <v>0</v>
      </c>
      <c r="M158" s="4" t="s">
        <v>81</v>
      </c>
      <c r="N158" s="11">
        <f>IFERROR(VLOOKUP(M158,ShipShapeEnum!$H:$I,2,FALSE),"-")</f>
        <v>1</v>
      </c>
      <c r="O158" s="11" t="s">
        <v>2688</v>
      </c>
      <c r="P158" s="30"/>
      <c r="Q158" s="11" t="str">
        <f>IFERROR(INDEX(SailPattern!$A:$A,MATCH(P158,SailPattern!$B:$B,0)),"-")</f>
        <v>-</v>
      </c>
      <c r="R158" s="30"/>
      <c r="S158" s="11" t="str">
        <f>IFERROR(INDEX(SailCrest!$A:$A,MATCH(R158,SailCrest!$B:$B,0)),"-")</f>
        <v>-</v>
      </c>
      <c r="T158" s="19" t="s">
        <v>0</v>
      </c>
      <c r="U158" s="19" t="s">
        <v>0</v>
      </c>
      <c r="V158" s="19" t="s">
        <v>0</v>
      </c>
      <c r="W158" s="19" t="s">
        <v>0</v>
      </c>
      <c r="X158" s="19" t="s">
        <v>0</v>
      </c>
      <c r="Y158" s="19" t="s">
        <v>0</v>
      </c>
      <c r="Z158" s="19" t="s">
        <v>0</v>
      </c>
      <c r="AA158" s="19" t="s">
        <v>0</v>
      </c>
    </row>
    <row r="159" spans="1:27" ht="15">
      <c r="A159" s="10">
        <f t="shared" si="5"/>
        <v>46000150</v>
      </c>
      <c r="B159" s="4" t="s">
        <v>2833</v>
      </c>
      <c r="C159" s="4" t="s">
        <v>62</v>
      </c>
      <c r="D159" s="11">
        <f>IFERROR(VLOOKUP(C159,ShipShapeEnum!$E:$F,2,FALSE),"-")</f>
        <v>1</v>
      </c>
      <c r="E159" s="19" t="s">
        <v>1641</v>
      </c>
      <c r="F159" s="4" t="s">
        <v>61</v>
      </c>
      <c r="G159" s="11">
        <f>IFERROR(VLOOKUP(F159,ShipShapeEnum!$B:$C,2,FALSE),"-")</f>
        <v>1</v>
      </c>
      <c r="H159" s="19" t="s">
        <v>0</v>
      </c>
      <c r="I159" s="19" t="s">
        <v>0</v>
      </c>
      <c r="J159" s="19" t="s">
        <v>0</v>
      </c>
      <c r="K159" s="19" t="s">
        <v>0</v>
      </c>
      <c r="L159" s="19" t="s">
        <v>0</v>
      </c>
      <c r="M159" s="4" t="s">
        <v>81</v>
      </c>
      <c r="N159" s="11">
        <f>IFERROR(VLOOKUP(M159,ShipShapeEnum!$H:$I,2,FALSE),"-")</f>
        <v>1</v>
      </c>
      <c r="O159" s="11" t="s">
        <v>2688</v>
      </c>
      <c r="P159" s="30"/>
      <c r="Q159" s="11" t="str">
        <f>IFERROR(INDEX(SailPattern!$A:$A,MATCH(P159,SailPattern!$B:$B,0)),"-")</f>
        <v>-</v>
      </c>
      <c r="R159" s="30"/>
      <c r="S159" s="11" t="str">
        <f>IFERROR(INDEX(SailCrest!$A:$A,MATCH(R159,SailCrest!$B:$B,0)),"-")</f>
        <v>-</v>
      </c>
      <c r="T159" s="19" t="s">
        <v>0</v>
      </c>
      <c r="U159" s="19" t="s">
        <v>0</v>
      </c>
      <c r="V159" s="19" t="s">
        <v>0</v>
      </c>
      <c r="W159" s="19" t="s">
        <v>0</v>
      </c>
      <c r="X159" s="19" t="s">
        <v>0</v>
      </c>
      <c r="Y159" s="19" t="s">
        <v>0</v>
      </c>
      <c r="Z159" s="19" t="s">
        <v>0</v>
      </c>
      <c r="AA159" s="19" t="s">
        <v>0</v>
      </c>
    </row>
    <row r="160" spans="1:27" ht="15">
      <c r="A160" s="10">
        <f t="shared" si="5"/>
        <v>46000151</v>
      </c>
      <c r="B160" s="4" t="s">
        <v>1839</v>
      </c>
      <c r="C160" s="4" t="s">
        <v>62</v>
      </c>
      <c r="D160" s="11">
        <f>IFERROR(VLOOKUP(C160,ShipShapeEnum!$E:$F,2,FALSE),"-")</f>
        <v>1</v>
      </c>
      <c r="E160" s="19" t="s">
        <v>1837</v>
      </c>
      <c r="F160" s="4" t="s">
        <v>61</v>
      </c>
      <c r="G160" s="11">
        <f>IFERROR(VLOOKUP(F160,ShipShapeEnum!$B:$C,2,FALSE),"-")</f>
        <v>1</v>
      </c>
      <c r="H160" s="19" t="s">
        <v>0</v>
      </c>
      <c r="I160" s="19" t="s">
        <v>0</v>
      </c>
      <c r="J160" s="19" t="s">
        <v>0</v>
      </c>
      <c r="K160" s="19" t="s">
        <v>0</v>
      </c>
      <c r="L160" s="19" t="s">
        <v>0</v>
      </c>
      <c r="M160" s="4" t="s">
        <v>81</v>
      </c>
      <c r="N160" s="11">
        <f>IFERROR(VLOOKUP(M160,ShipShapeEnum!$H:$I,2,FALSE),"-")</f>
        <v>1</v>
      </c>
      <c r="O160" s="11" t="s">
        <v>2688</v>
      </c>
      <c r="P160" s="30"/>
      <c r="Q160" s="11" t="str">
        <f>IFERROR(INDEX(SailPattern!$A:$A,MATCH(P160,SailPattern!$B:$B,0)),"-")</f>
        <v>-</v>
      </c>
      <c r="R160" s="30"/>
      <c r="S160" s="11" t="str">
        <f>IFERROR(INDEX(SailCrest!$A:$A,MATCH(R160,SailCrest!$B:$B,0)),"-")</f>
        <v>-</v>
      </c>
      <c r="T160" s="19" t="s">
        <v>0</v>
      </c>
      <c r="U160" s="19" t="s">
        <v>0</v>
      </c>
      <c r="V160" s="19" t="s">
        <v>0</v>
      </c>
      <c r="W160" s="19" t="s">
        <v>0</v>
      </c>
      <c r="X160" s="19" t="s">
        <v>0</v>
      </c>
      <c r="Y160" s="19" t="s">
        <v>0</v>
      </c>
      <c r="Z160" s="19" t="s">
        <v>0</v>
      </c>
      <c r="AA160" s="19" t="s">
        <v>0</v>
      </c>
    </row>
    <row r="161" spans="1:27" ht="15">
      <c r="A161" s="10">
        <f t="shared" si="5"/>
        <v>46000152</v>
      </c>
      <c r="B161" s="4" t="s">
        <v>1842</v>
      </c>
      <c r="C161" s="4" t="s">
        <v>62</v>
      </c>
      <c r="D161" s="11">
        <f>IFERROR(VLOOKUP(C161,ShipShapeEnum!$E:$F,2,FALSE),"-")</f>
        <v>1</v>
      </c>
      <c r="E161" s="19" t="s">
        <v>1843</v>
      </c>
      <c r="F161" s="4" t="s">
        <v>61</v>
      </c>
      <c r="G161" s="11">
        <f>IFERROR(VLOOKUP(F161,ShipShapeEnum!$B:$C,2,FALSE),"-")</f>
        <v>1</v>
      </c>
      <c r="H161" s="19" t="s">
        <v>0</v>
      </c>
      <c r="I161" s="19" t="s">
        <v>0</v>
      </c>
      <c r="J161" s="19" t="s">
        <v>0</v>
      </c>
      <c r="K161" s="19" t="s">
        <v>0</v>
      </c>
      <c r="L161" s="19" t="s">
        <v>0</v>
      </c>
      <c r="M161" s="4" t="s">
        <v>81</v>
      </c>
      <c r="N161" s="11">
        <f>IFERROR(VLOOKUP(M161,ShipShapeEnum!$H:$I,2,FALSE),"-")</f>
        <v>1</v>
      </c>
      <c r="O161" s="11" t="s">
        <v>2688</v>
      </c>
      <c r="P161" s="30"/>
      <c r="Q161" s="11" t="str">
        <f>IFERROR(INDEX(SailPattern!$A:$A,MATCH(P161,SailPattern!$B:$B,0)),"-")</f>
        <v>-</v>
      </c>
      <c r="R161" s="30"/>
      <c r="S161" s="11" t="str">
        <f>IFERROR(INDEX(SailCrest!$A:$A,MATCH(R161,SailCrest!$B:$B,0)),"-")</f>
        <v>-</v>
      </c>
      <c r="T161" s="19" t="s">
        <v>0</v>
      </c>
      <c r="U161" s="19" t="s">
        <v>0</v>
      </c>
      <c r="V161" s="19" t="s">
        <v>0</v>
      </c>
      <c r="W161" s="19" t="s">
        <v>0</v>
      </c>
      <c r="X161" s="19" t="s">
        <v>0</v>
      </c>
      <c r="Y161" s="19" t="s">
        <v>0</v>
      </c>
      <c r="Z161" s="19" t="s">
        <v>0</v>
      </c>
      <c r="AA161" s="19" t="s">
        <v>0</v>
      </c>
    </row>
    <row r="162" spans="1:27" ht="15">
      <c r="A162" s="10">
        <f t="shared" si="5"/>
        <v>46000153</v>
      </c>
      <c r="B162" s="4" t="s">
        <v>1847</v>
      </c>
      <c r="C162" s="4" t="s">
        <v>62</v>
      </c>
      <c r="D162" s="11">
        <f>IFERROR(VLOOKUP(C162,ShipShapeEnum!$E:$F,2,FALSE),"-")</f>
        <v>1</v>
      </c>
      <c r="E162" s="19" t="s">
        <v>1848</v>
      </c>
      <c r="F162" s="4" t="s">
        <v>61</v>
      </c>
      <c r="G162" s="11">
        <f>IFERROR(VLOOKUP(F162,ShipShapeEnum!$B:$C,2,FALSE),"-")</f>
        <v>1</v>
      </c>
      <c r="H162" s="19" t="s">
        <v>0</v>
      </c>
      <c r="I162" s="19" t="s">
        <v>0</v>
      </c>
      <c r="J162" s="19" t="s">
        <v>0</v>
      </c>
      <c r="K162" s="19" t="s">
        <v>0</v>
      </c>
      <c r="L162" s="19" t="s">
        <v>0</v>
      </c>
      <c r="M162" s="4" t="s">
        <v>81</v>
      </c>
      <c r="N162" s="11">
        <f>IFERROR(VLOOKUP(M162,ShipShapeEnum!$H:$I,2,FALSE),"-")</f>
        <v>1</v>
      </c>
      <c r="O162" s="11" t="s">
        <v>2688</v>
      </c>
      <c r="P162" s="30"/>
      <c r="Q162" s="11" t="str">
        <f>IFERROR(INDEX(SailPattern!$A:$A,MATCH(P162,SailPattern!$B:$B,0)),"-")</f>
        <v>-</v>
      </c>
      <c r="R162" s="30"/>
      <c r="S162" s="11" t="str">
        <f>IFERROR(INDEX(SailCrest!$A:$A,MATCH(R162,SailCrest!$B:$B,0)),"-")</f>
        <v>-</v>
      </c>
      <c r="T162" s="19" t="s">
        <v>0</v>
      </c>
      <c r="U162" s="19" t="s">
        <v>0</v>
      </c>
      <c r="V162" s="19" t="s">
        <v>0</v>
      </c>
      <c r="W162" s="19" t="s">
        <v>0</v>
      </c>
      <c r="X162" s="19" t="s">
        <v>0</v>
      </c>
      <c r="Y162" s="19" t="s">
        <v>0</v>
      </c>
      <c r="Z162" s="19" t="s">
        <v>0</v>
      </c>
      <c r="AA162" s="19" t="s">
        <v>0</v>
      </c>
    </row>
    <row r="163" spans="1:27" ht="15">
      <c r="A163" s="10">
        <f t="shared" si="5"/>
        <v>46000154</v>
      </c>
      <c r="B163" s="4" t="s">
        <v>1852</v>
      </c>
      <c r="C163" s="4" t="s">
        <v>62</v>
      </c>
      <c r="D163" s="11">
        <f>IFERROR(VLOOKUP(C163,ShipShapeEnum!$E:$F,2,FALSE),"-")</f>
        <v>1</v>
      </c>
      <c r="E163" s="19" t="s">
        <v>1853</v>
      </c>
      <c r="F163" s="4" t="s">
        <v>61</v>
      </c>
      <c r="G163" s="11">
        <f>IFERROR(VLOOKUP(F163,ShipShapeEnum!$B:$C,2,FALSE),"-")</f>
        <v>1</v>
      </c>
      <c r="H163" s="19" t="s">
        <v>0</v>
      </c>
      <c r="I163" s="19" t="s">
        <v>0</v>
      </c>
      <c r="J163" s="19" t="s">
        <v>0</v>
      </c>
      <c r="K163" s="19" t="s">
        <v>0</v>
      </c>
      <c r="L163" s="19" t="s">
        <v>0</v>
      </c>
      <c r="M163" s="4" t="s">
        <v>81</v>
      </c>
      <c r="N163" s="11">
        <f>IFERROR(VLOOKUP(M163,ShipShapeEnum!$H:$I,2,FALSE),"-")</f>
        <v>1</v>
      </c>
      <c r="O163" s="11" t="s">
        <v>2688</v>
      </c>
      <c r="P163" s="30"/>
      <c r="Q163" s="11" t="str">
        <f>IFERROR(INDEX(SailPattern!$A:$A,MATCH(P163,SailPattern!$B:$B,0)),"-")</f>
        <v>-</v>
      </c>
      <c r="R163" s="30"/>
      <c r="S163" s="11" t="str">
        <f>IFERROR(INDEX(SailCrest!$A:$A,MATCH(R163,SailCrest!$B:$B,0)),"-")</f>
        <v>-</v>
      </c>
      <c r="T163" s="19" t="s">
        <v>0</v>
      </c>
      <c r="U163" s="19" t="s">
        <v>0</v>
      </c>
      <c r="V163" s="19" t="s">
        <v>0</v>
      </c>
      <c r="W163" s="19" t="s">
        <v>0</v>
      </c>
      <c r="X163" s="19" t="s">
        <v>0</v>
      </c>
      <c r="Y163" s="19" t="s">
        <v>0</v>
      </c>
      <c r="Z163" s="19" t="s">
        <v>0</v>
      </c>
      <c r="AA163" s="19" t="s">
        <v>0</v>
      </c>
    </row>
    <row r="164" spans="1:27" ht="15">
      <c r="A164" s="10">
        <f t="shared" si="5"/>
        <v>46000155</v>
      </c>
      <c r="B164" s="4" t="s">
        <v>1860</v>
      </c>
      <c r="C164" s="4" t="s">
        <v>62</v>
      </c>
      <c r="D164" s="11">
        <f>IFERROR(VLOOKUP(C164,ShipShapeEnum!$E:$F,2,FALSE),"-")</f>
        <v>1</v>
      </c>
      <c r="E164" s="19" t="s">
        <v>1861</v>
      </c>
      <c r="F164" s="4" t="s">
        <v>61</v>
      </c>
      <c r="G164" s="11">
        <f>IFERROR(VLOOKUP(F164,ShipShapeEnum!$B:$C,2,FALSE),"-")</f>
        <v>1</v>
      </c>
      <c r="H164" s="19" t="s">
        <v>0</v>
      </c>
      <c r="I164" s="19" t="s">
        <v>0</v>
      </c>
      <c r="J164" s="19" t="s">
        <v>0</v>
      </c>
      <c r="K164" s="19" t="s">
        <v>0</v>
      </c>
      <c r="L164" s="19" t="s">
        <v>0</v>
      </c>
      <c r="M164" s="4" t="s">
        <v>81</v>
      </c>
      <c r="N164" s="11">
        <f>IFERROR(VLOOKUP(M164,ShipShapeEnum!$H:$I,2,FALSE),"-")</f>
        <v>1</v>
      </c>
      <c r="O164" s="11" t="s">
        <v>2688</v>
      </c>
      <c r="P164" s="30"/>
      <c r="Q164" s="11" t="str">
        <f>IFERROR(INDEX(SailPattern!$A:$A,MATCH(P164,SailPattern!$B:$B,0)),"-")</f>
        <v>-</v>
      </c>
      <c r="R164" s="30"/>
      <c r="S164" s="11" t="str">
        <f>IFERROR(INDEX(SailCrest!$A:$A,MATCH(R164,SailCrest!$B:$B,0)),"-")</f>
        <v>-</v>
      </c>
      <c r="T164" s="19" t="s">
        <v>0</v>
      </c>
      <c r="U164" s="19" t="s">
        <v>0</v>
      </c>
      <c r="V164" s="19" t="s">
        <v>0</v>
      </c>
      <c r="W164" s="19" t="s">
        <v>0</v>
      </c>
      <c r="X164" s="19" t="s">
        <v>0</v>
      </c>
      <c r="Y164" s="19" t="s">
        <v>0</v>
      </c>
      <c r="Z164" s="19" t="s">
        <v>0</v>
      </c>
      <c r="AA164" s="19" t="s">
        <v>0</v>
      </c>
    </row>
    <row r="165" spans="1:27" ht="15">
      <c r="A165" s="10">
        <f t="shared" si="5"/>
        <v>46000156</v>
      </c>
      <c r="B165" s="4" t="s">
        <v>1869</v>
      </c>
      <c r="C165" s="4" t="s">
        <v>62</v>
      </c>
      <c r="D165" s="11">
        <f>IFERROR(VLOOKUP(C165,ShipShapeEnum!$E:$F,2,FALSE),"-")</f>
        <v>1</v>
      </c>
      <c r="E165" s="19" t="s">
        <v>1867</v>
      </c>
      <c r="F165" s="4" t="s">
        <v>61</v>
      </c>
      <c r="G165" s="11">
        <f>IFERROR(VLOOKUP(F165,ShipShapeEnum!$B:$C,2,FALSE),"-")</f>
        <v>1</v>
      </c>
      <c r="H165" s="19" t="s">
        <v>0</v>
      </c>
      <c r="I165" s="19" t="s">
        <v>0</v>
      </c>
      <c r="J165" s="19" t="s">
        <v>0</v>
      </c>
      <c r="K165" s="19" t="s">
        <v>0</v>
      </c>
      <c r="L165" s="19" t="s">
        <v>0</v>
      </c>
      <c r="M165" s="4" t="s">
        <v>81</v>
      </c>
      <c r="N165" s="11">
        <f>IFERROR(VLOOKUP(M165,ShipShapeEnum!$H:$I,2,FALSE),"-")</f>
        <v>1</v>
      </c>
      <c r="O165" s="11" t="s">
        <v>2688</v>
      </c>
      <c r="P165" s="30"/>
      <c r="Q165" s="11" t="str">
        <f>IFERROR(INDEX(SailPattern!$A:$A,MATCH(P165,SailPattern!$B:$B,0)),"-")</f>
        <v>-</v>
      </c>
      <c r="R165" s="30"/>
      <c r="S165" s="11" t="str">
        <f>IFERROR(INDEX(SailCrest!$A:$A,MATCH(R165,SailCrest!$B:$B,0)),"-")</f>
        <v>-</v>
      </c>
      <c r="T165" s="19" t="s">
        <v>0</v>
      </c>
      <c r="U165" s="19" t="s">
        <v>0</v>
      </c>
      <c r="V165" s="19" t="s">
        <v>0</v>
      </c>
      <c r="W165" s="19" t="s">
        <v>0</v>
      </c>
      <c r="X165" s="19" t="s">
        <v>0</v>
      </c>
      <c r="Y165" s="19" t="s">
        <v>0</v>
      </c>
      <c r="Z165" s="19" t="s">
        <v>0</v>
      </c>
      <c r="AA165" s="19" t="s">
        <v>0</v>
      </c>
    </row>
    <row r="166" spans="1:27" ht="15">
      <c r="A166" s="10">
        <f t="shared" si="5"/>
        <v>46000157</v>
      </c>
      <c r="B166" s="4" t="s">
        <v>1874</v>
      </c>
      <c r="C166" s="4" t="s">
        <v>62</v>
      </c>
      <c r="D166" s="11">
        <f>IFERROR(VLOOKUP(C166,ShipShapeEnum!$E:$F,2,FALSE),"-")</f>
        <v>1</v>
      </c>
      <c r="E166" s="19" t="s">
        <v>1872</v>
      </c>
      <c r="F166" s="4" t="s">
        <v>61</v>
      </c>
      <c r="G166" s="11">
        <f>IFERROR(VLOOKUP(F166,ShipShapeEnum!$B:$C,2,FALSE),"-")</f>
        <v>1</v>
      </c>
      <c r="H166" s="19" t="s">
        <v>0</v>
      </c>
      <c r="I166" s="19" t="s">
        <v>0</v>
      </c>
      <c r="J166" s="19" t="s">
        <v>0</v>
      </c>
      <c r="K166" s="19" t="s">
        <v>0</v>
      </c>
      <c r="L166" s="19" t="s">
        <v>0</v>
      </c>
      <c r="M166" s="4" t="s">
        <v>81</v>
      </c>
      <c r="N166" s="11">
        <f>IFERROR(VLOOKUP(M166,ShipShapeEnum!$H:$I,2,FALSE),"-")</f>
        <v>1</v>
      </c>
      <c r="O166" s="11" t="s">
        <v>2688</v>
      </c>
      <c r="P166" s="30"/>
      <c r="Q166" s="11" t="str">
        <f>IFERROR(INDEX(SailPattern!$A:$A,MATCH(P166,SailPattern!$B:$B,0)),"-")</f>
        <v>-</v>
      </c>
      <c r="R166" s="30"/>
      <c r="S166" s="11" t="str">
        <f>IFERROR(INDEX(SailCrest!$A:$A,MATCH(R166,SailCrest!$B:$B,0)),"-")</f>
        <v>-</v>
      </c>
      <c r="T166" s="19" t="s">
        <v>0</v>
      </c>
      <c r="U166" s="19" t="s">
        <v>0</v>
      </c>
      <c r="V166" s="19" t="s">
        <v>0</v>
      </c>
      <c r="W166" s="19" t="s">
        <v>0</v>
      </c>
      <c r="X166" s="19" t="s">
        <v>0</v>
      </c>
      <c r="Y166" s="19" t="s">
        <v>0</v>
      </c>
      <c r="Z166" s="19" t="s">
        <v>0</v>
      </c>
      <c r="AA166" s="19" t="s">
        <v>0</v>
      </c>
    </row>
    <row r="167" spans="1:27" ht="15">
      <c r="A167" s="10">
        <f t="shared" si="5"/>
        <v>46000158</v>
      </c>
      <c r="B167" s="4" t="s">
        <v>1877</v>
      </c>
      <c r="C167" s="4" t="s">
        <v>62</v>
      </c>
      <c r="D167" s="11">
        <f>IFERROR(VLOOKUP(C167,ShipShapeEnum!$E:$F,2,FALSE),"-")</f>
        <v>1</v>
      </c>
      <c r="E167" s="19" t="s">
        <v>1878</v>
      </c>
      <c r="F167" s="4" t="s">
        <v>61</v>
      </c>
      <c r="G167" s="11">
        <f>IFERROR(VLOOKUP(F167,ShipShapeEnum!$B:$C,2,FALSE),"-")</f>
        <v>1</v>
      </c>
      <c r="H167" s="19" t="s">
        <v>0</v>
      </c>
      <c r="I167" s="19" t="s">
        <v>0</v>
      </c>
      <c r="J167" s="19" t="s">
        <v>0</v>
      </c>
      <c r="K167" s="19" t="s">
        <v>0</v>
      </c>
      <c r="L167" s="19" t="s">
        <v>0</v>
      </c>
      <c r="M167" s="4" t="s">
        <v>81</v>
      </c>
      <c r="N167" s="11">
        <f>IFERROR(VLOOKUP(M167,ShipShapeEnum!$H:$I,2,FALSE),"-")</f>
        <v>1</v>
      </c>
      <c r="O167" s="11" t="s">
        <v>2688</v>
      </c>
      <c r="P167" s="30"/>
      <c r="Q167" s="11" t="str">
        <f>IFERROR(INDEX(SailPattern!$A:$A,MATCH(P167,SailPattern!$B:$B,0)),"-")</f>
        <v>-</v>
      </c>
      <c r="R167" s="30"/>
      <c r="S167" s="11" t="str">
        <f>IFERROR(INDEX(SailCrest!$A:$A,MATCH(R167,SailCrest!$B:$B,0)),"-")</f>
        <v>-</v>
      </c>
      <c r="T167" s="19" t="s">
        <v>0</v>
      </c>
      <c r="U167" s="19" t="s">
        <v>0</v>
      </c>
      <c r="V167" s="19" t="s">
        <v>0</v>
      </c>
      <c r="W167" s="19" t="s">
        <v>0</v>
      </c>
      <c r="X167" s="19" t="s">
        <v>0</v>
      </c>
      <c r="Y167" s="19" t="s">
        <v>0</v>
      </c>
      <c r="Z167" s="19" t="s">
        <v>0</v>
      </c>
      <c r="AA167" s="19" t="s">
        <v>0</v>
      </c>
    </row>
    <row r="168" spans="1:27" ht="15">
      <c r="A168" s="10">
        <f t="shared" si="5"/>
        <v>46000159</v>
      </c>
      <c r="B168" s="4" t="s">
        <v>1884</v>
      </c>
      <c r="C168" s="4" t="s">
        <v>62</v>
      </c>
      <c r="D168" s="11">
        <f>IFERROR(VLOOKUP(C168,ShipShapeEnum!$E:$F,2,FALSE),"-")</f>
        <v>1</v>
      </c>
      <c r="E168" s="19" t="s">
        <v>1881</v>
      </c>
      <c r="F168" s="4" t="s">
        <v>61</v>
      </c>
      <c r="G168" s="11">
        <f>IFERROR(VLOOKUP(F168,ShipShapeEnum!$B:$C,2,FALSE),"-")</f>
        <v>1</v>
      </c>
      <c r="H168" s="19" t="s">
        <v>0</v>
      </c>
      <c r="I168" s="19" t="s">
        <v>0</v>
      </c>
      <c r="J168" s="19" t="s">
        <v>0</v>
      </c>
      <c r="K168" s="19" t="s">
        <v>0</v>
      </c>
      <c r="L168" s="19" t="s">
        <v>0</v>
      </c>
      <c r="M168" s="4" t="s">
        <v>81</v>
      </c>
      <c r="N168" s="11">
        <f>IFERROR(VLOOKUP(M168,ShipShapeEnum!$H:$I,2,FALSE),"-")</f>
        <v>1</v>
      </c>
      <c r="O168" s="11" t="s">
        <v>2688</v>
      </c>
      <c r="P168" s="30"/>
      <c r="Q168" s="11" t="str">
        <f>IFERROR(INDEX(SailPattern!$A:$A,MATCH(P168,SailPattern!$B:$B,0)),"-")</f>
        <v>-</v>
      </c>
      <c r="R168" s="30"/>
      <c r="S168" s="11" t="str">
        <f>IFERROR(INDEX(SailCrest!$A:$A,MATCH(R168,SailCrest!$B:$B,0)),"-")</f>
        <v>-</v>
      </c>
      <c r="T168" s="19" t="s">
        <v>0</v>
      </c>
      <c r="U168" s="19" t="s">
        <v>0</v>
      </c>
      <c r="V168" s="19" t="s">
        <v>0</v>
      </c>
      <c r="W168" s="19" t="s">
        <v>0</v>
      </c>
      <c r="X168" s="19" t="s">
        <v>0</v>
      </c>
      <c r="Y168" s="19" t="s">
        <v>0</v>
      </c>
      <c r="Z168" s="19" t="s">
        <v>0</v>
      </c>
      <c r="AA168" s="19" t="s">
        <v>0</v>
      </c>
    </row>
    <row r="169" spans="1:27" ht="15">
      <c r="A169" s="10">
        <f>A168+1</f>
        <v>46000160</v>
      </c>
      <c r="B169" s="4" t="s">
        <v>1888</v>
      </c>
      <c r="C169" s="4" t="s">
        <v>62</v>
      </c>
      <c r="D169" s="11">
        <f>IFERROR(VLOOKUP(C169,ShipShapeEnum!$E:$F,2,FALSE),"-")</f>
        <v>1</v>
      </c>
      <c r="E169" s="19" t="s">
        <v>1886</v>
      </c>
      <c r="F169" s="4" t="s">
        <v>61</v>
      </c>
      <c r="G169" s="11">
        <f>IFERROR(VLOOKUP(F169,ShipShapeEnum!$B:$C,2,FALSE),"-")</f>
        <v>1</v>
      </c>
      <c r="H169" s="19" t="s">
        <v>0</v>
      </c>
      <c r="I169" s="19" t="s">
        <v>0</v>
      </c>
      <c r="J169" s="19" t="s">
        <v>0</v>
      </c>
      <c r="K169" s="19" t="s">
        <v>0</v>
      </c>
      <c r="L169" s="19" t="s">
        <v>0</v>
      </c>
      <c r="M169" s="4" t="s">
        <v>81</v>
      </c>
      <c r="N169" s="11">
        <f>IFERROR(VLOOKUP(M169,ShipShapeEnum!$H:$I,2,FALSE),"-")</f>
        <v>1</v>
      </c>
      <c r="O169" s="11" t="s">
        <v>2688</v>
      </c>
      <c r="P169" s="30"/>
      <c r="Q169" s="11" t="str">
        <f>IFERROR(INDEX(SailPattern!$A:$A,MATCH(P169,SailPattern!$B:$B,0)),"-")</f>
        <v>-</v>
      </c>
      <c r="R169" s="30"/>
      <c r="S169" s="11" t="str">
        <f>IFERROR(INDEX(SailCrest!$A:$A,MATCH(R169,SailCrest!$B:$B,0)),"-")</f>
        <v>-</v>
      </c>
      <c r="T169" s="19" t="s">
        <v>0</v>
      </c>
      <c r="U169" s="19" t="s">
        <v>0</v>
      </c>
      <c r="V169" s="19" t="s">
        <v>0</v>
      </c>
      <c r="W169" s="19" t="s">
        <v>0</v>
      </c>
      <c r="X169" s="19" t="s">
        <v>0</v>
      </c>
      <c r="Y169" s="19" t="s">
        <v>0</v>
      </c>
      <c r="Z169" s="19" t="s">
        <v>0</v>
      </c>
      <c r="AA169" s="19" t="s">
        <v>0</v>
      </c>
    </row>
    <row r="170" spans="1:27" ht="15">
      <c r="A170" s="10">
        <f>A169+1</f>
        <v>46000161</v>
      </c>
      <c r="B170" s="4" t="s">
        <v>1893</v>
      </c>
      <c r="C170" s="4" t="s">
        <v>62</v>
      </c>
      <c r="D170" s="11">
        <f>IFERROR(VLOOKUP(C170,ShipShapeEnum!$E:$F,2,FALSE),"-")</f>
        <v>1</v>
      </c>
      <c r="E170" s="19" t="s">
        <v>1891</v>
      </c>
      <c r="F170" s="4" t="s">
        <v>61</v>
      </c>
      <c r="G170" s="11">
        <f>IFERROR(VLOOKUP(F170,ShipShapeEnum!$B:$C,2,FALSE),"-")</f>
        <v>1</v>
      </c>
      <c r="H170" s="19" t="s">
        <v>0</v>
      </c>
      <c r="I170" s="19" t="s">
        <v>0</v>
      </c>
      <c r="J170" s="19" t="s">
        <v>0</v>
      </c>
      <c r="K170" s="19" t="s">
        <v>0</v>
      </c>
      <c r="L170" s="19" t="s">
        <v>0</v>
      </c>
      <c r="M170" s="4" t="s">
        <v>81</v>
      </c>
      <c r="N170" s="11">
        <f>IFERROR(VLOOKUP(M170,ShipShapeEnum!$H:$I,2,FALSE),"-")</f>
        <v>1</v>
      </c>
      <c r="O170" s="11" t="s">
        <v>2688</v>
      </c>
      <c r="P170" s="30"/>
      <c r="Q170" s="11" t="str">
        <f>IFERROR(INDEX(SailPattern!$A:$A,MATCH(P170,SailPattern!$B:$B,0)),"-")</f>
        <v>-</v>
      </c>
      <c r="R170" s="30"/>
      <c r="S170" s="11" t="str">
        <f>IFERROR(INDEX(SailCrest!$A:$A,MATCH(R170,SailCrest!$B:$B,0)),"-")</f>
        <v>-</v>
      </c>
      <c r="T170" s="19" t="s">
        <v>0</v>
      </c>
      <c r="U170" s="19" t="s">
        <v>0</v>
      </c>
      <c r="V170" s="19" t="s">
        <v>0</v>
      </c>
      <c r="W170" s="19" t="s">
        <v>0</v>
      </c>
      <c r="X170" s="19" t="s">
        <v>0</v>
      </c>
      <c r="Y170" s="19" t="s">
        <v>0</v>
      </c>
      <c r="Z170" s="19" t="s">
        <v>0</v>
      </c>
      <c r="AA170" s="19" t="s">
        <v>0</v>
      </c>
    </row>
    <row r="171" spans="1:27" ht="15">
      <c r="A171" s="10">
        <f>A170+1</f>
        <v>46000162</v>
      </c>
      <c r="B171" s="4" t="s">
        <v>1897</v>
      </c>
      <c r="C171" s="4" t="s">
        <v>62</v>
      </c>
      <c r="D171" s="11">
        <f>IFERROR(VLOOKUP(C171,ShipShapeEnum!$E:$F,2,FALSE),"-")</f>
        <v>1</v>
      </c>
      <c r="E171" s="19" t="s">
        <v>1895</v>
      </c>
      <c r="F171" s="4" t="s">
        <v>61</v>
      </c>
      <c r="G171" s="11">
        <f>IFERROR(VLOOKUP(F171,ShipShapeEnum!$B:$C,2,FALSE),"-")</f>
        <v>1</v>
      </c>
      <c r="H171" s="19" t="s">
        <v>0</v>
      </c>
      <c r="I171" s="19" t="s">
        <v>0</v>
      </c>
      <c r="J171" s="19" t="s">
        <v>0</v>
      </c>
      <c r="K171" s="19" t="s">
        <v>0</v>
      </c>
      <c r="L171" s="19" t="s">
        <v>0</v>
      </c>
      <c r="M171" s="4" t="s">
        <v>81</v>
      </c>
      <c r="N171" s="11">
        <f>IFERROR(VLOOKUP(M171,ShipShapeEnum!$H:$I,2,FALSE),"-")</f>
        <v>1</v>
      </c>
      <c r="O171" s="11" t="s">
        <v>2688</v>
      </c>
      <c r="P171" s="30"/>
      <c r="Q171" s="11" t="str">
        <f>IFERROR(INDEX(SailPattern!$A:$A,MATCH(P171,SailPattern!$B:$B,0)),"-")</f>
        <v>-</v>
      </c>
      <c r="R171" s="30"/>
      <c r="S171" s="11" t="str">
        <f>IFERROR(INDEX(SailCrest!$A:$A,MATCH(R171,SailCrest!$B:$B,0)),"-")</f>
        <v>-</v>
      </c>
      <c r="T171" s="19" t="s">
        <v>0</v>
      </c>
      <c r="U171" s="19" t="s">
        <v>0</v>
      </c>
      <c r="V171" s="19" t="s">
        <v>0</v>
      </c>
      <c r="W171" s="19" t="s">
        <v>0</v>
      </c>
      <c r="X171" s="19" t="s">
        <v>0</v>
      </c>
      <c r="Y171" s="19" t="s">
        <v>0</v>
      </c>
      <c r="Z171" s="19" t="s">
        <v>0</v>
      </c>
      <c r="AA171" s="19" t="s">
        <v>0</v>
      </c>
    </row>
    <row r="172" spans="1:27" ht="15">
      <c r="A172" s="10">
        <f>A171+1</f>
        <v>46000163</v>
      </c>
      <c r="B172" s="4" t="s">
        <v>1902</v>
      </c>
      <c r="C172" s="4" t="s">
        <v>62</v>
      </c>
      <c r="D172" s="11">
        <f>IFERROR(VLOOKUP(C172,ShipShapeEnum!$E:$F,2,FALSE),"-")</f>
        <v>1</v>
      </c>
      <c r="E172" s="19" t="s">
        <v>1900</v>
      </c>
      <c r="F172" s="4" t="s">
        <v>61</v>
      </c>
      <c r="G172" s="11">
        <f>IFERROR(VLOOKUP(F172,ShipShapeEnum!$B:$C,2,FALSE),"-")</f>
        <v>1</v>
      </c>
      <c r="H172" s="19" t="s">
        <v>0</v>
      </c>
      <c r="I172" s="19" t="s">
        <v>0</v>
      </c>
      <c r="J172" s="19" t="s">
        <v>0</v>
      </c>
      <c r="K172" s="19" t="s">
        <v>0</v>
      </c>
      <c r="L172" s="19" t="s">
        <v>0</v>
      </c>
      <c r="M172" s="4" t="s">
        <v>81</v>
      </c>
      <c r="N172" s="11">
        <f>IFERROR(VLOOKUP(M172,ShipShapeEnum!$H:$I,2,FALSE),"-")</f>
        <v>1</v>
      </c>
      <c r="O172" s="11" t="s">
        <v>2688</v>
      </c>
      <c r="P172" s="30"/>
      <c r="Q172" s="11" t="str">
        <f>IFERROR(INDEX(SailPattern!$A:$A,MATCH(P172,SailPattern!$B:$B,0)),"-")</f>
        <v>-</v>
      </c>
      <c r="R172" s="30"/>
      <c r="S172" s="11" t="str">
        <f>IFERROR(INDEX(SailCrest!$A:$A,MATCH(R172,SailCrest!$B:$B,0)),"-")</f>
        <v>-</v>
      </c>
      <c r="T172" s="19" t="s">
        <v>0</v>
      </c>
      <c r="U172" s="19" t="s">
        <v>0</v>
      </c>
      <c r="V172" s="19" t="s">
        <v>0</v>
      </c>
      <c r="W172" s="19" t="s">
        <v>0</v>
      </c>
      <c r="X172" s="19" t="s">
        <v>0</v>
      </c>
      <c r="Y172" s="19" t="s">
        <v>0</v>
      </c>
      <c r="Z172" s="19" t="s">
        <v>0</v>
      </c>
      <c r="AA172" s="19" t="s">
        <v>0</v>
      </c>
    </row>
    <row r="173" spans="1:27" ht="15">
      <c r="A173" s="10">
        <f>A172+1</f>
        <v>46000164</v>
      </c>
      <c r="B173" s="4" t="s">
        <v>1909</v>
      </c>
      <c r="C173" s="4" t="s">
        <v>62</v>
      </c>
      <c r="D173" s="11">
        <f>IFERROR(VLOOKUP(C173,ShipShapeEnum!$E:$F,2,FALSE),"-")</f>
        <v>1</v>
      </c>
      <c r="E173" s="19" t="s">
        <v>1910</v>
      </c>
      <c r="F173" s="4" t="s">
        <v>61</v>
      </c>
      <c r="G173" s="11">
        <f>IFERROR(VLOOKUP(F173,ShipShapeEnum!$B:$C,2,FALSE),"-")</f>
        <v>1</v>
      </c>
      <c r="H173" s="19" t="s">
        <v>0</v>
      </c>
      <c r="I173" s="19" t="s">
        <v>0</v>
      </c>
      <c r="J173" s="19" t="s">
        <v>0</v>
      </c>
      <c r="K173" s="19" t="s">
        <v>0</v>
      </c>
      <c r="L173" s="19" t="s">
        <v>0</v>
      </c>
      <c r="M173" s="4" t="s">
        <v>81</v>
      </c>
      <c r="N173" s="11">
        <f>IFERROR(VLOOKUP(M173,ShipShapeEnum!$H:$I,2,FALSE),"-")</f>
        <v>1</v>
      </c>
      <c r="O173" s="11" t="s">
        <v>2688</v>
      </c>
      <c r="P173" s="30"/>
      <c r="Q173" s="11" t="str">
        <f>IFERROR(INDEX(SailPattern!$A:$A,MATCH(P173,SailPattern!$B:$B,0)),"-")</f>
        <v>-</v>
      </c>
      <c r="R173" s="30"/>
      <c r="S173" s="11" t="str">
        <f>IFERROR(INDEX(SailCrest!$A:$A,MATCH(R173,SailCrest!$B:$B,0)),"-")</f>
        <v>-</v>
      </c>
      <c r="T173" s="19" t="s">
        <v>0</v>
      </c>
      <c r="U173" s="19" t="s">
        <v>0</v>
      </c>
      <c r="V173" s="19" t="s">
        <v>0</v>
      </c>
      <c r="W173" s="19" t="s">
        <v>0</v>
      </c>
      <c r="X173" s="19" t="s">
        <v>0</v>
      </c>
      <c r="Y173" s="19" t="s">
        <v>0</v>
      </c>
      <c r="Z173" s="19" t="s">
        <v>0</v>
      </c>
      <c r="AA173" s="19" t="s">
        <v>0</v>
      </c>
    </row>
    <row r="174" spans="1:27" ht="15">
      <c r="A174" s="10">
        <f t="shared" ref="A174:A186" si="6">A173+1</f>
        <v>46000165</v>
      </c>
      <c r="B174" s="4" t="s">
        <v>1913</v>
      </c>
      <c r="C174" s="4" t="s">
        <v>62</v>
      </c>
      <c r="D174" s="11">
        <f>IFERROR(VLOOKUP(C174,ShipShapeEnum!$E:$F,2,FALSE),"-")</f>
        <v>1</v>
      </c>
      <c r="E174" s="19" t="s">
        <v>1467</v>
      </c>
      <c r="F174" s="4" t="s">
        <v>61</v>
      </c>
      <c r="G174" s="11">
        <f>IFERROR(VLOOKUP(F174,ShipShapeEnum!$B:$C,2,FALSE),"-")</f>
        <v>1</v>
      </c>
      <c r="H174" s="19" t="s">
        <v>545</v>
      </c>
      <c r="I174" s="19" t="s">
        <v>545</v>
      </c>
      <c r="J174" s="19" t="s">
        <v>545</v>
      </c>
      <c r="K174" s="19" t="s">
        <v>545</v>
      </c>
      <c r="L174" s="19" t="s">
        <v>545</v>
      </c>
      <c r="M174" s="4" t="s">
        <v>81</v>
      </c>
      <c r="N174" s="11">
        <f>IFERROR(VLOOKUP(M174,ShipShapeEnum!$H:$I,2,FALSE),"-")</f>
        <v>1</v>
      </c>
      <c r="O174" s="11" t="s">
        <v>2688</v>
      </c>
      <c r="P174" s="30" t="s">
        <v>1913</v>
      </c>
      <c r="Q174" s="11">
        <f>IFERROR(INDEX(SailPattern!$A:$A,MATCH(P174,SailPattern!$B:$B,0)),"-")</f>
        <v>47290009</v>
      </c>
      <c r="R174" s="30" t="s">
        <v>1913</v>
      </c>
      <c r="S174" s="11">
        <f>IFERROR(INDEX(SailCrest!$A:$A,MATCH(R174,SailCrest!$B:$B,0)),"-")</f>
        <v>47100105</v>
      </c>
      <c r="T174" s="19" t="s">
        <v>0</v>
      </c>
      <c r="U174" s="19" t="s">
        <v>0</v>
      </c>
      <c r="V174" s="19" t="s">
        <v>0</v>
      </c>
      <c r="W174" s="19" t="s">
        <v>0</v>
      </c>
      <c r="X174" s="19" t="s">
        <v>0</v>
      </c>
      <c r="Y174" s="19" t="s">
        <v>0</v>
      </c>
      <c r="Z174" s="19" t="s">
        <v>0</v>
      </c>
      <c r="AA174" s="19" t="s">
        <v>0</v>
      </c>
    </row>
    <row r="175" spans="1:27" ht="15">
      <c r="A175" s="10">
        <f t="shared" si="6"/>
        <v>46000166</v>
      </c>
      <c r="B175" s="4" t="s">
        <v>1914</v>
      </c>
      <c r="C175" s="4" t="s">
        <v>62</v>
      </c>
      <c r="D175" s="11">
        <f>IFERROR(VLOOKUP(C175,ShipShapeEnum!$E:$F,2,FALSE),"-")</f>
        <v>1</v>
      </c>
      <c r="E175" s="19" t="s">
        <v>1573</v>
      </c>
      <c r="F175" s="4" t="s">
        <v>61</v>
      </c>
      <c r="G175" s="11">
        <f>IFERROR(VLOOKUP(F175,ShipShapeEnum!$B:$C,2,FALSE),"-")</f>
        <v>1</v>
      </c>
      <c r="H175" s="19" t="s">
        <v>545</v>
      </c>
      <c r="I175" s="19" t="s">
        <v>545</v>
      </c>
      <c r="J175" s="19" t="s">
        <v>545</v>
      </c>
      <c r="K175" s="19" t="s">
        <v>545</v>
      </c>
      <c r="L175" s="19" t="s">
        <v>545</v>
      </c>
      <c r="M175" s="4" t="s">
        <v>81</v>
      </c>
      <c r="N175" s="11">
        <f>IFERROR(VLOOKUP(M175,ShipShapeEnum!$H:$I,2,FALSE),"-")</f>
        <v>1</v>
      </c>
      <c r="O175" s="11" t="s">
        <v>2688</v>
      </c>
      <c r="P175" s="30" t="s">
        <v>1914</v>
      </c>
      <c r="Q175" s="11">
        <f>IFERROR(INDEX(SailPattern!$A:$A,MATCH(P175,SailPattern!$B:$B,0)),"-")</f>
        <v>47290010</v>
      </c>
      <c r="R175" s="30" t="s">
        <v>1914</v>
      </c>
      <c r="S175" s="11">
        <f>IFERROR(INDEX(SailCrest!$A:$A,MATCH(R175,SailCrest!$B:$B,0)),"-")</f>
        <v>47100106</v>
      </c>
      <c r="T175" s="19" t="s">
        <v>0</v>
      </c>
      <c r="U175" s="19" t="s">
        <v>0</v>
      </c>
      <c r="V175" s="19" t="s">
        <v>0</v>
      </c>
      <c r="W175" s="19" t="s">
        <v>0</v>
      </c>
      <c r="X175" s="19" t="s">
        <v>0</v>
      </c>
      <c r="Y175" s="19" t="s">
        <v>0</v>
      </c>
      <c r="Z175" s="19" t="s">
        <v>0</v>
      </c>
      <c r="AA175" s="19" t="s">
        <v>0</v>
      </c>
    </row>
    <row r="176" spans="1:27" ht="15">
      <c r="A176" s="10">
        <f t="shared" si="6"/>
        <v>46000167</v>
      </c>
      <c r="B176" s="4" t="s">
        <v>1915</v>
      </c>
      <c r="C176" s="4" t="s">
        <v>62</v>
      </c>
      <c r="D176" s="11">
        <f>IFERROR(VLOOKUP(C176,ShipShapeEnum!$E:$F,2,FALSE),"-")</f>
        <v>1</v>
      </c>
      <c r="E176" s="19" t="s">
        <v>1837</v>
      </c>
      <c r="F176" s="4" t="s">
        <v>61</v>
      </c>
      <c r="G176" s="11">
        <f>IFERROR(VLOOKUP(F176,ShipShapeEnum!$B:$C,2,FALSE),"-")</f>
        <v>1</v>
      </c>
      <c r="H176" s="19" t="s">
        <v>545</v>
      </c>
      <c r="I176" s="19" t="s">
        <v>545</v>
      </c>
      <c r="J176" s="19" t="s">
        <v>545</v>
      </c>
      <c r="K176" s="19" t="s">
        <v>545</v>
      </c>
      <c r="L176" s="19" t="s">
        <v>545</v>
      </c>
      <c r="M176" s="4" t="s">
        <v>81</v>
      </c>
      <c r="N176" s="11">
        <f>IFERROR(VLOOKUP(M176,ShipShapeEnum!$H:$I,2,FALSE),"-")</f>
        <v>1</v>
      </c>
      <c r="O176" s="11" t="s">
        <v>2688</v>
      </c>
      <c r="P176" s="30" t="s">
        <v>1915</v>
      </c>
      <c r="Q176" s="11">
        <f>IFERROR(INDEX(SailPattern!$A:$A,MATCH(P176,SailPattern!$B:$B,0)),"-")</f>
        <v>47290011</v>
      </c>
      <c r="R176" s="30" t="s">
        <v>1915</v>
      </c>
      <c r="S176" s="11">
        <f>IFERROR(INDEX(SailCrest!$A:$A,MATCH(R176,SailCrest!$B:$B,0)),"-")</f>
        <v>47100107</v>
      </c>
      <c r="T176" s="19" t="s">
        <v>0</v>
      </c>
      <c r="U176" s="19" t="s">
        <v>0</v>
      </c>
      <c r="V176" s="19" t="s">
        <v>0</v>
      </c>
      <c r="W176" s="19" t="s">
        <v>0</v>
      </c>
      <c r="X176" s="19" t="s">
        <v>0</v>
      </c>
      <c r="Y176" s="19" t="s">
        <v>0</v>
      </c>
      <c r="Z176" s="19" t="s">
        <v>0</v>
      </c>
      <c r="AA176" s="19" t="s">
        <v>0</v>
      </c>
    </row>
    <row r="177" spans="1:27" ht="15">
      <c r="A177" s="10">
        <f t="shared" si="6"/>
        <v>46000168</v>
      </c>
      <c r="B177" s="4" t="s">
        <v>1916</v>
      </c>
      <c r="C177" s="4" t="s">
        <v>62</v>
      </c>
      <c r="D177" s="11">
        <f>IFERROR(VLOOKUP(C177,ShipShapeEnum!$E:$F,2,FALSE),"-")</f>
        <v>1</v>
      </c>
      <c r="E177" s="19" t="s">
        <v>1394</v>
      </c>
      <c r="F177" s="4" t="s">
        <v>61</v>
      </c>
      <c r="G177" s="11">
        <f>IFERROR(VLOOKUP(F177,ShipShapeEnum!$B:$C,2,FALSE),"-")</f>
        <v>1</v>
      </c>
      <c r="H177" s="19" t="s">
        <v>545</v>
      </c>
      <c r="I177" s="19" t="s">
        <v>545</v>
      </c>
      <c r="J177" s="19" t="s">
        <v>545</v>
      </c>
      <c r="K177" s="19" t="s">
        <v>545</v>
      </c>
      <c r="L177" s="19" t="s">
        <v>545</v>
      </c>
      <c r="M177" s="4" t="s">
        <v>81</v>
      </c>
      <c r="N177" s="11">
        <f>IFERROR(VLOOKUP(M177,ShipShapeEnum!$H:$I,2,FALSE),"-")</f>
        <v>1</v>
      </c>
      <c r="O177" s="11" t="s">
        <v>2688</v>
      </c>
      <c r="P177" s="30" t="s">
        <v>1916</v>
      </c>
      <c r="Q177" s="11">
        <f>IFERROR(INDEX(SailPattern!$A:$A,MATCH(P177,SailPattern!$B:$B,0)),"-")</f>
        <v>47290012</v>
      </c>
      <c r="R177" s="30"/>
      <c r="S177" s="11" t="str">
        <f>IFERROR(INDEX(SailCrest!$A:$A,MATCH(R177,SailCrest!$B:$B,0)),"-")</f>
        <v>-</v>
      </c>
      <c r="T177" s="19" t="s">
        <v>0</v>
      </c>
      <c r="U177" s="19" t="s">
        <v>0</v>
      </c>
      <c r="V177" s="19" t="s">
        <v>0</v>
      </c>
      <c r="W177" s="19" t="s">
        <v>0</v>
      </c>
      <c r="X177" s="19" t="s">
        <v>0</v>
      </c>
      <c r="Y177" s="19" t="s">
        <v>0</v>
      </c>
      <c r="Z177" s="19" t="s">
        <v>0</v>
      </c>
      <c r="AA177" s="19" t="s">
        <v>0</v>
      </c>
    </row>
    <row r="178" spans="1:27" ht="15">
      <c r="A178" s="10">
        <f t="shared" si="6"/>
        <v>46000169</v>
      </c>
      <c r="B178" s="4" t="s">
        <v>1917</v>
      </c>
      <c r="C178" s="4" t="s">
        <v>62</v>
      </c>
      <c r="D178" s="11">
        <f>IFERROR(VLOOKUP(C178,ShipShapeEnum!$E:$F,2,FALSE),"-")</f>
        <v>1</v>
      </c>
      <c r="E178" s="19" t="s">
        <v>1926</v>
      </c>
      <c r="F178" s="4" t="s">
        <v>61</v>
      </c>
      <c r="G178" s="11">
        <f>IFERROR(VLOOKUP(F178,ShipShapeEnum!$B:$C,2,FALSE),"-")</f>
        <v>1</v>
      </c>
      <c r="H178" s="19" t="s">
        <v>545</v>
      </c>
      <c r="I178" s="19" t="s">
        <v>545</v>
      </c>
      <c r="J178" s="19" t="s">
        <v>545</v>
      </c>
      <c r="K178" s="19" t="s">
        <v>545</v>
      </c>
      <c r="L178" s="19" t="s">
        <v>545</v>
      </c>
      <c r="M178" s="4" t="s">
        <v>81</v>
      </c>
      <c r="N178" s="11">
        <f>IFERROR(VLOOKUP(M178,ShipShapeEnum!$H:$I,2,FALSE),"-")</f>
        <v>1</v>
      </c>
      <c r="O178" s="11" t="s">
        <v>2688</v>
      </c>
      <c r="P178" s="30" t="s">
        <v>1917</v>
      </c>
      <c r="Q178" s="11">
        <f>IFERROR(INDEX(SailPattern!$A:$A,MATCH(P178,SailPattern!$B:$B,0)),"-")</f>
        <v>47290013</v>
      </c>
      <c r="R178" s="30" t="s">
        <v>1917</v>
      </c>
      <c r="S178" s="11">
        <f>IFERROR(INDEX(SailCrest!$A:$A,MATCH(R178,SailCrest!$B:$B,0)),"-")</f>
        <v>47100108</v>
      </c>
      <c r="T178" s="19" t="s">
        <v>0</v>
      </c>
      <c r="U178" s="19" t="s">
        <v>0</v>
      </c>
      <c r="V178" s="19" t="s">
        <v>0</v>
      </c>
      <c r="W178" s="19" t="s">
        <v>0</v>
      </c>
      <c r="X178" s="19" t="s">
        <v>0</v>
      </c>
      <c r="Y178" s="19" t="s">
        <v>0</v>
      </c>
      <c r="Z178" s="19" t="s">
        <v>0</v>
      </c>
      <c r="AA178" s="19" t="s">
        <v>0</v>
      </c>
    </row>
    <row r="179" spans="1:27" ht="15">
      <c r="A179" s="10">
        <f t="shared" si="6"/>
        <v>46000170</v>
      </c>
      <c r="B179" s="4" t="s">
        <v>1918</v>
      </c>
      <c r="C179" s="4" t="s">
        <v>62</v>
      </c>
      <c r="D179" s="11">
        <f>IFERROR(VLOOKUP(C179,ShipShapeEnum!$E:$F,2,FALSE),"-")</f>
        <v>1</v>
      </c>
      <c r="E179" s="19" t="s">
        <v>1927</v>
      </c>
      <c r="F179" s="4" t="s">
        <v>61</v>
      </c>
      <c r="G179" s="11">
        <f>IFERROR(VLOOKUP(F179,ShipShapeEnum!$B:$C,2,FALSE),"-")</f>
        <v>1</v>
      </c>
      <c r="H179" s="19" t="s">
        <v>545</v>
      </c>
      <c r="I179" s="19" t="s">
        <v>545</v>
      </c>
      <c r="J179" s="19" t="s">
        <v>545</v>
      </c>
      <c r="K179" s="19" t="s">
        <v>545</v>
      </c>
      <c r="L179" s="19" t="s">
        <v>545</v>
      </c>
      <c r="M179" s="4" t="s">
        <v>81</v>
      </c>
      <c r="N179" s="11">
        <f>IFERROR(VLOOKUP(M179,ShipShapeEnum!$H:$I,2,FALSE),"-")</f>
        <v>1</v>
      </c>
      <c r="O179" s="11" t="s">
        <v>2688</v>
      </c>
      <c r="P179" s="30" t="s">
        <v>1918</v>
      </c>
      <c r="Q179" s="11">
        <f>IFERROR(INDEX(SailPattern!$A:$A,MATCH(P179,SailPattern!$B:$B,0)),"-")</f>
        <v>47290014</v>
      </c>
      <c r="R179" s="30" t="s">
        <v>1930</v>
      </c>
      <c r="S179" s="11">
        <f>IFERROR(INDEX(SailCrest!$A:$A,MATCH(R179,SailCrest!$B:$B,0)),"-")</f>
        <v>47100109</v>
      </c>
      <c r="T179" s="19" t="s">
        <v>0</v>
      </c>
      <c r="U179" s="19" t="s">
        <v>0</v>
      </c>
      <c r="V179" s="19" t="s">
        <v>0</v>
      </c>
      <c r="W179" s="19" t="s">
        <v>0</v>
      </c>
      <c r="X179" s="19" t="s">
        <v>0</v>
      </c>
      <c r="Y179" s="19" t="s">
        <v>0</v>
      </c>
      <c r="Z179" s="19" t="s">
        <v>0</v>
      </c>
      <c r="AA179" s="19" t="s">
        <v>0</v>
      </c>
    </row>
    <row r="180" spans="1:27" ht="15">
      <c r="A180" s="10">
        <f t="shared" si="6"/>
        <v>46000171</v>
      </c>
      <c r="B180" s="4" t="s">
        <v>1919</v>
      </c>
      <c r="C180" s="4" t="s">
        <v>62</v>
      </c>
      <c r="D180" s="11">
        <f>IFERROR(VLOOKUP(C180,ShipShapeEnum!$E:$F,2,FALSE),"-")</f>
        <v>1</v>
      </c>
      <c r="E180" s="19" t="s">
        <v>1928</v>
      </c>
      <c r="F180" s="4" t="s">
        <v>61</v>
      </c>
      <c r="G180" s="11">
        <f>IFERROR(VLOOKUP(F180,ShipShapeEnum!$B:$C,2,FALSE),"-")</f>
        <v>1</v>
      </c>
      <c r="H180" s="19" t="s">
        <v>545</v>
      </c>
      <c r="I180" s="19" t="s">
        <v>545</v>
      </c>
      <c r="J180" s="19" t="s">
        <v>545</v>
      </c>
      <c r="K180" s="19" t="s">
        <v>545</v>
      </c>
      <c r="L180" s="19" t="s">
        <v>545</v>
      </c>
      <c r="M180" s="4" t="s">
        <v>81</v>
      </c>
      <c r="N180" s="11">
        <f>IFERROR(VLOOKUP(M180,ShipShapeEnum!$H:$I,2,FALSE),"-")</f>
        <v>1</v>
      </c>
      <c r="O180" s="11" t="s">
        <v>2688</v>
      </c>
      <c r="P180" s="30" t="s">
        <v>1919</v>
      </c>
      <c r="Q180" s="11">
        <f>IFERROR(INDEX(SailPattern!$A:$A,MATCH(P180,SailPattern!$B:$B,0)),"-")</f>
        <v>47290015</v>
      </c>
      <c r="R180" s="30" t="s">
        <v>1919</v>
      </c>
      <c r="S180" s="11">
        <f>IFERROR(INDEX(SailCrest!$A:$A,MATCH(R180,SailCrest!$B:$B,0)),"-")</f>
        <v>47100110</v>
      </c>
      <c r="T180" s="19" t="s">
        <v>0</v>
      </c>
      <c r="U180" s="19" t="s">
        <v>0</v>
      </c>
      <c r="V180" s="19" t="s">
        <v>0</v>
      </c>
      <c r="W180" s="19" t="s">
        <v>0</v>
      </c>
      <c r="X180" s="19" t="s">
        <v>0</v>
      </c>
      <c r="Y180" s="19" t="s">
        <v>0</v>
      </c>
      <c r="Z180" s="19" t="s">
        <v>0</v>
      </c>
      <c r="AA180" s="19" t="s">
        <v>0</v>
      </c>
    </row>
    <row r="181" spans="1:27" ht="15">
      <c r="A181" s="10">
        <f t="shared" si="6"/>
        <v>46000172</v>
      </c>
      <c r="B181" s="4" t="s">
        <v>1920</v>
      </c>
      <c r="C181" s="4" t="s">
        <v>62</v>
      </c>
      <c r="D181" s="11">
        <f>IFERROR(VLOOKUP(C181,ShipShapeEnum!$E:$F,2,FALSE),"-")</f>
        <v>1</v>
      </c>
      <c r="E181" s="19" t="s">
        <v>1929</v>
      </c>
      <c r="F181" s="4" t="s">
        <v>61</v>
      </c>
      <c r="G181" s="11">
        <f>IFERROR(VLOOKUP(F181,ShipShapeEnum!$B:$C,2,FALSE),"-")</f>
        <v>1</v>
      </c>
      <c r="H181" s="19" t="s">
        <v>545</v>
      </c>
      <c r="I181" s="19" t="s">
        <v>545</v>
      </c>
      <c r="J181" s="19" t="s">
        <v>545</v>
      </c>
      <c r="K181" s="19" t="s">
        <v>545</v>
      </c>
      <c r="L181" s="19" t="s">
        <v>545</v>
      </c>
      <c r="M181" s="4" t="s">
        <v>81</v>
      </c>
      <c r="N181" s="11">
        <f>IFERROR(VLOOKUP(M181,ShipShapeEnum!$H:$I,2,FALSE),"-")</f>
        <v>1</v>
      </c>
      <c r="O181" s="11" t="s">
        <v>2688</v>
      </c>
      <c r="P181" s="30" t="s">
        <v>1920</v>
      </c>
      <c r="Q181" s="11">
        <f>IFERROR(INDEX(SailPattern!$A:$A,MATCH(P181,SailPattern!$B:$B,0)),"-")</f>
        <v>47290016</v>
      </c>
      <c r="R181" s="30"/>
      <c r="S181" s="11" t="str">
        <f>IFERROR(INDEX(SailCrest!$A:$A,MATCH(R181,SailCrest!$B:$B,0)),"-")</f>
        <v>-</v>
      </c>
      <c r="T181" s="19" t="s">
        <v>0</v>
      </c>
      <c r="U181" s="19" t="s">
        <v>0</v>
      </c>
      <c r="V181" s="19" t="s">
        <v>0</v>
      </c>
      <c r="W181" s="19" t="s">
        <v>0</v>
      </c>
      <c r="X181" s="19" t="s">
        <v>0</v>
      </c>
      <c r="Y181" s="19" t="s">
        <v>0</v>
      </c>
      <c r="Z181" s="19" t="s">
        <v>0</v>
      </c>
      <c r="AA181" s="19" t="s">
        <v>0</v>
      </c>
    </row>
    <row r="182" spans="1:27" ht="15">
      <c r="A182" s="10">
        <f t="shared" si="6"/>
        <v>46000173</v>
      </c>
      <c r="B182" s="4" t="s">
        <v>1925</v>
      </c>
      <c r="C182" s="4" t="s">
        <v>62</v>
      </c>
      <c r="D182" s="11">
        <f>IFERROR(VLOOKUP(C182,ShipShapeEnum!$E:$F,2,FALSE),"-")</f>
        <v>1</v>
      </c>
      <c r="E182" s="19" t="s">
        <v>1582</v>
      </c>
      <c r="F182" s="4" t="s">
        <v>61</v>
      </c>
      <c r="G182" s="11">
        <f>IFERROR(VLOOKUP(F182,ShipShapeEnum!$B:$C,2,FALSE),"-")</f>
        <v>1</v>
      </c>
      <c r="H182" s="19" t="s">
        <v>545</v>
      </c>
      <c r="I182" s="19" t="s">
        <v>545</v>
      </c>
      <c r="J182" s="19" t="s">
        <v>545</v>
      </c>
      <c r="K182" s="19" t="s">
        <v>545</v>
      </c>
      <c r="L182" s="19" t="s">
        <v>545</v>
      </c>
      <c r="M182" s="4" t="s">
        <v>81</v>
      </c>
      <c r="N182" s="11">
        <f>IFERROR(VLOOKUP(M182,ShipShapeEnum!$H:$I,2,FALSE),"-")</f>
        <v>1</v>
      </c>
      <c r="O182" s="11" t="s">
        <v>2688</v>
      </c>
      <c r="P182" s="30" t="s">
        <v>1925</v>
      </c>
      <c r="Q182" s="11">
        <f>IFERROR(INDEX(SailPattern!$A:$A,MATCH(P182,SailPattern!$B:$B,0)),"-")</f>
        <v>47290017</v>
      </c>
      <c r="R182" s="30"/>
      <c r="S182" s="11" t="str">
        <f>IFERROR(INDEX(SailCrest!$A:$A,MATCH(R182,SailCrest!$B:$B,0)),"-")</f>
        <v>-</v>
      </c>
      <c r="T182" s="19" t="s">
        <v>0</v>
      </c>
      <c r="U182" s="19" t="s">
        <v>0</v>
      </c>
      <c r="V182" s="19" t="s">
        <v>0</v>
      </c>
      <c r="W182" s="19" t="s">
        <v>0</v>
      </c>
      <c r="X182" s="19" t="s">
        <v>0</v>
      </c>
      <c r="Y182" s="19" t="s">
        <v>0</v>
      </c>
      <c r="Z182" s="19" t="s">
        <v>0</v>
      </c>
      <c r="AA182" s="19" t="s">
        <v>0</v>
      </c>
    </row>
    <row r="183" spans="1:27" ht="15">
      <c r="A183" s="10">
        <f t="shared" si="6"/>
        <v>46000174</v>
      </c>
      <c r="B183" s="4" t="s">
        <v>1921</v>
      </c>
      <c r="C183" s="4" t="s">
        <v>62</v>
      </c>
      <c r="D183" s="11">
        <f>IFERROR(VLOOKUP(C183,ShipShapeEnum!$E:$F,2,FALSE),"-")</f>
        <v>1</v>
      </c>
      <c r="E183" s="19" t="s">
        <v>543</v>
      </c>
      <c r="F183" s="4" t="s">
        <v>61</v>
      </c>
      <c r="G183" s="11">
        <f>IFERROR(VLOOKUP(F183,ShipShapeEnum!$B:$C,2,FALSE),"-")</f>
        <v>1</v>
      </c>
      <c r="H183" s="19" t="s">
        <v>545</v>
      </c>
      <c r="I183" s="19" t="s">
        <v>545</v>
      </c>
      <c r="J183" s="19" t="s">
        <v>545</v>
      </c>
      <c r="K183" s="19" t="s">
        <v>545</v>
      </c>
      <c r="L183" s="19" t="s">
        <v>545</v>
      </c>
      <c r="M183" s="4" t="s">
        <v>81</v>
      </c>
      <c r="N183" s="11">
        <f>IFERROR(VLOOKUP(M183,ShipShapeEnum!$H:$I,2,FALSE),"-")</f>
        <v>1</v>
      </c>
      <c r="O183" s="11" t="s">
        <v>2688</v>
      </c>
      <c r="P183" s="30" t="s">
        <v>1921</v>
      </c>
      <c r="Q183" s="11">
        <f>IFERROR(INDEX(SailPattern!$A:$A,MATCH(P183,SailPattern!$B:$B,0)),"-")</f>
        <v>47290018</v>
      </c>
      <c r="R183" s="30"/>
      <c r="S183" s="11" t="str">
        <f>IFERROR(INDEX(SailCrest!$A:$A,MATCH(R183,SailCrest!$B:$B,0)),"-")</f>
        <v>-</v>
      </c>
      <c r="T183" s="19" t="s">
        <v>0</v>
      </c>
      <c r="U183" s="19" t="s">
        <v>0</v>
      </c>
      <c r="V183" s="19" t="s">
        <v>0</v>
      </c>
      <c r="W183" s="19" t="s">
        <v>0</v>
      </c>
      <c r="X183" s="19" t="s">
        <v>0</v>
      </c>
      <c r="Y183" s="19" t="s">
        <v>0</v>
      </c>
      <c r="Z183" s="19" t="s">
        <v>0</v>
      </c>
      <c r="AA183" s="19" t="s">
        <v>0</v>
      </c>
    </row>
    <row r="184" spans="1:27" ht="15">
      <c r="A184" s="10">
        <f t="shared" si="6"/>
        <v>46000175</v>
      </c>
      <c r="B184" s="4" t="s">
        <v>1947</v>
      </c>
      <c r="C184" s="4" t="s">
        <v>62</v>
      </c>
      <c r="D184" s="11">
        <f>IFERROR(VLOOKUP(C184,ShipShapeEnum!$E:$F,2,FALSE),"-")</f>
        <v>1</v>
      </c>
      <c r="E184" s="19" t="s">
        <v>1948</v>
      </c>
      <c r="F184" s="4" t="s">
        <v>61</v>
      </c>
      <c r="G184" s="11">
        <f>IFERROR(VLOOKUP(F184,ShipShapeEnum!$B:$C,2,FALSE),"-")</f>
        <v>1</v>
      </c>
      <c r="H184" s="19" t="s">
        <v>545</v>
      </c>
      <c r="I184" s="19" t="s">
        <v>545</v>
      </c>
      <c r="J184" s="19" t="s">
        <v>545</v>
      </c>
      <c r="K184" s="19" t="s">
        <v>545</v>
      </c>
      <c r="L184" s="19" t="s">
        <v>545</v>
      </c>
      <c r="M184" s="4" t="s">
        <v>81</v>
      </c>
      <c r="N184" s="11">
        <f>IFERROR(VLOOKUP(M184,ShipShapeEnum!$H:$I,2,FALSE),"-")</f>
        <v>1</v>
      </c>
      <c r="O184" s="11" t="s">
        <v>2688</v>
      </c>
      <c r="P184" s="30"/>
      <c r="Q184" s="11" t="str">
        <f>IFERROR(INDEX(SailPattern!$A:$A,MATCH(P184,SailPattern!$B:$B,0)),"-")</f>
        <v>-</v>
      </c>
      <c r="R184" s="30"/>
      <c r="S184" s="11" t="str">
        <f>IFERROR(INDEX(SailCrest!$A:$A,MATCH(R184,SailCrest!$B:$B,0)),"-")</f>
        <v>-</v>
      </c>
      <c r="T184" s="19" t="s">
        <v>0</v>
      </c>
      <c r="U184" s="19" t="s">
        <v>0</v>
      </c>
      <c r="V184" s="19" t="s">
        <v>0</v>
      </c>
      <c r="W184" s="19" t="s">
        <v>0</v>
      </c>
      <c r="X184" s="19" t="s">
        <v>0</v>
      </c>
      <c r="Y184" s="19" t="s">
        <v>0</v>
      </c>
      <c r="Z184" s="19" t="s">
        <v>0</v>
      </c>
      <c r="AA184" s="19" t="s">
        <v>0</v>
      </c>
    </row>
    <row r="185" spans="1:27" ht="15">
      <c r="A185" s="10">
        <f t="shared" si="6"/>
        <v>46000176</v>
      </c>
      <c r="B185" s="4" t="s">
        <v>1952</v>
      </c>
      <c r="C185" s="4" t="s">
        <v>62</v>
      </c>
      <c r="D185" s="11">
        <f>IFERROR(VLOOKUP(C185,ShipShapeEnum!$E:$F,2,FALSE),"-")</f>
        <v>1</v>
      </c>
      <c r="E185" s="19" t="s">
        <v>1953</v>
      </c>
      <c r="F185" s="4" t="s">
        <v>61</v>
      </c>
      <c r="G185" s="11">
        <f>IFERROR(VLOOKUP(F185,ShipShapeEnum!$B:$C,2,FALSE),"-")</f>
        <v>1</v>
      </c>
      <c r="H185" s="19" t="s">
        <v>545</v>
      </c>
      <c r="I185" s="19" t="s">
        <v>545</v>
      </c>
      <c r="J185" s="19" t="s">
        <v>545</v>
      </c>
      <c r="K185" s="19" t="s">
        <v>545</v>
      </c>
      <c r="L185" s="19" t="s">
        <v>545</v>
      </c>
      <c r="M185" s="4" t="s">
        <v>81</v>
      </c>
      <c r="N185" s="11">
        <f>IFERROR(VLOOKUP(M185,ShipShapeEnum!$H:$I,2,FALSE),"-")</f>
        <v>1</v>
      </c>
      <c r="O185" s="11" t="s">
        <v>2688</v>
      </c>
      <c r="P185" s="30"/>
      <c r="Q185" s="11" t="str">
        <f>IFERROR(INDEX(SailPattern!$A:$A,MATCH(P185,SailPattern!$B:$B,0)),"-")</f>
        <v>-</v>
      </c>
      <c r="R185" s="30"/>
      <c r="S185" s="11" t="str">
        <f>IFERROR(INDEX(SailCrest!$A:$A,MATCH(R185,SailCrest!$B:$B,0)),"-")</f>
        <v>-</v>
      </c>
      <c r="T185" s="19" t="s">
        <v>0</v>
      </c>
      <c r="U185" s="19" t="s">
        <v>0</v>
      </c>
      <c r="V185" s="19" t="s">
        <v>0</v>
      </c>
      <c r="W185" s="19" t="s">
        <v>0</v>
      </c>
      <c r="X185" s="19" t="s">
        <v>0</v>
      </c>
      <c r="Y185" s="19" t="s">
        <v>0</v>
      </c>
      <c r="Z185" s="19" t="s">
        <v>0</v>
      </c>
      <c r="AA185" s="19" t="s">
        <v>0</v>
      </c>
    </row>
    <row r="186" spans="1:27" ht="15">
      <c r="A186" s="10">
        <f t="shared" si="6"/>
        <v>46000177</v>
      </c>
      <c r="B186" s="4" t="s">
        <v>1957</v>
      </c>
      <c r="C186" s="4" t="s">
        <v>62</v>
      </c>
      <c r="D186" s="11">
        <f>IFERROR(VLOOKUP(C186,ShipShapeEnum!$E:$F,2,FALSE),"-")</f>
        <v>1</v>
      </c>
      <c r="E186" s="19" t="s">
        <v>1958</v>
      </c>
      <c r="F186" s="4" t="s">
        <v>61</v>
      </c>
      <c r="G186" s="11">
        <f>IFERROR(VLOOKUP(F186,ShipShapeEnum!$B:$C,2,FALSE),"-")</f>
        <v>1</v>
      </c>
      <c r="H186" s="19" t="s">
        <v>545</v>
      </c>
      <c r="I186" s="19" t="s">
        <v>545</v>
      </c>
      <c r="J186" s="19" t="s">
        <v>545</v>
      </c>
      <c r="K186" s="19" t="s">
        <v>545</v>
      </c>
      <c r="L186" s="19" t="s">
        <v>545</v>
      </c>
      <c r="M186" s="4" t="s">
        <v>81</v>
      </c>
      <c r="N186" s="11">
        <f>IFERROR(VLOOKUP(M186,ShipShapeEnum!$H:$I,2,FALSE),"-")</f>
        <v>1</v>
      </c>
      <c r="O186" s="11" t="s">
        <v>2688</v>
      </c>
      <c r="P186" s="30"/>
      <c r="Q186" s="11" t="str">
        <f>IFERROR(INDEX(SailPattern!$A:$A,MATCH(P186,SailPattern!$B:$B,0)),"-")</f>
        <v>-</v>
      </c>
      <c r="R186" s="30"/>
      <c r="S186" s="11" t="str">
        <f>IFERROR(INDEX(SailCrest!$A:$A,MATCH(R186,SailCrest!$B:$B,0)),"-")</f>
        <v>-</v>
      </c>
      <c r="T186" s="19" t="s">
        <v>0</v>
      </c>
      <c r="U186" s="19" t="s">
        <v>0</v>
      </c>
      <c r="V186" s="19" t="s">
        <v>0</v>
      </c>
      <c r="W186" s="19" t="s">
        <v>0</v>
      </c>
      <c r="X186" s="19" t="s">
        <v>0</v>
      </c>
      <c r="Y186" s="19" t="s">
        <v>0</v>
      </c>
      <c r="Z186" s="19" t="s">
        <v>0</v>
      </c>
      <c r="AA186" s="19" t="s">
        <v>0</v>
      </c>
    </row>
    <row r="187" spans="1:27" ht="15">
      <c r="A187" s="10">
        <f t="shared" ref="A187:A200" si="7">A186+1</f>
        <v>46000178</v>
      </c>
      <c r="B187" s="4" t="s">
        <v>1962</v>
      </c>
      <c r="C187" s="4" t="s">
        <v>62</v>
      </c>
      <c r="D187" s="11">
        <f>IFERROR(VLOOKUP(C187,ShipShapeEnum!$E:$F,2,FALSE),"-")</f>
        <v>1</v>
      </c>
      <c r="E187" s="19" t="s">
        <v>1963</v>
      </c>
      <c r="F187" s="4" t="s">
        <v>61</v>
      </c>
      <c r="G187" s="11">
        <f>IFERROR(VLOOKUP(F187,ShipShapeEnum!$B:$C,2,FALSE),"-")</f>
        <v>1</v>
      </c>
      <c r="H187" s="19" t="s">
        <v>545</v>
      </c>
      <c r="I187" s="19" t="s">
        <v>545</v>
      </c>
      <c r="J187" s="19" t="s">
        <v>545</v>
      </c>
      <c r="K187" s="19" t="s">
        <v>545</v>
      </c>
      <c r="L187" s="19" t="s">
        <v>545</v>
      </c>
      <c r="M187" s="4" t="s">
        <v>81</v>
      </c>
      <c r="N187" s="11">
        <f>IFERROR(VLOOKUP(M187,ShipShapeEnum!$H:$I,2,FALSE),"-")</f>
        <v>1</v>
      </c>
      <c r="O187" s="11" t="s">
        <v>2688</v>
      </c>
      <c r="P187" s="30"/>
      <c r="Q187" s="11" t="str">
        <f>IFERROR(INDEX(SailPattern!$A:$A,MATCH(P187,SailPattern!$B:$B,0)),"-")</f>
        <v>-</v>
      </c>
      <c r="R187" s="30"/>
      <c r="S187" s="11" t="str">
        <f>IFERROR(INDEX(SailCrest!$A:$A,MATCH(R187,SailCrest!$B:$B,0)),"-")</f>
        <v>-</v>
      </c>
      <c r="T187" s="19" t="s">
        <v>0</v>
      </c>
      <c r="U187" s="19" t="s">
        <v>0</v>
      </c>
      <c r="V187" s="19" t="s">
        <v>0</v>
      </c>
      <c r="W187" s="19" t="s">
        <v>0</v>
      </c>
      <c r="X187" s="19" t="s">
        <v>0</v>
      </c>
      <c r="Y187" s="19" t="s">
        <v>0</v>
      </c>
      <c r="Z187" s="19" t="s">
        <v>0</v>
      </c>
      <c r="AA187" s="19" t="s">
        <v>0</v>
      </c>
    </row>
    <row r="188" spans="1:27" ht="15">
      <c r="A188" s="10">
        <f t="shared" si="7"/>
        <v>46000179</v>
      </c>
      <c r="B188" s="4" t="s">
        <v>1973</v>
      </c>
      <c r="C188" s="4" t="s">
        <v>62</v>
      </c>
      <c r="D188" s="11">
        <f>IFERROR(VLOOKUP(C188,ShipShapeEnum!$E:$F,2,FALSE),"-")</f>
        <v>1</v>
      </c>
      <c r="E188" s="19" t="s">
        <v>1967</v>
      </c>
      <c r="F188" s="4" t="s">
        <v>61</v>
      </c>
      <c r="G188" s="11">
        <f>IFERROR(VLOOKUP(F188,ShipShapeEnum!$B:$C,2,FALSE),"-")</f>
        <v>1</v>
      </c>
      <c r="H188" s="19" t="s">
        <v>545</v>
      </c>
      <c r="I188" s="19" t="s">
        <v>545</v>
      </c>
      <c r="J188" s="19" t="s">
        <v>545</v>
      </c>
      <c r="K188" s="19" t="s">
        <v>545</v>
      </c>
      <c r="L188" s="19" t="s">
        <v>545</v>
      </c>
      <c r="M188" s="4" t="s">
        <v>81</v>
      </c>
      <c r="N188" s="11">
        <f>IFERROR(VLOOKUP(M188,ShipShapeEnum!$H:$I,2,FALSE),"-")</f>
        <v>1</v>
      </c>
      <c r="O188" s="11" t="s">
        <v>2688</v>
      </c>
      <c r="P188" s="30"/>
      <c r="Q188" s="11" t="str">
        <f>IFERROR(INDEX(SailPattern!$A:$A,MATCH(P188,SailPattern!$B:$B,0)),"-")</f>
        <v>-</v>
      </c>
      <c r="R188" s="30"/>
      <c r="S188" s="11" t="str">
        <f>IFERROR(INDEX(SailCrest!$A:$A,MATCH(R188,SailCrest!$B:$B,0)),"-")</f>
        <v>-</v>
      </c>
      <c r="T188" s="19" t="s">
        <v>0</v>
      </c>
      <c r="U188" s="19" t="s">
        <v>0</v>
      </c>
      <c r="V188" s="19" t="s">
        <v>0</v>
      </c>
      <c r="W188" s="19" t="s">
        <v>0</v>
      </c>
      <c r="X188" s="19" t="s">
        <v>0</v>
      </c>
      <c r="Y188" s="19" t="s">
        <v>0</v>
      </c>
      <c r="Z188" s="19" t="s">
        <v>0</v>
      </c>
      <c r="AA188" s="19" t="s">
        <v>0</v>
      </c>
    </row>
    <row r="189" spans="1:27" ht="15">
      <c r="A189" s="10">
        <f t="shared" si="7"/>
        <v>46000180</v>
      </c>
      <c r="B189" s="4" t="s">
        <v>1975</v>
      </c>
      <c r="C189" s="4" t="s">
        <v>62</v>
      </c>
      <c r="D189" s="11">
        <f>IFERROR(VLOOKUP(C189,ShipShapeEnum!$E:$F,2,FALSE),"-")</f>
        <v>1</v>
      </c>
      <c r="E189" s="19" t="s">
        <v>1976</v>
      </c>
      <c r="F189" s="4" t="s">
        <v>61</v>
      </c>
      <c r="G189" s="11">
        <f>IFERROR(VLOOKUP(F189,ShipShapeEnum!$B:$C,2,FALSE),"-")</f>
        <v>1</v>
      </c>
      <c r="H189" s="19" t="s">
        <v>545</v>
      </c>
      <c r="I189" s="19" t="s">
        <v>545</v>
      </c>
      <c r="J189" s="19" t="s">
        <v>545</v>
      </c>
      <c r="K189" s="19" t="s">
        <v>545</v>
      </c>
      <c r="L189" s="19" t="s">
        <v>545</v>
      </c>
      <c r="M189" s="4" t="s">
        <v>81</v>
      </c>
      <c r="N189" s="11">
        <f>IFERROR(VLOOKUP(M189,ShipShapeEnum!$H:$I,2,FALSE),"-")</f>
        <v>1</v>
      </c>
      <c r="O189" s="11" t="s">
        <v>2688</v>
      </c>
      <c r="P189" s="30"/>
      <c r="Q189" s="11" t="str">
        <f>IFERROR(INDEX(SailPattern!$A:$A,MATCH(P189,SailPattern!$B:$B,0)),"-")</f>
        <v>-</v>
      </c>
      <c r="R189" s="30"/>
      <c r="S189" s="11" t="str">
        <f>IFERROR(INDEX(SailCrest!$A:$A,MATCH(R189,SailCrest!$B:$B,0)),"-")</f>
        <v>-</v>
      </c>
      <c r="T189" s="19" t="s">
        <v>0</v>
      </c>
      <c r="U189" s="19" t="s">
        <v>0</v>
      </c>
      <c r="V189" s="19" t="s">
        <v>0</v>
      </c>
      <c r="W189" s="19" t="s">
        <v>0</v>
      </c>
      <c r="X189" s="19" t="s">
        <v>0</v>
      </c>
      <c r="Y189" s="19" t="s">
        <v>0</v>
      </c>
      <c r="Z189" s="19" t="s">
        <v>0</v>
      </c>
      <c r="AA189" s="19" t="s">
        <v>0</v>
      </c>
    </row>
    <row r="190" spans="1:27" ht="15">
      <c r="A190" s="10">
        <f t="shared" si="7"/>
        <v>46000181</v>
      </c>
      <c r="B190" s="4" t="s">
        <v>1980</v>
      </c>
      <c r="C190" s="4" t="s">
        <v>62</v>
      </c>
      <c r="D190" s="11">
        <f>IFERROR(VLOOKUP(C190,ShipShapeEnum!$E:$F,2,FALSE),"-")</f>
        <v>1</v>
      </c>
      <c r="E190" s="19" t="s">
        <v>1981</v>
      </c>
      <c r="F190" s="4" t="s">
        <v>61</v>
      </c>
      <c r="G190" s="11">
        <f>IFERROR(VLOOKUP(F190,ShipShapeEnum!$B:$C,2,FALSE),"-")</f>
        <v>1</v>
      </c>
      <c r="H190" s="19" t="s">
        <v>545</v>
      </c>
      <c r="I190" s="19" t="s">
        <v>545</v>
      </c>
      <c r="J190" s="19" t="s">
        <v>545</v>
      </c>
      <c r="K190" s="19" t="s">
        <v>545</v>
      </c>
      <c r="L190" s="19" t="s">
        <v>545</v>
      </c>
      <c r="M190" s="4" t="s">
        <v>81</v>
      </c>
      <c r="N190" s="11">
        <f>IFERROR(VLOOKUP(M190,ShipShapeEnum!$H:$I,2,FALSE),"-")</f>
        <v>1</v>
      </c>
      <c r="O190" s="11" t="s">
        <v>2688</v>
      </c>
      <c r="P190" s="30"/>
      <c r="Q190" s="11" t="str">
        <f>IFERROR(INDEX(SailPattern!$A:$A,MATCH(P190,SailPattern!$B:$B,0)),"-")</f>
        <v>-</v>
      </c>
      <c r="R190" s="30"/>
      <c r="S190" s="11" t="str">
        <f>IFERROR(INDEX(SailCrest!$A:$A,MATCH(R190,SailCrest!$B:$B,0)),"-")</f>
        <v>-</v>
      </c>
      <c r="T190" s="19" t="s">
        <v>0</v>
      </c>
      <c r="U190" s="19" t="s">
        <v>0</v>
      </c>
      <c r="V190" s="19" t="s">
        <v>0</v>
      </c>
      <c r="W190" s="19" t="s">
        <v>0</v>
      </c>
      <c r="X190" s="19" t="s">
        <v>0</v>
      </c>
      <c r="Y190" s="19" t="s">
        <v>0</v>
      </c>
      <c r="Z190" s="19" t="s">
        <v>0</v>
      </c>
      <c r="AA190" s="19" t="s">
        <v>0</v>
      </c>
    </row>
    <row r="191" spans="1:27" ht="15">
      <c r="A191" s="10">
        <f t="shared" si="7"/>
        <v>46000182</v>
      </c>
      <c r="B191" s="4" t="s">
        <v>1985</v>
      </c>
      <c r="C191" s="4" t="s">
        <v>62</v>
      </c>
      <c r="D191" s="11">
        <f>IFERROR(VLOOKUP(C191,ShipShapeEnum!$E:$F,2,FALSE),"-")</f>
        <v>1</v>
      </c>
      <c r="E191" s="19" t="s">
        <v>1986</v>
      </c>
      <c r="F191" s="4" t="s">
        <v>61</v>
      </c>
      <c r="G191" s="11">
        <f>IFERROR(VLOOKUP(F191,ShipShapeEnum!$B:$C,2,FALSE),"-")</f>
        <v>1</v>
      </c>
      <c r="H191" s="19" t="s">
        <v>545</v>
      </c>
      <c r="I191" s="19" t="s">
        <v>545</v>
      </c>
      <c r="J191" s="19" t="s">
        <v>545</v>
      </c>
      <c r="K191" s="19" t="s">
        <v>545</v>
      </c>
      <c r="L191" s="19" t="s">
        <v>545</v>
      </c>
      <c r="M191" s="4" t="s">
        <v>81</v>
      </c>
      <c r="N191" s="11">
        <f>IFERROR(VLOOKUP(M191,ShipShapeEnum!$H:$I,2,FALSE),"-")</f>
        <v>1</v>
      </c>
      <c r="O191" s="11" t="s">
        <v>2688</v>
      </c>
      <c r="P191" s="30"/>
      <c r="Q191" s="11" t="str">
        <f>IFERROR(INDEX(SailPattern!$A:$A,MATCH(P191,SailPattern!$B:$B,0)),"-")</f>
        <v>-</v>
      </c>
      <c r="R191" s="30"/>
      <c r="S191" s="11" t="str">
        <f>IFERROR(INDEX(SailCrest!$A:$A,MATCH(R191,SailCrest!$B:$B,0)),"-")</f>
        <v>-</v>
      </c>
      <c r="T191" s="19" t="s">
        <v>0</v>
      </c>
      <c r="U191" s="19" t="s">
        <v>0</v>
      </c>
      <c r="V191" s="19" t="s">
        <v>0</v>
      </c>
      <c r="W191" s="19" t="s">
        <v>0</v>
      </c>
      <c r="X191" s="19" t="s">
        <v>0</v>
      </c>
      <c r="Y191" s="19" t="s">
        <v>0</v>
      </c>
      <c r="Z191" s="19" t="s">
        <v>0</v>
      </c>
      <c r="AA191" s="19" t="s">
        <v>0</v>
      </c>
    </row>
    <row r="192" spans="1:27" ht="15">
      <c r="A192" s="10">
        <f t="shared" si="7"/>
        <v>46000183</v>
      </c>
      <c r="B192" s="4" t="s">
        <v>1997</v>
      </c>
      <c r="C192" s="4" t="s">
        <v>62</v>
      </c>
      <c r="D192" s="11">
        <f>IFERROR(VLOOKUP(C192,ShipShapeEnum!$E:$F,2,FALSE),"-")</f>
        <v>1</v>
      </c>
      <c r="E192" s="19" t="s">
        <v>1998</v>
      </c>
      <c r="F192" s="4" t="s">
        <v>61</v>
      </c>
      <c r="G192" s="11">
        <f>IFERROR(VLOOKUP(F192,ShipShapeEnum!$B:$C,2,FALSE),"-")</f>
        <v>1</v>
      </c>
      <c r="H192" s="19" t="s">
        <v>545</v>
      </c>
      <c r="I192" s="19" t="s">
        <v>545</v>
      </c>
      <c r="J192" s="19" t="s">
        <v>545</v>
      </c>
      <c r="K192" s="19" t="s">
        <v>545</v>
      </c>
      <c r="L192" s="19" t="s">
        <v>545</v>
      </c>
      <c r="M192" s="4" t="s">
        <v>81</v>
      </c>
      <c r="N192" s="11">
        <f>IFERROR(VLOOKUP(M192,ShipShapeEnum!$H:$I,2,FALSE),"-")</f>
        <v>1</v>
      </c>
      <c r="O192" s="11" t="s">
        <v>2688</v>
      </c>
      <c r="P192" s="30"/>
      <c r="Q192" s="11" t="str">
        <f>IFERROR(INDEX(SailPattern!$A:$A,MATCH(P192,SailPattern!$B:$B,0)),"-")</f>
        <v>-</v>
      </c>
      <c r="R192" s="30"/>
      <c r="S192" s="11" t="str">
        <f>IFERROR(INDEX(SailCrest!$A:$A,MATCH(R192,SailCrest!$B:$B,0)),"-")</f>
        <v>-</v>
      </c>
      <c r="T192" s="19" t="s">
        <v>0</v>
      </c>
      <c r="U192" s="19" t="s">
        <v>0</v>
      </c>
      <c r="V192" s="19" t="s">
        <v>0</v>
      </c>
      <c r="W192" s="19" t="s">
        <v>0</v>
      </c>
      <c r="X192" s="19" t="s">
        <v>0</v>
      </c>
      <c r="Y192" s="19" t="s">
        <v>0</v>
      </c>
      <c r="Z192" s="19" t="s">
        <v>0</v>
      </c>
      <c r="AA192" s="19" t="s">
        <v>0</v>
      </c>
    </row>
    <row r="193" spans="1:27" ht="15">
      <c r="A193" s="10">
        <f t="shared" si="7"/>
        <v>46000184</v>
      </c>
      <c r="B193" s="4" t="s">
        <v>2040</v>
      </c>
      <c r="C193" s="4" t="s">
        <v>62</v>
      </c>
      <c r="D193" s="11">
        <f>IFERROR(VLOOKUP(C193,ShipShapeEnum!$E:$F,2,FALSE),"-")</f>
        <v>1</v>
      </c>
      <c r="E193" s="19" t="s">
        <v>2041</v>
      </c>
      <c r="F193" s="4" t="s">
        <v>61</v>
      </c>
      <c r="G193" s="11">
        <f>IFERROR(VLOOKUP(F193,ShipShapeEnum!$B:$C,2,FALSE),"-")</f>
        <v>1</v>
      </c>
      <c r="H193" s="19" t="s">
        <v>545</v>
      </c>
      <c r="I193" s="19" t="s">
        <v>545</v>
      </c>
      <c r="J193" s="19" t="s">
        <v>545</v>
      </c>
      <c r="K193" s="19" t="s">
        <v>545</v>
      </c>
      <c r="L193" s="19" t="s">
        <v>545</v>
      </c>
      <c r="M193" s="4" t="s">
        <v>81</v>
      </c>
      <c r="N193" s="11">
        <f>IFERROR(VLOOKUP(M193,ShipShapeEnum!$H:$I,2,FALSE),"-")</f>
        <v>1</v>
      </c>
      <c r="O193" s="11" t="s">
        <v>2688</v>
      </c>
      <c r="P193" s="30"/>
      <c r="Q193" s="11" t="str">
        <f>IFERROR(INDEX(SailPattern!$A:$A,MATCH(P193,SailPattern!$B:$B,0)),"-")</f>
        <v>-</v>
      </c>
      <c r="R193" s="30"/>
      <c r="S193" s="11" t="str">
        <f>IFERROR(INDEX(SailCrest!$A:$A,MATCH(R193,SailCrest!$B:$B,0)),"-")</f>
        <v>-</v>
      </c>
      <c r="T193" s="19" t="s">
        <v>0</v>
      </c>
      <c r="U193" s="19" t="s">
        <v>0</v>
      </c>
      <c r="V193" s="19" t="s">
        <v>0</v>
      </c>
      <c r="W193" s="19" t="s">
        <v>0</v>
      </c>
      <c r="X193" s="19" t="s">
        <v>0</v>
      </c>
      <c r="Y193" s="19" t="s">
        <v>0</v>
      </c>
      <c r="Z193" s="19" t="s">
        <v>0</v>
      </c>
      <c r="AA193" s="19" t="s">
        <v>0</v>
      </c>
    </row>
    <row r="194" spans="1:27" ht="15">
      <c r="A194" s="10">
        <f t="shared" si="7"/>
        <v>46000185</v>
      </c>
      <c r="B194" s="4" t="s">
        <v>2101</v>
      </c>
      <c r="C194" s="4" t="s">
        <v>62</v>
      </c>
      <c r="D194" s="11">
        <f>IFERROR(VLOOKUP(C194,ShipShapeEnum!$E:$F,2,FALSE),"-")</f>
        <v>1</v>
      </c>
      <c r="E194" s="19" t="s">
        <v>2102</v>
      </c>
      <c r="F194" s="4" t="s">
        <v>61</v>
      </c>
      <c r="G194" s="11">
        <f>IFERROR(VLOOKUP(F194,ShipShapeEnum!$B:$C,2,FALSE),"-")</f>
        <v>1</v>
      </c>
      <c r="H194" s="19" t="s">
        <v>545</v>
      </c>
      <c r="I194" s="19" t="s">
        <v>545</v>
      </c>
      <c r="J194" s="19" t="s">
        <v>545</v>
      </c>
      <c r="K194" s="19" t="s">
        <v>545</v>
      </c>
      <c r="L194" s="19" t="s">
        <v>545</v>
      </c>
      <c r="M194" s="4" t="s">
        <v>81</v>
      </c>
      <c r="N194" s="11">
        <f>IFERROR(VLOOKUP(M194,ShipShapeEnum!$H:$I,2,FALSE),"-")</f>
        <v>1</v>
      </c>
      <c r="O194" s="11" t="s">
        <v>2688</v>
      </c>
      <c r="P194" s="30"/>
      <c r="Q194" s="11" t="str">
        <f>IFERROR(INDEX(SailPattern!$A:$A,MATCH(P194,SailPattern!$B:$B,0)),"-")</f>
        <v>-</v>
      </c>
      <c r="R194" s="30"/>
      <c r="S194" s="11" t="str">
        <f>IFERROR(INDEX(SailCrest!$A:$A,MATCH(R194,SailCrest!$B:$B,0)),"-")</f>
        <v>-</v>
      </c>
      <c r="T194" s="19" t="s">
        <v>0</v>
      </c>
      <c r="U194" s="19" t="s">
        <v>0</v>
      </c>
      <c r="V194" s="19" t="s">
        <v>0</v>
      </c>
      <c r="W194" s="19" t="s">
        <v>0</v>
      </c>
      <c r="X194" s="19" t="s">
        <v>0</v>
      </c>
      <c r="Y194" s="19" t="s">
        <v>0</v>
      </c>
      <c r="Z194" s="19" t="s">
        <v>0</v>
      </c>
      <c r="AA194" s="19" t="s">
        <v>0</v>
      </c>
    </row>
    <row r="195" spans="1:27" ht="15">
      <c r="A195" s="10">
        <f t="shared" si="7"/>
        <v>46000186</v>
      </c>
      <c r="B195" s="4" t="s">
        <v>2107</v>
      </c>
      <c r="C195" s="4" t="s">
        <v>62</v>
      </c>
      <c r="D195" s="11">
        <f>IFERROR(VLOOKUP(C195,ShipShapeEnum!$E:$F,2,FALSE),"-")</f>
        <v>1</v>
      </c>
      <c r="E195" s="19" t="s">
        <v>2105</v>
      </c>
      <c r="F195" s="4" t="s">
        <v>61</v>
      </c>
      <c r="G195" s="11">
        <f>IFERROR(VLOOKUP(F195,ShipShapeEnum!$B:$C,2,FALSE),"-")</f>
        <v>1</v>
      </c>
      <c r="H195" s="19" t="s">
        <v>545</v>
      </c>
      <c r="I195" s="19" t="s">
        <v>545</v>
      </c>
      <c r="J195" s="19" t="s">
        <v>545</v>
      </c>
      <c r="K195" s="19" t="s">
        <v>545</v>
      </c>
      <c r="L195" s="19" t="s">
        <v>545</v>
      </c>
      <c r="M195" s="4" t="s">
        <v>81</v>
      </c>
      <c r="N195" s="11">
        <f>IFERROR(VLOOKUP(M195,ShipShapeEnum!$H:$I,2,FALSE),"-")</f>
        <v>1</v>
      </c>
      <c r="O195" s="11" t="s">
        <v>2688</v>
      </c>
      <c r="P195" s="30"/>
      <c r="Q195" s="11" t="str">
        <f>IFERROR(INDEX(SailPattern!$A:$A,MATCH(P195,SailPattern!$B:$B,0)),"-")</f>
        <v>-</v>
      </c>
      <c r="R195" s="30"/>
      <c r="S195" s="11" t="str">
        <f>IFERROR(INDEX(SailCrest!$A:$A,MATCH(R195,SailCrest!$B:$B,0)),"-")</f>
        <v>-</v>
      </c>
      <c r="T195" s="19" t="s">
        <v>0</v>
      </c>
      <c r="U195" s="19" t="s">
        <v>0</v>
      </c>
      <c r="V195" s="19" t="s">
        <v>0</v>
      </c>
      <c r="W195" s="19" t="s">
        <v>0</v>
      </c>
      <c r="X195" s="19" t="s">
        <v>0</v>
      </c>
      <c r="Y195" s="19" t="s">
        <v>0</v>
      </c>
      <c r="Z195" s="19" t="s">
        <v>0</v>
      </c>
      <c r="AA195" s="19" t="s">
        <v>0</v>
      </c>
    </row>
    <row r="196" spans="1:27" ht="15">
      <c r="A196" s="10">
        <f t="shared" si="7"/>
        <v>46000187</v>
      </c>
      <c r="B196" s="4" t="s">
        <v>2111</v>
      </c>
      <c r="C196" s="4" t="s">
        <v>62</v>
      </c>
      <c r="D196" s="11">
        <f>IFERROR(VLOOKUP(C196,ShipShapeEnum!$E:$F,2,FALSE),"-")</f>
        <v>1</v>
      </c>
      <c r="E196" s="19" t="s">
        <v>2112</v>
      </c>
      <c r="F196" s="4" t="s">
        <v>61</v>
      </c>
      <c r="G196" s="11">
        <f>IFERROR(VLOOKUP(F196,ShipShapeEnum!$B:$C,2,FALSE),"-")</f>
        <v>1</v>
      </c>
      <c r="H196" s="19" t="s">
        <v>545</v>
      </c>
      <c r="I196" s="19" t="s">
        <v>545</v>
      </c>
      <c r="J196" s="19" t="s">
        <v>545</v>
      </c>
      <c r="K196" s="19" t="s">
        <v>545</v>
      </c>
      <c r="L196" s="19" t="s">
        <v>545</v>
      </c>
      <c r="M196" s="4" t="s">
        <v>81</v>
      </c>
      <c r="N196" s="11">
        <f>IFERROR(VLOOKUP(M196,ShipShapeEnum!$H:$I,2,FALSE),"-")</f>
        <v>1</v>
      </c>
      <c r="O196" s="11" t="s">
        <v>2688</v>
      </c>
      <c r="P196" s="30"/>
      <c r="Q196" s="11" t="str">
        <f>IFERROR(INDEX(SailPattern!$A:$A,MATCH(P196,SailPattern!$B:$B,0)),"-")</f>
        <v>-</v>
      </c>
      <c r="R196" s="30"/>
      <c r="S196" s="11" t="str">
        <f>IFERROR(INDEX(SailCrest!$A:$A,MATCH(R196,SailCrest!$B:$B,0)),"-")</f>
        <v>-</v>
      </c>
      <c r="T196" s="19" t="s">
        <v>0</v>
      </c>
      <c r="U196" s="19" t="s">
        <v>0</v>
      </c>
      <c r="V196" s="19" t="s">
        <v>0</v>
      </c>
      <c r="W196" s="19" t="s">
        <v>0</v>
      </c>
      <c r="X196" s="19" t="s">
        <v>0</v>
      </c>
      <c r="Y196" s="19" t="s">
        <v>0</v>
      </c>
      <c r="Z196" s="19" t="s">
        <v>0</v>
      </c>
      <c r="AA196" s="19" t="s">
        <v>0</v>
      </c>
    </row>
    <row r="197" spans="1:27" ht="15">
      <c r="A197" s="10">
        <f t="shared" si="7"/>
        <v>46000188</v>
      </c>
      <c r="B197" s="4" t="s">
        <v>2119</v>
      </c>
      <c r="C197" s="4" t="s">
        <v>62</v>
      </c>
      <c r="D197" s="11">
        <f>IFERROR(VLOOKUP(C197,ShipShapeEnum!$E:$F,2,FALSE),"-")</f>
        <v>1</v>
      </c>
      <c r="E197" s="19" t="s">
        <v>1867</v>
      </c>
      <c r="F197" s="4" t="s">
        <v>61</v>
      </c>
      <c r="G197" s="11">
        <f>IFERROR(VLOOKUP(F197,ShipShapeEnum!$B:$C,2,FALSE),"-")</f>
        <v>1</v>
      </c>
      <c r="H197" s="19" t="s">
        <v>0</v>
      </c>
      <c r="I197" s="19" t="s">
        <v>0</v>
      </c>
      <c r="J197" s="19" t="s">
        <v>0</v>
      </c>
      <c r="K197" s="19" t="s">
        <v>0</v>
      </c>
      <c r="L197" s="19" t="s">
        <v>0</v>
      </c>
      <c r="M197" s="4" t="s">
        <v>81</v>
      </c>
      <c r="N197" s="11">
        <f>IFERROR(VLOOKUP(M197,ShipShapeEnum!$H:$I,2,FALSE),"-")</f>
        <v>1</v>
      </c>
      <c r="O197" s="11" t="s">
        <v>2688</v>
      </c>
      <c r="P197" s="30" t="s">
        <v>1350</v>
      </c>
      <c r="Q197" s="11">
        <f>IFERROR(INDEX(SailPattern!$A:$A,MATCH(P197,SailPattern!$B:$B,0)),"-")</f>
        <v>47200002</v>
      </c>
      <c r="R197" s="30" t="s">
        <v>384</v>
      </c>
      <c r="S197" s="11">
        <f>IFERROR(INDEX(SailCrest!$A:$A,MATCH(R197,SailCrest!$B:$B,0)),"-")</f>
        <v>47100076</v>
      </c>
      <c r="T197" s="19" t="s">
        <v>0</v>
      </c>
      <c r="U197" s="19" t="s">
        <v>0</v>
      </c>
      <c r="V197" s="19" t="s">
        <v>0</v>
      </c>
      <c r="W197" s="19" t="s">
        <v>0</v>
      </c>
      <c r="X197" s="19" t="s">
        <v>0</v>
      </c>
      <c r="Y197" s="19" t="s">
        <v>0</v>
      </c>
      <c r="Z197" s="19" t="s">
        <v>0</v>
      </c>
      <c r="AA197" s="19" t="s">
        <v>0</v>
      </c>
    </row>
    <row r="198" spans="1:27" ht="15">
      <c r="A198" s="10">
        <f>A197+1</f>
        <v>46000189</v>
      </c>
      <c r="B198" s="40" t="s">
        <v>2123</v>
      </c>
      <c r="C198" s="4" t="s">
        <v>62</v>
      </c>
      <c r="D198" s="11">
        <f>IFERROR(VLOOKUP(C198,ShipShapeEnum!$E:$F,2,FALSE),"-")</f>
        <v>1</v>
      </c>
      <c r="E198" s="19" t="s">
        <v>2125</v>
      </c>
      <c r="F198" s="4" t="s">
        <v>61</v>
      </c>
      <c r="G198" s="11">
        <f>IFERROR(VLOOKUP(F198,ShipShapeEnum!$B:$C,2,FALSE),"-")</f>
        <v>1</v>
      </c>
      <c r="H198" s="19" t="s">
        <v>0</v>
      </c>
      <c r="I198" s="19" t="s">
        <v>0</v>
      </c>
      <c r="J198" s="19" t="s">
        <v>0</v>
      </c>
      <c r="K198" s="19" t="s">
        <v>0</v>
      </c>
      <c r="L198" s="19" t="s">
        <v>0</v>
      </c>
      <c r="M198" s="4" t="s">
        <v>81</v>
      </c>
      <c r="N198" s="11">
        <f>IFERROR(VLOOKUP(M198,ShipShapeEnum!$H:$I,2,FALSE),"-")</f>
        <v>1</v>
      </c>
      <c r="O198" s="11" t="s">
        <v>2688</v>
      </c>
      <c r="P198" s="30"/>
      <c r="Q198" s="11" t="str">
        <f>IFERROR(INDEX(SailPattern!$A:$A,MATCH(P198,SailPattern!$B:$B,0)),"-")</f>
        <v>-</v>
      </c>
      <c r="R198" s="30"/>
      <c r="S198" s="11" t="str">
        <f>IFERROR(INDEX(SailCrest!$A:$A,MATCH(R198,SailCrest!$B:$B,0)),"-")</f>
        <v>-</v>
      </c>
      <c r="T198" s="19">
        <v>2</v>
      </c>
      <c r="U198" s="19" t="s">
        <v>1570</v>
      </c>
      <c r="V198" s="19" t="s">
        <v>0</v>
      </c>
      <c r="W198" s="19" t="s">
        <v>0</v>
      </c>
      <c r="X198" s="19" t="s">
        <v>0</v>
      </c>
      <c r="Y198" s="19" t="s">
        <v>0</v>
      </c>
      <c r="Z198" s="19" t="s">
        <v>0</v>
      </c>
      <c r="AA198" s="19" t="s">
        <v>0</v>
      </c>
    </row>
    <row r="199" spans="1:27" ht="15">
      <c r="A199" s="10">
        <f t="shared" si="7"/>
        <v>46000190</v>
      </c>
      <c r="B199" s="40" t="s">
        <v>2132</v>
      </c>
      <c r="C199" s="4" t="s">
        <v>62</v>
      </c>
      <c r="D199" s="11">
        <f>IFERROR(VLOOKUP(C199,ShipShapeEnum!$E:$F,2,FALSE),"-")</f>
        <v>1</v>
      </c>
      <c r="E199" s="19" t="s">
        <v>2126</v>
      </c>
      <c r="F199" s="4" t="s">
        <v>61</v>
      </c>
      <c r="G199" s="11">
        <f>IFERROR(VLOOKUP(F199,ShipShapeEnum!$B:$C,2,FALSE),"-")</f>
        <v>1</v>
      </c>
      <c r="H199" s="19" t="s">
        <v>0</v>
      </c>
      <c r="I199" s="19" t="s">
        <v>0</v>
      </c>
      <c r="J199" s="19" t="s">
        <v>0</v>
      </c>
      <c r="K199" s="19" t="s">
        <v>0</v>
      </c>
      <c r="L199" s="19" t="s">
        <v>0</v>
      </c>
      <c r="M199" s="4" t="s">
        <v>81</v>
      </c>
      <c r="N199" s="11">
        <f>IFERROR(VLOOKUP(M199,ShipShapeEnum!$H:$I,2,FALSE),"-")</f>
        <v>1</v>
      </c>
      <c r="O199" s="11" t="s">
        <v>2688</v>
      </c>
      <c r="P199" s="30"/>
      <c r="Q199" s="11" t="str">
        <f>IFERROR(INDEX(SailPattern!$A:$A,MATCH(P199,SailPattern!$B:$B,0)),"-")</f>
        <v>-</v>
      </c>
      <c r="R199" s="30"/>
      <c r="S199" s="11" t="str">
        <f>IFERROR(INDEX(SailCrest!$A:$A,MATCH(R199,SailCrest!$B:$B,0)),"-")</f>
        <v>-</v>
      </c>
      <c r="T199" s="19">
        <v>2</v>
      </c>
      <c r="U199" s="19" t="s">
        <v>1196</v>
      </c>
      <c r="V199" s="19" t="s">
        <v>0</v>
      </c>
      <c r="W199" s="19" t="s">
        <v>0</v>
      </c>
      <c r="X199" s="19" t="s">
        <v>0</v>
      </c>
      <c r="Y199" s="19" t="s">
        <v>0</v>
      </c>
      <c r="Z199" s="19" t="s">
        <v>0</v>
      </c>
      <c r="AA199" s="19" t="s">
        <v>0</v>
      </c>
    </row>
    <row r="200" spans="1:27" ht="15">
      <c r="A200" s="10">
        <f t="shared" si="7"/>
        <v>46000191</v>
      </c>
      <c r="B200" s="40" t="s">
        <v>2133</v>
      </c>
      <c r="C200" s="4" t="s">
        <v>62</v>
      </c>
      <c r="D200" s="11">
        <f>IFERROR(VLOOKUP(C200,ShipShapeEnum!$E:$F,2,FALSE),"-")</f>
        <v>1</v>
      </c>
      <c r="E200" s="19" t="s">
        <v>2127</v>
      </c>
      <c r="F200" s="4" t="s">
        <v>61</v>
      </c>
      <c r="G200" s="11">
        <f>IFERROR(VLOOKUP(F200,ShipShapeEnum!$B:$C,2,FALSE),"-")</f>
        <v>1</v>
      </c>
      <c r="H200" s="19" t="s">
        <v>0</v>
      </c>
      <c r="I200" s="19" t="s">
        <v>0</v>
      </c>
      <c r="J200" s="19" t="s">
        <v>0</v>
      </c>
      <c r="K200" s="19" t="s">
        <v>0</v>
      </c>
      <c r="L200" s="19" t="s">
        <v>0</v>
      </c>
      <c r="M200" s="4" t="s">
        <v>81</v>
      </c>
      <c r="N200" s="11">
        <f>IFERROR(VLOOKUP(M200,ShipShapeEnum!$H:$I,2,FALSE),"-")</f>
        <v>1</v>
      </c>
      <c r="O200" s="11" t="s">
        <v>2688</v>
      </c>
      <c r="P200" s="30"/>
      <c r="Q200" s="11" t="str">
        <f>IFERROR(INDEX(SailPattern!$A:$A,MATCH(P200,SailPattern!$B:$B,0)),"-")</f>
        <v>-</v>
      </c>
      <c r="R200" s="30"/>
      <c r="S200" s="11" t="str">
        <f>IFERROR(INDEX(SailCrest!$A:$A,MATCH(R200,SailCrest!$B:$B,0)),"-")</f>
        <v>-</v>
      </c>
      <c r="T200" s="19">
        <v>2</v>
      </c>
      <c r="U200" s="19" t="s">
        <v>1196</v>
      </c>
      <c r="V200" s="19" t="s">
        <v>0</v>
      </c>
      <c r="W200" s="19" t="s">
        <v>0</v>
      </c>
      <c r="X200" s="19" t="s">
        <v>0</v>
      </c>
      <c r="Y200" s="19" t="s">
        <v>0</v>
      </c>
      <c r="Z200" s="19" t="s">
        <v>0</v>
      </c>
      <c r="AA200" s="19" t="s">
        <v>0</v>
      </c>
    </row>
    <row r="201" spans="1:27" ht="15">
      <c r="A201" s="10">
        <f t="shared" ref="A201:A205" si="8">A200+1</f>
        <v>46000192</v>
      </c>
      <c r="B201" s="4" t="s">
        <v>2135</v>
      </c>
      <c r="C201" s="4" t="s">
        <v>62</v>
      </c>
      <c r="D201" s="11">
        <f>IFERROR(VLOOKUP(C201,ShipShapeEnum!$E:$F,2,FALSE),"-")</f>
        <v>1</v>
      </c>
      <c r="E201" s="19" t="s">
        <v>2136</v>
      </c>
      <c r="F201" s="4" t="s">
        <v>61</v>
      </c>
      <c r="G201" s="11">
        <f>IFERROR(VLOOKUP(F201,ShipShapeEnum!$B:$C,2,FALSE),"-")</f>
        <v>1</v>
      </c>
      <c r="H201" s="19" t="s">
        <v>0</v>
      </c>
      <c r="I201" s="19" t="s">
        <v>0</v>
      </c>
      <c r="J201" s="19" t="s">
        <v>0</v>
      </c>
      <c r="K201" s="19" t="s">
        <v>0</v>
      </c>
      <c r="L201" s="19" t="s">
        <v>0</v>
      </c>
      <c r="M201" s="4" t="s">
        <v>81</v>
      </c>
      <c r="N201" s="11">
        <f>IFERROR(VLOOKUP(M201,ShipShapeEnum!$H:$I,2,FALSE),"-")</f>
        <v>1</v>
      </c>
      <c r="O201" s="11" t="s">
        <v>2688</v>
      </c>
      <c r="P201" s="30"/>
      <c r="Q201" s="11" t="str">
        <f>IFERROR(INDEX(SailPattern!$A:$A,MATCH(P201,SailPattern!$B:$B,0)),"-")</f>
        <v>-</v>
      </c>
      <c r="R201" s="30"/>
      <c r="S201" s="11" t="str">
        <f>IFERROR(INDEX(SailCrest!$A:$A,MATCH(R201,SailCrest!$B:$B,0)),"-")</f>
        <v>-</v>
      </c>
      <c r="T201" s="19">
        <v>3</v>
      </c>
      <c r="U201" s="19" t="s">
        <v>1196</v>
      </c>
      <c r="V201" s="19" t="s">
        <v>0</v>
      </c>
      <c r="W201" s="19" t="s">
        <v>0</v>
      </c>
      <c r="X201" s="19" t="s">
        <v>0</v>
      </c>
      <c r="Y201" s="19" t="s">
        <v>0</v>
      </c>
      <c r="Z201" s="19" t="s">
        <v>0</v>
      </c>
      <c r="AA201" s="19" t="s">
        <v>0</v>
      </c>
    </row>
    <row r="202" spans="1:27" ht="15">
      <c r="A202" s="10">
        <f t="shared" si="8"/>
        <v>46000193</v>
      </c>
      <c r="B202" s="4" t="s">
        <v>2140</v>
      </c>
      <c r="C202" s="4" t="s">
        <v>62</v>
      </c>
      <c r="D202" s="11">
        <f>IFERROR(VLOOKUP(C202,ShipShapeEnum!$E:$F,2,FALSE),"-")</f>
        <v>1</v>
      </c>
      <c r="E202" s="19" t="s">
        <v>2141</v>
      </c>
      <c r="F202" s="4" t="s">
        <v>61</v>
      </c>
      <c r="G202" s="11">
        <f>IFERROR(VLOOKUP(F202,ShipShapeEnum!$B:$C,2,FALSE),"-")</f>
        <v>1</v>
      </c>
      <c r="H202" s="19" t="s">
        <v>0</v>
      </c>
      <c r="I202" s="19" t="s">
        <v>0</v>
      </c>
      <c r="J202" s="19" t="s">
        <v>0</v>
      </c>
      <c r="K202" s="19" t="s">
        <v>0</v>
      </c>
      <c r="L202" s="19" t="s">
        <v>0</v>
      </c>
      <c r="M202" s="4" t="s">
        <v>81</v>
      </c>
      <c r="N202" s="11">
        <f>IFERROR(VLOOKUP(M202,ShipShapeEnum!$H:$I,2,FALSE),"-")</f>
        <v>1</v>
      </c>
      <c r="O202" s="11" t="s">
        <v>2688</v>
      </c>
      <c r="P202" s="30"/>
      <c r="Q202" s="11" t="str">
        <f>IFERROR(INDEX(SailPattern!$A:$A,MATCH(P202,SailPattern!$B:$B,0)),"-")</f>
        <v>-</v>
      </c>
      <c r="R202" s="30"/>
      <c r="S202" s="11" t="str">
        <f>IFERROR(INDEX(SailCrest!$A:$A,MATCH(R202,SailCrest!$B:$B,0)),"-")</f>
        <v>-</v>
      </c>
      <c r="T202" s="19">
        <v>4</v>
      </c>
      <c r="U202" s="19" t="s">
        <v>1196</v>
      </c>
      <c r="V202" s="19" t="s">
        <v>0</v>
      </c>
      <c r="W202" s="19" t="s">
        <v>0</v>
      </c>
      <c r="X202" s="19" t="s">
        <v>0</v>
      </c>
      <c r="Y202" s="19" t="s">
        <v>0</v>
      </c>
      <c r="Z202" s="19" t="s">
        <v>0</v>
      </c>
      <c r="AA202" s="19" t="s">
        <v>0</v>
      </c>
    </row>
    <row r="203" spans="1:27" ht="15">
      <c r="A203" s="10">
        <f t="shared" si="8"/>
        <v>46000194</v>
      </c>
      <c r="B203" s="4" t="s">
        <v>2147</v>
      </c>
      <c r="C203" s="4" t="s">
        <v>62</v>
      </c>
      <c r="D203" s="11">
        <f>IFERROR(VLOOKUP(C203,ShipShapeEnum!$E:$F,2,FALSE),"-")</f>
        <v>1</v>
      </c>
      <c r="E203" s="19" t="s">
        <v>2148</v>
      </c>
      <c r="F203" s="4" t="s">
        <v>61</v>
      </c>
      <c r="G203" s="11">
        <f>IFERROR(VLOOKUP(F203,ShipShapeEnum!$B:$C,2,FALSE),"-")</f>
        <v>1</v>
      </c>
      <c r="H203" s="19" t="s">
        <v>0</v>
      </c>
      <c r="I203" s="19" t="s">
        <v>0</v>
      </c>
      <c r="J203" s="19" t="s">
        <v>0</v>
      </c>
      <c r="K203" s="19" t="s">
        <v>0</v>
      </c>
      <c r="L203" s="19" t="s">
        <v>0</v>
      </c>
      <c r="M203" s="4" t="s">
        <v>81</v>
      </c>
      <c r="N203" s="11">
        <f>IFERROR(VLOOKUP(M203,ShipShapeEnum!$H:$I,2,FALSE),"-")</f>
        <v>1</v>
      </c>
      <c r="O203" s="11" t="s">
        <v>2688</v>
      </c>
      <c r="P203" s="30"/>
      <c r="Q203" s="11" t="str">
        <f>IFERROR(INDEX(SailPattern!$A:$A,MATCH(P203,SailPattern!$B:$B,0)),"-")</f>
        <v>-</v>
      </c>
      <c r="R203" s="30"/>
      <c r="S203" s="11" t="str">
        <f>IFERROR(INDEX(SailCrest!$A:$A,MATCH(R203,SailCrest!$B:$B,0)),"-")</f>
        <v>-</v>
      </c>
      <c r="T203" s="19">
        <v>5</v>
      </c>
      <c r="U203" s="19" t="s">
        <v>1196</v>
      </c>
      <c r="V203" s="19" t="s">
        <v>0</v>
      </c>
      <c r="W203" s="19" t="s">
        <v>0</v>
      </c>
      <c r="X203" s="19" t="s">
        <v>0</v>
      </c>
      <c r="Y203" s="19" t="s">
        <v>0</v>
      </c>
      <c r="Z203" s="19" t="s">
        <v>0</v>
      </c>
      <c r="AA203" s="19" t="s">
        <v>0</v>
      </c>
    </row>
    <row r="204" spans="1:27" ht="15">
      <c r="A204" s="10">
        <f t="shared" si="8"/>
        <v>46000195</v>
      </c>
      <c r="B204" s="4" t="s">
        <v>2326</v>
      </c>
      <c r="C204" s="4" t="s">
        <v>62</v>
      </c>
      <c r="D204" s="11">
        <f>IFERROR(VLOOKUP(C204,ShipShapeEnum!$E:$F,2,FALSE),"-")</f>
        <v>1</v>
      </c>
      <c r="E204" s="19" t="s">
        <v>2322</v>
      </c>
      <c r="F204" s="4" t="s">
        <v>61</v>
      </c>
      <c r="G204" s="11">
        <f>IFERROR(VLOOKUP(F204,ShipShapeEnum!$B:$C,2,FALSE),"-")</f>
        <v>1</v>
      </c>
      <c r="H204" s="19" t="s">
        <v>0</v>
      </c>
      <c r="I204" s="19" t="s">
        <v>0</v>
      </c>
      <c r="J204" s="19" t="s">
        <v>0</v>
      </c>
      <c r="K204" s="19" t="s">
        <v>0</v>
      </c>
      <c r="L204" s="19" t="s">
        <v>0</v>
      </c>
      <c r="M204" s="4" t="s">
        <v>81</v>
      </c>
      <c r="N204" s="11">
        <f>IFERROR(VLOOKUP(M204,ShipShapeEnum!$H:$I,2,FALSE),"-")</f>
        <v>1</v>
      </c>
      <c r="O204" s="11" t="s">
        <v>2688</v>
      </c>
      <c r="P204" s="30"/>
      <c r="Q204" s="11" t="str">
        <f>IFERROR(INDEX(SailPattern!$A:$A,MATCH(P204,SailPattern!$B:$B,0)),"-")</f>
        <v>-</v>
      </c>
      <c r="R204" s="30"/>
      <c r="S204" s="11" t="str">
        <f>IFERROR(INDEX(SailCrest!$A:$A,MATCH(R204,SailCrest!$B:$B,0)),"-")</f>
        <v>-</v>
      </c>
      <c r="T204" s="19" t="s">
        <v>0</v>
      </c>
      <c r="U204" s="19" t="s">
        <v>0</v>
      </c>
      <c r="V204" s="19" t="s">
        <v>0</v>
      </c>
      <c r="W204" s="19" t="s">
        <v>0</v>
      </c>
      <c r="X204" s="19" t="s">
        <v>0</v>
      </c>
      <c r="Y204" s="19" t="s">
        <v>0</v>
      </c>
      <c r="Z204" s="19" t="s">
        <v>0</v>
      </c>
      <c r="AA204" s="19" t="s">
        <v>0</v>
      </c>
    </row>
    <row r="205" spans="1:27" ht="15">
      <c r="A205" s="10">
        <f t="shared" si="8"/>
        <v>46000196</v>
      </c>
      <c r="B205" s="4" t="s">
        <v>2330</v>
      </c>
      <c r="C205" s="4" t="s">
        <v>62</v>
      </c>
      <c r="D205" s="11">
        <f>IFERROR(VLOOKUP(C205,ShipShapeEnum!$E:$F,2,FALSE),"-")</f>
        <v>1</v>
      </c>
      <c r="E205" s="19" t="s">
        <v>2331</v>
      </c>
      <c r="F205" s="4" t="s">
        <v>61</v>
      </c>
      <c r="G205" s="11">
        <f>IFERROR(VLOOKUP(F205,ShipShapeEnum!$B:$C,2,FALSE),"-")</f>
        <v>1</v>
      </c>
      <c r="H205" s="19" t="s">
        <v>0</v>
      </c>
      <c r="I205" s="19" t="s">
        <v>0</v>
      </c>
      <c r="J205" s="19" t="s">
        <v>0</v>
      </c>
      <c r="K205" s="19" t="s">
        <v>0</v>
      </c>
      <c r="L205" s="19" t="s">
        <v>0</v>
      </c>
      <c r="M205" s="4" t="s">
        <v>81</v>
      </c>
      <c r="N205" s="11">
        <f>IFERROR(VLOOKUP(M205,ShipShapeEnum!$H:$I,2,FALSE),"-")</f>
        <v>1</v>
      </c>
      <c r="O205" s="11" t="s">
        <v>2688</v>
      </c>
      <c r="P205" s="30"/>
      <c r="Q205" s="11" t="str">
        <f>IFERROR(INDEX(SailPattern!$A:$A,MATCH(P205,SailPattern!$B:$B,0)),"-")</f>
        <v>-</v>
      </c>
      <c r="R205" s="30"/>
      <c r="S205" s="11" t="str">
        <f>IFERROR(INDEX(SailCrest!$A:$A,MATCH(R205,SailCrest!$B:$B,0)),"-")</f>
        <v>-</v>
      </c>
      <c r="T205" s="19" t="s">
        <v>0</v>
      </c>
      <c r="U205" s="19" t="s">
        <v>0</v>
      </c>
      <c r="V205" s="19" t="s">
        <v>0</v>
      </c>
      <c r="W205" s="19" t="s">
        <v>0</v>
      </c>
      <c r="X205" s="19" t="s">
        <v>0</v>
      </c>
      <c r="Y205" s="19" t="s">
        <v>0</v>
      </c>
      <c r="Z205" s="19" t="s">
        <v>0</v>
      </c>
      <c r="AA205" s="19" t="s">
        <v>0</v>
      </c>
    </row>
    <row r="206" spans="1:27" ht="15">
      <c r="A206" s="10">
        <f t="shared" ref="A206:A249" si="9">A205+1</f>
        <v>46000197</v>
      </c>
      <c r="B206" s="4" t="s">
        <v>2346</v>
      </c>
      <c r="C206" s="4" t="s">
        <v>62</v>
      </c>
      <c r="D206" s="11">
        <f>IFERROR(VLOOKUP(C206,ShipShapeEnum!$E:$F,2,FALSE),"-")</f>
        <v>1</v>
      </c>
      <c r="E206" s="19" t="s">
        <v>2347</v>
      </c>
      <c r="F206" s="4" t="s">
        <v>61</v>
      </c>
      <c r="G206" s="11">
        <f>IFERROR(VLOOKUP(F206,ShipShapeEnum!$B:$C,2,FALSE),"-")</f>
        <v>1</v>
      </c>
      <c r="H206" s="19" t="s">
        <v>0</v>
      </c>
      <c r="I206" s="19" t="s">
        <v>0</v>
      </c>
      <c r="J206" s="19" t="s">
        <v>0</v>
      </c>
      <c r="K206" s="19" t="s">
        <v>0</v>
      </c>
      <c r="L206" s="19" t="s">
        <v>0</v>
      </c>
      <c r="M206" s="4" t="s">
        <v>81</v>
      </c>
      <c r="N206" s="11">
        <f>IFERROR(VLOOKUP(M206,ShipShapeEnum!$H:$I,2,FALSE),"-")</f>
        <v>1</v>
      </c>
      <c r="O206" s="11" t="s">
        <v>2688</v>
      </c>
      <c r="P206" s="30"/>
      <c r="Q206" s="11" t="str">
        <f>IFERROR(INDEX(SailPattern!$A:$A,MATCH(P206,SailPattern!$B:$B,0)),"-")</f>
        <v>-</v>
      </c>
      <c r="R206" s="30"/>
      <c r="S206" s="11" t="str">
        <f>IFERROR(INDEX(SailCrest!$A:$A,MATCH(R206,SailCrest!$B:$B,0)),"-")</f>
        <v>-</v>
      </c>
      <c r="T206" s="19" t="s">
        <v>0</v>
      </c>
      <c r="U206" s="19" t="s">
        <v>0</v>
      </c>
      <c r="V206" s="19" t="s">
        <v>0</v>
      </c>
      <c r="W206" s="19" t="s">
        <v>0</v>
      </c>
      <c r="X206" s="19" t="s">
        <v>0</v>
      </c>
      <c r="Y206" s="19" t="s">
        <v>0</v>
      </c>
      <c r="Z206" s="19" t="s">
        <v>0</v>
      </c>
      <c r="AA206" s="19" t="s">
        <v>0</v>
      </c>
    </row>
    <row r="207" spans="1:27" ht="15">
      <c r="A207" s="10">
        <f t="shared" si="9"/>
        <v>46000198</v>
      </c>
      <c r="B207" s="4" t="s">
        <v>2351</v>
      </c>
      <c r="C207" s="4" t="s">
        <v>62</v>
      </c>
      <c r="D207" s="11">
        <f>IFERROR(VLOOKUP(C207,ShipShapeEnum!$E:$F,2,FALSE),"-")</f>
        <v>1</v>
      </c>
      <c r="E207" s="19" t="s">
        <v>2352</v>
      </c>
      <c r="F207" s="4" t="s">
        <v>61</v>
      </c>
      <c r="G207" s="11">
        <f>IFERROR(VLOOKUP(F207,ShipShapeEnum!$B:$C,2,FALSE),"-")</f>
        <v>1</v>
      </c>
      <c r="H207" s="19" t="s">
        <v>0</v>
      </c>
      <c r="I207" s="19" t="s">
        <v>0</v>
      </c>
      <c r="J207" s="19" t="s">
        <v>0</v>
      </c>
      <c r="K207" s="19" t="s">
        <v>0</v>
      </c>
      <c r="L207" s="19" t="s">
        <v>0</v>
      </c>
      <c r="M207" s="4" t="s">
        <v>81</v>
      </c>
      <c r="N207" s="11">
        <f>IFERROR(VLOOKUP(M207,ShipShapeEnum!$H:$I,2,FALSE),"-")</f>
        <v>1</v>
      </c>
      <c r="O207" s="11" t="s">
        <v>2688</v>
      </c>
      <c r="P207" s="30"/>
      <c r="Q207" s="11" t="str">
        <f>IFERROR(INDEX(SailPattern!$A:$A,MATCH(P207,SailPattern!$B:$B,0)),"-")</f>
        <v>-</v>
      </c>
      <c r="R207" s="30"/>
      <c r="S207" s="11" t="str">
        <f>IFERROR(INDEX(SailCrest!$A:$A,MATCH(R207,SailCrest!$B:$B,0)),"-")</f>
        <v>-</v>
      </c>
      <c r="T207" s="19" t="s">
        <v>0</v>
      </c>
      <c r="U207" s="19" t="s">
        <v>0</v>
      </c>
      <c r="V207" s="19" t="s">
        <v>0</v>
      </c>
      <c r="W207" s="19" t="s">
        <v>0</v>
      </c>
      <c r="X207" s="19" t="s">
        <v>0</v>
      </c>
      <c r="Y207" s="19" t="s">
        <v>0</v>
      </c>
      <c r="Z207" s="19" t="s">
        <v>0</v>
      </c>
      <c r="AA207" s="19" t="s">
        <v>0</v>
      </c>
    </row>
    <row r="208" spans="1:27" ht="15">
      <c r="A208" s="10">
        <f t="shared" si="9"/>
        <v>46000199</v>
      </c>
      <c r="B208" s="4" t="s">
        <v>2356</v>
      </c>
      <c r="C208" s="4" t="s">
        <v>62</v>
      </c>
      <c r="D208" s="11">
        <f>IFERROR(VLOOKUP(C208,ShipShapeEnum!$E:$F,2,FALSE),"-")</f>
        <v>1</v>
      </c>
      <c r="E208" s="19" t="s">
        <v>2357</v>
      </c>
      <c r="F208" s="4" t="s">
        <v>61</v>
      </c>
      <c r="G208" s="11">
        <f>IFERROR(VLOOKUP(F208,ShipShapeEnum!$B:$C,2,FALSE),"-")</f>
        <v>1</v>
      </c>
      <c r="H208" s="19" t="s">
        <v>0</v>
      </c>
      <c r="I208" s="19" t="s">
        <v>0</v>
      </c>
      <c r="J208" s="19" t="s">
        <v>0</v>
      </c>
      <c r="K208" s="19" t="s">
        <v>0</v>
      </c>
      <c r="L208" s="19" t="s">
        <v>0</v>
      </c>
      <c r="M208" s="4" t="s">
        <v>81</v>
      </c>
      <c r="N208" s="11">
        <f>IFERROR(VLOOKUP(M208,ShipShapeEnum!$H:$I,2,FALSE),"-")</f>
        <v>1</v>
      </c>
      <c r="O208" s="11" t="s">
        <v>2688</v>
      </c>
      <c r="P208" s="30"/>
      <c r="Q208" s="11" t="str">
        <f>IFERROR(INDEX(SailPattern!$A:$A,MATCH(P208,SailPattern!$B:$B,0)),"-")</f>
        <v>-</v>
      </c>
      <c r="R208" s="30"/>
      <c r="S208" s="11" t="str">
        <f>IFERROR(INDEX(SailCrest!$A:$A,MATCH(R208,SailCrest!$B:$B,0)),"-")</f>
        <v>-</v>
      </c>
      <c r="T208" s="19" t="s">
        <v>0</v>
      </c>
      <c r="U208" s="19" t="s">
        <v>0</v>
      </c>
      <c r="V208" s="19" t="s">
        <v>0</v>
      </c>
      <c r="W208" s="19" t="s">
        <v>0</v>
      </c>
      <c r="X208" s="19" t="s">
        <v>0</v>
      </c>
      <c r="Y208" s="19" t="s">
        <v>0</v>
      </c>
      <c r="Z208" s="19" t="s">
        <v>0</v>
      </c>
      <c r="AA208" s="19" t="s">
        <v>0</v>
      </c>
    </row>
    <row r="209" spans="1:27" ht="15">
      <c r="A209" s="10">
        <f t="shared" si="9"/>
        <v>46000200</v>
      </c>
      <c r="B209" s="4" t="s">
        <v>2370</v>
      </c>
      <c r="C209" s="4" t="s">
        <v>62</v>
      </c>
      <c r="D209" s="11">
        <f>IFERROR(VLOOKUP(C209,ShipShapeEnum!$E:$F,2,FALSE),"-")</f>
        <v>1</v>
      </c>
      <c r="E209" s="19" t="s">
        <v>2364</v>
      </c>
      <c r="F209" s="4" t="s">
        <v>61</v>
      </c>
      <c r="G209" s="11">
        <f>IFERROR(VLOOKUP(F209,ShipShapeEnum!$B:$C,2,FALSE),"-")</f>
        <v>1</v>
      </c>
      <c r="H209" s="19" t="s">
        <v>0</v>
      </c>
      <c r="I209" s="19" t="s">
        <v>0</v>
      </c>
      <c r="J209" s="19" t="s">
        <v>0</v>
      </c>
      <c r="K209" s="19" t="s">
        <v>0</v>
      </c>
      <c r="L209" s="19" t="s">
        <v>0</v>
      </c>
      <c r="M209" s="4" t="s">
        <v>81</v>
      </c>
      <c r="N209" s="11">
        <f>IFERROR(VLOOKUP(M209,ShipShapeEnum!$H:$I,2,FALSE),"-")</f>
        <v>1</v>
      </c>
      <c r="O209" s="11" t="s">
        <v>2688</v>
      </c>
      <c r="P209" s="30"/>
      <c r="Q209" s="11" t="str">
        <f>IFERROR(INDEX(SailPattern!$A:$A,MATCH(P209,SailPattern!$B:$B,0)),"-")</f>
        <v>-</v>
      </c>
      <c r="R209" s="30"/>
      <c r="S209" s="11" t="str">
        <f>IFERROR(INDEX(SailCrest!$A:$A,MATCH(R209,SailCrest!$B:$B,0)),"-")</f>
        <v>-</v>
      </c>
      <c r="T209" s="19" t="s">
        <v>0</v>
      </c>
      <c r="U209" s="19" t="s">
        <v>0</v>
      </c>
      <c r="V209" s="19" t="s">
        <v>0</v>
      </c>
      <c r="W209" s="19" t="s">
        <v>0</v>
      </c>
      <c r="X209" s="19" t="s">
        <v>0</v>
      </c>
      <c r="Y209" s="19" t="s">
        <v>0</v>
      </c>
      <c r="Z209" s="19" t="s">
        <v>0</v>
      </c>
      <c r="AA209" s="19" t="s">
        <v>0</v>
      </c>
    </row>
    <row r="210" spans="1:27" ht="15">
      <c r="A210" s="10">
        <f t="shared" si="9"/>
        <v>46000201</v>
      </c>
      <c r="B210" s="4" t="s">
        <v>2374</v>
      </c>
      <c r="C210" s="4" t="s">
        <v>62</v>
      </c>
      <c r="D210" s="11">
        <f>IFERROR(VLOOKUP(C210,ShipShapeEnum!$E:$F,2,FALSE),"-")</f>
        <v>1</v>
      </c>
      <c r="E210" s="19" t="s">
        <v>2371</v>
      </c>
      <c r="F210" s="4" t="s">
        <v>61</v>
      </c>
      <c r="G210" s="11">
        <f>IFERROR(VLOOKUP(F210,ShipShapeEnum!$B:$C,2,FALSE),"-")</f>
        <v>1</v>
      </c>
      <c r="H210" s="19" t="s">
        <v>0</v>
      </c>
      <c r="I210" s="19" t="s">
        <v>0</v>
      </c>
      <c r="J210" s="19" t="s">
        <v>0</v>
      </c>
      <c r="K210" s="19" t="s">
        <v>0</v>
      </c>
      <c r="L210" s="19" t="s">
        <v>0</v>
      </c>
      <c r="M210" s="4" t="s">
        <v>81</v>
      </c>
      <c r="N210" s="11">
        <f>IFERROR(VLOOKUP(M210,ShipShapeEnum!$H:$I,2,FALSE),"-")</f>
        <v>1</v>
      </c>
      <c r="O210" s="11" t="s">
        <v>2688</v>
      </c>
      <c r="P210" s="30"/>
      <c r="Q210" s="11" t="str">
        <f>IFERROR(INDEX(SailPattern!$A:$A,MATCH(P210,SailPattern!$B:$B,0)),"-")</f>
        <v>-</v>
      </c>
      <c r="R210" s="30"/>
      <c r="S210" s="11" t="str">
        <f>IFERROR(INDEX(SailCrest!$A:$A,MATCH(R210,SailCrest!$B:$B,0)),"-")</f>
        <v>-</v>
      </c>
      <c r="T210" s="19" t="s">
        <v>0</v>
      </c>
      <c r="U210" s="19" t="s">
        <v>0</v>
      </c>
      <c r="V210" s="19" t="s">
        <v>0</v>
      </c>
      <c r="W210" s="19" t="s">
        <v>0</v>
      </c>
      <c r="X210" s="19" t="s">
        <v>0</v>
      </c>
      <c r="Y210" s="19" t="s">
        <v>0</v>
      </c>
      <c r="Z210" s="19" t="s">
        <v>0</v>
      </c>
      <c r="AA210" s="19" t="s">
        <v>0</v>
      </c>
    </row>
    <row r="211" spans="1:27" ht="15">
      <c r="A211" s="10">
        <f t="shared" si="9"/>
        <v>46000202</v>
      </c>
      <c r="B211" s="4" t="s">
        <v>2377</v>
      </c>
      <c r="C211" s="4" t="s">
        <v>62</v>
      </c>
      <c r="D211" s="11">
        <f>IFERROR(VLOOKUP(C211,ShipShapeEnum!$E:$F,2,FALSE),"-")</f>
        <v>1</v>
      </c>
      <c r="E211" s="19" t="s">
        <v>2378</v>
      </c>
      <c r="F211" s="4" t="s">
        <v>61</v>
      </c>
      <c r="G211" s="11">
        <f>IFERROR(VLOOKUP(F211,ShipShapeEnum!$B:$C,2,FALSE),"-")</f>
        <v>1</v>
      </c>
      <c r="H211" s="19" t="s">
        <v>0</v>
      </c>
      <c r="I211" s="19" t="s">
        <v>0</v>
      </c>
      <c r="J211" s="19" t="s">
        <v>0</v>
      </c>
      <c r="K211" s="19" t="s">
        <v>0</v>
      </c>
      <c r="L211" s="19" t="s">
        <v>0</v>
      </c>
      <c r="M211" s="4" t="s">
        <v>81</v>
      </c>
      <c r="N211" s="11">
        <f>IFERROR(VLOOKUP(M211,ShipShapeEnum!$H:$I,2,FALSE),"-")</f>
        <v>1</v>
      </c>
      <c r="O211" s="11" t="s">
        <v>2688</v>
      </c>
      <c r="P211" s="30"/>
      <c r="Q211" s="11" t="str">
        <f>IFERROR(INDEX(SailPattern!$A:$A,MATCH(P211,SailPattern!$B:$B,0)),"-")</f>
        <v>-</v>
      </c>
      <c r="R211" s="30"/>
      <c r="S211" s="11" t="str">
        <f>IFERROR(INDEX(SailCrest!$A:$A,MATCH(R211,SailCrest!$B:$B,0)),"-")</f>
        <v>-</v>
      </c>
      <c r="T211" s="19" t="s">
        <v>0</v>
      </c>
      <c r="U211" s="19" t="s">
        <v>0</v>
      </c>
      <c r="V211" s="19" t="s">
        <v>0</v>
      </c>
      <c r="W211" s="19" t="s">
        <v>0</v>
      </c>
      <c r="X211" s="19" t="s">
        <v>0</v>
      </c>
      <c r="Y211" s="19" t="s">
        <v>0</v>
      </c>
      <c r="Z211" s="19" t="s">
        <v>0</v>
      </c>
      <c r="AA211" s="19" t="s">
        <v>0</v>
      </c>
    </row>
    <row r="212" spans="1:27" ht="15">
      <c r="A212" s="10">
        <f t="shared" si="9"/>
        <v>46000203</v>
      </c>
      <c r="B212" s="4" t="s">
        <v>2385</v>
      </c>
      <c r="C212" s="4" t="s">
        <v>62</v>
      </c>
      <c r="D212" s="11">
        <f>IFERROR(VLOOKUP(C212,ShipShapeEnum!$E:$F,2,FALSE),"-")</f>
        <v>1</v>
      </c>
      <c r="E212" s="19" t="s">
        <v>2386</v>
      </c>
      <c r="F212" s="4" t="s">
        <v>61</v>
      </c>
      <c r="G212" s="11">
        <f>IFERROR(VLOOKUP(F212,ShipShapeEnum!$B:$C,2,FALSE),"-")</f>
        <v>1</v>
      </c>
      <c r="H212" s="19" t="s">
        <v>0</v>
      </c>
      <c r="I212" s="19" t="s">
        <v>0</v>
      </c>
      <c r="J212" s="19" t="s">
        <v>0</v>
      </c>
      <c r="K212" s="19" t="s">
        <v>0</v>
      </c>
      <c r="L212" s="19" t="s">
        <v>0</v>
      </c>
      <c r="M212" s="4" t="s">
        <v>81</v>
      </c>
      <c r="N212" s="11">
        <f>IFERROR(VLOOKUP(M212,ShipShapeEnum!$H:$I,2,FALSE),"-")</f>
        <v>1</v>
      </c>
      <c r="O212" s="11" t="s">
        <v>2688</v>
      </c>
      <c r="P212" s="30"/>
      <c r="Q212" s="11" t="str">
        <f>IFERROR(INDEX(SailPattern!$A:$A,MATCH(P212,SailPattern!$B:$B,0)),"-")</f>
        <v>-</v>
      </c>
      <c r="R212" s="30"/>
      <c r="S212" s="11" t="str">
        <f>IFERROR(INDEX(SailCrest!$A:$A,MATCH(R212,SailCrest!$B:$B,0)),"-")</f>
        <v>-</v>
      </c>
      <c r="T212" s="19" t="s">
        <v>0</v>
      </c>
      <c r="U212" s="19" t="s">
        <v>0</v>
      </c>
      <c r="V212" s="19" t="s">
        <v>0</v>
      </c>
      <c r="W212" s="19" t="s">
        <v>0</v>
      </c>
      <c r="X212" s="19" t="s">
        <v>0</v>
      </c>
      <c r="Y212" s="19" t="s">
        <v>0</v>
      </c>
      <c r="Z212" s="19" t="s">
        <v>0</v>
      </c>
      <c r="AA212" s="19" t="s">
        <v>0</v>
      </c>
    </row>
    <row r="213" spans="1:27" ht="15">
      <c r="A213" s="10">
        <f t="shared" si="9"/>
        <v>46000204</v>
      </c>
      <c r="B213" s="4" t="s">
        <v>2393</v>
      </c>
      <c r="C213" s="4" t="s">
        <v>62</v>
      </c>
      <c r="D213" s="11">
        <f>IFERROR(VLOOKUP(C213,ShipShapeEnum!$E:$F,2,FALSE),"-")</f>
        <v>1</v>
      </c>
      <c r="E213" s="19" t="s">
        <v>2394</v>
      </c>
      <c r="F213" s="4" t="s">
        <v>61</v>
      </c>
      <c r="G213" s="11">
        <f>IFERROR(VLOOKUP(F213,ShipShapeEnum!$B:$C,2,FALSE),"-")</f>
        <v>1</v>
      </c>
      <c r="H213" s="19" t="s">
        <v>0</v>
      </c>
      <c r="I213" s="19" t="s">
        <v>0</v>
      </c>
      <c r="J213" s="19" t="s">
        <v>0</v>
      </c>
      <c r="K213" s="19" t="s">
        <v>0</v>
      </c>
      <c r="L213" s="19" t="s">
        <v>0</v>
      </c>
      <c r="M213" s="4" t="s">
        <v>81</v>
      </c>
      <c r="N213" s="11">
        <f>IFERROR(VLOOKUP(M213,ShipShapeEnum!$H:$I,2,FALSE),"-")</f>
        <v>1</v>
      </c>
      <c r="O213" s="11" t="s">
        <v>2688</v>
      </c>
      <c r="P213" s="30"/>
      <c r="Q213" s="11" t="str">
        <f>IFERROR(INDEX(SailPattern!$A:$A,MATCH(P213,SailPattern!$B:$B,0)),"-")</f>
        <v>-</v>
      </c>
      <c r="R213" s="30"/>
      <c r="S213" s="11" t="str">
        <f>IFERROR(INDEX(SailCrest!$A:$A,MATCH(R213,SailCrest!$B:$B,0)),"-")</f>
        <v>-</v>
      </c>
      <c r="T213" s="19" t="s">
        <v>0</v>
      </c>
      <c r="U213" s="19" t="s">
        <v>0</v>
      </c>
      <c r="V213" s="19" t="s">
        <v>0</v>
      </c>
      <c r="W213" s="19" t="s">
        <v>0</v>
      </c>
      <c r="X213" s="19" t="s">
        <v>0</v>
      </c>
      <c r="Y213" s="19" t="s">
        <v>0</v>
      </c>
      <c r="Z213" s="19" t="s">
        <v>0</v>
      </c>
      <c r="AA213" s="19" t="s">
        <v>0</v>
      </c>
    </row>
    <row r="214" spans="1:27" ht="15">
      <c r="A214" s="10">
        <f t="shared" si="9"/>
        <v>46000205</v>
      </c>
      <c r="B214" s="4" t="s">
        <v>2401</v>
      </c>
      <c r="C214" s="4" t="s">
        <v>62</v>
      </c>
      <c r="D214" s="11">
        <f>IFERROR(VLOOKUP(C214,ShipShapeEnum!$E:$F,2,FALSE),"-")</f>
        <v>1</v>
      </c>
      <c r="E214" s="19" t="s">
        <v>2402</v>
      </c>
      <c r="F214" s="4" t="s">
        <v>61</v>
      </c>
      <c r="G214" s="11">
        <f>IFERROR(VLOOKUP(F214,ShipShapeEnum!$B:$C,2,FALSE),"-")</f>
        <v>1</v>
      </c>
      <c r="H214" s="19" t="s">
        <v>0</v>
      </c>
      <c r="I214" s="19" t="s">
        <v>0</v>
      </c>
      <c r="J214" s="19" t="s">
        <v>0</v>
      </c>
      <c r="K214" s="19" t="s">
        <v>0</v>
      </c>
      <c r="L214" s="19" t="s">
        <v>0</v>
      </c>
      <c r="M214" s="4" t="s">
        <v>81</v>
      </c>
      <c r="N214" s="11">
        <f>IFERROR(VLOOKUP(M214,ShipShapeEnum!$H:$I,2,FALSE),"-")</f>
        <v>1</v>
      </c>
      <c r="O214" s="11" t="s">
        <v>2688</v>
      </c>
      <c r="P214" s="30"/>
      <c r="Q214" s="11" t="str">
        <f>IFERROR(INDEX(SailPattern!$A:$A,MATCH(P214,SailPattern!$B:$B,0)),"-")</f>
        <v>-</v>
      </c>
      <c r="R214" s="30"/>
      <c r="S214" s="11" t="str">
        <f>IFERROR(INDEX(SailCrest!$A:$A,MATCH(R214,SailCrest!$B:$B,0)),"-")</f>
        <v>-</v>
      </c>
      <c r="T214" s="19" t="s">
        <v>0</v>
      </c>
      <c r="U214" s="19" t="s">
        <v>0</v>
      </c>
      <c r="V214" s="19" t="s">
        <v>0</v>
      </c>
      <c r="W214" s="19" t="s">
        <v>0</v>
      </c>
      <c r="X214" s="19" t="s">
        <v>0</v>
      </c>
      <c r="Y214" s="19" t="s">
        <v>0</v>
      </c>
      <c r="Z214" s="19" t="s">
        <v>0</v>
      </c>
      <c r="AA214" s="19" t="s">
        <v>0</v>
      </c>
    </row>
    <row r="215" spans="1:27" ht="15">
      <c r="A215" s="10">
        <f t="shared" si="9"/>
        <v>46000206</v>
      </c>
      <c r="B215" s="4" t="s">
        <v>2409</v>
      </c>
      <c r="C215" s="4" t="s">
        <v>62</v>
      </c>
      <c r="D215" s="11">
        <f>IFERROR(VLOOKUP(C215,ShipShapeEnum!$E:$F,2,FALSE),"-")</f>
        <v>1</v>
      </c>
      <c r="E215" s="19" t="s">
        <v>2410</v>
      </c>
      <c r="F215" s="4" t="s">
        <v>61</v>
      </c>
      <c r="G215" s="11">
        <f>IFERROR(VLOOKUP(F215,ShipShapeEnum!$B:$C,2,FALSE),"-")</f>
        <v>1</v>
      </c>
      <c r="H215" s="19" t="s">
        <v>0</v>
      </c>
      <c r="I215" s="19" t="s">
        <v>0</v>
      </c>
      <c r="J215" s="19" t="s">
        <v>0</v>
      </c>
      <c r="K215" s="19" t="s">
        <v>0</v>
      </c>
      <c r="L215" s="19" t="s">
        <v>0</v>
      </c>
      <c r="M215" s="4" t="s">
        <v>81</v>
      </c>
      <c r="N215" s="11">
        <f>IFERROR(VLOOKUP(M215,ShipShapeEnum!$H:$I,2,FALSE),"-")</f>
        <v>1</v>
      </c>
      <c r="O215" s="11" t="s">
        <v>2688</v>
      </c>
      <c r="P215" s="30"/>
      <c r="Q215" s="11" t="str">
        <f>IFERROR(INDEX(SailPattern!$A:$A,MATCH(P215,SailPattern!$B:$B,0)),"-")</f>
        <v>-</v>
      </c>
      <c r="R215" s="30"/>
      <c r="S215" s="11" t="str">
        <f>IFERROR(INDEX(SailCrest!$A:$A,MATCH(R215,SailCrest!$B:$B,0)),"-")</f>
        <v>-</v>
      </c>
      <c r="T215" s="19" t="s">
        <v>0</v>
      </c>
      <c r="U215" s="19" t="s">
        <v>0</v>
      </c>
      <c r="V215" s="19" t="s">
        <v>0</v>
      </c>
      <c r="W215" s="19" t="s">
        <v>0</v>
      </c>
      <c r="X215" s="19" t="s">
        <v>0</v>
      </c>
      <c r="Y215" s="19" t="s">
        <v>0</v>
      </c>
      <c r="Z215" s="19" t="s">
        <v>0</v>
      </c>
      <c r="AA215" s="19" t="s">
        <v>0</v>
      </c>
    </row>
    <row r="216" spans="1:27" ht="15">
      <c r="A216" s="10">
        <f t="shared" si="9"/>
        <v>46000207</v>
      </c>
      <c r="B216" s="4" t="s">
        <v>2418</v>
      </c>
      <c r="C216" s="4" t="s">
        <v>62</v>
      </c>
      <c r="D216" s="11">
        <f>IFERROR(VLOOKUP(C216,ShipShapeEnum!$E:$F,2,FALSE),"-")</f>
        <v>1</v>
      </c>
      <c r="E216" s="19" t="s">
        <v>2419</v>
      </c>
      <c r="F216" s="4" t="s">
        <v>61</v>
      </c>
      <c r="G216" s="11">
        <f>IFERROR(VLOOKUP(F216,ShipShapeEnum!$B:$C,2,FALSE),"-")</f>
        <v>1</v>
      </c>
      <c r="H216" s="19" t="s">
        <v>0</v>
      </c>
      <c r="I216" s="19" t="s">
        <v>0</v>
      </c>
      <c r="J216" s="19" t="s">
        <v>0</v>
      </c>
      <c r="K216" s="19" t="s">
        <v>0</v>
      </c>
      <c r="L216" s="19" t="s">
        <v>0</v>
      </c>
      <c r="M216" s="4" t="s">
        <v>81</v>
      </c>
      <c r="N216" s="11">
        <f>IFERROR(VLOOKUP(M216,ShipShapeEnum!$H:$I,2,FALSE),"-")</f>
        <v>1</v>
      </c>
      <c r="O216" s="11" t="s">
        <v>2688</v>
      </c>
      <c r="P216" s="30"/>
      <c r="Q216" s="11" t="str">
        <f>IFERROR(INDEX(SailPattern!$A:$A,MATCH(P216,SailPattern!$B:$B,0)),"-")</f>
        <v>-</v>
      </c>
      <c r="R216" s="30"/>
      <c r="S216" s="11" t="str">
        <f>IFERROR(INDEX(SailCrest!$A:$A,MATCH(R216,SailCrest!$B:$B,0)),"-")</f>
        <v>-</v>
      </c>
      <c r="T216" s="19" t="s">
        <v>0</v>
      </c>
      <c r="U216" s="19" t="s">
        <v>0</v>
      </c>
      <c r="V216" s="19" t="s">
        <v>0</v>
      </c>
      <c r="W216" s="19" t="s">
        <v>0</v>
      </c>
      <c r="X216" s="19" t="s">
        <v>0</v>
      </c>
      <c r="Y216" s="19" t="s">
        <v>0</v>
      </c>
      <c r="Z216" s="19" t="s">
        <v>0</v>
      </c>
      <c r="AA216" s="19" t="s">
        <v>0</v>
      </c>
    </row>
    <row r="217" spans="1:27" ht="15">
      <c r="A217" s="10">
        <f t="shared" si="9"/>
        <v>46000208</v>
      </c>
      <c r="B217" s="4" t="s">
        <v>2631</v>
      </c>
      <c r="C217" s="4" t="s">
        <v>62</v>
      </c>
      <c r="D217" s="11">
        <f>IFERROR(VLOOKUP(C217,ShipShapeEnum!$E:$F,2,FALSE),"-")</f>
        <v>1</v>
      </c>
      <c r="E217" s="19" t="s">
        <v>2629</v>
      </c>
      <c r="F217" s="4" t="s">
        <v>61</v>
      </c>
      <c r="G217" s="11">
        <f>IFERROR(VLOOKUP(F217,ShipShapeEnum!$B:$C,2,FALSE),"-")</f>
        <v>1</v>
      </c>
      <c r="H217" s="19" t="s">
        <v>0</v>
      </c>
      <c r="I217" s="19" t="s">
        <v>0</v>
      </c>
      <c r="J217" s="19" t="s">
        <v>0</v>
      </c>
      <c r="K217" s="19" t="s">
        <v>0</v>
      </c>
      <c r="L217" s="19" t="s">
        <v>0</v>
      </c>
      <c r="M217" s="4" t="s">
        <v>81</v>
      </c>
      <c r="N217" s="11">
        <f>IFERROR(VLOOKUP(M217,ShipShapeEnum!$H:$I,2,FALSE),"-")</f>
        <v>1</v>
      </c>
      <c r="O217" s="11" t="s">
        <v>2688</v>
      </c>
      <c r="P217" s="30"/>
      <c r="Q217" s="11" t="str">
        <f>IFERROR(INDEX(SailPattern!$A:$A,MATCH(P217,SailPattern!$B:$B,0)),"-")</f>
        <v>-</v>
      </c>
      <c r="R217" s="30"/>
      <c r="S217" s="11" t="str">
        <f>IFERROR(INDEX(SailCrest!$A:$A,MATCH(R217,SailCrest!$B:$B,0)),"-")</f>
        <v>-</v>
      </c>
      <c r="T217" s="19" t="s">
        <v>0</v>
      </c>
      <c r="U217" s="19" t="s">
        <v>0</v>
      </c>
      <c r="V217" s="19" t="s">
        <v>0</v>
      </c>
      <c r="W217" s="19" t="s">
        <v>0</v>
      </c>
      <c r="X217" s="19" t="s">
        <v>0</v>
      </c>
      <c r="Y217" s="19" t="s">
        <v>0</v>
      </c>
      <c r="Z217" s="19" t="s">
        <v>0</v>
      </c>
      <c r="AA217" s="19" t="s">
        <v>0</v>
      </c>
    </row>
    <row r="218" spans="1:27" ht="15">
      <c r="A218" s="10">
        <f t="shared" si="9"/>
        <v>46000209</v>
      </c>
      <c r="B218" s="4" t="s">
        <v>2655</v>
      </c>
      <c r="C218" s="4" t="s">
        <v>62</v>
      </c>
      <c r="D218" s="11">
        <f>IFERROR(VLOOKUP(C218,ShipShapeEnum!$E:$F,2,FALSE),"-")</f>
        <v>1</v>
      </c>
      <c r="E218" s="19" t="s">
        <v>2656</v>
      </c>
      <c r="F218" s="4" t="s">
        <v>61</v>
      </c>
      <c r="G218" s="11">
        <f>IFERROR(VLOOKUP(F218,ShipShapeEnum!$B:$C,2,FALSE),"-")</f>
        <v>1</v>
      </c>
      <c r="H218" s="19" t="s">
        <v>0</v>
      </c>
      <c r="I218" s="19" t="s">
        <v>0</v>
      </c>
      <c r="J218" s="19" t="s">
        <v>0</v>
      </c>
      <c r="K218" s="19" t="s">
        <v>0</v>
      </c>
      <c r="L218" s="19" t="s">
        <v>0</v>
      </c>
      <c r="M218" s="4" t="s">
        <v>81</v>
      </c>
      <c r="N218" s="11">
        <f>IFERROR(VLOOKUP(M218,ShipShapeEnum!$H:$I,2,FALSE),"-")</f>
        <v>1</v>
      </c>
      <c r="O218" s="11" t="s">
        <v>2688</v>
      </c>
      <c r="P218" s="30"/>
      <c r="Q218" s="11" t="str">
        <f>IFERROR(INDEX(SailPattern!$A:$A,MATCH(P218,SailPattern!$B:$B,0)),"-")</f>
        <v>-</v>
      </c>
      <c r="R218" s="30"/>
      <c r="S218" s="11" t="str">
        <f>IFERROR(INDEX(SailCrest!$A:$A,MATCH(R218,SailCrest!$B:$B,0)),"-")</f>
        <v>-</v>
      </c>
      <c r="T218" s="19" t="s">
        <v>0</v>
      </c>
      <c r="U218" s="19" t="s">
        <v>0</v>
      </c>
      <c r="V218" s="19" t="s">
        <v>0</v>
      </c>
      <c r="W218" s="19" t="s">
        <v>0</v>
      </c>
      <c r="X218" s="19" t="s">
        <v>0</v>
      </c>
      <c r="Y218" s="19" t="s">
        <v>0</v>
      </c>
      <c r="Z218" s="19" t="s">
        <v>0</v>
      </c>
      <c r="AA218" s="19" t="s">
        <v>0</v>
      </c>
    </row>
    <row r="219" spans="1:27" ht="15">
      <c r="A219" s="10">
        <f t="shared" si="9"/>
        <v>46000210</v>
      </c>
      <c r="B219" s="4" t="s">
        <v>2716</v>
      </c>
      <c r="C219" s="4" t="s">
        <v>62</v>
      </c>
      <c r="D219" s="11">
        <f>IFERROR(VLOOKUP(C219,ShipShapeEnum!$E:$F,2,FALSE),"-")</f>
        <v>1</v>
      </c>
      <c r="E219" s="214" t="s">
        <v>2713</v>
      </c>
      <c r="F219" s="4" t="s">
        <v>61</v>
      </c>
      <c r="G219" s="11">
        <f>IFERROR(VLOOKUP(F219,ShipShapeEnum!$B:$C,2,FALSE),"-")</f>
        <v>1</v>
      </c>
      <c r="H219" s="19" t="s">
        <v>0</v>
      </c>
      <c r="I219" s="19" t="s">
        <v>0</v>
      </c>
      <c r="J219" s="19" t="s">
        <v>0</v>
      </c>
      <c r="K219" s="19" t="s">
        <v>0</v>
      </c>
      <c r="L219" s="19" t="s">
        <v>0</v>
      </c>
      <c r="M219" s="4" t="s">
        <v>81</v>
      </c>
      <c r="N219" s="11">
        <f>IFERROR(VLOOKUP(M219,ShipShapeEnum!$H:$I,2,FALSE),"-")</f>
        <v>1</v>
      </c>
      <c r="O219" s="11" t="s">
        <v>0</v>
      </c>
      <c r="P219" s="30"/>
      <c r="Q219" s="11" t="str">
        <f>IFERROR(INDEX(SailPattern!$A:$A,MATCH(P219,SailPattern!$B:$B,0)),"-")</f>
        <v>-</v>
      </c>
      <c r="R219" s="30"/>
      <c r="S219" s="11" t="str">
        <f>IFERROR(INDEX(SailCrest!$A:$A,MATCH(R219,SailCrest!$B:$B,0)),"-")</f>
        <v>-</v>
      </c>
      <c r="T219" s="19" t="s">
        <v>0</v>
      </c>
      <c r="U219" s="19" t="s">
        <v>0</v>
      </c>
      <c r="V219" s="19" t="s">
        <v>0</v>
      </c>
      <c r="W219" s="19" t="s">
        <v>0</v>
      </c>
      <c r="X219" s="19" t="s">
        <v>0</v>
      </c>
      <c r="Y219" s="19" t="s">
        <v>0</v>
      </c>
      <c r="Z219" s="19" t="s">
        <v>0</v>
      </c>
      <c r="AA219" s="19" t="s">
        <v>0</v>
      </c>
    </row>
    <row r="220" spans="1:27" ht="15">
      <c r="A220" s="10">
        <f t="shared" si="9"/>
        <v>46000211</v>
      </c>
      <c r="B220" s="208" t="s">
        <v>2719</v>
      </c>
      <c r="C220" s="4" t="s">
        <v>62</v>
      </c>
      <c r="D220" s="11">
        <f>IFERROR(VLOOKUP(C220,ShipShapeEnum!$E:$F,2,FALSE),"-")</f>
        <v>1</v>
      </c>
      <c r="E220" s="214" t="s">
        <v>2720</v>
      </c>
      <c r="F220" s="4" t="s">
        <v>61</v>
      </c>
      <c r="G220" s="11">
        <f>IFERROR(VLOOKUP(F220,ShipShapeEnum!$B:$C,2,FALSE),"-")</f>
        <v>1</v>
      </c>
      <c r="H220" s="19" t="s">
        <v>0</v>
      </c>
      <c r="I220" s="19" t="s">
        <v>0</v>
      </c>
      <c r="J220" s="19" t="s">
        <v>0</v>
      </c>
      <c r="K220" s="19" t="s">
        <v>0</v>
      </c>
      <c r="L220" s="19" t="s">
        <v>0</v>
      </c>
      <c r="M220" s="4" t="s">
        <v>81</v>
      </c>
      <c r="N220" s="11">
        <f>IFERROR(VLOOKUP(M220,ShipShapeEnum!$H:$I,2,FALSE),"-")</f>
        <v>1</v>
      </c>
      <c r="O220" s="11" t="s">
        <v>0</v>
      </c>
      <c r="P220" s="30"/>
      <c r="Q220" s="11" t="str">
        <f>IFERROR(INDEX(SailPattern!$A:$A,MATCH(P220,SailPattern!$B:$B,0)),"-")</f>
        <v>-</v>
      </c>
      <c r="R220" s="30"/>
      <c r="S220" s="11" t="str">
        <f>IFERROR(INDEX(SailCrest!$A:$A,MATCH(R220,SailCrest!$B:$B,0)),"-")</f>
        <v>-</v>
      </c>
      <c r="T220" s="19" t="s">
        <v>0</v>
      </c>
      <c r="U220" s="19" t="s">
        <v>0</v>
      </c>
      <c r="V220" s="19" t="s">
        <v>0</v>
      </c>
      <c r="W220" s="19" t="s">
        <v>0</v>
      </c>
      <c r="X220" s="19" t="s">
        <v>0</v>
      </c>
      <c r="Y220" s="19" t="s">
        <v>0</v>
      </c>
      <c r="Z220" s="19" t="s">
        <v>0</v>
      </c>
      <c r="AA220" s="19" t="s">
        <v>0</v>
      </c>
    </row>
    <row r="221" spans="1:27" ht="15">
      <c r="A221" s="10">
        <f t="shared" si="9"/>
        <v>46000212</v>
      </c>
      <c r="B221" s="4" t="s">
        <v>2734</v>
      </c>
      <c r="C221" s="4" t="s">
        <v>62</v>
      </c>
      <c r="D221" s="11">
        <f>IFERROR(VLOOKUP(C221,ShipShapeEnum!$E:$F,2,FALSE),"-")</f>
        <v>1</v>
      </c>
      <c r="E221" s="214" t="s">
        <v>2728</v>
      </c>
      <c r="F221" s="4" t="s">
        <v>61</v>
      </c>
      <c r="G221" s="11">
        <f>IFERROR(VLOOKUP(F221,ShipShapeEnum!$B:$C,2,FALSE),"-")</f>
        <v>1</v>
      </c>
      <c r="H221" s="19" t="s">
        <v>0</v>
      </c>
      <c r="I221" s="19" t="s">
        <v>0</v>
      </c>
      <c r="J221" s="19" t="s">
        <v>0</v>
      </c>
      <c r="K221" s="19" t="s">
        <v>0</v>
      </c>
      <c r="L221" s="19" t="s">
        <v>0</v>
      </c>
      <c r="M221" s="4" t="s">
        <v>81</v>
      </c>
      <c r="N221" s="11">
        <f>IFERROR(VLOOKUP(M221,ShipShapeEnum!$H:$I,2,FALSE),"-")</f>
        <v>1</v>
      </c>
      <c r="O221" s="11" t="s">
        <v>0</v>
      </c>
      <c r="P221" s="30"/>
      <c r="Q221" s="11" t="str">
        <f>IFERROR(INDEX(SailPattern!$A:$A,MATCH(P221,SailPattern!$B:$B,0)),"-")</f>
        <v>-</v>
      </c>
      <c r="R221" s="30"/>
      <c r="S221" s="11" t="str">
        <f>IFERROR(INDEX(SailCrest!$A:$A,MATCH(R221,SailCrest!$B:$B,0)),"-")</f>
        <v>-</v>
      </c>
      <c r="T221" s="19" t="s">
        <v>0</v>
      </c>
      <c r="U221" s="19" t="s">
        <v>0</v>
      </c>
      <c r="V221" s="19" t="s">
        <v>0</v>
      </c>
      <c r="W221" s="19" t="s">
        <v>0</v>
      </c>
      <c r="X221" s="19" t="s">
        <v>0</v>
      </c>
      <c r="Y221" s="19" t="s">
        <v>0</v>
      </c>
      <c r="Z221" s="19" t="s">
        <v>0</v>
      </c>
      <c r="AA221" s="19" t="s">
        <v>0</v>
      </c>
    </row>
    <row r="222" spans="1:27" ht="15">
      <c r="A222" s="10">
        <f t="shared" si="9"/>
        <v>46000213</v>
      </c>
      <c r="B222" s="4" t="s">
        <v>2747</v>
      </c>
      <c r="C222" s="4" t="s">
        <v>62</v>
      </c>
      <c r="D222" s="11">
        <f>IFERROR(VLOOKUP(C222,ShipShapeEnum!$E:$F,2,FALSE),"-")</f>
        <v>1</v>
      </c>
      <c r="E222" s="214" t="s">
        <v>2748</v>
      </c>
      <c r="F222" s="4" t="s">
        <v>61</v>
      </c>
      <c r="G222" s="11">
        <f>IFERROR(VLOOKUP(F222,ShipShapeEnum!$B:$C,2,FALSE),"-")</f>
        <v>1</v>
      </c>
      <c r="H222" s="19" t="s">
        <v>0</v>
      </c>
      <c r="I222" s="19" t="s">
        <v>0</v>
      </c>
      <c r="J222" s="19" t="s">
        <v>0</v>
      </c>
      <c r="K222" s="19" t="s">
        <v>0</v>
      </c>
      <c r="L222" s="19" t="s">
        <v>0</v>
      </c>
      <c r="M222" s="4" t="s">
        <v>81</v>
      </c>
      <c r="N222" s="11">
        <f>IFERROR(VLOOKUP(M222,ShipShapeEnum!$H:$I,2,FALSE),"-")</f>
        <v>1</v>
      </c>
      <c r="O222" s="11" t="s">
        <v>0</v>
      </c>
      <c r="P222" s="30"/>
      <c r="Q222" s="11" t="str">
        <f>IFERROR(INDEX(SailPattern!$A:$A,MATCH(P222,SailPattern!$B:$B,0)),"-")</f>
        <v>-</v>
      </c>
      <c r="R222" s="30"/>
      <c r="S222" s="11" t="str">
        <f>IFERROR(INDEX(SailCrest!$A:$A,MATCH(R222,SailCrest!$B:$B,0)),"-")</f>
        <v>-</v>
      </c>
      <c r="T222" s="19" t="s">
        <v>0</v>
      </c>
      <c r="U222" s="19" t="s">
        <v>0</v>
      </c>
      <c r="V222" s="19" t="s">
        <v>0</v>
      </c>
      <c r="W222" s="19" t="s">
        <v>0</v>
      </c>
      <c r="X222" s="19" t="s">
        <v>0</v>
      </c>
      <c r="Y222" s="19" t="s">
        <v>0</v>
      </c>
      <c r="Z222" s="19" t="s">
        <v>0</v>
      </c>
      <c r="AA222" s="19" t="s">
        <v>0</v>
      </c>
    </row>
    <row r="223" spans="1:27" ht="15">
      <c r="A223" s="10">
        <f t="shared" si="9"/>
        <v>46000214</v>
      </c>
      <c r="B223" s="4" t="s">
        <v>2752</v>
      </c>
      <c r="C223" s="4" t="s">
        <v>62</v>
      </c>
      <c r="D223" s="11">
        <f>IFERROR(VLOOKUP(C223,ShipShapeEnum!$E:$F,2,FALSE),"-")</f>
        <v>1</v>
      </c>
      <c r="E223" s="214" t="s">
        <v>2753</v>
      </c>
      <c r="F223" s="4" t="s">
        <v>61</v>
      </c>
      <c r="G223" s="11">
        <f>IFERROR(VLOOKUP(F223,ShipShapeEnum!$B:$C,2,FALSE),"-")</f>
        <v>1</v>
      </c>
      <c r="H223" s="19" t="s">
        <v>0</v>
      </c>
      <c r="I223" s="19" t="s">
        <v>0</v>
      </c>
      <c r="J223" s="19" t="s">
        <v>0</v>
      </c>
      <c r="K223" s="19" t="s">
        <v>0</v>
      </c>
      <c r="L223" s="19" t="s">
        <v>0</v>
      </c>
      <c r="M223" s="4" t="s">
        <v>81</v>
      </c>
      <c r="N223" s="11">
        <f>IFERROR(VLOOKUP(M223,ShipShapeEnum!$H:$I,2,FALSE),"-")</f>
        <v>1</v>
      </c>
      <c r="O223" s="11" t="s">
        <v>0</v>
      </c>
      <c r="P223" s="30"/>
      <c r="Q223" s="11" t="str">
        <f>IFERROR(INDEX(SailPattern!$A:$A,MATCH(P223,SailPattern!$B:$B,0)),"-")</f>
        <v>-</v>
      </c>
      <c r="R223" s="30"/>
      <c r="S223" s="11" t="str">
        <f>IFERROR(INDEX(SailCrest!$A:$A,MATCH(R223,SailCrest!$B:$B,0)),"-")</f>
        <v>-</v>
      </c>
      <c r="T223" s="19" t="s">
        <v>0</v>
      </c>
      <c r="U223" s="19" t="s">
        <v>0</v>
      </c>
      <c r="V223" s="19" t="s">
        <v>0</v>
      </c>
      <c r="W223" s="19" t="s">
        <v>0</v>
      </c>
      <c r="X223" s="19" t="s">
        <v>0</v>
      </c>
      <c r="Y223" s="19" t="s">
        <v>0</v>
      </c>
      <c r="Z223" s="19" t="s">
        <v>0</v>
      </c>
      <c r="AA223" s="19" t="s">
        <v>0</v>
      </c>
    </row>
    <row r="224" spans="1:27" ht="15">
      <c r="A224" s="10">
        <f t="shared" si="9"/>
        <v>46000215</v>
      </c>
      <c r="B224" s="4" t="s">
        <v>2757</v>
      </c>
      <c r="C224" s="4" t="s">
        <v>62</v>
      </c>
      <c r="D224" s="11">
        <f>IFERROR(VLOOKUP(C224,ShipShapeEnum!$E:$F,2,FALSE),"-")</f>
        <v>1</v>
      </c>
      <c r="E224" s="214" t="s">
        <v>2758</v>
      </c>
      <c r="F224" s="4" t="s">
        <v>61</v>
      </c>
      <c r="G224" s="11">
        <f>IFERROR(VLOOKUP(F224,ShipShapeEnum!$B:$C,2,FALSE),"-")</f>
        <v>1</v>
      </c>
      <c r="H224" s="19" t="s">
        <v>0</v>
      </c>
      <c r="I224" s="19" t="s">
        <v>0</v>
      </c>
      <c r="J224" s="19" t="s">
        <v>0</v>
      </c>
      <c r="K224" s="19" t="s">
        <v>0</v>
      </c>
      <c r="L224" s="19" t="s">
        <v>0</v>
      </c>
      <c r="M224" s="4" t="s">
        <v>81</v>
      </c>
      <c r="N224" s="11">
        <f>IFERROR(VLOOKUP(M224,ShipShapeEnum!$H:$I,2,FALSE),"-")</f>
        <v>1</v>
      </c>
      <c r="O224" s="11" t="s">
        <v>0</v>
      </c>
      <c r="P224" s="30"/>
      <c r="Q224" s="11" t="str">
        <f>IFERROR(INDEX(SailPattern!$A:$A,MATCH(P224,SailPattern!$B:$B,0)),"-")</f>
        <v>-</v>
      </c>
      <c r="R224" s="30"/>
      <c r="S224" s="11" t="str">
        <f>IFERROR(INDEX(SailCrest!$A:$A,MATCH(R224,SailCrest!$B:$B,0)),"-")</f>
        <v>-</v>
      </c>
      <c r="T224" s="19" t="s">
        <v>0</v>
      </c>
      <c r="U224" s="19" t="s">
        <v>0</v>
      </c>
      <c r="V224" s="19" t="s">
        <v>0</v>
      </c>
      <c r="W224" s="19" t="s">
        <v>0</v>
      </c>
      <c r="X224" s="19" t="s">
        <v>0</v>
      </c>
      <c r="Y224" s="19" t="s">
        <v>0</v>
      </c>
      <c r="Z224" s="19" t="s">
        <v>0</v>
      </c>
      <c r="AA224" s="19" t="s">
        <v>0</v>
      </c>
    </row>
    <row r="225" spans="1:27" ht="15">
      <c r="A225" s="10">
        <f t="shared" si="9"/>
        <v>46000216</v>
      </c>
      <c r="B225" s="4" t="s">
        <v>2777</v>
      </c>
      <c r="C225" s="4" t="s">
        <v>62</v>
      </c>
      <c r="D225" s="11">
        <f>IFERROR(VLOOKUP(C225,ShipShapeEnum!$E:$F,2,FALSE),"-")</f>
        <v>1</v>
      </c>
      <c r="E225" s="214" t="s">
        <v>2778</v>
      </c>
      <c r="F225" s="4" t="s">
        <v>61</v>
      </c>
      <c r="G225" s="11">
        <f>IFERROR(VLOOKUP(F225,ShipShapeEnum!$B:$C,2,FALSE),"-")</f>
        <v>1</v>
      </c>
      <c r="H225" s="19" t="s">
        <v>0</v>
      </c>
      <c r="I225" s="19" t="s">
        <v>0</v>
      </c>
      <c r="J225" s="19" t="s">
        <v>0</v>
      </c>
      <c r="K225" s="19" t="s">
        <v>0</v>
      </c>
      <c r="L225" s="19" t="s">
        <v>0</v>
      </c>
      <c r="M225" s="4" t="s">
        <v>81</v>
      </c>
      <c r="N225" s="11">
        <f>IFERROR(VLOOKUP(M225,ShipShapeEnum!$H:$I,2,FALSE),"-")</f>
        <v>1</v>
      </c>
      <c r="O225" s="11" t="s">
        <v>0</v>
      </c>
      <c r="P225" s="30"/>
      <c r="Q225" s="11" t="str">
        <f>IFERROR(INDEX(SailPattern!$A:$A,MATCH(P225,SailPattern!$B:$B,0)),"-")</f>
        <v>-</v>
      </c>
      <c r="R225" s="30"/>
      <c r="S225" s="11" t="str">
        <f>IFERROR(INDEX(SailCrest!$A:$A,MATCH(R225,SailCrest!$B:$B,0)),"-")</f>
        <v>-</v>
      </c>
      <c r="T225" s="19">
        <v>1</v>
      </c>
      <c r="U225" s="19" t="s">
        <v>2781</v>
      </c>
      <c r="V225" s="19">
        <v>2</v>
      </c>
      <c r="W225" s="19" t="s">
        <v>2782</v>
      </c>
      <c r="X225" s="19" t="s">
        <v>0</v>
      </c>
      <c r="Y225" s="19" t="s">
        <v>0</v>
      </c>
      <c r="Z225" s="19" t="s">
        <v>0</v>
      </c>
      <c r="AA225" s="19" t="s">
        <v>0</v>
      </c>
    </row>
    <row r="226" spans="1:27" ht="15">
      <c r="A226" s="10">
        <f t="shared" si="9"/>
        <v>46000217</v>
      </c>
      <c r="B226" s="4" t="s">
        <v>2784</v>
      </c>
      <c r="C226" s="4" t="s">
        <v>62</v>
      </c>
      <c r="D226" s="11">
        <f>IFERROR(VLOOKUP(C226,ShipShapeEnum!$E:$F,2,FALSE),"-")</f>
        <v>1</v>
      </c>
      <c r="E226" s="214" t="s">
        <v>2778</v>
      </c>
      <c r="F226" s="4" t="s">
        <v>61</v>
      </c>
      <c r="G226" s="11">
        <f>IFERROR(VLOOKUP(F226,ShipShapeEnum!$B:$C,2,FALSE),"-")</f>
        <v>1</v>
      </c>
      <c r="H226" s="19" t="s">
        <v>0</v>
      </c>
      <c r="I226" s="19" t="s">
        <v>0</v>
      </c>
      <c r="J226" s="19" t="s">
        <v>0</v>
      </c>
      <c r="K226" s="19" t="s">
        <v>0</v>
      </c>
      <c r="L226" s="19" t="s">
        <v>0</v>
      </c>
      <c r="M226" s="4" t="s">
        <v>81</v>
      </c>
      <c r="N226" s="11">
        <f>IFERROR(VLOOKUP(M226,ShipShapeEnum!$H:$I,2,FALSE),"-")</f>
        <v>1</v>
      </c>
      <c r="O226" s="11" t="s">
        <v>0</v>
      </c>
      <c r="P226" s="30"/>
      <c r="Q226" s="11" t="str">
        <f>IFERROR(INDEX(SailPattern!$A:$A,MATCH(P226,SailPattern!$B:$B,0)),"-")</f>
        <v>-</v>
      </c>
      <c r="R226" s="30"/>
      <c r="S226" s="11" t="str">
        <f>IFERROR(INDEX(SailCrest!$A:$A,MATCH(R226,SailCrest!$B:$B,0)),"-")</f>
        <v>-</v>
      </c>
      <c r="T226" s="19" t="s">
        <v>0</v>
      </c>
      <c r="U226" s="19" t="s">
        <v>0</v>
      </c>
      <c r="V226" s="19" t="s">
        <v>0</v>
      </c>
      <c r="W226" s="19" t="s">
        <v>0</v>
      </c>
      <c r="X226" s="19" t="s">
        <v>0</v>
      </c>
      <c r="Y226" s="19" t="s">
        <v>0</v>
      </c>
      <c r="Z226" s="19" t="s">
        <v>0</v>
      </c>
      <c r="AA226" s="19" t="s">
        <v>0</v>
      </c>
    </row>
    <row r="227" spans="1:27" ht="15">
      <c r="A227" s="10">
        <f t="shared" si="9"/>
        <v>46000218</v>
      </c>
      <c r="B227" s="4" t="s">
        <v>2801</v>
      </c>
      <c r="C227" s="4" t="s">
        <v>62</v>
      </c>
      <c r="D227" s="11">
        <f>IFERROR(VLOOKUP(C227,ShipShapeEnum!$E:$F,2,FALSE),"-")</f>
        <v>1</v>
      </c>
      <c r="E227" s="214" t="s">
        <v>2808</v>
      </c>
      <c r="F227" s="4" t="s">
        <v>61</v>
      </c>
      <c r="G227" s="11">
        <f>IFERROR(VLOOKUP(F227,ShipShapeEnum!$B:$C,2,FALSE),"-")</f>
        <v>1</v>
      </c>
      <c r="H227" s="19" t="s">
        <v>0</v>
      </c>
      <c r="I227" s="19" t="s">
        <v>0</v>
      </c>
      <c r="J227" s="19" t="s">
        <v>0</v>
      </c>
      <c r="K227" s="19" t="s">
        <v>0</v>
      </c>
      <c r="L227" s="19" t="s">
        <v>0</v>
      </c>
      <c r="M227" s="4" t="s">
        <v>81</v>
      </c>
      <c r="N227" s="11">
        <f>IFERROR(VLOOKUP(M227,ShipShapeEnum!$H:$I,2,FALSE),"-")</f>
        <v>1</v>
      </c>
      <c r="O227" s="11" t="s">
        <v>0</v>
      </c>
      <c r="P227" s="30"/>
      <c r="Q227" s="11" t="str">
        <f>IFERROR(INDEX(SailPattern!$A:$A,MATCH(P227,SailPattern!$B:$B,0)),"-")</f>
        <v>-</v>
      </c>
      <c r="R227" s="30"/>
      <c r="S227" s="11" t="str">
        <f>IFERROR(INDEX(SailCrest!$A:$A,MATCH(R227,SailCrest!$B:$B,0)),"-")</f>
        <v>-</v>
      </c>
      <c r="T227" s="19" t="s">
        <v>0</v>
      </c>
      <c r="U227" s="19" t="s">
        <v>0</v>
      </c>
      <c r="V227" s="19" t="s">
        <v>0</v>
      </c>
      <c r="W227" s="19" t="s">
        <v>0</v>
      </c>
      <c r="X227" s="19" t="s">
        <v>0</v>
      </c>
      <c r="Y227" s="19" t="s">
        <v>0</v>
      </c>
      <c r="Z227" s="19" t="s">
        <v>0</v>
      </c>
      <c r="AA227" s="19" t="s">
        <v>0</v>
      </c>
    </row>
    <row r="228" spans="1:27" ht="15">
      <c r="A228" s="10">
        <f t="shared" si="9"/>
        <v>46000219</v>
      </c>
      <c r="B228" s="4" t="s">
        <v>2803</v>
      </c>
      <c r="C228" s="4" t="s">
        <v>62</v>
      </c>
      <c r="D228" s="11">
        <f>IFERROR(VLOOKUP(C228,ShipShapeEnum!$E:$F,2,FALSE),"-")</f>
        <v>1</v>
      </c>
      <c r="E228" s="214" t="s">
        <v>2809</v>
      </c>
      <c r="F228" s="4" t="s">
        <v>61</v>
      </c>
      <c r="G228" s="11">
        <f>IFERROR(VLOOKUP(F228,ShipShapeEnum!$B:$C,2,FALSE),"-")</f>
        <v>1</v>
      </c>
      <c r="H228" s="19" t="s">
        <v>0</v>
      </c>
      <c r="I228" s="19" t="s">
        <v>0</v>
      </c>
      <c r="J228" s="19" t="s">
        <v>0</v>
      </c>
      <c r="K228" s="19" t="s">
        <v>0</v>
      </c>
      <c r="L228" s="19" t="s">
        <v>0</v>
      </c>
      <c r="M228" s="4" t="s">
        <v>81</v>
      </c>
      <c r="N228" s="11">
        <f>IFERROR(VLOOKUP(M228,ShipShapeEnum!$H:$I,2,FALSE),"-")</f>
        <v>1</v>
      </c>
      <c r="O228" s="11" t="s">
        <v>0</v>
      </c>
      <c r="P228" s="30"/>
      <c r="Q228" s="11" t="str">
        <f>IFERROR(INDEX(SailPattern!$A:$A,MATCH(P228,SailPattern!$B:$B,0)),"-")</f>
        <v>-</v>
      </c>
      <c r="R228" s="30"/>
      <c r="S228" s="11" t="str">
        <f>IFERROR(INDEX(SailCrest!$A:$A,MATCH(R228,SailCrest!$B:$B,0)),"-")</f>
        <v>-</v>
      </c>
      <c r="T228" s="19" t="s">
        <v>0</v>
      </c>
      <c r="U228" s="19" t="s">
        <v>0</v>
      </c>
      <c r="V228" s="19" t="s">
        <v>0</v>
      </c>
      <c r="W228" s="19" t="s">
        <v>0</v>
      </c>
      <c r="X228" s="19" t="s">
        <v>0</v>
      </c>
      <c r="Y228" s="19" t="s">
        <v>0</v>
      </c>
      <c r="Z228" s="19" t="s">
        <v>0</v>
      </c>
      <c r="AA228" s="19" t="s">
        <v>0</v>
      </c>
    </row>
    <row r="229" spans="1:27" ht="15">
      <c r="A229" s="10">
        <f t="shared" si="9"/>
        <v>46000220</v>
      </c>
      <c r="B229" s="4" t="s">
        <v>2805</v>
      </c>
      <c r="C229" s="4" t="s">
        <v>62</v>
      </c>
      <c r="D229" s="11">
        <f>IFERROR(VLOOKUP(C229,ShipShapeEnum!$E:$F,2,FALSE),"-")</f>
        <v>1</v>
      </c>
      <c r="E229" s="214" t="s">
        <v>2810</v>
      </c>
      <c r="F229" s="4" t="s">
        <v>61</v>
      </c>
      <c r="G229" s="11">
        <f>IFERROR(VLOOKUP(F229,ShipShapeEnum!$B:$C,2,FALSE),"-")</f>
        <v>1</v>
      </c>
      <c r="H229" s="19" t="s">
        <v>0</v>
      </c>
      <c r="I229" s="19" t="s">
        <v>0</v>
      </c>
      <c r="J229" s="19" t="s">
        <v>0</v>
      </c>
      <c r="K229" s="19" t="s">
        <v>0</v>
      </c>
      <c r="L229" s="19" t="s">
        <v>0</v>
      </c>
      <c r="M229" s="4" t="s">
        <v>81</v>
      </c>
      <c r="N229" s="11">
        <f>IFERROR(VLOOKUP(M229,ShipShapeEnum!$H:$I,2,FALSE),"-")</f>
        <v>1</v>
      </c>
      <c r="O229" s="11" t="s">
        <v>0</v>
      </c>
      <c r="P229" s="30"/>
      <c r="Q229" s="11" t="str">
        <f>IFERROR(INDEX(SailPattern!$A:$A,MATCH(P229,SailPattern!$B:$B,0)),"-")</f>
        <v>-</v>
      </c>
      <c r="R229" s="30"/>
      <c r="S229" s="11" t="str">
        <f>IFERROR(INDEX(SailCrest!$A:$A,MATCH(R229,SailCrest!$B:$B,0)),"-")</f>
        <v>-</v>
      </c>
      <c r="T229" s="19" t="s">
        <v>0</v>
      </c>
      <c r="U229" s="19" t="s">
        <v>0</v>
      </c>
      <c r="V229" s="19" t="s">
        <v>0</v>
      </c>
      <c r="W229" s="19" t="s">
        <v>0</v>
      </c>
      <c r="X229" s="19" t="s">
        <v>0</v>
      </c>
      <c r="Y229" s="19" t="s">
        <v>0</v>
      </c>
      <c r="Z229" s="19" t="s">
        <v>0</v>
      </c>
      <c r="AA229" s="19" t="s">
        <v>0</v>
      </c>
    </row>
    <row r="230" spans="1:27" ht="15">
      <c r="A230" s="10">
        <f t="shared" si="9"/>
        <v>46000221</v>
      </c>
      <c r="B230" s="4" t="s">
        <v>2807</v>
      </c>
      <c r="C230" s="4" t="s">
        <v>62</v>
      </c>
      <c r="D230" s="11">
        <f>IFERROR(VLOOKUP(C230,ShipShapeEnum!$E:$F,2,FALSE),"-")</f>
        <v>1</v>
      </c>
      <c r="E230" s="214" t="s">
        <v>2811</v>
      </c>
      <c r="F230" s="4" t="s">
        <v>61</v>
      </c>
      <c r="G230" s="11">
        <f>IFERROR(VLOOKUP(F230,ShipShapeEnum!$B:$C,2,FALSE),"-")</f>
        <v>1</v>
      </c>
      <c r="H230" s="19" t="s">
        <v>0</v>
      </c>
      <c r="I230" s="19" t="s">
        <v>0</v>
      </c>
      <c r="J230" s="19" t="s">
        <v>0</v>
      </c>
      <c r="K230" s="19" t="s">
        <v>0</v>
      </c>
      <c r="L230" s="19" t="s">
        <v>0</v>
      </c>
      <c r="M230" s="4" t="s">
        <v>81</v>
      </c>
      <c r="N230" s="11">
        <f>IFERROR(VLOOKUP(M230,ShipShapeEnum!$H:$I,2,FALSE),"-")</f>
        <v>1</v>
      </c>
      <c r="O230" s="11" t="s">
        <v>0</v>
      </c>
      <c r="P230" s="30"/>
      <c r="Q230" s="11" t="str">
        <f>IFERROR(INDEX(SailPattern!$A:$A,MATCH(P230,SailPattern!$B:$B,0)),"-")</f>
        <v>-</v>
      </c>
      <c r="R230" s="30"/>
      <c r="S230" s="11" t="str">
        <f>IFERROR(INDEX(SailCrest!$A:$A,MATCH(R230,SailCrest!$B:$B,0)),"-")</f>
        <v>-</v>
      </c>
      <c r="T230" s="19" t="s">
        <v>0</v>
      </c>
      <c r="U230" s="19" t="s">
        <v>0</v>
      </c>
      <c r="V230" s="19" t="s">
        <v>0</v>
      </c>
      <c r="W230" s="19" t="s">
        <v>0</v>
      </c>
      <c r="X230" s="19" t="s">
        <v>0</v>
      </c>
      <c r="Y230" s="19" t="s">
        <v>0</v>
      </c>
      <c r="Z230" s="19" t="s">
        <v>0</v>
      </c>
      <c r="AA230" s="19" t="s">
        <v>0</v>
      </c>
    </row>
    <row r="231" spans="1:27" ht="15">
      <c r="A231" s="10">
        <f t="shared" si="9"/>
        <v>46000222</v>
      </c>
      <c r="B231" s="4" t="s">
        <v>2836</v>
      </c>
      <c r="C231" s="4" t="s">
        <v>62</v>
      </c>
      <c r="D231" s="11">
        <f>IFERROR(VLOOKUP(C231,ShipShapeEnum!$E:$F,2,FALSE),"-")</f>
        <v>1</v>
      </c>
      <c r="E231" s="214" t="s">
        <v>2839</v>
      </c>
      <c r="F231" s="4" t="s">
        <v>61</v>
      </c>
      <c r="G231" s="11">
        <f>IFERROR(VLOOKUP(F231,ShipShapeEnum!$B:$C,2,FALSE),"-")</f>
        <v>1</v>
      </c>
      <c r="H231" s="19" t="s">
        <v>0</v>
      </c>
      <c r="I231" s="19" t="s">
        <v>0</v>
      </c>
      <c r="J231" s="19" t="s">
        <v>0</v>
      </c>
      <c r="K231" s="19" t="s">
        <v>0</v>
      </c>
      <c r="L231" s="19" t="s">
        <v>0</v>
      </c>
      <c r="M231" s="4" t="s">
        <v>81</v>
      </c>
      <c r="N231" s="11">
        <f>IFERROR(VLOOKUP(M231,ShipShapeEnum!$H:$I,2,FALSE),"-")</f>
        <v>1</v>
      </c>
      <c r="O231" s="11" t="s">
        <v>0</v>
      </c>
      <c r="P231" s="30"/>
      <c r="Q231" s="11" t="str">
        <f>IFERROR(INDEX(SailPattern!$A:$A,MATCH(P231,SailPattern!$B:$B,0)),"-")</f>
        <v>-</v>
      </c>
      <c r="R231" s="30" t="s">
        <v>2866</v>
      </c>
      <c r="S231" s="11">
        <f>IFERROR(INDEX(SailCrest!$A:$A,MATCH(R231,SailCrest!$B:$B,0)),"-")</f>
        <v>47100118</v>
      </c>
      <c r="T231" s="19" t="s">
        <v>0</v>
      </c>
      <c r="U231" s="19" t="s">
        <v>0</v>
      </c>
      <c r="V231" s="19" t="s">
        <v>0</v>
      </c>
      <c r="W231" s="19" t="s">
        <v>0</v>
      </c>
      <c r="X231" s="19" t="s">
        <v>0</v>
      </c>
      <c r="Y231" s="19" t="s">
        <v>0</v>
      </c>
      <c r="Z231" s="19" t="s">
        <v>0</v>
      </c>
      <c r="AA231" s="19" t="s">
        <v>0</v>
      </c>
    </row>
    <row r="232" spans="1:27" ht="15">
      <c r="A232" s="10">
        <f t="shared" si="9"/>
        <v>46000223</v>
      </c>
      <c r="B232" s="4" t="s">
        <v>2838</v>
      </c>
      <c r="C232" s="4" t="s">
        <v>62</v>
      </c>
      <c r="D232" s="11">
        <f>IFERROR(VLOOKUP(C232,ShipShapeEnum!$E:$F,2,FALSE),"-")</f>
        <v>1</v>
      </c>
      <c r="E232" s="214" t="s">
        <v>2840</v>
      </c>
      <c r="F232" s="4" t="s">
        <v>61</v>
      </c>
      <c r="G232" s="11">
        <f>IFERROR(VLOOKUP(F232,ShipShapeEnum!$B:$C,2,FALSE),"-")</f>
        <v>1</v>
      </c>
      <c r="H232" s="19" t="s">
        <v>0</v>
      </c>
      <c r="I232" s="19" t="s">
        <v>0</v>
      </c>
      <c r="J232" s="19" t="s">
        <v>0</v>
      </c>
      <c r="K232" s="19" t="s">
        <v>0</v>
      </c>
      <c r="L232" s="19" t="s">
        <v>0</v>
      </c>
      <c r="M232" s="4" t="s">
        <v>81</v>
      </c>
      <c r="N232" s="11">
        <f>IFERROR(VLOOKUP(M232,ShipShapeEnum!$H:$I,2,FALSE),"-")</f>
        <v>1</v>
      </c>
      <c r="O232" s="11" t="s">
        <v>0</v>
      </c>
      <c r="P232" s="30"/>
      <c r="Q232" s="11" t="str">
        <f>IFERROR(INDEX(SailPattern!$A:$A,MATCH(P232,SailPattern!$B:$B,0)),"-")</f>
        <v>-</v>
      </c>
      <c r="R232" s="30"/>
      <c r="S232" s="11" t="str">
        <f>IFERROR(INDEX(SailCrest!$A:$A,MATCH(R232,SailCrest!$B:$B,0)),"-")</f>
        <v>-</v>
      </c>
      <c r="T232" s="19" t="s">
        <v>0</v>
      </c>
      <c r="U232" s="19" t="s">
        <v>0</v>
      </c>
      <c r="V232" s="19" t="s">
        <v>0</v>
      </c>
      <c r="W232" s="19" t="s">
        <v>0</v>
      </c>
      <c r="X232" s="19" t="s">
        <v>0</v>
      </c>
      <c r="Y232" s="19" t="s">
        <v>0</v>
      </c>
      <c r="Z232" s="19" t="s">
        <v>0</v>
      </c>
      <c r="AA232" s="19" t="s">
        <v>0</v>
      </c>
    </row>
    <row r="233" spans="1:27" ht="15">
      <c r="A233" s="10">
        <f t="shared" si="9"/>
        <v>46000224</v>
      </c>
      <c r="B233" s="4" t="s">
        <v>2854</v>
      </c>
      <c r="C233" s="4" t="s">
        <v>62</v>
      </c>
      <c r="D233" s="11">
        <f>IFERROR(VLOOKUP(C233,ShipShapeEnum!$E:$F,2,FALSE),"-")</f>
        <v>1</v>
      </c>
      <c r="E233" s="214" t="s">
        <v>2852</v>
      </c>
      <c r="F233" s="4" t="s">
        <v>61</v>
      </c>
      <c r="G233" s="11">
        <f>IFERROR(VLOOKUP(F233,ShipShapeEnum!$B:$C,2,FALSE),"-")</f>
        <v>1</v>
      </c>
      <c r="H233" s="19" t="s">
        <v>0</v>
      </c>
      <c r="I233" s="19" t="s">
        <v>0</v>
      </c>
      <c r="J233" s="19" t="s">
        <v>0</v>
      </c>
      <c r="K233" s="19" t="s">
        <v>0</v>
      </c>
      <c r="L233" s="19" t="s">
        <v>0</v>
      </c>
      <c r="M233" s="4" t="s">
        <v>81</v>
      </c>
      <c r="N233" s="11">
        <f>IFERROR(VLOOKUP(M233,ShipShapeEnum!$H:$I,2,FALSE),"-")</f>
        <v>1</v>
      </c>
      <c r="O233" s="11" t="s">
        <v>0</v>
      </c>
      <c r="P233" s="30"/>
      <c r="Q233" s="11" t="str">
        <f>IFERROR(INDEX(SailPattern!$A:$A,MATCH(P233,SailPattern!$B:$B,0)),"-")</f>
        <v>-</v>
      </c>
      <c r="R233" s="30"/>
      <c r="S233" s="11" t="str">
        <f>IFERROR(INDEX(SailCrest!$A:$A,MATCH(R233,SailCrest!$B:$B,0)),"-")</f>
        <v>-</v>
      </c>
      <c r="T233" s="19" t="s">
        <v>0</v>
      </c>
      <c r="U233" s="19" t="s">
        <v>0</v>
      </c>
      <c r="V233" s="19" t="s">
        <v>0</v>
      </c>
      <c r="W233" s="19" t="s">
        <v>0</v>
      </c>
      <c r="X233" s="19" t="s">
        <v>0</v>
      </c>
      <c r="Y233" s="19" t="s">
        <v>0</v>
      </c>
      <c r="Z233" s="19" t="s">
        <v>0</v>
      </c>
      <c r="AA233" s="19" t="s">
        <v>0</v>
      </c>
    </row>
    <row r="234" spans="1:27" ht="15">
      <c r="A234" s="10">
        <f t="shared" si="9"/>
        <v>46000225</v>
      </c>
      <c r="B234" s="4" t="s">
        <v>2903</v>
      </c>
      <c r="C234" s="4" t="s">
        <v>62</v>
      </c>
      <c r="D234" s="11">
        <f>IFERROR(VLOOKUP(C234,ShipShapeEnum!$E:$F,2,FALSE),"-")</f>
        <v>1</v>
      </c>
      <c r="E234" s="214" t="s">
        <v>2899</v>
      </c>
      <c r="F234" s="4" t="s">
        <v>61</v>
      </c>
      <c r="G234" s="11">
        <f>IFERROR(VLOOKUP(F234,ShipShapeEnum!$B:$C,2,FALSE),"-")</f>
        <v>1</v>
      </c>
      <c r="H234" s="19" t="s">
        <v>0</v>
      </c>
      <c r="I234" s="19" t="s">
        <v>0</v>
      </c>
      <c r="J234" s="19" t="s">
        <v>0</v>
      </c>
      <c r="K234" s="19" t="s">
        <v>0</v>
      </c>
      <c r="L234" s="19" t="s">
        <v>0</v>
      </c>
      <c r="M234" s="4" t="s">
        <v>81</v>
      </c>
      <c r="N234" s="11">
        <f>IFERROR(VLOOKUP(M234,ShipShapeEnum!$H:$I,2,FALSE),"-")</f>
        <v>1</v>
      </c>
      <c r="O234" s="11" t="s">
        <v>0</v>
      </c>
      <c r="P234" s="30"/>
      <c r="Q234" s="11" t="str">
        <f>IFERROR(INDEX(SailPattern!$A:$A,MATCH(P234,SailPattern!$B:$B,0)),"-")</f>
        <v>-</v>
      </c>
      <c r="R234" s="30"/>
      <c r="S234" s="11" t="str">
        <f>IFERROR(INDEX(SailCrest!$A:$A,MATCH(R234,SailCrest!$B:$B,0)),"-")</f>
        <v>-</v>
      </c>
      <c r="T234" s="19" t="s">
        <v>0</v>
      </c>
      <c r="U234" s="19" t="s">
        <v>0</v>
      </c>
      <c r="V234" s="19" t="s">
        <v>0</v>
      </c>
      <c r="W234" s="19" t="s">
        <v>0</v>
      </c>
      <c r="X234" s="19" t="s">
        <v>0</v>
      </c>
      <c r="Y234" s="19" t="s">
        <v>0</v>
      </c>
      <c r="Z234" s="19" t="s">
        <v>0</v>
      </c>
      <c r="AA234" s="19" t="s">
        <v>0</v>
      </c>
    </row>
    <row r="235" spans="1:27" ht="15">
      <c r="A235" s="10">
        <f t="shared" si="9"/>
        <v>46000226</v>
      </c>
      <c r="B235" s="4" t="s">
        <v>2916</v>
      </c>
      <c r="C235" s="4" t="s">
        <v>62</v>
      </c>
      <c r="D235" s="11">
        <f>IFERROR(VLOOKUP(C235,ShipShapeEnum!$E:$F,2,FALSE),"-")</f>
        <v>1</v>
      </c>
      <c r="E235" s="214" t="s">
        <v>2917</v>
      </c>
      <c r="F235" s="4" t="s">
        <v>61</v>
      </c>
      <c r="G235" s="11">
        <f>IFERROR(VLOOKUP(F235,ShipShapeEnum!$B:$C,2,FALSE),"-")</f>
        <v>1</v>
      </c>
      <c r="H235" s="19" t="s">
        <v>0</v>
      </c>
      <c r="I235" s="19" t="s">
        <v>0</v>
      </c>
      <c r="J235" s="19" t="s">
        <v>0</v>
      </c>
      <c r="K235" s="19" t="s">
        <v>0</v>
      </c>
      <c r="L235" s="19" t="s">
        <v>0</v>
      </c>
      <c r="M235" s="4" t="s">
        <v>81</v>
      </c>
      <c r="N235" s="11">
        <f>IFERROR(VLOOKUP(M235,ShipShapeEnum!$H:$I,2,FALSE),"-")</f>
        <v>1</v>
      </c>
      <c r="O235" s="11" t="s">
        <v>0</v>
      </c>
      <c r="P235" s="30"/>
      <c r="Q235" s="11" t="str">
        <f>IFERROR(INDEX(SailPattern!$A:$A,MATCH(P235,SailPattern!$B:$B,0)),"-")</f>
        <v>-</v>
      </c>
      <c r="R235" s="30"/>
      <c r="S235" s="11" t="str">
        <f>IFERROR(INDEX(SailCrest!$A:$A,MATCH(R235,SailCrest!$B:$B,0)),"-")</f>
        <v>-</v>
      </c>
      <c r="T235" s="19" t="s">
        <v>0</v>
      </c>
      <c r="U235" s="19" t="s">
        <v>0</v>
      </c>
      <c r="V235" s="19" t="s">
        <v>0</v>
      </c>
      <c r="W235" s="19" t="s">
        <v>0</v>
      </c>
      <c r="X235" s="19" t="s">
        <v>0</v>
      </c>
      <c r="Y235" s="19" t="s">
        <v>0</v>
      </c>
      <c r="Z235" s="19" t="s">
        <v>0</v>
      </c>
      <c r="AA235" s="19" t="s">
        <v>0</v>
      </c>
    </row>
    <row r="236" spans="1:27" ht="15">
      <c r="A236" s="10">
        <f t="shared" si="9"/>
        <v>46000227</v>
      </c>
      <c r="B236" s="4" t="s">
        <v>2942</v>
      </c>
      <c r="C236" s="4" t="s">
        <v>62</v>
      </c>
      <c r="D236" s="11">
        <f>IFERROR(VLOOKUP(C236,ShipShapeEnum!$E:$F,2,FALSE),"-")</f>
        <v>1</v>
      </c>
      <c r="E236" s="214" t="s">
        <v>2937</v>
      </c>
      <c r="F236" s="4" t="s">
        <v>61</v>
      </c>
      <c r="G236" s="11">
        <f>IFERROR(VLOOKUP(F236,ShipShapeEnum!$B:$C,2,FALSE),"-")</f>
        <v>1</v>
      </c>
      <c r="H236" s="19" t="s">
        <v>0</v>
      </c>
      <c r="I236" s="19" t="s">
        <v>0</v>
      </c>
      <c r="J236" s="19" t="s">
        <v>0</v>
      </c>
      <c r="K236" s="19" t="s">
        <v>0</v>
      </c>
      <c r="L236" s="19" t="s">
        <v>0</v>
      </c>
      <c r="M236" s="4" t="s">
        <v>81</v>
      </c>
      <c r="N236" s="11">
        <f>IFERROR(VLOOKUP(M236,ShipShapeEnum!$H:$I,2,FALSE),"-")</f>
        <v>1</v>
      </c>
      <c r="O236" s="11" t="s">
        <v>0</v>
      </c>
      <c r="P236" s="30"/>
      <c r="Q236" s="11" t="str">
        <f>IFERROR(INDEX(SailPattern!$A:$A,MATCH(P236,SailPattern!$B:$B,0)),"-")</f>
        <v>-</v>
      </c>
      <c r="R236" s="30"/>
      <c r="S236" s="11" t="str">
        <f>IFERROR(INDEX(SailCrest!$A:$A,MATCH(R236,SailCrest!$B:$B,0)),"-")</f>
        <v>-</v>
      </c>
      <c r="T236" s="19" t="s">
        <v>0</v>
      </c>
      <c r="U236" s="19" t="s">
        <v>0</v>
      </c>
      <c r="V236" s="19" t="s">
        <v>0</v>
      </c>
      <c r="W236" s="19" t="s">
        <v>0</v>
      </c>
      <c r="X236" s="19" t="s">
        <v>0</v>
      </c>
      <c r="Y236" s="19" t="s">
        <v>0</v>
      </c>
      <c r="Z236" s="19" t="s">
        <v>0</v>
      </c>
      <c r="AA236" s="19" t="s">
        <v>0</v>
      </c>
    </row>
    <row r="237" spans="1:27" ht="15">
      <c r="A237" s="10">
        <f t="shared" si="9"/>
        <v>46000228</v>
      </c>
      <c r="B237" s="4" t="s">
        <v>2946</v>
      </c>
      <c r="C237" s="4" t="s">
        <v>62</v>
      </c>
      <c r="D237" s="11">
        <f>IFERROR(VLOOKUP(C237,ShipShapeEnum!$E:$F,2,FALSE),"-")</f>
        <v>1</v>
      </c>
      <c r="E237" s="214" t="s">
        <v>2947</v>
      </c>
      <c r="F237" s="4" t="s">
        <v>61</v>
      </c>
      <c r="G237" s="11">
        <f>IFERROR(VLOOKUP(F237,ShipShapeEnum!$B:$C,2,FALSE),"-")</f>
        <v>1</v>
      </c>
      <c r="H237" s="19" t="s">
        <v>0</v>
      </c>
      <c r="I237" s="19" t="s">
        <v>0</v>
      </c>
      <c r="J237" s="19" t="s">
        <v>0</v>
      </c>
      <c r="K237" s="19" t="s">
        <v>0</v>
      </c>
      <c r="L237" s="19" t="s">
        <v>0</v>
      </c>
      <c r="M237" s="4" t="s">
        <v>81</v>
      </c>
      <c r="N237" s="11">
        <f>IFERROR(VLOOKUP(M237,ShipShapeEnum!$H:$I,2,FALSE),"-")</f>
        <v>1</v>
      </c>
      <c r="O237" s="11" t="s">
        <v>0</v>
      </c>
      <c r="P237" s="30"/>
      <c r="Q237" s="11" t="str">
        <f>IFERROR(INDEX(SailPattern!$A:$A,MATCH(P237,SailPattern!$B:$B,0)),"-")</f>
        <v>-</v>
      </c>
      <c r="R237" s="30"/>
      <c r="S237" s="11" t="str">
        <f>IFERROR(INDEX(SailCrest!$A:$A,MATCH(R237,SailCrest!$B:$B,0)),"-")</f>
        <v>-</v>
      </c>
      <c r="T237" s="19" t="s">
        <v>0</v>
      </c>
      <c r="U237" s="19" t="s">
        <v>0</v>
      </c>
      <c r="V237" s="19" t="s">
        <v>0</v>
      </c>
      <c r="W237" s="19" t="s">
        <v>0</v>
      </c>
      <c r="X237" s="19" t="s">
        <v>0</v>
      </c>
      <c r="Y237" s="19" t="s">
        <v>0</v>
      </c>
      <c r="Z237" s="19" t="s">
        <v>0</v>
      </c>
      <c r="AA237" s="19" t="s">
        <v>0</v>
      </c>
    </row>
    <row r="238" spans="1:27" ht="15">
      <c r="A238" s="10">
        <f t="shared" si="9"/>
        <v>46000229</v>
      </c>
      <c r="B238" s="4" t="s">
        <v>2954</v>
      </c>
      <c r="C238" s="4" t="s">
        <v>62</v>
      </c>
      <c r="D238" s="11">
        <f>IFERROR(VLOOKUP(C238,ShipShapeEnum!$E:$F,2,FALSE),"-")</f>
        <v>1</v>
      </c>
      <c r="E238" s="214" t="s">
        <v>2955</v>
      </c>
      <c r="F238" s="4" t="s">
        <v>61</v>
      </c>
      <c r="G238" s="11">
        <f>IFERROR(VLOOKUP(F238,ShipShapeEnum!$B:$C,2,FALSE),"-")</f>
        <v>1</v>
      </c>
      <c r="H238" s="19" t="s">
        <v>0</v>
      </c>
      <c r="I238" s="19" t="s">
        <v>0</v>
      </c>
      <c r="J238" s="19" t="s">
        <v>0</v>
      </c>
      <c r="K238" s="19" t="s">
        <v>0</v>
      </c>
      <c r="L238" s="19" t="s">
        <v>0</v>
      </c>
      <c r="M238" s="4" t="s">
        <v>81</v>
      </c>
      <c r="N238" s="11">
        <f>IFERROR(VLOOKUP(M238,ShipShapeEnum!$H:$I,2,FALSE),"-")</f>
        <v>1</v>
      </c>
      <c r="O238" s="11" t="s">
        <v>0</v>
      </c>
      <c r="P238" s="30"/>
      <c r="Q238" s="11" t="str">
        <f>IFERROR(INDEX(SailPattern!$A:$A,MATCH(P238,SailPattern!$B:$B,0)),"-")</f>
        <v>-</v>
      </c>
      <c r="R238" s="30"/>
      <c r="S238" s="11" t="str">
        <f>IFERROR(INDEX(SailCrest!$A:$A,MATCH(R238,SailCrest!$B:$B,0)),"-")</f>
        <v>-</v>
      </c>
      <c r="T238" s="19" t="s">
        <v>0</v>
      </c>
      <c r="U238" s="19" t="s">
        <v>0</v>
      </c>
      <c r="V238" s="19" t="s">
        <v>0</v>
      </c>
      <c r="W238" s="19" t="s">
        <v>0</v>
      </c>
      <c r="X238" s="19" t="s">
        <v>0</v>
      </c>
      <c r="Y238" s="19" t="s">
        <v>0</v>
      </c>
      <c r="Z238" s="19" t="s">
        <v>0</v>
      </c>
      <c r="AA238" s="19" t="s">
        <v>0</v>
      </c>
    </row>
    <row r="239" spans="1:27" ht="15">
      <c r="A239" s="10">
        <f t="shared" si="9"/>
        <v>46000230</v>
      </c>
      <c r="B239" s="4" t="s">
        <v>2965</v>
      </c>
      <c r="C239" s="4" t="s">
        <v>62</v>
      </c>
      <c r="D239" s="11">
        <f>IFERROR(VLOOKUP(C239,ShipShapeEnum!$E:$F,2,FALSE),"-")</f>
        <v>1</v>
      </c>
      <c r="E239" s="214" t="s">
        <v>2966</v>
      </c>
      <c r="F239" s="4" t="s">
        <v>61</v>
      </c>
      <c r="G239" s="11">
        <f>IFERROR(VLOOKUP(F239,ShipShapeEnum!$B:$C,2,FALSE),"-")</f>
        <v>1</v>
      </c>
      <c r="H239" s="19" t="s">
        <v>0</v>
      </c>
      <c r="I239" s="19" t="s">
        <v>0</v>
      </c>
      <c r="J239" s="19" t="s">
        <v>0</v>
      </c>
      <c r="K239" s="19" t="s">
        <v>0</v>
      </c>
      <c r="L239" s="19" t="s">
        <v>0</v>
      </c>
      <c r="M239" s="4" t="s">
        <v>81</v>
      </c>
      <c r="N239" s="11">
        <f>IFERROR(VLOOKUP(M239,ShipShapeEnum!$H:$I,2,FALSE),"-")</f>
        <v>1</v>
      </c>
      <c r="O239" s="11" t="s">
        <v>0</v>
      </c>
      <c r="P239" s="30"/>
      <c r="Q239" s="11" t="str">
        <f>IFERROR(INDEX(SailPattern!$A:$A,MATCH(P239,SailPattern!$B:$B,0)),"-")</f>
        <v>-</v>
      </c>
      <c r="R239" s="30"/>
      <c r="S239" s="11" t="str">
        <f>IFERROR(INDEX(SailCrest!$A:$A,MATCH(R239,SailCrest!$B:$B,0)),"-")</f>
        <v>-</v>
      </c>
      <c r="T239" s="19" t="s">
        <v>0</v>
      </c>
      <c r="U239" s="19" t="s">
        <v>0</v>
      </c>
      <c r="V239" s="19" t="s">
        <v>0</v>
      </c>
      <c r="W239" s="19" t="s">
        <v>0</v>
      </c>
      <c r="X239" s="19" t="s">
        <v>0</v>
      </c>
      <c r="Y239" s="19" t="s">
        <v>0</v>
      </c>
      <c r="Z239" s="19" t="s">
        <v>0</v>
      </c>
      <c r="AA239" s="19" t="s">
        <v>0</v>
      </c>
    </row>
    <row r="240" spans="1:27" ht="15">
      <c r="A240" s="10">
        <f t="shared" si="9"/>
        <v>46000231</v>
      </c>
      <c r="B240" s="4" t="s">
        <v>2970</v>
      </c>
      <c r="C240" s="4" t="s">
        <v>62</v>
      </c>
      <c r="D240" s="11">
        <f>IFERROR(VLOOKUP(C240,ShipShapeEnum!$E:$F,2,FALSE),"-")</f>
        <v>1</v>
      </c>
      <c r="E240" s="214" t="s">
        <v>2971</v>
      </c>
      <c r="F240" s="4" t="s">
        <v>61</v>
      </c>
      <c r="G240" s="11">
        <f>IFERROR(VLOOKUP(F240,ShipShapeEnum!$B:$C,2,FALSE),"-")</f>
        <v>1</v>
      </c>
      <c r="H240" s="19" t="s">
        <v>0</v>
      </c>
      <c r="I240" s="19" t="s">
        <v>0</v>
      </c>
      <c r="J240" s="19" t="s">
        <v>0</v>
      </c>
      <c r="K240" s="19" t="s">
        <v>0</v>
      </c>
      <c r="L240" s="19" t="s">
        <v>0</v>
      </c>
      <c r="M240" s="4" t="s">
        <v>81</v>
      </c>
      <c r="N240" s="11">
        <f>IFERROR(VLOOKUP(M240,ShipShapeEnum!$H:$I,2,FALSE),"-")</f>
        <v>1</v>
      </c>
      <c r="O240" s="11" t="s">
        <v>0</v>
      </c>
      <c r="P240" s="30"/>
      <c r="Q240" s="11" t="str">
        <f>IFERROR(INDEX(SailPattern!$A:$A,MATCH(P240,SailPattern!$B:$B,0)),"-")</f>
        <v>-</v>
      </c>
      <c r="R240" s="30"/>
      <c r="S240" s="11" t="str">
        <f>IFERROR(INDEX(SailCrest!$A:$A,MATCH(R240,SailCrest!$B:$B,0)),"-")</f>
        <v>-</v>
      </c>
      <c r="T240" s="19" t="s">
        <v>0</v>
      </c>
      <c r="U240" s="19" t="s">
        <v>0</v>
      </c>
      <c r="V240" s="19" t="s">
        <v>0</v>
      </c>
      <c r="W240" s="19" t="s">
        <v>0</v>
      </c>
      <c r="X240" s="19" t="s">
        <v>0</v>
      </c>
      <c r="Y240" s="19" t="s">
        <v>0</v>
      </c>
      <c r="Z240" s="19" t="s">
        <v>0</v>
      </c>
      <c r="AA240" s="19" t="s">
        <v>0</v>
      </c>
    </row>
    <row r="241" spans="1:27" ht="15">
      <c r="A241" s="10">
        <f t="shared" si="9"/>
        <v>46000232</v>
      </c>
      <c r="B241" s="208" t="s">
        <v>3000</v>
      </c>
      <c r="C241" s="4" t="s">
        <v>62</v>
      </c>
      <c r="D241" s="11">
        <f>IFERROR(VLOOKUP(C241,ShipShapeEnum!$E:$F,2,FALSE),"-")</f>
        <v>1</v>
      </c>
      <c r="E241" s="208" t="s">
        <v>100</v>
      </c>
      <c r="F241" s="4" t="s">
        <v>61</v>
      </c>
      <c r="G241" s="11">
        <f>IFERROR(VLOOKUP(F241,ShipShapeEnum!$B:$C,2,FALSE),"-")</f>
        <v>1</v>
      </c>
      <c r="H241" s="19" t="s">
        <v>0</v>
      </c>
      <c r="I241" s="19" t="s">
        <v>0</v>
      </c>
      <c r="J241" s="19" t="s">
        <v>0</v>
      </c>
      <c r="K241" s="19" t="s">
        <v>0</v>
      </c>
      <c r="L241" s="19" t="s">
        <v>0</v>
      </c>
      <c r="M241" s="4" t="s">
        <v>81</v>
      </c>
      <c r="N241" s="11">
        <f>IFERROR(VLOOKUP(M241,ShipShapeEnum!$H:$I,2,FALSE),"-")</f>
        <v>1</v>
      </c>
      <c r="O241" s="11" t="s">
        <v>0</v>
      </c>
      <c r="P241" s="30"/>
      <c r="Q241" s="11" t="str">
        <f>IFERROR(INDEX(SailPattern!$A:$A,MATCH(P241,SailPattern!$B:$B,0)),"-")</f>
        <v>-</v>
      </c>
      <c r="R241" s="30"/>
      <c r="S241" s="11" t="str">
        <f>IFERROR(INDEX(SailCrest!$A:$A,MATCH(R241,SailCrest!$B:$B,0)),"-")</f>
        <v>-</v>
      </c>
      <c r="T241" s="19" t="s">
        <v>0</v>
      </c>
      <c r="U241" s="19" t="s">
        <v>0</v>
      </c>
      <c r="V241" s="19" t="s">
        <v>0</v>
      </c>
      <c r="W241" s="19" t="s">
        <v>0</v>
      </c>
      <c r="X241" s="19" t="s">
        <v>0</v>
      </c>
      <c r="Y241" s="19" t="s">
        <v>0</v>
      </c>
      <c r="Z241" s="19" t="s">
        <v>0</v>
      </c>
      <c r="AA241" s="19" t="s">
        <v>0</v>
      </c>
    </row>
    <row r="242" spans="1:27" ht="15">
      <c r="A242" s="10">
        <f t="shared" si="9"/>
        <v>46000233</v>
      </c>
      <c r="B242" s="4" t="s">
        <v>3003</v>
      </c>
      <c r="C242" s="4" t="s">
        <v>62</v>
      </c>
      <c r="D242" s="11">
        <f>IFERROR(VLOOKUP(C242,ShipShapeEnum!$E:$F,2,FALSE),"-")</f>
        <v>1</v>
      </c>
      <c r="E242" s="214" t="s">
        <v>3008</v>
      </c>
      <c r="F242" s="4" t="s">
        <v>61</v>
      </c>
      <c r="G242" s="11">
        <f>IFERROR(VLOOKUP(F242,ShipShapeEnum!$B:$C,2,FALSE),"-")</f>
        <v>1</v>
      </c>
      <c r="H242" s="19" t="s">
        <v>0</v>
      </c>
      <c r="I242" s="19" t="s">
        <v>0</v>
      </c>
      <c r="J242" s="19" t="s">
        <v>0</v>
      </c>
      <c r="K242" s="19" t="s">
        <v>0</v>
      </c>
      <c r="L242" s="19" t="s">
        <v>0</v>
      </c>
      <c r="M242" s="4" t="s">
        <v>81</v>
      </c>
      <c r="N242" s="11">
        <f>IFERROR(VLOOKUP(M242,ShipShapeEnum!$H:$I,2,FALSE),"-")</f>
        <v>1</v>
      </c>
      <c r="O242" s="11" t="s">
        <v>0</v>
      </c>
      <c r="P242" s="30"/>
      <c r="Q242" s="11" t="str">
        <f>IFERROR(INDEX(SailPattern!$A:$A,MATCH(P242,SailPattern!$B:$B,0)),"-")</f>
        <v>-</v>
      </c>
      <c r="R242" s="30"/>
      <c r="S242" s="11" t="str">
        <f>IFERROR(INDEX(SailCrest!$A:$A,MATCH(R242,SailCrest!$B:$B,0)),"-")</f>
        <v>-</v>
      </c>
      <c r="T242" s="19" t="s">
        <v>0</v>
      </c>
      <c r="U242" s="19" t="s">
        <v>0</v>
      </c>
      <c r="V242" s="19" t="s">
        <v>0</v>
      </c>
      <c r="W242" s="19" t="s">
        <v>0</v>
      </c>
      <c r="X242" s="19" t="s">
        <v>0</v>
      </c>
      <c r="Y242" s="19" t="s">
        <v>0</v>
      </c>
      <c r="Z242" s="19" t="s">
        <v>0</v>
      </c>
      <c r="AA242" s="19" t="s">
        <v>0</v>
      </c>
    </row>
    <row r="243" spans="1:27" ht="15">
      <c r="A243" s="10">
        <f t="shared" si="9"/>
        <v>46000234</v>
      </c>
      <c r="B243" s="4" t="s">
        <v>3005</v>
      </c>
      <c r="C243" s="4" t="s">
        <v>62</v>
      </c>
      <c r="D243" s="11">
        <f>IFERROR(VLOOKUP(C243,ShipShapeEnum!$E:$F,2,FALSE),"-")</f>
        <v>1</v>
      </c>
      <c r="E243" s="214" t="s">
        <v>3009</v>
      </c>
      <c r="F243" s="4" t="s">
        <v>61</v>
      </c>
      <c r="G243" s="11">
        <f>IFERROR(VLOOKUP(F243,ShipShapeEnum!$B:$C,2,FALSE),"-")</f>
        <v>1</v>
      </c>
      <c r="H243" s="19" t="s">
        <v>0</v>
      </c>
      <c r="I243" s="19" t="s">
        <v>0</v>
      </c>
      <c r="J243" s="19" t="s">
        <v>0</v>
      </c>
      <c r="K243" s="19" t="s">
        <v>0</v>
      </c>
      <c r="L243" s="19" t="s">
        <v>0</v>
      </c>
      <c r="M243" s="4" t="s">
        <v>81</v>
      </c>
      <c r="N243" s="11">
        <f>IFERROR(VLOOKUP(M243,ShipShapeEnum!$H:$I,2,FALSE),"-")</f>
        <v>1</v>
      </c>
      <c r="O243" s="11" t="s">
        <v>0</v>
      </c>
      <c r="P243" s="30"/>
      <c r="Q243" s="11" t="str">
        <f>IFERROR(INDEX(SailPattern!$A:$A,MATCH(P243,SailPattern!$B:$B,0)),"-")</f>
        <v>-</v>
      </c>
      <c r="R243" s="30"/>
      <c r="S243" s="11" t="str">
        <f>IFERROR(INDEX(SailCrest!$A:$A,MATCH(R243,SailCrest!$B:$B,0)),"-")</f>
        <v>-</v>
      </c>
      <c r="T243" s="19" t="s">
        <v>0</v>
      </c>
      <c r="U243" s="19" t="s">
        <v>0</v>
      </c>
      <c r="V243" s="19" t="s">
        <v>0</v>
      </c>
      <c r="W243" s="19" t="s">
        <v>0</v>
      </c>
      <c r="X243" s="19" t="s">
        <v>0</v>
      </c>
      <c r="Y243" s="19" t="s">
        <v>0</v>
      </c>
      <c r="Z243" s="19" t="s">
        <v>0</v>
      </c>
      <c r="AA243" s="19" t="s">
        <v>0</v>
      </c>
    </row>
    <row r="244" spans="1:27" ht="15">
      <c r="A244" s="10">
        <f t="shared" si="9"/>
        <v>46000235</v>
      </c>
      <c r="B244" s="4" t="s">
        <v>3007</v>
      </c>
      <c r="C244" s="4" t="s">
        <v>62</v>
      </c>
      <c r="D244" s="11">
        <f>IFERROR(VLOOKUP(C244,ShipShapeEnum!$E:$F,2,FALSE),"-")</f>
        <v>1</v>
      </c>
      <c r="E244" s="214" t="s">
        <v>3010</v>
      </c>
      <c r="F244" s="4" t="s">
        <v>61</v>
      </c>
      <c r="G244" s="11">
        <f>IFERROR(VLOOKUP(F244,ShipShapeEnum!$B:$C,2,FALSE),"-")</f>
        <v>1</v>
      </c>
      <c r="H244" s="19" t="s">
        <v>0</v>
      </c>
      <c r="I244" s="19" t="s">
        <v>0</v>
      </c>
      <c r="J244" s="19" t="s">
        <v>0</v>
      </c>
      <c r="K244" s="19" t="s">
        <v>0</v>
      </c>
      <c r="L244" s="19" t="s">
        <v>0</v>
      </c>
      <c r="M244" s="4" t="s">
        <v>81</v>
      </c>
      <c r="N244" s="11">
        <f>IFERROR(VLOOKUP(M244,ShipShapeEnum!$H:$I,2,FALSE),"-")</f>
        <v>1</v>
      </c>
      <c r="O244" s="11" t="s">
        <v>0</v>
      </c>
      <c r="P244" s="30"/>
      <c r="Q244" s="11" t="str">
        <f>IFERROR(INDEX(SailPattern!$A:$A,MATCH(P244,SailPattern!$B:$B,0)),"-")</f>
        <v>-</v>
      </c>
      <c r="R244" s="30"/>
      <c r="S244" s="11" t="str">
        <f>IFERROR(INDEX(SailCrest!$A:$A,MATCH(R244,SailCrest!$B:$B,0)),"-")</f>
        <v>-</v>
      </c>
      <c r="T244" s="19" t="s">
        <v>0</v>
      </c>
      <c r="U244" s="19" t="s">
        <v>0</v>
      </c>
      <c r="V244" s="19" t="s">
        <v>0</v>
      </c>
      <c r="W244" s="19" t="s">
        <v>0</v>
      </c>
      <c r="X244" s="19" t="s">
        <v>0</v>
      </c>
      <c r="Y244" s="19" t="s">
        <v>0</v>
      </c>
      <c r="Z244" s="19" t="s">
        <v>0</v>
      </c>
      <c r="AA244" s="19" t="s">
        <v>0</v>
      </c>
    </row>
    <row r="245" spans="1:27" ht="15">
      <c r="A245" s="10">
        <f t="shared" si="9"/>
        <v>46000236</v>
      </c>
      <c r="B245" s="208" t="s">
        <v>3018</v>
      </c>
      <c r="C245" s="4" t="s">
        <v>62</v>
      </c>
      <c r="D245" s="11">
        <f>IFERROR(VLOOKUP(C245,ShipShapeEnum!$E:$F,2,FALSE),"-")</f>
        <v>1</v>
      </c>
      <c r="E245" s="208" t="s">
        <v>100</v>
      </c>
      <c r="F245" s="4" t="s">
        <v>61</v>
      </c>
      <c r="G245" s="11">
        <f>IFERROR(VLOOKUP(F245,ShipShapeEnum!$B:$C,2,FALSE),"-")</f>
        <v>1</v>
      </c>
      <c r="H245" s="19" t="s">
        <v>0</v>
      </c>
      <c r="I245" s="19" t="s">
        <v>0</v>
      </c>
      <c r="J245" s="19" t="s">
        <v>0</v>
      </c>
      <c r="K245" s="19" t="s">
        <v>0</v>
      </c>
      <c r="L245" s="19" t="s">
        <v>0</v>
      </c>
      <c r="M245" s="4" t="s">
        <v>81</v>
      </c>
      <c r="N245" s="11">
        <f>IFERROR(VLOOKUP(M245,ShipShapeEnum!$H:$I,2,FALSE),"-")</f>
        <v>1</v>
      </c>
      <c r="O245" s="11" t="s">
        <v>0</v>
      </c>
      <c r="P245" s="30"/>
      <c r="Q245" s="11" t="str">
        <f>IFERROR(INDEX(SailPattern!$A:$A,MATCH(P245,SailPattern!$B:$B,0)),"-")</f>
        <v>-</v>
      </c>
      <c r="R245" s="30"/>
      <c r="S245" s="11" t="str">
        <f>IFERROR(INDEX(SailCrest!$A:$A,MATCH(R245,SailCrest!$B:$B,0)),"-")</f>
        <v>-</v>
      </c>
      <c r="T245" s="19" t="s">
        <v>0</v>
      </c>
      <c r="U245" s="19" t="s">
        <v>0</v>
      </c>
      <c r="V245" s="19" t="s">
        <v>0</v>
      </c>
      <c r="W245" s="19" t="s">
        <v>0</v>
      </c>
      <c r="X245" s="19" t="s">
        <v>0</v>
      </c>
      <c r="Y245" s="19" t="s">
        <v>0</v>
      </c>
      <c r="Z245" s="19" t="s">
        <v>0</v>
      </c>
      <c r="AA245" s="19" t="s">
        <v>0</v>
      </c>
    </row>
    <row r="246" spans="1:27" ht="15">
      <c r="A246" s="10">
        <f t="shared" si="9"/>
        <v>46000237</v>
      </c>
      <c r="B246" s="4" t="s">
        <v>3026</v>
      </c>
      <c r="C246" s="4" t="s">
        <v>62</v>
      </c>
      <c r="D246" s="11">
        <f>IFERROR(VLOOKUP(C246,ShipShapeEnum!$E:$F,2,FALSE),"-")</f>
        <v>1</v>
      </c>
      <c r="E246" s="214" t="s">
        <v>3022</v>
      </c>
      <c r="F246" s="4" t="s">
        <v>61</v>
      </c>
      <c r="G246" s="11">
        <f>IFERROR(VLOOKUP(F246,ShipShapeEnum!$B:$C,2,FALSE),"-")</f>
        <v>1</v>
      </c>
      <c r="H246" s="19" t="s">
        <v>0</v>
      </c>
      <c r="I246" s="19" t="s">
        <v>0</v>
      </c>
      <c r="J246" s="19" t="s">
        <v>0</v>
      </c>
      <c r="K246" s="19" t="s">
        <v>0</v>
      </c>
      <c r="L246" s="19" t="s">
        <v>0</v>
      </c>
      <c r="M246" s="4" t="s">
        <v>81</v>
      </c>
      <c r="N246" s="11">
        <f>IFERROR(VLOOKUP(M246,ShipShapeEnum!$H:$I,2,FALSE),"-")</f>
        <v>1</v>
      </c>
      <c r="O246" s="11" t="s">
        <v>0</v>
      </c>
      <c r="P246" s="30"/>
      <c r="Q246" s="11" t="str">
        <f>IFERROR(INDEX(SailPattern!$A:$A,MATCH(P246,SailPattern!$B:$B,0)),"-")</f>
        <v>-</v>
      </c>
      <c r="R246" s="30"/>
      <c r="S246" s="11" t="str">
        <f>IFERROR(INDEX(SailCrest!$A:$A,MATCH(R246,SailCrest!$B:$B,0)),"-")</f>
        <v>-</v>
      </c>
      <c r="T246" s="19" t="s">
        <v>0</v>
      </c>
      <c r="U246" s="19" t="s">
        <v>0</v>
      </c>
      <c r="V246" s="19" t="s">
        <v>0</v>
      </c>
      <c r="W246" s="19" t="s">
        <v>0</v>
      </c>
      <c r="X246" s="19" t="s">
        <v>0</v>
      </c>
      <c r="Y246" s="19" t="s">
        <v>0</v>
      </c>
      <c r="Z246" s="19" t="s">
        <v>0</v>
      </c>
      <c r="AA246" s="19" t="s">
        <v>0</v>
      </c>
    </row>
    <row r="247" spans="1:27" ht="15">
      <c r="A247" s="10">
        <f t="shared" si="9"/>
        <v>46000238</v>
      </c>
      <c r="B247" s="4" t="s">
        <v>3037</v>
      </c>
      <c r="C247" s="4" t="s">
        <v>62</v>
      </c>
      <c r="D247" s="11">
        <f>IFERROR(VLOOKUP(C247,ShipShapeEnum!$E:$F,2,FALSE),"-")</f>
        <v>1</v>
      </c>
      <c r="E247" s="214" t="s">
        <v>3035</v>
      </c>
      <c r="F247" s="4" t="s">
        <v>61</v>
      </c>
      <c r="G247" s="11">
        <f>IFERROR(VLOOKUP(F247,ShipShapeEnum!$B:$C,2,FALSE),"-")</f>
        <v>1</v>
      </c>
      <c r="H247" s="19" t="s">
        <v>0</v>
      </c>
      <c r="I247" s="19" t="s">
        <v>0</v>
      </c>
      <c r="J247" s="19" t="s">
        <v>0</v>
      </c>
      <c r="K247" s="19" t="s">
        <v>0</v>
      </c>
      <c r="L247" s="19" t="s">
        <v>0</v>
      </c>
      <c r="M247" s="4" t="s">
        <v>81</v>
      </c>
      <c r="N247" s="11">
        <f>IFERROR(VLOOKUP(M247,ShipShapeEnum!$H:$I,2,FALSE),"-")</f>
        <v>1</v>
      </c>
      <c r="O247" s="11" t="s">
        <v>0</v>
      </c>
      <c r="P247" s="30"/>
      <c r="Q247" s="11" t="str">
        <f>IFERROR(INDEX(SailPattern!$A:$A,MATCH(P247,SailPattern!$B:$B,0)),"-")</f>
        <v>-</v>
      </c>
      <c r="R247" s="30"/>
      <c r="S247" s="11" t="str">
        <f>IFERROR(INDEX(SailCrest!$A:$A,MATCH(R247,SailCrest!$B:$B,0)),"-")</f>
        <v>-</v>
      </c>
      <c r="T247" s="19" t="s">
        <v>0</v>
      </c>
      <c r="U247" s="19" t="s">
        <v>0</v>
      </c>
      <c r="V247" s="19" t="s">
        <v>0</v>
      </c>
      <c r="W247" s="19" t="s">
        <v>0</v>
      </c>
      <c r="X247" s="19" t="s">
        <v>0</v>
      </c>
      <c r="Y247" s="19" t="s">
        <v>0</v>
      </c>
      <c r="Z247" s="19" t="s">
        <v>0</v>
      </c>
      <c r="AA247" s="19" t="s">
        <v>0</v>
      </c>
    </row>
    <row r="248" spans="1:27" ht="15">
      <c r="A248" s="10">
        <f t="shared" si="9"/>
        <v>46000239</v>
      </c>
      <c r="B248" s="4" t="s">
        <v>3042</v>
      </c>
      <c r="C248" s="4" t="s">
        <v>62</v>
      </c>
      <c r="D248" s="11">
        <f>IFERROR(VLOOKUP(C248,ShipShapeEnum!$E:$F,2,FALSE),"-")</f>
        <v>1</v>
      </c>
      <c r="E248" s="214" t="s">
        <v>3043</v>
      </c>
      <c r="F248" s="4" t="s">
        <v>61</v>
      </c>
      <c r="G248" s="11">
        <f>IFERROR(VLOOKUP(F248,ShipShapeEnum!$B:$C,2,FALSE),"-")</f>
        <v>1</v>
      </c>
      <c r="H248" s="19" t="s">
        <v>0</v>
      </c>
      <c r="I248" s="19" t="s">
        <v>0</v>
      </c>
      <c r="J248" s="19" t="s">
        <v>0</v>
      </c>
      <c r="K248" s="19" t="s">
        <v>0</v>
      </c>
      <c r="L248" s="19" t="s">
        <v>0</v>
      </c>
      <c r="M248" s="4" t="s">
        <v>81</v>
      </c>
      <c r="N248" s="11">
        <f>IFERROR(VLOOKUP(M248,ShipShapeEnum!$H:$I,2,FALSE),"-")</f>
        <v>1</v>
      </c>
      <c r="O248" s="11" t="s">
        <v>0</v>
      </c>
      <c r="P248" s="30"/>
      <c r="Q248" s="11" t="str">
        <f>IFERROR(INDEX(SailPattern!$A:$A,MATCH(P248,SailPattern!$B:$B,0)),"-")</f>
        <v>-</v>
      </c>
      <c r="R248" s="30"/>
      <c r="S248" s="11" t="str">
        <f>IFERROR(INDEX(SailCrest!$A:$A,MATCH(R248,SailCrest!$B:$B,0)),"-")</f>
        <v>-</v>
      </c>
      <c r="T248" s="19" t="s">
        <v>0</v>
      </c>
      <c r="U248" s="19" t="s">
        <v>0</v>
      </c>
      <c r="V248" s="19" t="s">
        <v>0</v>
      </c>
      <c r="W248" s="19" t="s">
        <v>0</v>
      </c>
      <c r="X248" s="19" t="s">
        <v>0</v>
      </c>
      <c r="Y248" s="19" t="s">
        <v>0</v>
      </c>
      <c r="Z248" s="19" t="s">
        <v>0</v>
      </c>
      <c r="AA248" s="19" t="s">
        <v>0</v>
      </c>
    </row>
    <row r="249" spans="1:27" ht="15">
      <c r="A249" s="10">
        <f t="shared" si="9"/>
        <v>46000240</v>
      </c>
      <c r="B249" s="4" t="s">
        <v>3051</v>
      </c>
      <c r="C249" s="4" t="s">
        <v>62</v>
      </c>
      <c r="D249" s="11">
        <f>IFERROR(VLOOKUP(C249,ShipShapeEnum!$E:$F,2,FALSE),"-")</f>
        <v>1</v>
      </c>
      <c r="E249" s="214" t="s">
        <v>3049</v>
      </c>
      <c r="F249" s="4" t="s">
        <v>61</v>
      </c>
      <c r="G249" s="11">
        <f>IFERROR(VLOOKUP(F249,ShipShapeEnum!$B:$C,2,FALSE),"-")</f>
        <v>1</v>
      </c>
      <c r="H249" s="19" t="s">
        <v>0</v>
      </c>
      <c r="I249" s="19" t="s">
        <v>0</v>
      </c>
      <c r="J249" s="19" t="s">
        <v>0</v>
      </c>
      <c r="K249" s="19" t="s">
        <v>0</v>
      </c>
      <c r="L249" s="19" t="s">
        <v>0</v>
      </c>
      <c r="M249" s="4" t="s">
        <v>81</v>
      </c>
      <c r="N249" s="11">
        <f>IFERROR(VLOOKUP(M249,ShipShapeEnum!$H:$I,2,FALSE),"-")</f>
        <v>1</v>
      </c>
      <c r="O249" s="11" t="s">
        <v>0</v>
      </c>
      <c r="P249" s="30"/>
      <c r="Q249" s="11" t="str">
        <f>IFERROR(INDEX(SailPattern!$A:$A,MATCH(P249,SailPattern!$B:$B,0)),"-")</f>
        <v>-</v>
      </c>
      <c r="R249" s="30"/>
      <c r="S249" s="11" t="str">
        <f>IFERROR(INDEX(SailCrest!$A:$A,MATCH(R249,SailCrest!$B:$B,0)),"-")</f>
        <v>-</v>
      </c>
      <c r="T249" s="19" t="s">
        <v>0</v>
      </c>
      <c r="U249" s="19" t="s">
        <v>0</v>
      </c>
      <c r="V249" s="19" t="s">
        <v>0</v>
      </c>
      <c r="W249" s="19" t="s">
        <v>0</v>
      </c>
      <c r="X249" s="19" t="s">
        <v>0</v>
      </c>
      <c r="Y249" s="19" t="s">
        <v>0</v>
      </c>
      <c r="Z249" s="19" t="s">
        <v>0</v>
      </c>
      <c r="AA249" s="19" t="s">
        <v>0</v>
      </c>
    </row>
    <row r="250" spans="1:27" ht="15">
      <c r="A250" s="10">
        <f t="shared" ref="A250:A296" si="10">A249+1</f>
        <v>46000241</v>
      </c>
      <c r="B250" s="4" t="s">
        <v>3054</v>
      </c>
      <c r="C250" s="4" t="s">
        <v>62</v>
      </c>
      <c r="D250" s="11">
        <f>IFERROR(VLOOKUP(C250,ShipShapeEnum!$E:$F,2,FALSE),"-")</f>
        <v>1</v>
      </c>
      <c r="E250" s="19" t="s">
        <v>3055</v>
      </c>
      <c r="F250" s="4" t="s">
        <v>61</v>
      </c>
      <c r="G250" s="11">
        <f>IFERROR(VLOOKUP(F250,ShipShapeEnum!$B:$C,2,FALSE),"-")</f>
        <v>1</v>
      </c>
      <c r="H250" s="19" t="s">
        <v>0</v>
      </c>
      <c r="I250" s="19" t="s">
        <v>0</v>
      </c>
      <c r="J250" s="19" t="s">
        <v>0</v>
      </c>
      <c r="K250" s="19" t="s">
        <v>0</v>
      </c>
      <c r="L250" s="19" t="s">
        <v>0</v>
      </c>
      <c r="M250" s="4" t="s">
        <v>81</v>
      </c>
      <c r="N250" s="11">
        <f>IFERROR(VLOOKUP(M250,ShipShapeEnum!$H:$I,2,FALSE),"-")</f>
        <v>1</v>
      </c>
      <c r="O250" s="11" t="s">
        <v>0</v>
      </c>
      <c r="P250" s="30"/>
      <c r="Q250" s="11" t="str">
        <f>IFERROR(INDEX(SailPattern!$A:$A,MATCH(P250,SailPattern!$B:$B,0)),"-")</f>
        <v>-</v>
      </c>
      <c r="R250" s="30"/>
      <c r="S250" s="11" t="str">
        <f>IFERROR(INDEX(SailCrest!$A:$A,MATCH(R250,SailCrest!$B:$B,0)),"-")</f>
        <v>-</v>
      </c>
      <c r="T250" s="19" t="s">
        <v>0</v>
      </c>
      <c r="U250" s="19" t="s">
        <v>0</v>
      </c>
      <c r="V250" s="19" t="s">
        <v>0</v>
      </c>
      <c r="W250" s="19" t="s">
        <v>0</v>
      </c>
      <c r="X250" s="19" t="s">
        <v>0</v>
      </c>
      <c r="Y250" s="19" t="s">
        <v>0</v>
      </c>
      <c r="Z250" s="19" t="s">
        <v>0</v>
      </c>
      <c r="AA250" s="19" t="s">
        <v>0</v>
      </c>
    </row>
    <row r="251" spans="1:27" ht="15">
      <c r="A251" s="10">
        <f t="shared" si="10"/>
        <v>46000242</v>
      </c>
      <c r="B251" s="4" t="s">
        <v>3077</v>
      </c>
      <c r="C251" s="4" t="s">
        <v>62</v>
      </c>
      <c r="D251" s="11">
        <f>IFERROR(VLOOKUP(C251,ShipShapeEnum!$E:$F,2,FALSE),"-")</f>
        <v>1</v>
      </c>
      <c r="E251" s="19" t="s">
        <v>3078</v>
      </c>
      <c r="F251" s="4" t="s">
        <v>61</v>
      </c>
      <c r="G251" s="11">
        <f>IFERROR(VLOOKUP(F251,ShipShapeEnum!$B:$C,2,FALSE),"-")</f>
        <v>1</v>
      </c>
      <c r="H251" s="19" t="s">
        <v>0</v>
      </c>
      <c r="I251" s="19" t="s">
        <v>0</v>
      </c>
      <c r="J251" s="19" t="s">
        <v>0</v>
      </c>
      <c r="K251" s="19" t="s">
        <v>0</v>
      </c>
      <c r="L251" s="19" t="s">
        <v>0</v>
      </c>
      <c r="M251" s="4" t="s">
        <v>81</v>
      </c>
      <c r="N251" s="11">
        <f>IFERROR(VLOOKUP(M251,ShipShapeEnum!$H:$I,2,FALSE),"-")</f>
        <v>1</v>
      </c>
      <c r="O251" s="11" t="s">
        <v>0</v>
      </c>
      <c r="P251" s="30"/>
      <c r="Q251" s="11" t="str">
        <f>IFERROR(INDEX(SailPattern!$A:$A,MATCH(P251,SailPattern!$B:$B,0)),"-")</f>
        <v>-</v>
      </c>
      <c r="R251" s="30"/>
      <c r="S251" s="11" t="str">
        <f>IFERROR(INDEX(SailCrest!$A:$A,MATCH(R251,SailCrest!$B:$B,0)),"-")</f>
        <v>-</v>
      </c>
      <c r="T251" s="19" t="s">
        <v>0</v>
      </c>
      <c r="U251" s="19" t="s">
        <v>0</v>
      </c>
      <c r="V251" s="19" t="s">
        <v>0</v>
      </c>
      <c r="W251" s="19" t="s">
        <v>0</v>
      </c>
      <c r="X251" s="19" t="s">
        <v>0</v>
      </c>
      <c r="Y251" s="19" t="s">
        <v>0</v>
      </c>
      <c r="Z251" s="19" t="s">
        <v>0</v>
      </c>
      <c r="AA251" s="19" t="s">
        <v>0</v>
      </c>
    </row>
    <row r="252" spans="1:27" ht="15">
      <c r="A252" s="10">
        <f t="shared" si="10"/>
        <v>46000243</v>
      </c>
      <c r="B252" s="4" t="s">
        <v>3085</v>
      </c>
      <c r="C252" s="4" t="s">
        <v>62</v>
      </c>
      <c r="D252" s="11">
        <f>IFERROR(VLOOKUP(C252,ShipShapeEnum!$E:$F,2,FALSE),"-")</f>
        <v>1</v>
      </c>
      <c r="E252" s="19" t="s">
        <v>3086</v>
      </c>
      <c r="F252" s="4" t="s">
        <v>61</v>
      </c>
      <c r="G252" s="11">
        <f>IFERROR(VLOOKUP(F252,ShipShapeEnum!$B:$C,2,FALSE),"-")</f>
        <v>1</v>
      </c>
      <c r="H252" s="19" t="s">
        <v>0</v>
      </c>
      <c r="I252" s="19" t="s">
        <v>0</v>
      </c>
      <c r="J252" s="19" t="s">
        <v>0</v>
      </c>
      <c r="K252" s="19" t="s">
        <v>0</v>
      </c>
      <c r="L252" s="19" t="s">
        <v>0</v>
      </c>
      <c r="M252" s="4" t="s">
        <v>81</v>
      </c>
      <c r="N252" s="11">
        <f>IFERROR(VLOOKUP(M252,ShipShapeEnum!$H:$I,2,FALSE),"-")</f>
        <v>1</v>
      </c>
      <c r="O252" s="11" t="s">
        <v>0</v>
      </c>
      <c r="P252" s="30"/>
      <c r="Q252" s="11" t="str">
        <f>IFERROR(INDEX(SailPattern!$A:$A,MATCH(P252,SailPattern!$B:$B,0)),"-")</f>
        <v>-</v>
      </c>
      <c r="R252" s="30"/>
      <c r="S252" s="11" t="str">
        <f>IFERROR(INDEX(SailCrest!$A:$A,MATCH(R252,SailCrest!$B:$B,0)),"-")</f>
        <v>-</v>
      </c>
      <c r="T252" s="19" t="s">
        <v>0</v>
      </c>
      <c r="U252" s="19" t="s">
        <v>0</v>
      </c>
      <c r="V252" s="19" t="s">
        <v>0</v>
      </c>
      <c r="W252" s="19" t="s">
        <v>0</v>
      </c>
      <c r="X252" s="19" t="s">
        <v>0</v>
      </c>
      <c r="Y252" s="19" t="s">
        <v>0</v>
      </c>
      <c r="Z252" s="19" t="s">
        <v>0</v>
      </c>
      <c r="AA252" s="19" t="s">
        <v>0</v>
      </c>
    </row>
    <row r="253" spans="1:27" ht="15">
      <c r="A253" s="10">
        <f t="shared" si="10"/>
        <v>46000244</v>
      </c>
      <c r="B253" s="4" t="s">
        <v>3090</v>
      </c>
      <c r="C253" s="4" t="s">
        <v>62</v>
      </c>
      <c r="D253" s="11">
        <f>IFERROR(VLOOKUP(C253,ShipShapeEnum!$E:$F,2,FALSE),"-")</f>
        <v>1</v>
      </c>
      <c r="E253" s="19" t="s">
        <v>3091</v>
      </c>
      <c r="F253" s="4" t="s">
        <v>61</v>
      </c>
      <c r="G253" s="11">
        <f>IFERROR(VLOOKUP(F253,ShipShapeEnum!$B:$C,2,FALSE),"-")</f>
        <v>1</v>
      </c>
      <c r="H253" s="19" t="s">
        <v>0</v>
      </c>
      <c r="I253" s="19" t="s">
        <v>0</v>
      </c>
      <c r="J253" s="19" t="s">
        <v>0</v>
      </c>
      <c r="K253" s="19" t="s">
        <v>0</v>
      </c>
      <c r="L253" s="19" t="s">
        <v>0</v>
      </c>
      <c r="M253" s="4" t="s">
        <v>81</v>
      </c>
      <c r="N253" s="11">
        <f>IFERROR(VLOOKUP(M253,ShipShapeEnum!$H:$I,2,FALSE),"-")</f>
        <v>1</v>
      </c>
      <c r="O253" s="11" t="s">
        <v>0</v>
      </c>
      <c r="P253" s="30"/>
      <c r="Q253" s="11" t="str">
        <f>IFERROR(INDEX(SailPattern!$A:$A,MATCH(P253,SailPattern!$B:$B,0)),"-")</f>
        <v>-</v>
      </c>
      <c r="R253" s="30"/>
      <c r="S253" s="11" t="str">
        <f>IFERROR(INDEX(SailCrest!$A:$A,MATCH(R253,SailCrest!$B:$B,0)),"-")</f>
        <v>-</v>
      </c>
      <c r="T253" s="19" t="s">
        <v>0</v>
      </c>
      <c r="U253" s="19" t="s">
        <v>0</v>
      </c>
      <c r="V253" s="19" t="s">
        <v>0</v>
      </c>
      <c r="W253" s="19" t="s">
        <v>0</v>
      </c>
      <c r="X253" s="19" t="s">
        <v>0</v>
      </c>
      <c r="Y253" s="19" t="s">
        <v>0</v>
      </c>
      <c r="Z253" s="19" t="s">
        <v>0</v>
      </c>
      <c r="AA253" s="19" t="s">
        <v>0</v>
      </c>
    </row>
    <row r="254" spans="1:27" ht="15">
      <c r="A254" s="10">
        <f t="shared" si="10"/>
        <v>46000245</v>
      </c>
      <c r="B254" s="4" t="s">
        <v>3112</v>
      </c>
      <c r="C254" s="4" t="s">
        <v>62</v>
      </c>
      <c r="D254" s="11">
        <f>IFERROR(VLOOKUP(C254,ShipShapeEnum!$E:$F,2,FALSE),"-")</f>
        <v>1</v>
      </c>
      <c r="E254" s="19" t="s">
        <v>3106</v>
      </c>
      <c r="F254" s="4" t="s">
        <v>61</v>
      </c>
      <c r="G254" s="11">
        <f>IFERROR(VLOOKUP(F254,ShipShapeEnum!$B:$C,2,FALSE),"-")</f>
        <v>1</v>
      </c>
      <c r="H254" s="19" t="s">
        <v>0</v>
      </c>
      <c r="I254" s="19" t="s">
        <v>0</v>
      </c>
      <c r="J254" s="19" t="s">
        <v>0</v>
      </c>
      <c r="K254" s="19" t="s">
        <v>0</v>
      </c>
      <c r="L254" s="19" t="s">
        <v>0</v>
      </c>
      <c r="M254" s="4" t="s">
        <v>81</v>
      </c>
      <c r="N254" s="11">
        <f>IFERROR(VLOOKUP(M254,ShipShapeEnum!$H:$I,2,FALSE),"-")</f>
        <v>1</v>
      </c>
      <c r="O254" s="11" t="s">
        <v>0</v>
      </c>
      <c r="P254" s="30"/>
      <c r="Q254" s="11" t="str">
        <f>IFERROR(INDEX(SailPattern!$A:$A,MATCH(P254,SailPattern!$B:$B,0)),"-")</f>
        <v>-</v>
      </c>
      <c r="R254" s="30"/>
      <c r="S254" s="11" t="str">
        <f>IFERROR(INDEX(SailCrest!$A:$A,MATCH(R254,SailCrest!$B:$B,0)),"-")</f>
        <v>-</v>
      </c>
      <c r="T254" s="19" t="s">
        <v>0</v>
      </c>
      <c r="U254" s="19" t="s">
        <v>0</v>
      </c>
      <c r="V254" s="19" t="s">
        <v>0</v>
      </c>
      <c r="W254" s="19" t="s">
        <v>0</v>
      </c>
      <c r="X254" s="19" t="s">
        <v>0</v>
      </c>
      <c r="Y254" s="19" t="s">
        <v>0</v>
      </c>
      <c r="Z254" s="19" t="s">
        <v>0</v>
      </c>
      <c r="AA254" s="19" t="s">
        <v>0</v>
      </c>
    </row>
    <row r="255" spans="1:27" ht="15">
      <c r="A255" s="10">
        <f t="shared" si="10"/>
        <v>46000246</v>
      </c>
      <c r="B255" s="4" t="s">
        <v>3114</v>
      </c>
      <c r="C255" s="4" t="s">
        <v>62</v>
      </c>
      <c r="D255" s="11">
        <f>IFERROR(VLOOKUP(C255,ShipShapeEnum!$E:$F,2,FALSE),"-")</f>
        <v>1</v>
      </c>
      <c r="E255" s="19" t="s">
        <v>3115</v>
      </c>
      <c r="F255" s="4" t="s">
        <v>61</v>
      </c>
      <c r="G255" s="11">
        <f>IFERROR(VLOOKUP(F255,ShipShapeEnum!$B:$C,2,FALSE),"-")</f>
        <v>1</v>
      </c>
      <c r="H255" s="19" t="s">
        <v>0</v>
      </c>
      <c r="I255" s="19" t="s">
        <v>0</v>
      </c>
      <c r="J255" s="19" t="s">
        <v>0</v>
      </c>
      <c r="K255" s="19" t="s">
        <v>0</v>
      </c>
      <c r="L255" s="19" t="s">
        <v>0</v>
      </c>
      <c r="M255" s="4" t="s">
        <v>81</v>
      </c>
      <c r="N255" s="11">
        <f>IFERROR(VLOOKUP(M255,ShipShapeEnum!$H:$I,2,FALSE),"-")</f>
        <v>1</v>
      </c>
      <c r="O255" s="11" t="s">
        <v>0</v>
      </c>
      <c r="P255" s="30"/>
      <c r="Q255" s="11" t="str">
        <f>IFERROR(INDEX(SailPattern!$A:$A,MATCH(P255,SailPattern!$B:$B,0)),"-")</f>
        <v>-</v>
      </c>
      <c r="R255" s="30"/>
      <c r="S255" s="11" t="str">
        <f>IFERROR(INDEX(SailCrest!$A:$A,MATCH(R255,SailCrest!$B:$B,0)),"-")</f>
        <v>-</v>
      </c>
      <c r="T255" s="19" t="s">
        <v>0</v>
      </c>
      <c r="U255" s="19" t="s">
        <v>0</v>
      </c>
      <c r="V255" s="19" t="s">
        <v>0</v>
      </c>
      <c r="W255" s="19" t="s">
        <v>0</v>
      </c>
      <c r="X255" s="19" t="s">
        <v>0</v>
      </c>
      <c r="Y255" s="19" t="s">
        <v>0</v>
      </c>
      <c r="Z255" s="19" t="s">
        <v>0</v>
      </c>
      <c r="AA255" s="19" t="s">
        <v>0</v>
      </c>
    </row>
    <row r="256" spans="1:27" ht="15">
      <c r="A256" s="10">
        <f t="shared" si="10"/>
        <v>46000247</v>
      </c>
      <c r="B256" s="4" t="s">
        <v>3120</v>
      </c>
      <c r="C256" s="4" t="s">
        <v>62</v>
      </c>
      <c r="D256" s="11">
        <f>IFERROR(VLOOKUP(C256,ShipShapeEnum!$E:$F,2,FALSE),"-")</f>
        <v>1</v>
      </c>
      <c r="E256" s="19" t="s">
        <v>3121</v>
      </c>
      <c r="F256" s="4" t="s">
        <v>61</v>
      </c>
      <c r="G256" s="11">
        <f>IFERROR(VLOOKUP(F256,ShipShapeEnum!$B:$C,2,FALSE),"-")</f>
        <v>1</v>
      </c>
      <c r="H256" s="19" t="s">
        <v>0</v>
      </c>
      <c r="I256" s="19" t="s">
        <v>0</v>
      </c>
      <c r="J256" s="19" t="s">
        <v>0</v>
      </c>
      <c r="K256" s="19" t="s">
        <v>0</v>
      </c>
      <c r="L256" s="19" t="s">
        <v>0</v>
      </c>
      <c r="M256" s="4" t="s">
        <v>81</v>
      </c>
      <c r="N256" s="11">
        <f>IFERROR(VLOOKUP(M256,ShipShapeEnum!$H:$I,2,FALSE),"-")</f>
        <v>1</v>
      </c>
      <c r="O256" s="11" t="s">
        <v>0</v>
      </c>
      <c r="P256" s="30"/>
      <c r="Q256" s="11" t="str">
        <f>IFERROR(INDEX(SailPattern!$A:$A,MATCH(P256,SailPattern!$B:$B,0)),"-")</f>
        <v>-</v>
      </c>
      <c r="R256" s="30"/>
      <c r="S256" s="11" t="str">
        <f>IFERROR(INDEX(SailCrest!$A:$A,MATCH(R256,SailCrest!$B:$B,0)),"-")</f>
        <v>-</v>
      </c>
      <c r="T256" s="19" t="s">
        <v>0</v>
      </c>
      <c r="U256" s="19" t="s">
        <v>0</v>
      </c>
      <c r="V256" s="19" t="s">
        <v>0</v>
      </c>
      <c r="W256" s="19" t="s">
        <v>0</v>
      </c>
      <c r="X256" s="19" t="s">
        <v>0</v>
      </c>
      <c r="Y256" s="19" t="s">
        <v>0</v>
      </c>
      <c r="Z256" s="19" t="s">
        <v>0</v>
      </c>
      <c r="AA256" s="19" t="s">
        <v>0</v>
      </c>
    </row>
    <row r="257" spans="1:27" ht="15">
      <c r="A257" s="10">
        <f t="shared" si="10"/>
        <v>46000248</v>
      </c>
      <c r="B257" s="208" t="s">
        <v>3140</v>
      </c>
      <c r="C257" s="4" t="s">
        <v>62</v>
      </c>
      <c r="D257" s="11">
        <f>IFERROR(VLOOKUP(C257,ShipShapeEnum!$E:$F,2,FALSE),"-")</f>
        <v>1</v>
      </c>
      <c r="E257" s="208" t="s">
        <v>100</v>
      </c>
      <c r="F257" s="4" t="s">
        <v>61</v>
      </c>
      <c r="G257" s="11">
        <f>IFERROR(VLOOKUP(F257,ShipShapeEnum!$B:$C,2,FALSE),"-")</f>
        <v>1</v>
      </c>
      <c r="H257" s="19" t="s">
        <v>0</v>
      </c>
      <c r="I257" s="19" t="s">
        <v>0</v>
      </c>
      <c r="J257" s="19" t="s">
        <v>0</v>
      </c>
      <c r="K257" s="19" t="s">
        <v>0</v>
      </c>
      <c r="L257" s="19" t="s">
        <v>0</v>
      </c>
      <c r="M257" s="4" t="s">
        <v>81</v>
      </c>
      <c r="N257" s="11">
        <f>IFERROR(VLOOKUP(M257,ShipShapeEnum!$H:$I,2,FALSE),"-")</f>
        <v>1</v>
      </c>
      <c r="O257" s="11" t="s">
        <v>0</v>
      </c>
      <c r="P257" s="30"/>
      <c r="Q257" s="11" t="str">
        <f>IFERROR(INDEX(SailPattern!$A:$A,MATCH(P257,SailPattern!$B:$B,0)),"-")</f>
        <v>-</v>
      </c>
      <c r="R257" s="30"/>
      <c r="S257" s="11" t="str">
        <f>IFERROR(INDEX(SailCrest!$A:$A,MATCH(R257,SailCrest!$B:$B,0)),"-")</f>
        <v>-</v>
      </c>
      <c r="T257" s="19" t="s">
        <v>0</v>
      </c>
      <c r="U257" s="19" t="s">
        <v>0</v>
      </c>
      <c r="V257" s="19" t="s">
        <v>0</v>
      </c>
      <c r="W257" s="19" t="s">
        <v>0</v>
      </c>
      <c r="X257" s="19" t="s">
        <v>0</v>
      </c>
      <c r="Y257" s="19" t="s">
        <v>0</v>
      </c>
      <c r="Z257" s="19" t="s">
        <v>0</v>
      </c>
      <c r="AA257" s="19" t="s">
        <v>0</v>
      </c>
    </row>
    <row r="258" spans="1:27" ht="15">
      <c r="A258" s="10">
        <f t="shared" si="10"/>
        <v>46000249</v>
      </c>
      <c r="B258" s="208" t="s">
        <v>3143</v>
      </c>
      <c r="C258" s="4" t="s">
        <v>62</v>
      </c>
      <c r="D258" s="11">
        <f>IFERROR(VLOOKUP(C258,ShipShapeEnum!$E:$F,2,FALSE),"-")</f>
        <v>1</v>
      </c>
      <c r="E258" s="208" t="s">
        <v>100</v>
      </c>
      <c r="F258" s="4" t="s">
        <v>61</v>
      </c>
      <c r="G258" s="11">
        <f>IFERROR(VLOOKUP(F258,ShipShapeEnum!$B:$C,2,FALSE),"-")</f>
        <v>1</v>
      </c>
      <c r="H258" s="19" t="s">
        <v>0</v>
      </c>
      <c r="I258" s="19" t="s">
        <v>0</v>
      </c>
      <c r="J258" s="19" t="s">
        <v>0</v>
      </c>
      <c r="K258" s="19" t="s">
        <v>0</v>
      </c>
      <c r="L258" s="19" t="s">
        <v>0</v>
      </c>
      <c r="M258" s="4" t="s">
        <v>81</v>
      </c>
      <c r="N258" s="11">
        <f>IFERROR(VLOOKUP(M258,ShipShapeEnum!$H:$I,2,FALSE),"-")</f>
        <v>1</v>
      </c>
      <c r="O258" s="11" t="s">
        <v>0</v>
      </c>
      <c r="P258" s="30"/>
      <c r="Q258" s="11" t="str">
        <f>IFERROR(INDEX(SailPattern!$A:$A,MATCH(P258,SailPattern!$B:$B,0)),"-")</f>
        <v>-</v>
      </c>
      <c r="R258" s="30"/>
      <c r="S258" s="11" t="str">
        <f>IFERROR(INDEX(SailCrest!$A:$A,MATCH(R258,SailCrest!$B:$B,0)),"-")</f>
        <v>-</v>
      </c>
      <c r="T258" s="19" t="s">
        <v>0</v>
      </c>
      <c r="U258" s="19" t="s">
        <v>0</v>
      </c>
      <c r="V258" s="19" t="s">
        <v>0</v>
      </c>
      <c r="W258" s="19" t="s">
        <v>0</v>
      </c>
      <c r="X258" s="19" t="s">
        <v>0</v>
      </c>
      <c r="Y258" s="19" t="s">
        <v>0</v>
      </c>
      <c r="Z258" s="19" t="s">
        <v>0</v>
      </c>
      <c r="AA258" s="19" t="s">
        <v>0</v>
      </c>
    </row>
    <row r="259" spans="1:27" ht="15">
      <c r="A259" s="10">
        <f t="shared" si="10"/>
        <v>46000250</v>
      </c>
      <c r="B259" s="4" t="s">
        <v>3156</v>
      </c>
      <c r="C259" s="4" t="s">
        <v>62</v>
      </c>
      <c r="D259" s="11">
        <f>IFERROR(VLOOKUP(C259,ShipShapeEnum!$E:$F,2,FALSE),"-")</f>
        <v>1</v>
      </c>
      <c r="E259" s="19" t="s">
        <v>3154</v>
      </c>
      <c r="F259" s="4" t="s">
        <v>61</v>
      </c>
      <c r="G259" s="11">
        <f>IFERROR(VLOOKUP(F259,ShipShapeEnum!$B:$C,2,FALSE),"-")</f>
        <v>1</v>
      </c>
      <c r="H259" s="19" t="s">
        <v>0</v>
      </c>
      <c r="I259" s="19" t="s">
        <v>0</v>
      </c>
      <c r="J259" s="19" t="s">
        <v>0</v>
      </c>
      <c r="K259" s="19" t="s">
        <v>0</v>
      </c>
      <c r="L259" s="19" t="s">
        <v>0</v>
      </c>
      <c r="M259" s="4" t="s">
        <v>81</v>
      </c>
      <c r="N259" s="11">
        <f>IFERROR(VLOOKUP(M259,ShipShapeEnum!$H:$I,2,FALSE),"-")</f>
        <v>1</v>
      </c>
      <c r="O259" s="11" t="s">
        <v>0</v>
      </c>
      <c r="P259" s="30"/>
      <c r="Q259" s="11" t="str">
        <f>IFERROR(INDEX(SailPattern!$A:$A,MATCH(P259,SailPattern!$B:$B,0)),"-")</f>
        <v>-</v>
      </c>
      <c r="R259" s="30"/>
      <c r="S259" s="11" t="str">
        <f>IFERROR(INDEX(SailCrest!$A:$A,MATCH(R259,SailCrest!$B:$B,0)),"-")</f>
        <v>-</v>
      </c>
      <c r="T259" s="19" t="s">
        <v>0</v>
      </c>
      <c r="U259" s="19" t="s">
        <v>0</v>
      </c>
      <c r="V259" s="19" t="s">
        <v>0</v>
      </c>
      <c r="W259" s="19" t="s">
        <v>0</v>
      </c>
      <c r="X259" s="19" t="s">
        <v>0</v>
      </c>
      <c r="Y259" s="19" t="s">
        <v>0</v>
      </c>
      <c r="Z259" s="19" t="s">
        <v>0</v>
      </c>
      <c r="AA259" s="19" t="s">
        <v>0</v>
      </c>
    </row>
    <row r="260" spans="1:27" ht="15">
      <c r="A260" s="10">
        <f t="shared" si="10"/>
        <v>46000251</v>
      </c>
      <c r="B260" s="4" t="s">
        <v>3160</v>
      </c>
      <c r="C260" s="4" t="s">
        <v>62</v>
      </c>
      <c r="D260" s="11">
        <f>IFERROR(VLOOKUP(C260,ShipShapeEnum!$E:$F,2,FALSE),"-")</f>
        <v>1</v>
      </c>
      <c r="E260" s="19" t="s">
        <v>3161</v>
      </c>
      <c r="F260" s="4" t="s">
        <v>61</v>
      </c>
      <c r="G260" s="11">
        <f>IFERROR(VLOOKUP(F260,ShipShapeEnum!$B:$C,2,FALSE),"-")</f>
        <v>1</v>
      </c>
      <c r="H260" s="19" t="s">
        <v>0</v>
      </c>
      <c r="I260" s="19" t="s">
        <v>0</v>
      </c>
      <c r="J260" s="19" t="s">
        <v>0</v>
      </c>
      <c r="K260" s="19" t="s">
        <v>0</v>
      </c>
      <c r="L260" s="19" t="s">
        <v>0</v>
      </c>
      <c r="M260" s="4" t="s">
        <v>81</v>
      </c>
      <c r="N260" s="11">
        <f>IFERROR(VLOOKUP(M260,ShipShapeEnum!$H:$I,2,FALSE),"-")</f>
        <v>1</v>
      </c>
      <c r="O260" s="11" t="s">
        <v>0</v>
      </c>
      <c r="P260" s="30"/>
      <c r="Q260" s="11" t="str">
        <f>IFERROR(INDEX(SailPattern!$A:$A,MATCH(P260,SailPattern!$B:$B,0)),"-")</f>
        <v>-</v>
      </c>
      <c r="R260" s="30"/>
      <c r="S260" s="11" t="str">
        <f>IFERROR(INDEX(SailCrest!$A:$A,MATCH(R260,SailCrest!$B:$B,0)),"-")</f>
        <v>-</v>
      </c>
      <c r="T260" s="19" t="s">
        <v>0</v>
      </c>
      <c r="U260" s="19" t="s">
        <v>0</v>
      </c>
      <c r="V260" s="19" t="s">
        <v>0</v>
      </c>
      <c r="W260" s="19" t="s">
        <v>0</v>
      </c>
      <c r="X260" s="19" t="s">
        <v>0</v>
      </c>
      <c r="Y260" s="19" t="s">
        <v>0</v>
      </c>
      <c r="Z260" s="19" t="s">
        <v>0</v>
      </c>
      <c r="AA260" s="19" t="s">
        <v>0</v>
      </c>
    </row>
    <row r="261" spans="1:27" ht="15">
      <c r="A261" s="10">
        <f t="shared" si="10"/>
        <v>46000252</v>
      </c>
      <c r="B261" s="208" t="s">
        <v>3189</v>
      </c>
      <c r="C261" s="4" t="s">
        <v>62</v>
      </c>
      <c r="D261" s="11">
        <f>IFERROR(VLOOKUP(C261,ShipShapeEnum!$E:$F,2,FALSE),"-")</f>
        <v>1</v>
      </c>
      <c r="E261" s="208" t="s">
        <v>100</v>
      </c>
      <c r="F261" s="4" t="s">
        <v>61</v>
      </c>
      <c r="G261" s="11">
        <f>IFERROR(VLOOKUP(F261,ShipShapeEnum!$B:$C,2,FALSE),"-")</f>
        <v>1</v>
      </c>
      <c r="H261" s="19" t="s">
        <v>0</v>
      </c>
      <c r="I261" s="19" t="s">
        <v>0</v>
      </c>
      <c r="J261" s="19" t="s">
        <v>0</v>
      </c>
      <c r="K261" s="19" t="s">
        <v>0</v>
      </c>
      <c r="L261" s="19" t="s">
        <v>0</v>
      </c>
      <c r="M261" s="4" t="s">
        <v>81</v>
      </c>
      <c r="N261" s="11">
        <f>IFERROR(VLOOKUP(M261,ShipShapeEnum!$H:$I,2,FALSE),"-")</f>
        <v>1</v>
      </c>
      <c r="O261" s="11" t="s">
        <v>0</v>
      </c>
      <c r="P261" s="30"/>
      <c r="Q261" s="11" t="str">
        <f>IFERROR(INDEX(SailPattern!$A:$A,MATCH(P261,SailPattern!$B:$B,0)),"-")</f>
        <v>-</v>
      </c>
      <c r="R261" s="30"/>
      <c r="S261" s="11" t="str">
        <f>IFERROR(INDEX(SailCrest!$A:$A,MATCH(R261,SailCrest!$B:$B,0)),"-")</f>
        <v>-</v>
      </c>
      <c r="T261" s="19" t="s">
        <v>0</v>
      </c>
      <c r="U261" s="19" t="s">
        <v>0</v>
      </c>
      <c r="V261" s="19" t="s">
        <v>0</v>
      </c>
      <c r="W261" s="19" t="s">
        <v>0</v>
      </c>
      <c r="X261" s="19" t="s">
        <v>0</v>
      </c>
      <c r="Y261" s="19" t="s">
        <v>0</v>
      </c>
      <c r="Z261" s="19" t="s">
        <v>0</v>
      </c>
      <c r="AA261" s="19" t="s">
        <v>0</v>
      </c>
    </row>
    <row r="262" spans="1:27" ht="15">
      <c r="A262" s="10">
        <f t="shared" si="10"/>
        <v>46000253</v>
      </c>
      <c r="B262" s="208" t="s">
        <v>3191</v>
      </c>
      <c r="C262" s="4" t="s">
        <v>62</v>
      </c>
      <c r="D262" s="11">
        <f>IFERROR(VLOOKUP(C262,ShipShapeEnum!$E:$F,2,FALSE),"-")</f>
        <v>1</v>
      </c>
      <c r="E262" s="208" t="s">
        <v>100</v>
      </c>
      <c r="F262" s="4" t="s">
        <v>61</v>
      </c>
      <c r="G262" s="11">
        <f>IFERROR(VLOOKUP(F262,ShipShapeEnum!$B:$C,2,FALSE),"-")</f>
        <v>1</v>
      </c>
      <c r="H262" s="19" t="s">
        <v>0</v>
      </c>
      <c r="I262" s="19" t="s">
        <v>0</v>
      </c>
      <c r="J262" s="19" t="s">
        <v>0</v>
      </c>
      <c r="K262" s="19" t="s">
        <v>0</v>
      </c>
      <c r="L262" s="19" t="s">
        <v>0</v>
      </c>
      <c r="M262" s="4" t="s">
        <v>81</v>
      </c>
      <c r="N262" s="11">
        <f>IFERROR(VLOOKUP(M262,ShipShapeEnum!$H:$I,2,FALSE),"-")</f>
        <v>1</v>
      </c>
      <c r="O262" s="11" t="s">
        <v>0</v>
      </c>
      <c r="P262" s="30"/>
      <c r="Q262" s="11" t="str">
        <f>IFERROR(INDEX(SailPattern!$A:$A,MATCH(P262,SailPattern!$B:$B,0)),"-")</f>
        <v>-</v>
      </c>
      <c r="R262" s="30"/>
      <c r="S262" s="11" t="str">
        <f>IFERROR(INDEX(SailCrest!$A:$A,MATCH(R262,SailCrest!$B:$B,0)),"-")</f>
        <v>-</v>
      </c>
      <c r="T262" s="19" t="s">
        <v>0</v>
      </c>
      <c r="U262" s="19" t="s">
        <v>0</v>
      </c>
      <c r="V262" s="19" t="s">
        <v>0</v>
      </c>
      <c r="W262" s="19" t="s">
        <v>0</v>
      </c>
      <c r="X262" s="19" t="s">
        <v>0</v>
      </c>
      <c r="Y262" s="19" t="s">
        <v>0</v>
      </c>
      <c r="Z262" s="19" t="s">
        <v>0</v>
      </c>
      <c r="AA262" s="19" t="s">
        <v>0</v>
      </c>
    </row>
    <row r="263" spans="1:27" ht="15">
      <c r="A263" s="10">
        <f t="shared" si="10"/>
        <v>46000254</v>
      </c>
      <c r="B263" s="4" t="s">
        <v>3197</v>
      </c>
      <c r="C263" s="4" t="s">
        <v>62</v>
      </c>
      <c r="D263" s="11">
        <f>IFERROR(VLOOKUP(C263,ShipShapeEnum!$E:$F,2,FALSE),"-")</f>
        <v>1</v>
      </c>
      <c r="E263" s="19" t="s">
        <v>3198</v>
      </c>
      <c r="F263" s="4" t="s">
        <v>61</v>
      </c>
      <c r="G263" s="11">
        <f>IFERROR(VLOOKUP(F263,ShipShapeEnum!$B:$C,2,FALSE),"-")</f>
        <v>1</v>
      </c>
      <c r="H263" s="19" t="s">
        <v>0</v>
      </c>
      <c r="I263" s="19" t="s">
        <v>0</v>
      </c>
      <c r="J263" s="19" t="s">
        <v>0</v>
      </c>
      <c r="K263" s="19" t="s">
        <v>0</v>
      </c>
      <c r="L263" s="19" t="s">
        <v>0</v>
      </c>
      <c r="M263" s="4" t="s">
        <v>81</v>
      </c>
      <c r="N263" s="11">
        <f>IFERROR(VLOOKUP(M263,ShipShapeEnum!$H:$I,2,FALSE),"-")</f>
        <v>1</v>
      </c>
      <c r="O263" s="11" t="s">
        <v>0</v>
      </c>
      <c r="P263" s="30"/>
      <c r="Q263" s="11" t="str">
        <f>IFERROR(INDEX(SailPattern!$A:$A,MATCH(P263,SailPattern!$B:$B,0)),"-")</f>
        <v>-</v>
      </c>
      <c r="R263" s="30"/>
      <c r="S263" s="11" t="str">
        <f>IFERROR(INDEX(SailCrest!$A:$A,MATCH(R263,SailCrest!$B:$B,0)),"-")</f>
        <v>-</v>
      </c>
      <c r="T263" s="19" t="s">
        <v>0</v>
      </c>
      <c r="U263" s="19" t="s">
        <v>0</v>
      </c>
      <c r="V263" s="19" t="s">
        <v>0</v>
      </c>
      <c r="W263" s="19" t="s">
        <v>0</v>
      </c>
      <c r="X263" s="19" t="s">
        <v>0</v>
      </c>
      <c r="Y263" s="19" t="s">
        <v>0</v>
      </c>
      <c r="Z263" s="19" t="s">
        <v>0</v>
      </c>
      <c r="AA263" s="19" t="s">
        <v>0</v>
      </c>
    </row>
    <row r="264" spans="1:27" ht="15">
      <c r="A264" s="10">
        <f t="shared" si="10"/>
        <v>46000255</v>
      </c>
      <c r="B264" s="4" t="s">
        <v>3200</v>
      </c>
      <c r="C264" s="4" t="s">
        <v>62</v>
      </c>
      <c r="D264" s="11">
        <f>IFERROR(VLOOKUP(C264,ShipShapeEnum!$E:$F,2,FALSE),"-")</f>
        <v>1</v>
      </c>
      <c r="E264" s="19" t="s">
        <v>3201</v>
      </c>
      <c r="F264" s="4" t="s">
        <v>61</v>
      </c>
      <c r="G264" s="11">
        <f>IFERROR(VLOOKUP(F264,ShipShapeEnum!$B:$C,2,FALSE),"-")</f>
        <v>1</v>
      </c>
      <c r="H264" s="19" t="s">
        <v>0</v>
      </c>
      <c r="I264" s="19" t="s">
        <v>0</v>
      </c>
      <c r="J264" s="19" t="s">
        <v>0</v>
      </c>
      <c r="K264" s="19" t="s">
        <v>0</v>
      </c>
      <c r="L264" s="19" t="s">
        <v>0</v>
      </c>
      <c r="M264" s="4" t="s">
        <v>81</v>
      </c>
      <c r="N264" s="11">
        <f>IFERROR(VLOOKUP(M264,ShipShapeEnum!$H:$I,2,FALSE),"-")</f>
        <v>1</v>
      </c>
      <c r="O264" s="11" t="s">
        <v>0</v>
      </c>
      <c r="P264" s="30"/>
      <c r="Q264" s="11" t="str">
        <f>IFERROR(INDEX(SailPattern!$A:$A,MATCH(P264,SailPattern!$B:$B,0)),"-")</f>
        <v>-</v>
      </c>
      <c r="R264" s="30"/>
      <c r="S264" s="11" t="str">
        <f>IFERROR(INDEX(SailCrest!$A:$A,MATCH(R264,SailCrest!$B:$B,0)),"-")</f>
        <v>-</v>
      </c>
      <c r="T264" s="19" t="s">
        <v>0</v>
      </c>
      <c r="U264" s="19" t="s">
        <v>0</v>
      </c>
      <c r="V264" s="19" t="s">
        <v>0</v>
      </c>
      <c r="W264" s="19" t="s">
        <v>0</v>
      </c>
      <c r="X264" s="19" t="s">
        <v>0</v>
      </c>
      <c r="Y264" s="19" t="s">
        <v>0</v>
      </c>
      <c r="Z264" s="19" t="s">
        <v>0</v>
      </c>
      <c r="AA264" s="19" t="s">
        <v>0</v>
      </c>
    </row>
    <row r="265" spans="1:27" ht="15">
      <c r="A265" s="10">
        <f t="shared" si="10"/>
        <v>46000256</v>
      </c>
      <c r="B265" s="4" t="s">
        <v>3204</v>
      </c>
      <c r="C265" s="4" t="s">
        <v>62</v>
      </c>
      <c r="D265" s="11">
        <f>IFERROR(VLOOKUP(C265,ShipShapeEnum!$E:$F,2,FALSE),"-")</f>
        <v>1</v>
      </c>
      <c r="E265" s="19" t="s">
        <v>3202</v>
      </c>
      <c r="F265" s="4" t="s">
        <v>61</v>
      </c>
      <c r="G265" s="11">
        <f>IFERROR(VLOOKUP(F265,ShipShapeEnum!$B:$C,2,FALSE),"-")</f>
        <v>1</v>
      </c>
      <c r="H265" s="19" t="s">
        <v>0</v>
      </c>
      <c r="I265" s="19" t="s">
        <v>0</v>
      </c>
      <c r="J265" s="19" t="s">
        <v>0</v>
      </c>
      <c r="K265" s="19" t="s">
        <v>0</v>
      </c>
      <c r="L265" s="19" t="s">
        <v>0</v>
      </c>
      <c r="M265" s="4" t="s">
        <v>81</v>
      </c>
      <c r="N265" s="11">
        <f>IFERROR(VLOOKUP(M265,ShipShapeEnum!$H:$I,2,FALSE),"-")</f>
        <v>1</v>
      </c>
      <c r="O265" s="11" t="s">
        <v>0</v>
      </c>
      <c r="P265" s="30"/>
      <c r="Q265" s="11" t="str">
        <f>IFERROR(INDEX(SailPattern!$A:$A,MATCH(P265,SailPattern!$B:$B,0)),"-")</f>
        <v>-</v>
      </c>
      <c r="R265" s="30"/>
      <c r="S265" s="11" t="str">
        <f>IFERROR(INDEX(SailCrest!$A:$A,MATCH(R265,SailCrest!$B:$B,0)),"-")</f>
        <v>-</v>
      </c>
      <c r="T265" s="19" t="s">
        <v>0</v>
      </c>
      <c r="U265" s="19" t="s">
        <v>0</v>
      </c>
      <c r="V265" s="19" t="s">
        <v>0</v>
      </c>
      <c r="W265" s="19" t="s">
        <v>0</v>
      </c>
      <c r="X265" s="19" t="s">
        <v>0</v>
      </c>
      <c r="Y265" s="19" t="s">
        <v>0</v>
      </c>
      <c r="Z265" s="19" t="s">
        <v>0</v>
      </c>
      <c r="AA265" s="19" t="s">
        <v>0</v>
      </c>
    </row>
    <row r="266" spans="1:27" ht="15">
      <c r="A266" s="10">
        <f t="shared" si="10"/>
        <v>46000257</v>
      </c>
      <c r="B266" s="208" t="s">
        <v>3211</v>
      </c>
      <c r="C266" s="4" t="s">
        <v>62</v>
      </c>
      <c r="D266" s="11">
        <f>IFERROR(VLOOKUP(C266,ShipShapeEnum!$E:$F,2,FALSE),"-")</f>
        <v>1</v>
      </c>
      <c r="E266" s="208" t="s">
        <v>100</v>
      </c>
      <c r="F266" s="4" t="s">
        <v>61</v>
      </c>
      <c r="G266" s="11">
        <f>IFERROR(VLOOKUP(F266,ShipShapeEnum!$B:$C,2,FALSE),"-")</f>
        <v>1</v>
      </c>
      <c r="H266" s="19" t="s">
        <v>0</v>
      </c>
      <c r="I266" s="19" t="s">
        <v>0</v>
      </c>
      <c r="J266" s="19" t="s">
        <v>0</v>
      </c>
      <c r="K266" s="19" t="s">
        <v>0</v>
      </c>
      <c r="L266" s="19" t="s">
        <v>0</v>
      </c>
      <c r="M266" s="4" t="s">
        <v>81</v>
      </c>
      <c r="N266" s="11">
        <f>IFERROR(VLOOKUP(M266,ShipShapeEnum!$H:$I,2,FALSE),"-")</f>
        <v>1</v>
      </c>
      <c r="O266" s="11" t="s">
        <v>0</v>
      </c>
      <c r="P266" s="30"/>
      <c r="Q266" s="11" t="str">
        <f>IFERROR(INDEX(SailPattern!$A:$A,MATCH(P266,SailPattern!$B:$B,0)),"-")</f>
        <v>-</v>
      </c>
      <c r="R266" s="30"/>
      <c r="S266" s="11" t="str">
        <f>IFERROR(INDEX(SailCrest!$A:$A,MATCH(R266,SailCrest!$B:$B,0)),"-")</f>
        <v>-</v>
      </c>
      <c r="T266" s="19" t="s">
        <v>0</v>
      </c>
      <c r="U266" s="19" t="s">
        <v>0</v>
      </c>
      <c r="V266" s="19" t="s">
        <v>0</v>
      </c>
      <c r="W266" s="19" t="s">
        <v>0</v>
      </c>
      <c r="X266" s="19" t="s">
        <v>0</v>
      </c>
      <c r="Y266" s="19" t="s">
        <v>0</v>
      </c>
      <c r="Z266" s="19" t="s">
        <v>0</v>
      </c>
      <c r="AA266" s="19" t="s">
        <v>0</v>
      </c>
    </row>
    <row r="267" spans="1:27" ht="15">
      <c r="A267" s="10">
        <f t="shared" si="10"/>
        <v>46000258</v>
      </c>
      <c r="B267" s="208" t="s">
        <v>3217</v>
      </c>
      <c r="C267" s="4" t="s">
        <v>62</v>
      </c>
      <c r="D267" s="11">
        <f>IFERROR(VLOOKUP(C267,ShipShapeEnum!$E:$F,2,FALSE),"-")</f>
        <v>1</v>
      </c>
      <c r="E267" s="208" t="s">
        <v>100</v>
      </c>
      <c r="F267" s="4" t="s">
        <v>61</v>
      </c>
      <c r="G267" s="11">
        <f>IFERROR(VLOOKUP(F267,ShipShapeEnum!$B:$C,2,FALSE),"-")</f>
        <v>1</v>
      </c>
      <c r="H267" s="19" t="s">
        <v>0</v>
      </c>
      <c r="I267" s="19" t="s">
        <v>0</v>
      </c>
      <c r="J267" s="19" t="s">
        <v>0</v>
      </c>
      <c r="K267" s="19" t="s">
        <v>0</v>
      </c>
      <c r="L267" s="19" t="s">
        <v>0</v>
      </c>
      <c r="M267" s="4" t="s">
        <v>81</v>
      </c>
      <c r="N267" s="11">
        <f>IFERROR(VLOOKUP(M267,ShipShapeEnum!$H:$I,2,FALSE),"-")</f>
        <v>1</v>
      </c>
      <c r="O267" s="11" t="s">
        <v>0</v>
      </c>
      <c r="P267" s="30"/>
      <c r="Q267" s="11" t="str">
        <f>IFERROR(INDEX(SailPattern!$A:$A,MATCH(P267,SailPattern!$B:$B,0)),"-")</f>
        <v>-</v>
      </c>
      <c r="R267" s="30"/>
      <c r="S267" s="11" t="str">
        <f>IFERROR(INDEX(SailCrest!$A:$A,MATCH(R267,SailCrest!$B:$B,0)),"-")</f>
        <v>-</v>
      </c>
      <c r="T267" s="19" t="s">
        <v>0</v>
      </c>
      <c r="U267" s="19" t="s">
        <v>0</v>
      </c>
      <c r="V267" s="19" t="s">
        <v>0</v>
      </c>
      <c r="W267" s="19" t="s">
        <v>0</v>
      </c>
      <c r="X267" s="19" t="s">
        <v>0</v>
      </c>
      <c r="Y267" s="19" t="s">
        <v>0</v>
      </c>
      <c r="Z267" s="19" t="s">
        <v>0</v>
      </c>
      <c r="AA267" s="19" t="s">
        <v>0</v>
      </c>
    </row>
    <row r="268" spans="1:27" ht="15">
      <c r="A268" s="10">
        <f t="shared" si="10"/>
        <v>46000259</v>
      </c>
      <c r="B268" s="4" t="s">
        <v>3222</v>
      </c>
      <c r="C268" s="4" t="s">
        <v>62</v>
      </c>
      <c r="D268" s="11">
        <f>IFERROR(VLOOKUP(C268,ShipShapeEnum!$E:$F,2,FALSE),"-")</f>
        <v>1</v>
      </c>
      <c r="E268" s="19" t="s">
        <v>3219</v>
      </c>
      <c r="F268" s="4" t="s">
        <v>61</v>
      </c>
      <c r="G268" s="11">
        <f>IFERROR(VLOOKUP(F268,ShipShapeEnum!$B:$C,2,FALSE),"-")</f>
        <v>1</v>
      </c>
      <c r="H268" s="19" t="s">
        <v>0</v>
      </c>
      <c r="I268" s="19" t="s">
        <v>0</v>
      </c>
      <c r="J268" s="19" t="s">
        <v>0</v>
      </c>
      <c r="K268" s="19" t="s">
        <v>0</v>
      </c>
      <c r="L268" s="19" t="s">
        <v>0</v>
      </c>
      <c r="M268" s="4" t="s">
        <v>81</v>
      </c>
      <c r="N268" s="11">
        <f>IFERROR(VLOOKUP(M268,ShipShapeEnum!$H:$I,2,FALSE),"-")</f>
        <v>1</v>
      </c>
      <c r="O268" s="11" t="s">
        <v>0</v>
      </c>
      <c r="P268" s="30"/>
      <c r="Q268" s="11" t="str">
        <f>IFERROR(INDEX(SailPattern!$A:$A,MATCH(P268,SailPattern!$B:$B,0)),"-")</f>
        <v>-</v>
      </c>
      <c r="R268" s="30"/>
      <c r="S268" s="11" t="str">
        <f>IFERROR(INDEX(SailCrest!$A:$A,MATCH(R268,SailCrest!$B:$B,0)),"-")</f>
        <v>-</v>
      </c>
      <c r="T268" s="19" t="s">
        <v>0</v>
      </c>
      <c r="U268" s="19" t="s">
        <v>0</v>
      </c>
      <c r="V268" s="19" t="s">
        <v>0</v>
      </c>
      <c r="W268" s="19" t="s">
        <v>0</v>
      </c>
      <c r="X268" s="19" t="s">
        <v>0</v>
      </c>
      <c r="Y268" s="19" t="s">
        <v>0</v>
      </c>
      <c r="Z268" s="19" t="s">
        <v>0</v>
      </c>
      <c r="AA268" s="19" t="s">
        <v>0</v>
      </c>
    </row>
    <row r="269" spans="1:27" ht="15">
      <c r="A269" s="10">
        <f t="shared" si="10"/>
        <v>46000260</v>
      </c>
      <c r="B269" s="4" t="s">
        <v>3226</v>
      </c>
      <c r="C269" s="4" t="s">
        <v>62</v>
      </c>
      <c r="D269" s="11">
        <f>IFERROR(VLOOKUP(C269,ShipShapeEnum!$E:$F,2,FALSE),"-")</f>
        <v>1</v>
      </c>
      <c r="E269" s="19" t="s">
        <v>3227</v>
      </c>
      <c r="F269" s="4" t="s">
        <v>61</v>
      </c>
      <c r="G269" s="11">
        <f>IFERROR(VLOOKUP(F269,ShipShapeEnum!$B:$C,2,FALSE),"-")</f>
        <v>1</v>
      </c>
      <c r="H269" s="19" t="s">
        <v>0</v>
      </c>
      <c r="I269" s="19" t="s">
        <v>0</v>
      </c>
      <c r="J269" s="19" t="s">
        <v>0</v>
      </c>
      <c r="K269" s="19" t="s">
        <v>0</v>
      </c>
      <c r="L269" s="19" t="s">
        <v>0</v>
      </c>
      <c r="M269" s="4" t="s">
        <v>81</v>
      </c>
      <c r="N269" s="11">
        <f>IFERROR(VLOOKUP(M269,ShipShapeEnum!$H:$I,2,FALSE),"-")</f>
        <v>1</v>
      </c>
      <c r="O269" s="11" t="s">
        <v>0</v>
      </c>
      <c r="P269" s="30"/>
      <c r="Q269" s="11" t="str">
        <f>IFERROR(INDEX(SailPattern!$A:$A,MATCH(P269,SailPattern!$B:$B,0)),"-")</f>
        <v>-</v>
      </c>
      <c r="R269" s="30"/>
      <c r="S269" s="11" t="str">
        <f>IFERROR(INDEX(SailCrest!$A:$A,MATCH(R269,SailCrest!$B:$B,0)),"-")</f>
        <v>-</v>
      </c>
      <c r="T269" s="19" t="s">
        <v>0</v>
      </c>
      <c r="U269" s="19" t="s">
        <v>0</v>
      </c>
      <c r="V269" s="19" t="s">
        <v>0</v>
      </c>
      <c r="W269" s="19" t="s">
        <v>0</v>
      </c>
      <c r="X269" s="19" t="s">
        <v>0</v>
      </c>
      <c r="Y269" s="19" t="s">
        <v>0</v>
      </c>
      <c r="Z269" s="19" t="s">
        <v>0</v>
      </c>
      <c r="AA269" s="19" t="s">
        <v>0</v>
      </c>
    </row>
    <row r="270" spans="1:27" ht="15">
      <c r="A270" s="10">
        <f t="shared" si="10"/>
        <v>46000261</v>
      </c>
      <c r="B270" s="4" t="s">
        <v>3275</v>
      </c>
      <c r="C270" s="4" t="s">
        <v>62</v>
      </c>
      <c r="D270" s="11">
        <f>IFERROR(VLOOKUP(C270,ShipShapeEnum!$E:$F,2,FALSE),"-")</f>
        <v>1</v>
      </c>
      <c r="E270" s="19" t="s">
        <v>3276</v>
      </c>
      <c r="F270" s="4" t="s">
        <v>61</v>
      </c>
      <c r="G270" s="11">
        <f>IFERROR(VLOOKUP(F270,ShipShapeEnum!$B:$C,2,FALSE),"-")</f>
        <v>1</v>
      </c>
      <c r="H270" s="19" t="s">
        <v>0</v>
      </c>
      <c r="I270" s="19" t="s">
        <v>0</v>
      </c>
      <c r="J270" s="19" t="s">
        <v>0</v>
      </c>
      <c r="K270" s="19" t="s">
        <v>0</v>
      </c>
      <c r="L270" s="19" t="s">
        <v>0</v>
      </c>
      <c r="M270" s="4" t="s">
        <v>81</v>
      </c>
      <c r="N270" s="11">
        <f>IFERROR(VLOOKUP(M270,ShipShapeEnum!$H:$I,2,FALSE),"-")</f>
        <v>1</v>
      </c>
      <c r="O270" s="11" t="s">
        <v>0</v>
      </c>
      <c r="P270" s="30"/>
      <c r="Q270" s="11" t="str">
        <f>IFERROR(INDEX(SailPattern!$A:$A,MATCH(P270,SailPattern!$B:$B,0)),"-")</f>
        <v>-</v>
      </c>
      <c r="R270" s="30"/>
      <c r="S270" s="11" t="str">
        <f>IFERROR(INDEX(SailCrest!$A:$A,MATCH(R270,SailCrest!$B:$B,0)),"-")</f>
        <v>-</v>
      </c>
      <c r="T270" s="19" t="s">
        <v>0</v>
      </c>
      <c r="U270" s="19" t="s">
        <v>0</v>
      </c>
      <c r="V270" s="19" t="s">
        <v>0</v>
      </c>
      <c r="W270" s="19" t="s">
        <v>0</v>
      </c>
      <c r="X270" s="19" t="s">
        <v>0</v>
      </c>
      <c r="Y270" s="19" t="s">
        <v>0</v>
      </c>
      <c r="Z270" s="19" t="s">
        <v>0</v>
      </c>
      <c r="AA270" s="19" t="s">
        <v>0</v>
      </c>
    </row>
    <row r="271" spans="1:27" ht="15">
      <c r="A271" s="10">
        <f t="shared" si="10"/>
        <v>46000262</v>
      </c>
      <c r="B271" s="4" t="s">
        <v>3280</v>
      </c>
      <c r="C271" s="4" t="s">
        <v>62</v>
      </c>
      <c r="D271" s="11">
        <f>IFERROR(VLOOKUP(C271,ShipShapeEnum!$E:$F,2,FALSE),"-")</f>
        <v>1</v>
      </c>
      <c r="E271" s="19" t="s">
        <v>3283</v>
      </c>
      <c r="F271" s="4" t="s">
        <v>61</v>
      </c>
      <c r="G271" s="11">
        <f>IFERROR(VLOOKUP(F271,ShipShapeEnum!$B:$C,2,FALSE),"-")</f>
        <v>1</v>
      </c>
      <c r="H271" s="19" t="s">
        <v>0</v>
      </c>
      <c r="I271" s="19" t="s">
        <v>0</v>
      </c>
      <c r="J271" s="19" t="s">
        <v>0</v>
      </c>
      <c r="K271" s="19" t="s">
        <v>0</v>
      </c>
      <c r="L271" s="19" t="s">
        <v>0</v>
      </c>
      <c r="M271" s="4" t="s">
        <v>81</v>
      </c>
      <c r="N271" s="11">
        <f>IFERROR(VLOOKUP(M271,ShipShapeEnum!$H:$I,2,FALSE),"-")</f>
        <v>1</v>
      </c>
      <c r="O271" s="11" t="s">
        <v>0</v>
      </c>
      <c r="P271" s="30"/>
      <c r="Q271" s="11" t="str">
        <f>IFERROR(INDEX(SailPattern!$A:$A,MATCH(P271,SailPattern!$B:$B,0)),"-")</f>
        <v>-</v>
      </c>
      <c r="R271" s="30"/>
      <c r="S271" s="11" t="str">
        <f>IFERROR(INDEX(SailCrest!$A:$A,MATCH(R271,SailCrest!$B:$B,0)),"-")</f>
        <v>-</v>
      </c>
      <c r="T271" s="19" t="s">
        <v>0</v>
      </c>
      <c r="U271" s="19" t="s">
        <v>0</v>
      </c>
      <c r="V271" s="19" t="s">
        <v>0</v>
      </c>
      <c r="W271" s="19" t="s">
        <v>0</v>
      </c>
      <c r="X271" s="19" t="s">
        <v>0</v>
      </c>
      <c r="Y271" s="19" t="s">
        <v>0</v>
      </c>
      <c r="Z271" s="19" t="s">
        <v>0</v>
      </c>
      <c r="AA271" s="19" t="s">
        <v>0</v>
      </c>
    </row>
    <row r="272" spans="1:27" ht="15">
      <c r="A272" s="10">
        <f t="shared" si="10"/>
        <v>46000263</v>
      </c>
      <c r="B272" s="4" t="s">
        <v>3282</v>
      </c>
      <c r="C272" s="4" t="s">
        <v>62</v>
      </c>
      <c r="D272" s="11">
        <f>IFERROR(VLOOKUP(C272,ShipShapeEnum!$E:$F,2,FALSE),"-")</f>
        <v>1</v>
      </c>
      <c r="E272" s="19" t="s">
        <v>3284</v>
      </c>
      <c r="F272" s="4" t="s">
        <v>61</v>
      </c>
      <c r="G272" s="11">
        <f>IFERROR(VLOOKUP(F272,ShipShapeEnum!$B:$C,2,FALSE),"-")</f>
        <v>1</v>
      </c>
      <c r="H272" s="19" t="s">
        <v>0</v>
      </c>
      <c r="I272" s="19" t="s">
        <v>0</v>
      </c>
      <c r="J272" s="19" t="s">
        <v>0</v>
      </c>
      <c r="K272" s="19" t="s">
        <v>0</v>
      </c>
      <c r="L272" s="19" t="s">
        <v>0</v>
      </c>
      <c r="M272" s="4" t="s">
        <v>81</v>
      </c>
      <c r="N272" s="11">
        <f>IFERROR(VLOOKUP(M272,ShipShapeEnum!$H:$I,2,FALSE),"-")</f>
        <v>1</v>
      </c>
      <c r="O272" s="11" t="s">
        <v>0</v>
      </c>
      <c r="P272" s="30"/>
      <c r="Q272" s="11" t="str">
        <f>IFERROR(INDEX(SailPattern!$A:$A,MATCH(P272,SailPattern!$B:$B,0)),"-")</f>
        <v>-</v>
      </c>
      <c r="R272" s="30"/>
      <c r="S272" s="11" t="str">
        <f>IFERROR(INDEX(SailCrest!$A:$A,MATCH(R272,SailCrest!$B:$B,0)),"-")</f>
        <v>-</v>
      </c>
      <c r="T272" s="19" t="s">
        <v>0</v>
      </c>
      <c r="U272" s="19" t="s">
        <v>0</v>
      </c>
      <c r="V272" s="19" t="s">
        <v>0</v>
      </c>
      <c r="W272" s="19" t="s">
        <v>0</v>
      </c>
      <c r="X272" s="19" t="s">
        <v>0</v>
      </c>
      <c r="Y272" s="19" t="s">
        <v>0</v>
      </c>
      <c r="Z272" s="19" t="s">
        <v>0</v>
      </c>
      <c r="AA272" s="19" t="s">
        <v>0</v>
      </c>
    </row>
    <row r="273" spans="1:27" ht="15">
      <c r="A273" s="10">
        <f t="shared" si="10"/>
        <v>46000264</v>
      </c>
      <c r="B273" s="4" t="s">
        <v>3302</v>
      </c>
      <c r="C273" s="4" t="s">
        <v>62</v>
      </c>
      <c r="D273" s="11">
        <f>IFERROR(VLOOKUP(C273,ShipShapeEnum!$E:$F,2,FALSE),"-")</f>
        <v>1</v>
      </c>
      <c r="E273" s="19" t="s">
        <v>3296</v>
      </c>
      <c r="F273" s="4" t="s">
        <v>61</v>
      </c>
      <c r="G273" s="11">
        <f>IFERROR(VLOOKUP(F273,ShipShapeEnum!$B:$C,2,FALSE),"-")</f>
        <v>1</v>
      </c>
      <c r="H273" s="19" t="s">
        <v>0</v>
      </c>
      <c r="I273" s="19" t="s">
        <v>0</v>
      </c>
      <c r="J273" s="19" t="s">
        <v>0</v>
      </c>
      <c r="K273" s="19" t="s">
        <v>0</v>
      </c>
      <c r="L273" s="19" t="s">
        <v>0</v>
      </c>
      <c r="M273" s="4" t="s">
        <v>81</v>
      </c>
      <c r="N273" s="11">
        <f>IFERROR(VLOOKUP(M273,ShipShapeEnum!$H:$I,2,FALSE),"-")</f>
        <v>1</v>
      </c>
      <c r="O273" s="11" t="s">
        <v>0</v>
      </c>
      <c r="P273" s="30"/>
      <c r="Q273" s="11" t="str">
        <f>IFERROR(INDEX(SailPattern!$A:$A,MATCH(P273,SailPattern!$B:$B,0)),"-")</f>
        <v>-</v>
      </c>
      <c r="R273" s="30"/>
      <c r="S273" s="11" t="str">
        <f>IFERROR(INDEX(SailCrest!$A:$A,MATCH(R273,SailCrest!$B:$B,0)),"-")</f>
        <v>-</v>
      </c>
      <c r="T273" s="19" t="s">
        <v>0</v>
      </c>
      <c r="U273" s="19" t="s">
        <v>0</v>
      </c>
      <c r="V273" s="19" t="s">
        <v>0</v>
      </c>
      <c r="W273" s="19" t="s">
        <v>0</v>
      </c>
      <c r="X273" s="19" t="s">
        <v>0</v>
      </c>
      <c r="Y273" s="19" t="s">
        <v>0</v>
      </c>
      <c r="Z273" s="19" t="s">
        <v>0</v>
      </c>
      <c r="AA273" s="19" t="s">
        <v>0</v>
      </c>
    </row>
    <row r="274" spans="1:27" ht="15">
      <c r="A274" s="10">
        <f t="shared" si="10"/>
        <v>46000265</v>
      </c>
      <c r="B274" s="4" t="s">
        <v>3304</v>
      </c>
      <c r="C274" s="4" t="s">
        <v>62</v>
      </c>
      <c r="D274" s="11">
        <f>IFERROR(VLOOKUP(C274,ShipShapeEnum!$E:$F,2,FALSE),"-")</f>
        <v>1</v>
      </c>
      <c r="E274" s="19" t="s">
        <v>3305</v>
      </c>
      <c r="F274" s="4" t="s">
        <v>61</v>
      </c>
      <c r="G274" s="11">
        <f>IFERROR(VLOOKUP(F274,ShipShapeEnum!$B:$C,2,FALSE),"-")</f>
        <v>1</v>
      </c>
      <c r="H274" s="19" t="s">
        <v>0</v>
      </c>
      <c r="I274" s="19" t="s">
        <v>0</v>
      </c>
      <c r="J274" s="19" t="s">
        <v>0</v>
      </c>
      <c r="K274" s="19" t="s">
        <v>0</v>
      </c>
      <c r="L274" s="19" t="s">
        <v>0</v>
      </c>
      <c r="M274" s="4" t="s">
        <v>81</v>
      </c>
      <c r="N274" s="11">
        <f>IFERROR(VLOOKUP(M274,ShipShapeEnum!$H:$I,2,FALSE),"-")</f>
        <v>1</v>
      </c>
      <c r="O274" s="11" t="s">
        <v>0</v>
      </c>
      <c r="P274" s="30"/>
      <c r="Q274" s="11" t="str">
        <f>IFERROR(INDEX(SailPattern!$A:$A,MATCH(P274,SailPattern!$B:$B,0)),"-")</f>
        <v>-</v>
      </c>
      <c r="R274" s="30"/>
      <c r="S274" s="11" t="str">
        <f>IFERROR(INDEX(SailCrest!$A:$A,MATCH(R274,SailCrest!$B:$B,0)),"-")</f>
        <v>-</v>
      </c>
      <c r="T274" s="19" t="s">
        <v>0</v>
      </c>
      <c r="U274" s="19" t="s">
        <v>0</v>
      </c>
      <c r="V274" s="19" t="s">
        <v>0</v>
      </c>
      <c r="W274" s="19" t="s">
        <v>0</v>
      </c>
      <c r="X274" s="19" t="s">
        <v>0</v>
      </c>
      <c r="Y274" s="19" t="s">
        <v>0</v>
      </c>
      <c r="Z274" s="19" t="s">
        <v>0</v>
      </c>
      <c r="AA274" s="19" t="s">
        <v>0</v>
      </c>
    </row>
    <row r="275" spans="1:27" ht="15">
      <c r="A275" s="10">
        <f t="shared" si="10"/>
        <v>46000266</v>
      </c>
      <c r="B275" s="4" t="s">
        <v>3308</v>
      </c>
      <c r="C275" s="4" t="s">
        <v>62</v>
      </c>
      <c r="D275" s="11">
        <f>IFERROR(VLOOKUP(C275,ShipShapeEnum!$E:$F,2,FALSE),"-")</f>
        <v>1</v>
      </c>
      <c r="E275" s="19" t="s">
        <v>3309</v>
      </c>
      <c r="F275" s="4" t="s">
        <v>61</v>
      </c>
      <c r="G275" s="11">
        <f>IFERROR(VLOOKUP(F275,ShipShapeEnum!$B:$C,2,FALSE),"-")</f>
        <v>1</v>
      </c>
      <c r="H275" s="19" t="s">
        <v>0</v>
      </c>
      <c r="I275" s="19" t="s">
        <v>0</v>
      </c>
      <c r="J275" s="19" t="s">
        <v>0</v>
      </c>
      <c r="K275" s="19" t="s">
        <v>0</v>
      </c>
      <c r="L275" s="19" t="s">
        <v>0</v>
      </c>
      <c r="M275" s="4" t="s">
        <v>81</v>
      </c>
      <c r="N275" s="11">
        <f>IFERROR(VLOOKUP(M275,ShipShapeEnum!$H:$I,2,FALSE),"-")</f>
        <v>1</v>
      </c>
      <c r="O275" s="11" t="s">
        <v>0</v>
      </c>
      <c r="P275" s="30"/>
      <c r="Q275" s="11" t="str">
        <f>IFERROR(INDEX(SailPattern!$A:$A,MATCH(P275,SailPattern!$B:$B,0)),"-")</f>
        <v>-</v>
      </c>
      <c r="R275" s="30"/>
      <c r="S275" s="11" t="str">
        <f>IFERROR(INDEX(SailCrest!$A:$A,MATCH(R275,SailCrest!$B:$B,0)),"-")</f>
        <v>-</v>
      </c>
      <c r="T275" s="19" t="s">
        <v>0</v>
      </c>
      <c r="U275" s="19" t="s">
        <v>0</v>
      </c>
      <c r="V275" s="19" t="s">
        <v>0</v>
      </c>
      <c r="W275" s="19" t="s">
        <v>0</v>
      </c>
      <c r="X275" s="19" t="s">
        <v>0</v>
      </c>
      <c r="Y275" s="19" t="s">
        <v>0</v>
      </c>
      <c r="Z275" s="19" t="s">
        <v>0</v>
      </c>
      <c r="AA275" s="19" t="s">
        <v>0</v>
      </c>
    </row>
    <row r="276" spans="1:27" ht="15">
      <c r="A276" s="10">
        <f t="shared" si="10"/>
        <v>46000267</v>
      </c>
      <c r="B276" s="4" t="s">
        <v>3322</v>
      </c>
      <c r="C276" s="4" t="s">
        <v>62</v>
      </c>
      <c r="D276" s="11">
        <f>IFERROR(VLOOKUP(C276,ShipShapeEnum!$E:$F,2,FALSE),"-")</f>
        <v>1</v>
      </c>
      <c r="E276" s="19" t="s">
        <v>3323</v>
      </c>
      <c r="F276" s="4" t="s">
        <v>61</v>
      </c>
      <c r="G276" s="11">
        <f>IFERROR(VLOOKUP(F276,ShipShapeEnum!$B:$C,2,FALSE),"-")</f>
        <v>1</v>
      </c>
      <c r="H276" s="19" t="s">
        <v>0</v>
      </c>
      <c r="I276" s="19" t="s">
        <v>0</v>
      </c>
      <c r="J276" s="19" t="s">
        <v>0</v>
      </c>
      <c r="K276" s="19" t="s">
        <v>0</v>
      </c>
      <c r="L276" s="19" t="s">
        <v>0</v>
      </c>
      <c r="M276" s="4" t="s">
        <v>81</v>
      </c>
      <c r="N276" s="11">
        <f>IFERROR(VLOOKUP(M276,ShipShapeEnum!$H:$I,2,FALSE),"-")</f>
        <v>1</v>
      </c>
      <c r="O276" s="11" t="s">
        <v>0</v>
      </c>
      <c r="P276" s="30"/>
      <c r="Q276" s="11" t="str">
        <f>IFERROR(INDEX(SailPattern!$A:$A,MATCH(P276,SailPattern!$B:$B,0)),"-")</f>
        <v>-</v>
      </c>
      <c r="R276" s="30"/>
      <c r="S276" s="11" t="str">
        <f>IFERROR(INDEX(SailCrest!$A:$A,MATCH(R276,SailCrest!$B:$B,0)),"-")</f>
        <v>-</v>
      </c>
      <c r="T276" s="19" t="s">
        <v>0</v>
      </c>
      <c r="U276" s="19" t="s">
        <v>0</v>
      </c>
      <c r="V276" s="19" t="s">
        <v>0</v>
      </c>
      <c r="W276" s="19" t="s">
        <v>0</v>
      </c>
      <c r="X276" s="19" t="s">
        <v>0</v>
      </c>
      <c r="Y276" s="19" t="s">
        <v>0</v>
      </c>
      <c r="Z276" s="19" t="s">
        <v>0</v>
      </c>
      <c r="AA276" s="19" t="s">
        <v>0</v>
      </c>
    </row>
    <row r="277" spans="1:27" ht="15">
      <c r="A277" s="10">
        <f t="shared" si="10"/>
        <v>46000268</v>
      </c>
      <c r="B277" s="4" t="s">
        <v>3336</v>
      </c>
      <c r="C277" s="4" t="s">
        <v>62</v>
      </c>
      <c r="D277" s="11">
        <f>IFERROR(VLOOKUP(C277,ShipShapeEnum!$E:$F,2,FALSE),"-")</f>
        <v>1</v>
      </c>
      <c r="E277" s="19" t="s">
        <v>3337</v>
      </c>
      <c r="F277" s="4" t="s">
        <v>61</v>
      </c>
      <c r="G277" s="11">
        <f>IFERROR(VLOOKUP(F277,ShipShapeEnum!$B:$C,2,FALSE),"-")</f>
        <v>1</v>
      </c>
      <c r="H277" s="19" t="s">
        <v>0</v>
      </c>
      <c r="I277" s="19" t="s">
        <v>0</v>
      </c>
      <c r="J277" s="19" t="s">
        <v>0</v>
      </c>
      <c r="K277" s="19" t="s">
        <v>0</v>
      </c>
      <c r="L277" s="19" t="s">
        <v>0</v>
      </c>
      <c r="M277" s="4" t="s">
        <v>81</v>
      </c>
      <c r="N277" s="11">
        <f>IFERROR(VLOOKUP(M277,ShipShapeEnum!$H:$I,2,FALSE),"-")</f>
        <v>1</v>
      </c>
      <c r="O277" s="11" t="s">
        <v>0</v>
      </c>
      <c r="P277" s="30"/>
      <c r="Q277" s="11" t="str">
        <f>IFERROR(INDEX(SailPattern!$A:$A,MATCH(P277,SailPattern!$B:$B,0)),"-")</f>
        <v>-</v>
      </c>
      <c r="R277" s="30"/>
      <c r="S277" s="11" t="str">
        <f>IFERROR(INDEX(SailCrest!$A:$A,MATCH(R277,SailCrest!$B:$B,0)),"-")</f>
        <v>-</v>
      </c>
      <c r="T277" s="19" t="s">
        <v>0</v>
      </c>
      <c r="U277" s="19" t="s">
        <v>0</v>
      </c>
      <c r="V277" s="19" t="s">
        <v>0</v>
      </c>
      <c r="W277" s="19" t="s">
        <v>0</v>
      </c>
      <c r="X277" s="19" t="s">
        <v>0</v>
      </c>
      <c r="Y277" s="19" t="s">
        <v>0</v>
      </c>
      <c r="Z277" s="19" t="s">
        <v>0</v>
      </c>
      <c r="AA277" s="19" t="s">
        <v>0</v>
      </c>
    </row>
    <row r="278" spans="1:27" ht="15">
      <c r="A278" s="10">
        <f t="shared" si="10"/>
        <v>46000269</v>
      </c>
      <c r="B278" s="4" t="s">
        <v>3348</v>
      </c>
      <c r="C278" s="4" t="s">
        <v>62</v>
      </c>
      <c r="D278" s="11">
        <f>IFERROR(VLOOKUP(C278,ShipShapeEnum!$E:$F,2,FALSE),"-")</f>
        <v>1</v>
      </c>
      <c r="E278" s="19" t="s">
        <v>3349</v>
      </c>
      <c r="F278" s="4" t="s">
        <v>61</v>
      </c>
      <c r="G278" s="11">
        <f>IFERROR(VLOOKUP(F278,ShipShapeEnum!$B:$C,2,FALSE),"-")</f>
        <v>1</v>
      </c>
      <c r="H278" s="19" t="s">
        <v>0</v>
      </c>
      <c r="I278" s="19" t="s">
        <v>0</v>
      </c>
      <c r="J278" s="19" t="s">
        <v>0</v>
      </c>
      <c r="K278" s="19" t="s">
        <v>0</v>
      </c>
      <c r="L278" s="19" t="s">
        <v>0</v>
      </c>
      <c r="M278" s="4" t="s">
        <v>81</v>
      </c>
      <c r="N278" s="11">
        <f>IFERROR(VLOOKUP(M278,ShipShapeEnum!$H:$I,2,FALSE),"-")</f>
        <v>1</v>
      </c>
      <c r="O278" s="11" t="s">
        <v>0</v>
      </c>
      <c r="P278" s="30"/>
      <c r="Q278" s="11" t="str">
        <f>IFERROR(INDEX(SailPattern!$A:$A,MATCH(P278,SailPattern!$B:$B,0)),"-")</f>
        <v>-</v>
      </c>
      <c r="R278" s="30"/>
      <c r="S278" s="11" t="str">
        <f>IFERROR(INDEX(SailCrest!$A:$A,MATCH(R278,SailCrest!$B:$B,0)),"-")</f>
        <v>-</v>
      </c>
      <c r="T278" s="19" t="s">
        <v>0</v>
      </c>
      <c r="U278" s="19" t="s">
        <v>0</v>
      </c>
      <c r="V278" s="19" t="s">
        <v>0</v>
      </c>
      <c r="W278" s="19" t="s">
        <v>0</v>
      </c>
      <c r="X278" s="19" t="s">
        <v>0</v>
      </c>
      <c r="Y278" s="19" t="s">
        <v>0</v>
      </c>
      <c r="Z278" s="19" t="s">
        <v>0</v>
      </c>
      <c r="AA278" s="19" t="s">
        <v>0</v>
      </c>
    </row>
    <row r="279" spans="1:27" ht="15">
      <c r="A279" s="10">
        <f t="shared" si="10"/>
        <v>46000270</v>
      </c>
      <c r="B279" s="4" t="s">
        <v>3368</v>
      </c>
      <c r="C279" s="4" t="s">
        <v>62</v>
      </c>
      <c r="D279" s="11">
        <f>IFERROR(VLOOKUP(C279,ShipShapeEnum!$E:$F,2,FALSE),"-")</f>
        <v>1</v>
      </c>
      <c r="E279" s="19" t="s">
        <v>3369</v>
      </c>
      <c r="F279" s="4" t="s">
        <v>61</v>
      </c>
      <c r="G279" s="11">
        <f>IFERROR(VLOOKUP(F279,ShipShapeEnum!$B:$C,2,FALSE),"-")</f>
        <v>1</v>
      </c>
      <c r="H279" s="19" t="s">
        <v>0</v>
      </c>
      <c r="I279" s="19" t="s">
        <v>0</v>
      </c>
      <c r="J279" s="19" t="s">
        <v>0</v>
      </c>
      <c r="K279" s="19" t="s">
        <v>0</v>
      </c>
      <c r="L279" s="19" t="s">
        <v>0</v>
      </c>
      <c r="M279" s="4" t="s">
        <v>81</v>
      </c>
      <c r="N279" s="11">
        <f>IFERROR(VLOOKUP(M279,ShipShapeEnum!$H:$I,2,FALSE),"-")</f>
        <v>1</v>
      </c>
      <c r="O279" s="11" t="s">
        <v>0</v>
      </c>
      <c r="P279" s="30"/>
      <c r="Q279" s="11" t="str">
        <f>IFERROR(INDEX(SailPattern!$A:$A,MATCH(P279,SailPattern!$B:$B,0)),"-")</f>
        <v>-</v>
      </c>
      <c r="R279" s="30"/>
      <c r="S279" s="11" t="str">
        <f>IFERROR(INDEX(SailCrest!$A:$A,MATCH(R279,SailCrest!$B:$B,0)),"-")</f>
        <v>-</v>
      </c>
      <c r="T279" s="19" t="s">
        <v>0</v>
      </c>
      <c r="U279" s="19" t="s">
        <v>0</v>
      </c>
      <c r="V279" s="19" t="s">
        <v>0</v>
      </c>
      <c r="W279" s="19" t="s">
        <v>0</v>
      </c>
      <c r="X279" s="19" t="s">
        <v>0</v>
      </c>
      <c r="Y279" s="19" t="s">
        <v>0</v>
      </c>
      <c r="Z279" s="19" t="s">
        <v>0</v>
      </c>
      <c r="AA279" s="19" t="s">
        <v>0</v>
      </c>
    </row>
    <row r="280" spans="1:27" ht="15">
      <c r="A280" s="10">
        <f t="shared" si="10"/>
        <v>46000271</v>
      </c>
      <c r="B280" s="4" t="s">
        <v>3379</v>
      </c>
      <c r="C280" s="4" t="s">
        <v>62</v>
      </c>
      <c r="D280" s="11">
        <f>IFERROR(VLOOKUP(C280,ShipShapeEnum!$E:$F,2,FALSE),"-")</f>
        <v>1</v>
      </c>
      <c r="E280" s="19" t="s">
        <v>3380</v>
      </c>
      <c r="F280" s="4" t="s">
        <v>61</v>
      </c>
      <c r="G280" s="11">
        <f>IFERROR(VLOOKUP(F280,ShipShapeEnum!$B:$C,2,FALSE),"-")</f>
        <v>1</v>
      </c>
      <c r="H280" s="19" t="s">
        <v>0</v>
      </c>
      <c r="I280" s="19" t="s">
        <v>0</v>
      </c>
      <c r="J280" s="19" t="s">
        <v>0</v>
      </c>
      <c r="K280" s="19" t="s">
        <v>0</v>
      </c>
      <c r="L280" s="19" t="s">
        <v>0</v>
      </c>
      <c r="M280" s="4" t="s">
        <v>81</v>
      </c>
      <c r="N280" s="11">
        <f>IFERROR(VLOOKUP(M280,ShipShapeEnum!$H:$I,2,FALSE),"-")</f>
        <v>1</v>
      </c>
      <c r="O280" s="11" t="s">
        <v>0</v>
      </c>
      <c r="P280" s="30"/>
      <c r="Q280" s="11" t="str">
        <f>IFERROR(INDEX(SailPattern!$A:$A,MATCH(P280,SailPattern!$B:$B,0)),"-")</f>
        <v>-</v>
      </c>
      <c r="R280" s="30"/>
      <c r="S280" s="11" t="str">
        <f>IFERROR(INDEX(SailCrest!$A:$A,MATCH(R280,SailCrest!$B:$B,0)),"-")</f>
        <v>-</v>
      </c>
      <c r="T280" s="19" t="s">
        <v>0</v>
      </c>
      <c r="U280" s="19" t="s">
        <v>0</v>
      </c>
      <c r="V280" s="19" t="s">
        <v>0</v>
      </c>
      <c r="W280" s="19" t="s">
        <v>0</v>
      </c>
      <c r="X280" s="19" t="s">
        <v>0</v>
      </c>
      <c r="Y280" s="19" t="s">
        <v>0</v>
      </c>
      <c r="Z280" s="19" t="s">
        <v>0</v>
      </c>
      <c r="AA280" s="19" t="s">
        <v>0</v>
      </c>
    </row>
    <row r="281" spans="1:27" ht="15">
      <c r="A281" s="10">
        <f t="shared" si="10"/>
        <v>46000272</v>
      </c>
      <c r="B281" s="4" t="s">
        <v>3384</v>
      </c>
      <c r="C281" s="4" t="s">
        <v>62</v>
      </c>
      <c r="D281" s="11">
        <f>IFERROR(VLOOKUP(C281,ShipShapeEnum!$E:$F,2,FALSE),"-")</f>
        <v>1</v>
      </c>
      <c r="E281" s="19" t="s">
        <v>3385</v>
      </c>
      <c r="F281" s="4" t="s">
        <v>61</v>
      </c>
      <c r="G281" s="11">
        <f>IFERROR(VLOOKUP(F281,ShipShapeEnum!$B:$C,2,FALSE),"-")</f>
        <v>1</v>
      </c>
      <c r="H281" s="19" t="s">
        <v>0</v>
      </c>
      <c r="I281" s="19" t="s">
        <v>0</v>
      </c>
      <c r="J281" s="19" t="s">
        <v>0</v>
      </c>
      <c r="K281" s="19" t="s">
        <v>0</v>
      </c>
      <c r="L281" s="19" t="s">
        <v>0</v>
      </c>
      <c r="M281" s="4" t="s">
        <v>81</v>
      </c>
      <c r="N281" s="11">
        <f>IFERROR(VLOOKUP(M281,ShipShapeEnum!$H:$I,2,FALSE),"-")</f>
        <v>1</v>
      </c>
      <c r="O281" s="11" t="s">
        <v>0</v>
      </c>
      <c r="P281" s="30"/>
      <c r="Q281" s="11" t="str">
        <f>IFERROR(INDEX(SailPattern!$A:$A,MATCH(P281,SailPattern!$B:$B,0)),"-")</f>
        <v>-</v>
      </c>
      <c r="R281" s="30"/>
      <c r="S281" s="11" t="str">
        <f>IFERROR(INDEX(SailCrest!$A:$A,MATCH(R281,SailCrest!$B:$B,0)),"-")</f>
        <v>-</v>
      </c>
      <c r="T281" s="19" t="s">
        <v>0</v>
      </c>
      <c r="U281" s="19" t="s">
        <v>0</v>
      </c>
      <c r="V281" s="19" t="s">
        <v>0</v>
      </c>
      <c r="W281" s="19" t="s">
        <v>0</v>
      </c>
      <c r="X281" s="19" t="s">
        <v>0</v>
      </c>
      <c r="Y281" s="19" t="s">
        <v>0</v>
      </c>
      <c r="Z281" s="19" t="s">
        <v>0</v>
      </c>
      <c r="AA281" s="19" t="s">
        <v>0</v>
      </c>
    </row>
    <row r="282" spans="1:27" ht="15">
      <c r="A282" s="10">
        <f t="shared" si="10"/>
        <v>46000273</v>
      </c>
      <c r="B282" s="4" t="s">
        <v>3391</v>
      </c>
      <c r="C282" s="4" t="s">
        <v>62</v>
      </c>
      <c r="D282" s="11">
        <f>IFERROR(VLOOKUP(C282,ShipShapeEnum!$E:$F,2,FALSE),"-")</f>
        <v>1</v>
      </c>
      <c r="E282" s="19" t="s">
        <v>3389</v>
      </c>
      <c r="F282" s="4" t="s">
        <v>61</v>
      </c>
      <c r="G282" s="11">
        <f>IFERROR(VLOOKUP(F282,ShipShapeEnum!$B:$C,2,FALSE),"-")</f>
        <v>1</v>
      </c>
      <c r="H282" s="19" t="s">
        <v>0</v>
      </c>
      <c r="I282" s="19" t="s">
        <v>0</v>
      </c>
      <c r="J282" s="19" t="s">
        <v>0</v>
      </c>
      <c r="K282" s="19" t="s">
        <v>0</v>
      </c>
      <c r="L282" s="19" t="s">
        <v>0</v>
      </c>
      <c r="M282" s="4" t="s">
        <v>81</v>
      </c>
      <c r="N282" s="11">
        <f>IFERROR(VLOOKUP(M282,ShipShapeEnum!$H:$I,2,FALSE),"-")</f>
        <v>1</v>
      </c>
      <c r="O282" s="11" t="s">
        <v>0</v>
      </c>
      <c r="P282" s="30"/>
      <c r="Q282" s="11" t="str">
        <f>IFERROR(INDEX(SailPattern!$A:$A,MATCH(P282,SailPattern!$B:$B,0)),"-")</f>
        <v>-</v>
      </c>
      <c r="R282" s="30"/>
      <c r="S282" s="11" t="str">
        <f>IFERROR(INDEX(SailCrest!$A:$A,MATCH(R282,SailCrest!$B:$B,0)),"-")</f>
        <v>-</v>
      </c>
      <c r="T282" s="19" t="s">
        <v>0</v>
      </c>
      <c r="U282" s="19" t="s">
        <v>0</v>
      </c>
      <c r="V282" s="19" t="s">
        <v>0</v>
      </c>
      <c r="W282" s="19" t="s">
        <v>0</v>
      </c>
      <c r="X282" s="19" t="s">
        <v>0</v>
      </c>
      <c r="Y282" s="19" t="s">
        <v>0</v>
      </c>
      <c r="Z282" s="19" t="s">
        <v>0</v>
      </c>
      <c r="AA282" s="19" t="s">
        <v>0</v>
      </c>
    </row>
    <row r="283" spans="1:27" ht="15">
      <c r="A283" s="10">
        <f t="shared" si="10"/>
        <v>46000274</v>
      </c>
      <c r="B283" s="4" t="s">
        <v>3397</v>
      </c>
      <c r="C283" s="4" t="s">
        <v>62</v>
      </c>
      <c r="D283" s="11">
        <f>IFERROR(VLOOKUP(C283,ShipShapeEnum!$E:$F,2,FALSE),"-")</f>
        <v>1</v>
      </c>
      <c r="E283" s="19" t="s">
        <v>3394</v>
      </c>
      <c r="F283" s="4" t="s">
        <v>61</v>
      </c>
      <c r="G283" s="11">
        <f>IFERROR(VLOOKUP(F283,ShipShapeEnum!$B:$C,2,FALSE),"-")</f>
        <v>1</v>
      </c>
      <c r="H283" s="19" t="s">
        <v>0</v>
      </c>
      <c r="I283" s="19" t="s">
        <v>0</v>
      </c>
      <c r="J283" s="19" t="s">
        <v>0</v>
      </c>
      <c r="K283" s="19" t="s">
        <v>0</v>
      </c>
      <c r="L283" s="19" t="s">
        <v>0</v>
      </c>
      <c r="M283" s="4" t="s">
        <v>81</v>
      </c>
      <c r="N283" s="11">
        <f>IFERROR(VLOOKUP(M283,ShipShapeEnum!$H:$I,2,FALSE),"-")</f>
        <v>1</v>
      </c>
      <c r="O283" s="11" t="s">
        <v>0</v>
      </c>
      <c r="P283" s="30"/>
      <c r="Q283" s="11" t="str">
        <f>IFERROR(INDEX(SailPattern!$A:$A,MATCH(P283,SailPattern!$B:$B,0)),"-")</f>
        <v>-</v>
      </c>
      <c r="R283" s="30"/>
      <c r="S283" s="11" t="str">
        <f>IFERROR(INDEX(SailCrest!$A:$A,MATCH(R283,SailCrest!$B:$B,0)),"-")</f>
        <v>-</v>
      </c>
      <c r="T283" s="19" t="s">
        <v>0</v>
      </c>
      <c r="U283" s="19" t="s">
        <v>0</v>
      </c>
      <c r="V283" s="19" t="s">
        <v>0</v>
      </c>
      <c r="W283" s="19" t="s">
        <v>0</v>
      </c>
      <c r="X283" s="19" t="s">
        <v>0</v>
      </c>
      <c r="Y283" s="19" t="s">
        <v>0</v>
      </c>
      <c r="Z283" s="19" t="s">
        <v>0</v>
      </c>
      <c r="AA283" s="19" t="s">
        <v>0</v>
      </c>
    </row>
    <row r="284" spans="1:27" ht="15">
      <c r="A284" s="10">
        <f t="shared" si="10"/>
        <v>46000275</v>
      </c>
      <c r="B284" s="4" t="s">
        <v>3443</v>
      </c>
      <c r="C284" s="4" t="s">
        <v>62</v>
      </c>
      <c r="D284" s="11">
        <f>IFERROR(VLOOKUP(C284,ShipShapeEnum!$E:$F,2,FALSE),"-")</f>
        <v>1</v>
      </c>
      <c r="E284" s="19" t="s">
        <v>3444</v>
      </c>
      <c r="F284" s="4" t="s">
        <v>61</v>
      </c>
      <c r="G284" s="11">
        <f>IFERROR(VLOOKUP(F284,ShipShapeEnum!$B:$C,2,FALSE),"-")</f>
        <v>1</v>
      </c>
      <c r="H284" s="19" t="s">
        <v>0</v>
      </c>
      <c r="I284" s="19" t="s">
        <v>0</v>
      </c>
      <c r="J284" s="19" t="s">
        <v>0</v>
      </c>
      <c r="K284" s="19" t="s">
        <v>0</v>
      </c>
      <c r="L284" s="19" t="s">
        <v>0</v>
      </c>
      <c r="M284" s="4" t="s">
        <v>81</v>
      </c>
      <c r="N284" s="11">
        <f>IFERROR(VLOOKUP(M284,ShipShapeEnum!$H:$I,2,FALSE),"-")</f>
        <v>1</v>
      </c>
      <c r="O284" s="11" t="s">
        <v>0</v>
      </c>
      <c r="P284" s="30"/>
      <c r="Q284" s="11" t="str">
        <f>IFERROR(INDEX(SailPattern!$A:$A,MATCH(P284,SailPattern!$B:$B,0)),"-")</f>
        <v>-</v>
      </c>
      <c r="R284" s="30"/>
      <c r="S284" s="11" t="str">
        <f>IFERROR(INDEX(SailCrest!$A:$A,MATCH(R284,SailCrest!$B:$B,0)),"-")</f>
        <v>-</v>
      </c>
      <c r="T284" s="19" t="s">
        <v>0</v>
      </c>
      <c r="U284" s="19" t="s">
        <v>0</v>
      </c>
      <c r="V284" s="19" t="s">
        <v>0</v>
      </c>
      <c r="W284" s="19" t="s">
        <v>0</v>
      </c>
      <c r="X284" s="19" t="s">
        <v>0</v>
      </c>
      <c r="Y284" s="19" t="s">
        <v>0</v>
      </c>
      <c r="Z284" s="19" t="s">
        <v>0</v>
      </c>
      <c r="AA284" s="19" t="s">
        <v>0</v>
      </c>
    </row>
    <row r="285" spans="1:27" ht="15">
      <c r="A285" s="10">
        <f t="shared" si="10"/>
        <v>46000276</v>
      </c>
      <c r="B285" s="4" t="s">
        <v>3448</v>
      </c>
      <c r="C285" s="4" t="s">
        <v>62</v>
      </c>
      <c r="D285" s="11">
        <f>IFERROR(VLOOKUP(C285,ShipShapeEnum!$E:$F,2,FALSE),"-")</f>
        <v>1</v>
      </c>
      <c r="E285" s="19" t="s">
        <v>3449</v>
      </c>
      <c r="F285" s="4" t="s">
        <v>61</v>
      </c>
      <c r="G285" s="11">
        <f>IFERROR(VLOOKUP(F285,ShipShapeEnum!$B:$C,2,FALSE),"-")</f>
        <v>1</v>
      </c>
      <c r="H285" s="19" t="s">
        <v>0</v>
      </c>
      <c r="I285" s="19" t="s">
        <v>0</v>
      </c>
      <c r="J285" s="19" t="s">
        <v>0</v>
      </c>
      <c r="K285" s="19" t="s">
        <v>0</v>
      </c>
      <c r="L285" s="19" t="s">
        <v>0</v>
      </c>
      <c r="M285" s="4" t="s">
        <v>81</v>
      </c>
      <c r="N285" s="11">
        <f>IFERROR(VLOOKUP(M285,ShipShapeEnum!$H:$I,2,FALSE),"-")</f>
        <v>1</v>
      </c>
      <c r="O285" s="11" t="s">
        <v>0</v>
      </c>
      <c r="P285" s="30"/>
      <c r="Q285" s="11" t="str">
        <f>IFERROR(INDEX(SailPattern!$A:$A,MATCH(P285,SailPattern!$B:$B,0)),"-")</f>
        <v>-</v>
      </c>
      <c r="R285" s="30"/>
      <c r="S285" s="11" t="str">
        <f>IFERROR(INDEX(SailCrest!$A:$A,MATCH(R285,SailCrest!$B:$B,0)),"-")</f>
        <v>-</v>
      </c>
      <c r="T285" s="19" t="s">
        <v>0</v>
      </c>
      <c r="U285" s="19" t="s">
        <v>0</v>
      </c>
      <c r="V285" s="19" t="s">
        <v>0</v>
      </c>
      <c r="W285" s="19" t="s">
        <v>0</v>
      </c>
      <c r="X285" s="19" t="s">
        <v>0</v>
      </c>
      <c r="Y285" s="19" t="s">
        <v>0</v>
      </c>
      <c r="Z285" s="19" t="s">
        <v>0</v>
      </c>
      <c r="AA285" s="19" t="s">
        <v>0</v>
      </c>
    </row>
    <row r="286" spans="1:27" ht="15">
      <c r="A286" s="10">
        <f t="shared" si="10"/>
        <v>46000277</v>
      </c>
      <c r="B286" s="4" t="s">
        <v>3458</v>
      </c>
      <c r="C286" s="4" t="s">
        <v>62</v>
      </c>
      <c r="D286" s="11">
        <f>IFERROR(VLOOKUP(C286,ShipShapeEnum!$E:$F,2,FALSE),"-")</f>
        <v>1</v>
      </c>
      <c r="E286" s="19" t="s">
        <v>3459</v>
      </c>
      <c r="F286" s="4" t="s">
        <v>61</v>
      </c>
      <c r="G286" s="11">
        <f>IFERROR(VLOOKUP(F286,ShipShapeEnum!$B:$C,2,FALSE),"-")</f>
        <v>1</v>
      </c>
      <c r="H286" s="19" t="s">
        <v>0</v>
      </c>
      <c r="I286" s="19" t="s">
        <v>0</v>
      </c>
      <c r="J286" s="19" t="s">
        <v>0</v>
      </c>
      <c r="K286" s="19" t="s">
        <v>0</v>
      </c>
      <c r="L286" s="19" t="s">
        <v>0</v>
      </c>
      <c r="M286" s="4" t="s">
        <v>81</v>
      </c>
      <c r="N286" s="11">
        <f>IFERROR(VLOOKUP(M286,ShipShapeEnum!$H:$I,2,FALSE),"-")</f>
        <v>1</v>
      </c>
      <c r="O286" s="11" t="s">
        <v>0</v>
      </c>
      <c r="P286" s="30"/>
      <c r="Q286" s="11" t="str">
        <f>IFERROR(INDEX(SailPattern!$A:$A,MATCH(P286,SailPattern!$B:$B,0)),"-")</f>
        <v>-</v>
      </c>
      <c r="R286" s="30"/>
      <c r="S286" s="11" t="str">
        <f>IFERROR(INDEX(SailCrest!$A:$A,MATCH(R286,SailCrest!$B:$B,0)),"-")</f>
        <v>-</v>
      </c>
      <c r="T286" s="19" t="s">
        <v>0</v>
      </c>
      <c r="U286" s="19" t="s">
        <v>0</v>
      </c>
      <c r="V286" s="19" t="s">
        <v>0</v>
      </c>
      <c r="W286" s="19" t="s">
        <v>0</v>
      </c>
      <c r="X286" s="19" t="s">
        <v>0</v>
      </c>
      <c r="Y286" s="19" t="s">
        <v>0</v>
      </c>
      <c r="Z286" s="19" t="s">
        <v>0</v>
      </c>
      <c r="AA286" s="19" t="s">
        <v>0</v>
      </c>
    </row>
    <row r="287" spans="1:27" ht="15">
      <c r="A287" s="10">
        <f t="shared" si="10"/>
        <v>46000278</v>
      </c>
      <c r="B287" s="4" t="s">
        <v>3499</v>
      </c>
      <c r="C287" s="4" t="s">
        <v>62</v>
      </c>
      <c r="D287" s="11">
        <f>IFERROR(VLOOKUP(C287,ShipShapeEnum!$E:$F,2,FALSE),"-")</f>
        <v>1</v>
      </c>
      <c r="E287" s="19" t="s">
        <v>3500</v>
      </c>
      <c r="F287" s="4" t="s">
        <v>61</v>
      </c>
      <c r="G287" s="11">
        <f>IFERROR(VLOOKUP(F287,ShipShapeEnum!$B:$C,2,FALSE),"-")</f>
        <v>1</v>
      </c>
      <c r="H287" s="19" t="s">
        <v>0</v>
      </c>
      <c r="I287" s="19" t="s">
        <v>0</v>
      </c>
      <c r="J287" s="19" t="s">
        <v>0</v>
      </c>
      <c r="K287" s="19" t="s">
        <v>0</v>
      </c>
      <c r="L287" s="19" t="s">
        <v>0</v>
      </c>
      <c r="M287" s="4" t="s">
        <v>81</v>
      </c>
      <c r="N287" s="11">
        <f>IFERROR(VLOOKUP(M287,ShipShapeEnum!$H:$I,2,FALSE),"-")</f>
        <v>1</v>
      </c>
      <c r="O287" s="11" t="s">
        <v>0</v>
      </c>
      <c r="P287" s="30"/>
      <c r="Q287" s="11" t="str">
        <f>IFERROR(INDEX(SailPattern!$A:$A,MATCH(P287,SailPattern!$B:$B,0)),"-")</f>
        <v>-</v>
      </c>
      <c r="R287" s="30"/>
      <c r="S287" s="11" t="str">
        <f>IFERROR(INDEX(SailCrest!$A:$A,MATCH(R287,SailCrest!$B:$B,0)),"-")</f>
        <v>-</v>
      </c>
      <c r="T287" s="19" t="s">
        <v>0</v>
      </c>
      <c r="U287" s="19" t="s">
        <v>0</v>
      </c>
      <c r="V287" s="19" t="s">
        <v>0</v>
      </c>
      <c r="W287" s="19" t="s">
        <v>0</v>
      </c>
      <c r="X287" s="19" t="s">
        <v>0</v>
      </c>
      <c r="Y287" s="19" t="s">
        <v>0</v>
      </c>
      <c r="Z287" s="19" t="s">
        <v>0</v>
      </c>
      <c r="AA287" s="19" t="s">
        <v>0</v>
      </c>
    </row>
    <row r="288" spans="1:27" ht="15">
      <c r="A288" s="10">
        <f t="shared" si="10"/>
        <v>46000279</v>
      </c>
      <c r="B288" s="4" t="s">
        <v>3507</v>
      </c>
      <c r="C288" s="4" t="s">
        <v>62</v>
      </c>
      <c r="D288" s="11">
        <f>IFERROR(VLOOKUP(C288,ShipShapeEnum!$E:$F,2,FALSE),"-")</f>
        <v>1</v>
      </c>
      <c r="E288" s="19" t="s">
        <v>3501</v>
      </c>
      <c r="F288" s="4" t="s">
        <v>61</v>
      </c>
      <c r="G288" s="11">
        <f>IFERROR(VLOOKUP(F288,ShipShapeEnum!$B:$C,2,FALSE),"-")</f>
        <v>1</v>
      </c>
      <c r="H288" s="19" t="s">
        <v>0</v>
      </c>
      <c r="I288" s="19" t="s">
        <v>0</v>
      </c>
      <c r="J288" s="19" t="s">
        <v>0</v>
      </c>
      <c r="K288" s="19" t="s">
        <v>0</v>
      </c>
      <c r="L288" s="19" t="s">
        <v>0</v>
      </c>
      <c r="M288" s="4" t="s">
        <v>81</v>
      </c>
      <c r="N288" s="11">
        <f>IFERROR(VLOOKUP(M288,ShipShapeEnum!$H:$I,2,FALSE),"-")</f>
        <v>1</v>
      </c>
      <c r="O288" s="11" t="s">
        <v>0</v>
      </c>
      <c r="P288" s="30"/>
      <c r="Q288" s="11" t="str">
        <f>IFERROR(INDEX(SailPattern!$A:$A,MATCH(P288,SailPattern!$B:$B,0)),"-")</f>
        <v>-</v>
      </c>
      <c r="R288" s="30"/>
      <c r="S288" s="11" t="str">
        <f>IFERROR(INDEX(SailCrest!$A:$A,MATCH(R288,SailCrest!$B:$B,0)),"-")</f>
        <v>-</v>
      </c>
      <c r="T288" s="19" t="s">
        <v>0</v>
      </c>
      <c r="U288" s="19" t="s">
        <v>0</v>
      </c>
      <c r="V288" s="19" t="s">
        <v>0</v>
      </c>
      <c r="W288" s="19" t="s">
        <v>0</v>
      </c>
      <c r="X288" s="19" t="s">
        <v>0</v>
      </c>
      <c r="Y288" s="19" t="s">
        <v>0</v>
      </c>
      <c r="Z288" s="19" t="s">
        <v>0</v>
      </c>
      <c r="AA288" s="19" t="s">
        <v>0</v>
      </c>
    </row>
    <row r="289" spans="1:27" ht="15">
      <c r="A289" s="10">
        <f t="shared" si="10"/>
        <v>46000280</v>
      </c>
      <c r="B289" s="4" t="s">
        <v>3530</v>
      </c>
      <c r="C289" s="4" t="s">
        <v>62</v>
      </c>
      <c r="D289" s="11">
        <f>IFERROR(VLOOKUP(C289,ShipShapeEnum!$E:$F,2,FALSE),"-")</f>
        <v>1</v>
      </c>
      <c r="E289" s="19" t="s">
        <v>3539</v>
      </c>
      <c r="F289" s="4" t="s">
        <v>61</v>
      </c>
      <c r="G289" s="11">
        <f>IFERROR(VLOOKUP(F289,ShipShapeEnum!$B:$C,2,FALSE),"-")</f>
        <v>1</v>
      </c>
      <c r="H289" s="19" t="s">
        <v>0</v>
      </c>
      <c r="I289" s="19" t="s">
        <v>0</v>
      </c>
      <c r="J289" s="19" t="s">
        <v>0</v>
      </c>
      <c r="K289" s="19" t="s">
        <v>0</v>
      </c>
      <c r="L289" s="19" t="s">
        <v>0</v>
      </c>
      <c r="M289" s="4" t="s">
        <v>81</v>
      </c>
      <c r="N289" s="11">
        <f>IFERROR(VLOOKUP(M289,ShipShapeEnum!$H:$I,2,FALSE),"-")</f>
        <v>1</v>
      </c>
      <c r="O289" s="11" t="s">
        <v>0</v>
      </c>
      <c r="P289" s="30"/>
      <c r="Q289" s="11" t="str">
        <f>IFERROR(INDEX(SailPattern!$A:$A,MATCH(P289,SailPattern!$B:$B,0)),"-")</f>
        <v>-</v>
      </c>
      <c r="R289" s="30"/>
      <c r="S289" s="11" t="str">
        <f>IFERROR(INDEX(SailCrest!$A:$A,MATCH(R289,SailCrest!$B:$B,0)),"-")</f>
        <v>-</v>
      </c>
      <c r="T289" s="19" t="s">
        <v>0</v>
      </c>
      <c r="U289" s="19" t="s">
        <v>0</v>
      </c>
      <c r="V289" s="19" t="s">
        <v>0</v>
      </c>
      <c r="W289" s="19" t="s">
        <v>0</v>
      </c>
      <c r="X289" s="19" t="s">
        <v>0</v>
      </c>
      <c r="Y289" s="19" t="s">
        <v>0</v>
      </c>
      <c r="Z289" s="19" t="s">
        <v>0</v>
      </c>
      <c r="AA289" s="19" t="s">
        <v>0</v>
      </c>
    </row>
    <row r="290" spans="1:27" ht="15">
      <c r="A290" s="10">
        <f t="shared" si="10"/>
        <v>46000281</v>
      </c>
      <c r="B290" s="4" t="s">
        <v>3528</v>
      </c>
      <c r="C290" s="4" t="s">
        <v>62</v>
      </c>
      <c r="D290" s="11">
        <f>IFERROR(VLOOKUP(C290,ShipShapeEnum!$E:$F,2,FALSE),"-")</f>
        <v>1</v>
      </c>
      <c r="E290" s="19" t="s">
        <v>3540</v>
      </c>
      <c r="F290" s="4" t="s">
        <v>61</v>
      </c>
      <c r="G290" s="11">
        <f>IFERROR(VLOOKUP(F290,ShipShapeEnum!$B:$C,2,FALSE),"-")</f>
        <v>1</v>
      </c>
      <c r="H290" s="19" t="s">
        <v>0</v>
      </c>
      <c r="I290" s="19" t="s">
        <v>0</v>
      </c>
      <c r="J290" s="19" t="s">
        <v>0</v>
      </c>
      <c r="K290" s="19" t="s">
        <v>0</v>
      </c>
      <c r="L290" s="19" t="s">
        <v>0</v>
      </c>
      <c r="M290" s="4" t="s">
        <v>81</v>
      </c>
      <c r="N290" s="11">
        <f>IFERROR(VLOOKUP(M290,ShipShapeEnum!$H:$I,2,FALSE),"-")</f>
        <v>1</v>
      </c>
      <c r="O290" s="11" t="s">
        <v>0</v>
      </c>
      <c r="P290" s="30"/>
      <c r="Q290" s="11" t="str">
        <f>IFERROR(INDEX(SailPattern!$A:$A,MATCH(P290,SailPattern!$B:$B,0)),"-")</f>
        <v>-</v>
      </c>
      <c r="R290" s="30"/>
      <c r="S290" s="11" t="str">
        <f>IFERROR(INDEX(SailCrest!$A:$A,MATCH(R290,SailCrest!$B:$B,0)),"-")</f>
        <v>-</v>
      </c>
      <c r="T290" s="19" t="s">
        <v>0</v>
      </c>
      <c r="U290" s="19" t="s">
        <v>0</v>
      </c>
      <c r="V290" s="19" t="s">
        <v>0</v>
      </c>
      <c r="W290" s="19" t="s">
        <v>0</v>
      </c>
      <c r="X290" s="19" t="s">
        <v>0</v>
      </c>
      <c r="Y290" s="19" t="s">
        <v>0</v>
      </c>
      <c r="Z290" s="19" t="s">
        <v>0</v>
      </c>
      <c r="AA290" s="19" t="s">
        <v>0</v>
      </c>
    </row>
    <row r="291" spans="1:27" ht="15">
      <c r="A291" s="10">
        <f t="shared" si="10"/>
        <v>46000282</v>
      </c>
      <c r="B291" s="4" t="s">
        <v>3532</v>
      </c>
      <c r="C291" s="4" t="s">
        <v>62</v>
      </c>
      <c r="D291" s="11">
        <f>IFERROR(VLOOKUP(C291,ShipShapeEnum!$E:$F,2,FALSE),"-")</f>
        <v>1</v>
      </c>
      <c r="E291" s="19" t="s">
        <v>3541</v>
      </c>
      <c r="F291" s="4" t="s">
        <v>61</v>
      </c>
      <c r="G291" s="11">
        <f>IFERROR(VLOOKUP(F291,ShipShapeEnum!$B:$C,2,FALSE),"-")</f>
        <v>1</v>
      </c>
      <c r="H291" s="19" t="s">
        <v>0</v>
      </c>
      <c r="I291" s="19" t="s">
        <v>0</v>
      </c>
      <c r="J291" s="19" t="s">
        <v>0</v>
      </c>
      <c r="K291" s="19" t="s">
        <v>0</v>
      </c>
      <c r="L291" s="19" t="s">
        <v>0</v>
      </c>
      <c r="M291" s="4" t="s">
        <v>81</v>
      </c>
      <c r="N291" s="11">
        <f>IFERROR(VLOOKUP(M291,ShipShapeEnum!$H:$I,2,FALSE),"-")</f>
        <v>1</v>
      </c>
      <c r="O291" s="11" t="s">
        <v>0</v>
      </c>
      <c r="P291" s="30"/>
      <c r="Q291" s="11" t="str">
        <f>IFERROR(INDEX(SailPattern!$A:$A,MATCH(P291,SailPattern!$B:$B,0)),"-")</f>
        <v>-</v>
      </c>
      <c r="R291" s="30"/>
      <c r="S291" s="11" t="str">
        <f>IFERROR(INDEX(SailCrest!$A:$A,MATCH(R291,SailCrest!$B:$B,0)),"-")</f>
        <v>-</v>
      </c>
      <c r="T291" s="19" t="s">
        <v>0</v>
      </c>
      <c r="U291" s="19" t="s">
        <v>0</v>
      </c>
      <c r="V291" s="19" t="s">
        <v>0</v>
      </c>
      <c r="W291" s="19" t="s">
        <v>0</v>
      </c>
      <c r="X291" s="19" t="s">
        <v>0</v>
      </c>
      <c r="Y291" s="19" t="s">
        <v>0</v>
      </c>
      <c r="Z291" s="19" t="s">
        <v>0</v>
      </c>
      <c r="AA291" s="19" t="s">
        <v>0</v>
      </c>
    </row>
    <row r="292" spans="1:27" ht="15">
      <c r="A292" s="10">
        <f t="shared" si="10"/>
        <v>46000283</v>
      </c>
      <c r="B292" s="4" t="s">
        <v>3534</v>
      </c>
      <c r="C292" s="4" t="s">
        <v>62</v>
      </c>
      <c r="D292" s="11">
        <f>IFERROR(VLOOKUP(C292,ShipShapeEnum!$E:$F,2,FALSE),"-")</f>
        <v>1</v>
      </c>
      <c r="E292" s="19" t="s">
        <v>3542</v>
      </c>
      <c r="F292" s="4" t="s">
        <v>61</v>
      </c>
      <c r="G292" s="11">
        <f>IFERROR(VLOOKUP(F292,ShipShapeEnum!$B:$C,2,FALSE),"-")</f>
        <v>1</v>
      </c>
      <c r="H292" s="19" t="s">
        <v>0</v>
      </c>
      <c r="I292" s="19" t="s">
        <v>0</v>
      </c>
      <c r="J292" s="19" t="s">
        <v>0</v>
      </c>
      <c r="K292" s="19" t="s">
        <v>0</v>
      </c>
      <c r="L292" s="19" t="s">
        <v>0</v>
      </c>
      <c r="M292" s="4" t="s">
        <v>81</v>
      </c>
      <c r="N292" s="11">
        <f>IFERROR(VLOOKUP(M292,ShipShapeEnum!$H:$I,2,FALSE),"-")</f>
        <v>1</v>
      </c>
      <c r="O292" s="11" t="s">
        <v>0</v>
      </c>
      <c r="P292" s="30"/>
      <c r="Q292" s="11" t="str">
        <f>IFERROR(INDEX(SailPattern!$A:$A,MATCH(P292,SailPattern!$B:$B,0)),"-")</f>
        <v>-</v>
      </c>
      <c r="R292" s="30"/>
      <c r="S292" s="11" t="str">
        <f>IFERROR(INDEX(SailCrest!$A:$A,MATCH(R292,SailCrest!$B:$B,0)),"-")</f>
        <v>-</v>
      </c>
      <c r="T292" s="19" t="s">
        <v>0</v>
      </c>
      <c r="U292" s="19" t="s">
        <v>0</v>
      </c>
      <c r="V292" s="19" t="s">
        <v>0</v>
      </c>
      <c r="W292" s="19" t="s">
        <v>0</v>
      </c>
      <c r="X292" s="19" t="s">
        <v>0</v>
      </c>
      <c r="Y292" s="19" t="s">
        <v>0</v>
      </c>
      <c r="Z292" s="19" t="s">
        <v>0</v>
      </c>
      <c r="AA292" s="19" t="s">
        <v>0</v>
      </c>
    </row>
    <row r="293" spans="1:27" ht="15">
      <c r="A293" s="10">
        <f t="shared" si="10"/>
        <v>46000284</v>
      </c>
      <c r="B293" s="4" t="s">
        <v>3536</v>
      </c>
      <c r="C293" s="4" t="s">
        <v>62</v>
      </c>
      <c r="D293" s="11">
        <f>IFERROR(VLOOKUP(C293,ShipShapeEnum!$E:$F,2,FALSE),"-")</f>
        <v>1</v>
      </c>
      <c r="E293" s="19" t="s">
        <v>3543</v>
      </c>
      <c r="F293" s="4" t="s">
        <v>61</v>
      </c>
      <c r="G293" s="11">
        <f>IFERROR(VLOOKUP(F293,ShipShapeEnum!$B:$C,2,FALSE),"-")</f>
        <v>1</v>
      </c>
      <c r="H293" s="19" t="s">
        <v>0</v>
      </c>
      <c r="I293" s="19" t="s">
        <v>0</v>
      </c>
      <c r="J293" s="19" t="s">
        <v>0</v>
      </c>
      <c r="K293" s="19" t="s">
        <v>0</v>
      </c>
      <c r="L293" s="19" t="s">
        <v>0</v>
      </c>
      <c r="M293" s="4" t="s">
        <v>81</v>
      </c>
      <c r="N293" s="11">
        <f>IFERROR(VLOOKUP(M293,ShipShapeEnum!$H:$I,2,FALSE),"-")</f>
        <v>1</v>
      </c>
      <c r="O293" s="11" t="s">
        <v>0</v>
      </c>
      <c r="P293" s="30"/>
      <c r="Q293" s="11" t="str">
        <f>IFERROR(INDEX(SailPattern!$A:$A,MATCH(P293,SailPattern!$B:$B,0)),"-")</f>
        <v>-</v>
      </c>
      <c r="R293" s="30"/>
      <c r="S293" s="11" t="str">
        <f>IFERROR(INDEX(SailCrest!$A:$A,MATCH(R293,SailCrest!$B:$B,0)),"-")</f>
        <v>-</v>
      </c>
      <c r="T293" s="19" t="s">
        <v>0</v>
      </c>
      <c r="U293" s="19" t="s">
        <v>0</v>
      </c>
      <c r="V293" s="19" t="s">
        <v>0</v>
      </c>
      <c r="W293" s="19" t="s">
        <v>0</v>
      </c>
      <c r="X293" s="19" t="s">
        <v>0</v>
      </c>
      <c r="Y293" s="19" t="s">
        <v>0</v>
      </c>
      <c r="Z293" s="19" t="s">
        <v>0</v>
      </c>
      <c r="AA293" s="19" t="s">
        <v>0</v>
      </c>
    </row>
    <row r="294" spans="1:27" ht="15">
      <c r="A294" s="10">
        <f t="shared" si="10"/>
        <v>46000285</v>
      </c>
      <c r="B294" s="4" t="s">
        <v>3538</v>
      </c>
      <c r="C294" s="4" t="s">
        <v>62</v>
      </c>
      <c r="D294" s="11">
        <f>IFERROR(VLOOKUP(C294,ShipShapeEnum!$E:$F,2,FALSE),"-")</f>
        <v>1</v>
      </c>
      <c r="E294" s="19" t="s">
        <v>3544</v>
      </c>
      <c r="F294" s="4" t="s">
        <v>61</v>
      </c>
      <c r="G294" s="11">
        <f>IFERROR(VLOOKUP(F294,ShipShapeEnum!$B:$C,2,FALSE),"-")</f>
        <v>1</v>
      </c>
      <c r="H294" s="19" t="s">
        <v>0</v>
      </c>
      <c r="I294" s="19" t="s">
        <v>0</v>
      </c>
      <c r="J294" s="19" t="s">
        <v>0</v>
      </c>
      <c r="K294" s="19" t="s">
        <v>0</v>
      </c>
      <c r="L294" s="19" t="s">
        <v>0</v>
      </c>
      <c r="M294" s="4" t="s">
        <v>81</v>
      </c>
      <c r="N294" s="11">
        <f>IFERROR(VLOOKUP(M294,ShipShapeEnum!$H:$I,2,FALSE),"-")</f>
        <v>1</v>
      </c>
      <c r="O294" s="11" t="s">
        <v>0</v>
      </c>
      <c r="P294" s="30"/>
      <c r="Q294" s="11" t="str">
        <f>IFERROR(INDEX(SailPattern!$A:$A,MATCH(P294,SailPattern!$B:$B,0)),"-")</f>
        <v>-</v>
      </c>
      <c r="R294" s="30"/>
      <c r="S294" s="11" t="str">
        <f>IFERROR(INDEX(SailCrest!$A:$A,MATCH(R294,SailCrest!$B:$B,0)),"-")</f>
        <v>-</v>
      </c>
      <c r="T294" s="19" t="s">
        <v>0</v>
      </c>
      <c r="U294" s="19" t="s">
        <v>0</v>
      </c>
      <c r="V294" s="19" t="s">
        <v>0</v>
      </c>
      <c r="W294" s="19" t="s">
        <v>0</v>
      </c>
      <c r="X294" s="19" t="s">
        <v>0</v>
      </c>
      <c r="Y294" s="19" t="s">
        <v>0</v>
      </c>
      <c r="Z294" s="19" t="s">
        <v>0</v>
      </c>
      <c r="AA294" s="19" t="s">
        <v>0</v>
      </c>
    </row>
    <row r="295" spans="1:27" ht="15">
      <c r="A295" s="10">
        <f t="shared" si="10"/>
        <v>46000286</v>
      </c>
      <c r="B295" s="4" t="s">
        <v>3566</v>
      </c>
      <c r="C295" s="4" t="s">
        <v>62</v>
      </c>
      <c r="D295" s="11">
        <f>IFERROR(VLOOKUP(C295,ShipShapeEnum!$E:$F,2,FALSE),"-")</f>
        <v>1</v>
      </c>
      <c r="E295" s="19" t="s">
        <v>3563</v>
      </c>
      <c r="F295" s="4" t="s">
        <v>61</v>
      </c>
      <c r="G295" s="11">
        <f>IFERROR(VLOOKUP(F295,ShipShapeEnum!$B:$C,2,FALSE),"-")</f>
        <v>1</v>
      </c>
      <c r="H295" s="19" t="s">
        <v>0</v>
      </c>
      <c r="I295" s="19" t="s">
        <v>0</v>
      </c>
      <c r="J295" s="19" t="s">
        <v>0</v>
      </c>
      <c r="K295" s="19" t="s">
        <v>0</v>
      </c>
      <c r="L295" s="19" t="s">
        <v>0</v>
      </c>
      <c r="M295" s="4" t="s">
        <v>81</v>
      </c>
      <c r="N295" s="11">
        <f>IFERROR(VLOOKUP(M295,ShipShapeEnum!$H:$I,2,FALSE),"-")</f>
        <v>1</v>
      </c>
      <c r="O295" s="11" t="s">
        <v>0</v>
      </c>
      <c r="P295" s="30"/>
      <c r="Q295" s="11" t="str">
        <f>IFERROR(INDEX(SailPattern!$A:$A,MATCH(P295,SailPattern!$B:$B,0)),"-")</f>
        <v>-</v>
      </c>
      <c r="R295" s="30"/>
      <c r="S295" s="11" t="str">
        <f>IFERROR(INDEX(SailCrest!$A:$A,MATCH(R295,SailCrest!$B:$B,0)),"-")</f>
        <v>-</v>
      </c>
      <c r="T295" s="19" t="s">
        <v>0</v>
      </c>
      <c r="U295" s="19" t="s">
        <v>0</v>
      </c>
      <c r="V295" s="19" t="s">
        <v>0</v>
      </c>
      <c r="W295" s="19" t="s">
        <v>0</v>
      </c>
      <c r="X295" s="19" t="s">
        <v>0</v>
      </c>
      <c r="Y295" s="19" t="s">
        <v>0</v>
      </c>
      <c r="Z295" s="19" t="s">
        <v>0</v>
      </c>
      <c r="AA295" s="19" t="s">
        <v>0</v>
      </c>
    </row>
    <row r="296" spans="1:27" ht="15">
      <c r="A296" s="10">
        <f t="shared" si="10"/>
        <v>46000287</v>
      </c>
      <c r="B296" s="4" t="s">
        <v>3578</v>
      </c>
      <c r="C296" s="4" t="s">
        <v>62</v>
      </c>
      <c r="D296" s="11">
        <f>IFERROR(VLOOKUP(C296,ShipShapeEnum!$E:$F,2,FALSE),"-")</f>
        <v>1</v>
      </c>
      <c r="E296" s="19" t="s">
        <v>3576</v>
      </c>
      <c r="F296" s="4" t="s">
        <v>61</v>
      </c>
      <c r="G296" s="11">
        <f>IFERROR(VLOOKUP(F296,ShipShapeEnum!$B:$C,2,FALSE),"-")</f>
        <v>1</v>
      </c>
      <c r="H296" s="19" t="s">
        <v>0</v>
      </c>
      <c r="I296" s="19" t="s">
        <v>0</v>
      </c>
      <c r="J296" s="19" t="s">
        <v>0</v>
      </c>
      <c r="K296" s="19" t="s">
        <v>0</v>
      </c>
      <c r="L296" s="19" t="s">
        <v>0</v>
      </c>
      <c r="M296" s="4" t="s">
        <v>81</v>
      </c>
      <c r="N296" s="11">
        <f>IFERROR(VLOOKUP(M296,ShipShapeEnum!$H:$I,2,FALSE),"-")</f>
        <v>1</v>
      </c>
      <c r="O296" s="11" t="s">
        <v>0</v>
      </c>
      <c r="P296" s="30"/>
      <c r="Q296" s="11" t="str">
        <f>IFERROR(INDEX(SailPattern!$A:$A,MATCH(P296,SailPattern!$B:$B,0)),"-")</f>
        <v>-</v>
      </c>
      <c r="R296" s="30"/>
      <c r="S296" s="11" t="str">
        <f>IFERROR(INDEX(SailCrest!$A:$A,MATCH(R296,SailCrest!$B:$B,0)),"-")</f>
        <v>-</v>
      </c>
      <c r="T296" s="19" t="s">
        <v>0</v>
      </c>
      <c r="U296" s="19" t="s">
        <v>0</v>
      </c>
      <c r="V296" s="19" t="s">
        <v>0</v>
      </c>
      <c r="W296" s="19" t="s">
        <v>0</v>
      </c>
      <c r="X296" s="19" t="s">
        <v>0</v>
      </c>
      <c r="Y296" s="19" t="s">
        <v>0</v>
      </c>
      <c r="Z296" s="19" t="s">
        <v>0</v>
      </c>
      <c r="AA296" s="19" t="s">
        <v>0</v>
      </c>
    </row>
    <row r="297" spans="1:27" ht="15">
      <c r="A297" s="10">
        <f>A296+1</f>
        <v>46000288</v>
      </c>
      <c r="B297" s="4" t="s">
        <v>3584</v>
      </c>
      <c r="C297" s="4" t="s">
        <v>62</v>
      </c>
      <c r="D297" s="11">
        <f>IFERROR(VLOOKUP(C297,ShipShapeEnum!$E:$F,2,FALSE),"-")</f>
        <v>1</v>
      </c>
      <c r="E297" s="19" t="s">
        <v>3585</v>
      </c>
      <c r="F297" s="4" t="s">
        <v>61</v>
      </c>
      <c r="G297" s="11">
        <f>IFERROR(VLOOKUP(F297,ShipShapeEnum!$B:$C,2,FALSE),"-")</f>
        <v>1</v>
      </c>
      <c r="H297" s="19" t="s">
        <v>0</v>
      </c>
      <c r="I297" s="19" t="s">
        <v>0</v>
      </c>
      <c r="J297" s="19" t="s">
        <v>0</v>
      </c>
      <c r="K297" s="19" t="s">
        <v>0</v>
      </c>
      <c r="L297" s="19" t="s">
        <v>0</v>
      </c>
      <c r="M297" s="4" t="s">
        <v>81</v>
      </c>
      <c r="N297" s="11">
        <f>IFERROR(VLOOKUP(M297,ShipShapeEnum!$H:$I,2,FALSE),"-")</f>
        <v>1</v>
      </c>
      <c r="O297" s="11" t="s">
        <v>0</v>
      </c>
      <c r="P297" s="30"/>
      <c r="Q297" s="11" t="str">
        <f>IFERROR(INDEX(SailPattern!$A:$A,MATCH(P297,SailPattern!$B:$B,0)),"-")</f>
        <v>-</v>
      </c>
      <c r="R297" s="30"/>
      <c r="S297" s="11" t="str">
        <f>IFERROR(INDEX(SailCrest!$A:$A,MATCH(R297,SailCrest!$B:$B,0)),"-")</f>
        <v>-</v>
      </c>
      <c r="T297" s="19" t="s">
        <v>0</v>
      </c>
      <c r="U297" s="19" t="s">
        <v>0</v>
      </c>
      <c r="V297" s="19" t="s">
        <v>0</v>
      </c>
      <c r="W297" s="19" t="s">
        <v>0</v>
      </c>
      <c r="X297" s="19" t="s">
        <v>0</v>
      </c>
      <c r="Y297" s="19" t="s">
        <v>0</v>
      </c>
      <c r="Z297" s="19" t="s">
        <v>0</v>
      </c>
      <c r="AA297" s="19" t="s">
        <v>0</v>
      </c>
    </row>
    <row r="298" spans="1:27" ht="15">
      <c r="A298" s="10">
        <f t="shared" ref="A298:A332" si="11">A297+1</f>
        <v>46000289</v>
      </c>
      <c r="B298" s="4" t="s">
        <v>3592</v>
      </c>
      <c r="C298" s="4" t="s">
        <v>62</v>
      </c>
      <c r="D298" s="11">
        <f>IFERROR(VLOOKUP(C298,ShipShapeEnum!$E:$F,2,FALSE),"-")</f>
        <v>1</v>
      </c>
      <c r="E298" s="19" t="s">
        <v>3596</v>
      </c>
      <c r="F298" s="4" t="s">
        <v>61</v>
      </c>
      <c r="G298" s="11">
        <f>IFERROR(VLOOKUP(F298,ShipShapeEnum!$B:$C,2,FALSE),"-")</f>
        <v>1</v>
      </c>
      <c r="H298" s="19" t="s">
        <v>0</v>
      </c>
      <c r="I298" s="19" t="s">
        <v>0</v>
      </c>
      <c r="J298" s="19" t="s">
        <v>0</v>
      </c>
      <c r="K298" s="19" t="s">
        <v>0</v>
      </c>
      <c r="L298" s="19" t="s">
        <v>0</v>
      </c>
      <c r="M298" s="4" t="s">
        <v>81</v>
      </c>
      <c r="N298" s="11">
        <f>IFERROR(VLOOKUP(M298,ShipShapeEnum!$H:$I,2,FALSE),"-")</f>
        <v>1</v>
      </c>
      <c r="O298" s="11" t="s">
        <v>0</v>
      </c>
      <c r="P298" s="30"/>
      <c r="Q298" s="11" t="str">
        <f>IFERROR(INDEX(SailPattern!$A:$A,MATCH(P298,SailPattern!$B:$B,0)),"-")</f>
        <v>-</v>
      </c>
      <c r="R298" s="30"/>
      <c r="S298" s="11" t="str">
        <f>IFERROR(INDEX(SailCrest!$A:$A,MATCH(R298,SailCrest!$B:$B,0)),"-")</f>
        <v>-</v>
      </c>
      <c r="T298" s="19" t="s">
        <v>0</v>
      </c>
      <c r="U298" s="19" t="s">
        <v>0</v>
      </c>
      <c r="V298" s="19" t="s">
        <v>0</v>
      </c>
      <c r="W298" s="19" t="s">
        <v>0</v>
      </c>
      <c r="X298" s="19" t="s">
        <v>0</v>
      </c>
      <c r="Y298" s="19" t="s">
        <v>0</v>
      </c>
      <c r="Z298" s="19" t="s">
        <v>0</v>
      </c>
      <c r="AA298" s="19" t="s">
        <v>0</v>
      </c>
    </row>
    <row r="299" spans="1:27" ht="15">
      <c r="A299" s="10">
        <f t="shared" si="11"/>
        <v>46000290</v>
      </c>
      <c r="B299" s="4" t="s">
        <v>3601</v>
      </c>
      <c r="C299" s="4" t="s">
        <v>62</v>
      </c>
      <c r="D299" s="11">
        <f>IFERROR(VLOOKUP(C299,ShipShapeEnum!$E:$F,2,FALSE),"-")</f>
        <v>1</v>
      </c>
      <c r="E299" s="19" t="s">
        <v>3597</v>
      </c>
      <c r="F299" s="4" t="s">
        <v>61</v>
      </c>
      <c r="G299" s="11">
        <f>IFERROR(VLOOKUP(F299,ShipShapeEnum!$B:$C,2,FALSE),"-")</f>
        <v>1</v>
      </c>
      <c r="H299" s="19" t="s">
        <v>0</v>
      </c>
      <c r="I299" s="19" t="s">
        <v>0</v>
      </c>
      <c r="J299" s="19" t="s">
        <v>0</v>
      </c>
      <c r="K299" s="19" t="s">
        <v>0</v>
      </c>
      <c r="L299" s="19" t="s">
        <v>0</v>
      </c>
      <c r="M299" s="4" t="s">
        <v>81</v>
      </c>
      <c r="N299" s="11">
        <f>IFERROR(VLOOKUP(M299,ShipShapeEnum!$H:$I,2,FALSE),"-")</f>
        <v>1</v>
      </c>
      <c r="O299" s="11" t="s">
        <v>0</v>
      </c>
      <c r="P299" s="30"/>
      <c r="Q299" s="11" t="str">
        <f>IFERROR(INDEX(SailPattern!$A:$A,MATCH(P299,SailPattern!$B:$B,0)),"-")</f>
        <v>-</v>
      </c>
      <c r="R299" s="30"/>
      <c r="S299" s="11" t="str">
        <f>IFERROR(INDEX(SailCrest!$A:$A,MATCH(R299,SailCrest!$B:$B,0)),"-")</f>
        <v>-</v>
      </c>
      <c r="T299" s="19" t="s">
        <v>0</v>
      </c>
      <c r="U299" s="19" t="s">
        <v>0</v>
      </c>
      <c r="V299" s="19" t="s">
        <v>0</v>
      </c>
      <c r="W299" s="19" t="s">
        <v>0</v>
      </c>
      <c r="X299" s="19" t="s">
        <v>0</v>
      </c>
      <c r="Y299" s="19" t="s">
        <v>0</v>
      </c>
      <c r="Z299" s="19" t="s">
        <v>0</v>
      </c>
      <c r="AA299" s="19" t="s">
        <v>0</v>
      </c>
    </row>
    <row r="300" spans="1:27" ht="15">
      <c r="A300" s="10">
        <f t="shared" si="11"/>
        <v>46000291</v>
      </c>
      <c r="B300" s="4" t="s">
        <v>3593</v>
      </c>
      <c r="C300" s="4" t="s">
        <v>62</v>
      </c>
      <c r="D300" s="11">
        <f>IFERROR(VLOOKUP(C300,ShipShapeEnum!$E:$F,2,FALSE),"-")</f>
        <v>1</v>
      </c>
      <c r="E300" s="19" t="s">
        <v>3602</v>
      </c>
      <c r="F300" s="4" t="s">
        <v>61</v>
      </c>
      <c r="G300" s="11">
        <f>IFERROR(VLOOKUP(F300,ShipShapeEnum!$B:$C,2,FALSE),"-")</f>
        <v>1</v>
      </c>
      <c r="H300" s="19" t="s">
        <v>0</v>
      </c>
      <c r="I300" s="19" t="s">
        <v>0</v>
      </c>
      <c r="J300" s="19" t="s">
        <v>0</v>
      </c>
      <c r="K300" s="19" t="s">
        <v>0</v>
      </c>
      <c r="L300" s="19" t="s">
        <v>0</v>
      </c>
      <c r="M300" s="4" t="s">
        <v>81</v>
      </c>
      <c r="N300" s="11">
        <f>IFERROR(VLOOKUP(M300,ShipShapeEnum!$H:$I,2,FALSE),"-")</f>
        <v>1</v>
      </c>
      <c r="O300" s="11" t="s">
        <v>0</v>
      </c>
      <c r="P300" s="30"/>
      <c r="Q300" s="11" t="str">
        <f>IFERROR(INDEX(SailPattern!$A:$A,MATCH(P300,SailPattern!$B:$B,0)),"-")</f>
        <v>-</v>
      </c>
      <c r="R300" s="30"/>
      <c r="S300" s="11" t="str">
        <f>IFERROR(INDEX(SailCrest!$A:$A,MATCH(R300,SailCrest!$B:$B,0)),"-")</f>
        <v>-</v>
      </c>
      <c r="T300" s="19" t="s">
        <v>0</v>
      </c>
      <c r="U300" s="19" t="s">
        <v>0</v>
      </c>
      <c r="V300" s="19" t="s">
        <v>0</v>
      </c>
      <c r="W300" s="19" t="s">
        <v>0</v>
      </c>
      <c r="X300" s="19" t="s">
        <v>0</v>
      </c>
      <c r="Y300" s="19" t="s">
        <v>0</v>
      </c>
      <c r="Z300" s="19" t="s">
        <v>0</v>
      </c>
      <c r="AA300" s="19" t="s">
        <v>0</v>
      </c>
    </row>
    <row r="301" spans="1:27" ht="15">
      <c r="A301" s="10">
        <f t="shared" si="11"/>
        <v>46000292</v>
      </c>
      <c r="B301" s="4" t="s">
        <v>3608</v>
      </c>
      <c r="C301" s="4" t="s">
        <v>62</v>
      </c>
      <c r="D301" s="11">
        <f>IFERROR(VLOOKUP(C301,ShipShapeEnum!$E:$F,2,FALSE),"-")</f>
        <v>1</v>
      </c>
      <c r="E301" s="19" t="s">
        <v>3605</v>
      </c>
      <c r="F301" s="4" t="s">
        <v>61</v>
      </c>
      <c r="G301" s="11">
        <f>IFERROR(VLOOKUP(F301,ShipShapeEnum!$B:$C,2,FALSE),"-")</f>
        <v>1</v>
      </c>
      <c r="H301" s="19" t="s">
        <v>0</v>
      </c>
      <c r="I301" s="19" t="s">
        <v>0</v>
      </c>
      <c r="J301" s="19" t="s">
        <v>0</v>
      </c>
      <c r="K301" s="19" t="s">
        <v>0</v>
      </c>
      <c r="L301" s="19" t="s">
        <v>0</v>
      </c>
      <c r="M301" s="4" t="s">
        <v>81</v>
      </c>
      <c r="N301" s="11">
        <f>IFERROR(VLOOKUP(M301,ShipShapeEnum!$H:$I,2,FALSE),"-")</f>
        <v>1</v>
      </c>
      <c r="O301" s="11" t="s">
        <v>0</v>
      </c>
      <c r="P301" s="30"/>
      <c r="Q301" s="11" t="str">
        <f>IFERROR(INDEX(SailPattern!$A:$A,MATCH(P301,SailPattern!$B:$B,0)),"-")</f>
        <v>-</v>
      </c>
      <c r="R301" s="30"/>
      <c r="S301" s="11" t="str">
        <f>IFERROR(INDEX(SailCrest!$A:$A,MATCH(R301,SailCrest!$B:$B,0)),"-")</f>
        <v>-</v>
      </c>
      <c r="T301" s="19" t="s">
        <v>0</v>
      </c>
      <c r="U301" s="19" t="s">
        <v>0</v>
      </c>
      <c r="V301" s="19" t="s">
        <v>0</v>
      </c>
      <c r="W301" s="19" t="s">
        <v>0</v>
      </c>
      <c r="X301" s="19" t="s">
        <v>0</v>
      </c>
      <c r="Y301" s="19" t="s">
        <v>0</v>
      </c>
      <c r="Z301" s="19" t="s">
        <v>0</v>
      </c>
      <c r="AA301" s="19" t="s">
        <v>0</v>
      </c>
    </row>
    <row r="302" spans="1:27" ht="15">
      <c r="A302" s="10">
        <f t="shared" si="11"/>
        <v>46000293</v>
      </c>
      <c r="B302" s="4" t="s">
        <v>3615</v>
      </c>
      <c r="C302" s="4" t="s">
        <v>62</v>
      </c>
      <c r="D302" s="11">
        <f>IFERROR(VLOOKUP(C302,ShipShapeEnum!$E:$F,2,FALSE),"-")</f>
        <v>1</v>
      </c>
      <c r="E302" s="19" t="s">
        <v>3616</v>
      </c>
      <c r="F302" s="4" t="s">
        <v>61</v>
      </c>
      <c r="G302" s="11">
        <f>IFERROR(VLOOKUP(F302,ShipShapeEnum!$B:$C,2,FALSE),"-")</f>
        <v>1</v>
      </c>
      <c r="H302" s="19" t="s">
        <v>0</v>
      </c>
      <c r="I302" s="19" t="s">
        <v>0</v>
      </c>
      <c r="J302" s="19" t="s">
        <v>0</v>
      </c>
      <c r="K302" s="19" t="s">
        <v>0</v>
      </c>
      <c r="L302" s="19" t="s">
        <v>0</v>
      </c>
      <c r="M302" s="4" t="s">
        <v>81</v>
      </c>
      <c r="N302" s="11">
        <f>IFERROR(VLOOKUP(M302,ShipShapeEnum!$H:$I,2,FALSE),"-")</f>
        <v>1</v>
      </c>
      <c r="O302" s="11" t="s">
        <v>0</v>
      </c>
      <c r="P302" s="30"/>
      <c r="Q302" s="11" t="str">
        <f>IFERROR(INDEX(SailPattern!$A:$A,MATCH(P302,SailPattern!$B:$B,0)),"-")</f>
        <v>-</v>
      </c>
      <c r="R302" s="30"/>
      <c r="S302" s="11" t="str">
        <f>IFERROR(INDEX(SailCrest!$A:$A,MATCH(R302,SailCrest!$B:$B,0)),"-")</f>
        <v>-</v>
      </c>
      <c r="T302" s="19" t="s">
        <v>0</v>
      </c>
      <c r="U302" s="19" t="s">
        <v>0</v>
      </c>
      <c r="V302" s="19" t="s">
        <v>0</v>
      </c>
      <c r="W302" s="19" t="s">
        <v>0</v>
      </c>
      <c r="X302" s="19" t="s">
        <v>0</v>
      </c>
      <c r="Y302" s="19" t="s">
        <v>0</v>
      </c>
      <c r="Z302" s="19" t="s">
        <v>0</v>
      </c>
      <c r="AA302" s="19" t="s">
        <v>0</v>
      </c>
    </row>
    <row r="303" spans="1:27" ht="15">
      <c r="A303" s="10">
        <f t="shared" si="11"/>
        <v>46000294</v>
      </c>
      <c r="B303" s="4" t="s">
        <v>3626</v>
      </c>
      <c r="C303" s="4" t="s">
        <v>62</v>
      </c>
      <c r="D303" s="11">
        <f>IFERROR(VLOOKUP(C303,ShipShapeEnum!$E:$F,2,FALSE),"-")</f>
        <v>1</v>
      </c>
      <c r="E303" s="19" t="s">
        <v>3627</v>
      </c>
      <c r="F303" s="4" t="s">
        <v>61</v>
      </c>
      <c r="G303" s="11">
        <f>IFERROR(VLOOKUP(F303,ShipShapeEnum!$B:$C,2,FALSE),"-")</f>
        <v>1</v>
      </c>
      <c r="H303" s="19" t="s">
        <v>0</v>
      </c>
      <c r="I303" s="19" t="s">
        <v>0</v>
      </c>
      <c r="J303" s="19" t="s">
        <v>0</v>
      </c>
      <c r="K303" s="19" t="s">
        <v>0</v>
      </c>
      <c r="L303" s="19" t="s">
        <v>0</v>
      </c>
      <c r="M303" s="4" t="s">
        <v>81</v>
      </c>
      <c r="N303" s="11">
        <f>IFERROR(VLOOKUP(M303,ShipShapeEnum!$H:$I,2,FALSE),"-")</f>
        <v>1</v>
      </c>
      <c r="O303" s="11" t="s">
        <v>0</v>
      </c>
      <c r="P303" s="30"/>
      <c r="Q303" s="11" t="str">
        <f>IFERROR(INDEX(SailPattern!$A:$A,MATCH(P303,SailPattern!$B:$B,0)),"-")</f>
        <v>-</v>
      </c>
      <c r="R303" s="30"/>
      <c r="S303" s="11" t="str">
        <f>IFERROR(INDEX(SailCrest!$A:$A,MATCH(R303,SailCrest!$B:$B,0)),"-")</f>
        <v>-</v>
      </c>
      <c r="T303" s="19" t="s">
        <v>0</v>
      </c>
      <c r="U303" s="19" t="s">
        <v>0</v>
      </c>
      <c r="V303" s="19" t="s">
        <v>0</v>
      </c>
      <c r="W303" s="19" t="s">
        <v>0</v>
      </c>
      <c r="X303" s="19" t="s">
        <v>0</v>
      </c>
      <c r="Y303" s="19" t="s">
        <v>0</v>
      </c>
      <c r="Z303" s="19" t="s">
        <v>0</v>
      </c>
      <c r="AA303" s="19" t="s">
        <v>0</v>
      </c>
    </row>
    <row r="304" spans="1:27" ht="15">
      <c r="A304" s="10">
        <f t="shared" si="11"/>
        <v>46000295</v>
      </c>
      <c r="B304" s="4" t="s">
        <v>3634</v>
      </c>
      <c r="C304" s="4" t="s">
        <v>62</v>
      </c>
      <c r="D304" s="11">
        <f>IFERROR(VLOOKUP(C304,ShipShapeEnum!$E:$F,2,FALSE),"-")</f>
        <v>1</v>
      </c>
      <c r="E304" s="19" t="s">
        <v>3639</v>
      </c>
      <c r="F304" s="4" t="s">
        <v>61</v>
      </c>
      <c r="G304" s="11">
        <f>IFERROR(VLOOKUP(F304,ShipShapeEnum!$B:$C,2,FALSE),"-")</f>
        <v>1</v>
      </c>
      <c r="H304" s="19" t="s">
        <v>0</v>
      </c>
      <c r="I304" s="19" t="s">
        <v>0</v>
      </c>
      <c r="J304" s="19" t="s">
        <v>0</v>
      </c>
      <c r="K304" s="19" t="s">
        <v>0</v>
      </c>
      <c r="L304" s="19" t="s">
        <v>0</v>
      </c>
      <c r="M304" s="4" t="s">
        <v>81</v>
      </c>
      <c r="N304" s="11">
        <f>IFERROR(VLOOKUP(M304,ShipShapeEnum!$H:$I,2,FALSE),"-")</f>
        <v>1</v>
      </c>
      <c r="O304" s="11" t="s">
        <v>0</v>
      </c>
      <c r="P304" s="30"/>
      <c r="Q304" s="11" t="str">
        <f>IFERROR(INDEX(SailPattern!$A:$A,MATCH(P304,SailPattern!$B:$B,0)),"-")</f>
        <v>-</v>
      </c>
      <c r="R304" s="30"/>
      <c r="S304" s="11" t="str">
        <f>IFERROR(INDEX(SailCrest!$A:$A,MATCH(R304,SailCrest!$B:$B,0)),"-")</f>
        <v>-</v>
      </c>
      <c r="T304" s="19" t="s">
        <v>0</v>
      </c>
      <c r="U304" s="19" t="s">
        <v>0</v>
      </c>
      <c r="V304" s="19" t="s">
        <v>0</v>
      </c>
      <c r="W304" s="19" t="s">
        <v>0</v>
      </c>
      <c r="X304" s="19" t="s">
        <v>0</v>
      </c>
      <c r="Y304" s="19" t="s">
        <v>0</v>
      </c>
      <c r="Z304" s="19" t="s">
        <v>0</v>
      </c>
      <c r="AA304" s="19" t="s">
        <v>0</v>
      </c>
    </row>
    <row r="305" spans="1:27" ht="15">
      <c r="A305" s="10">
        <f t="shared" si="11"/>
        <v>46000296</v>
      </c>
      <c r="B305" s="4" t="s">
        <v>3636</v>
      </c>
      <c r="C305" s="4" t="s">
        <v>62</v>
      </c>
      <c r="D305" s="11">
        <f>IFERROR(VLOOKUP(C305,ShipShapeEnum!$E:$F,2,FALSE),"-")</f>
        <v>1</v>
      </c>
      <c r="E305" s="19" t="s">
        <v>3640</v>
      </c>
      <c r="F305" s="4" t="s">
        <v>61</v>
      </c>
      <c r="G305" s="11">
        <f>IFERROR(VLOOKUP(F305,ShipShapeEnum!$B:$C,2,FALSE),"-")</f>
        <v>1</v>
      </c>
      <c r="H305" s="19" t="s">
        <v>0</v>
      </c>
      <c r="I305" s="19" t="s">
        <v>0</v>
      </c>
      <c r="J305" s="19" t="s">
        <v>0</v>
      </c>
      <c r="K305" s="19" t="s">
        <v>0</v>
      </c>
      <c r="L305" s="19" t="s">
        <v>0</v>
      </c>
      <c r="M305" s="4" t="s">
        <v>81</v>
      </c>
      <c r="N305" s="11">
        <f>IFERROR(VLOOKUP(M305,ShipShapeEnum!$H:$I,2,FALSE),"-")</f>
        <v>1</v>
      </c>
      <c r="O305" s="11" t="s">
        <v>0</v>
      </c>
      <c r="P305" s="30"/>
      <c r="Q305" s="11" t="str">
        <f>IFERROR(INDEX(SailPattern!$A:$A,MATCH(P305,SailPattern!$B:$B,0)),"-")</f>
        <v>-</v>
      </c>
      <c r="R305" s="30"/>
      <c r="S305" s="11" t="str">
        <f>IFERROR(INDEX(SailCrest!$A:$A,MATCH(R305,SailCrest!$B:$B,0)),"-")</f>
        <v>-</v>
      </c>
      <c r="T305" s="19" t="s">
        <v>0</v>
      </c>
      <c r="U305" s="19" t="s">
        <v>0</v>
      </c>
      <c r="V305" s="19" t="s">
        <v>0</v>
      </c>
      <c r="W305" s="19" t="s">
        <v>0</v>
      </c>
      <c r="X305" s="19" t="s">
        <v>0</v>
      </c>
      <c r="Y305" s="19" t="s">
        <v>0</v>
      </c>
      <c r="Z305" s="19" t="s">
        <v>0</v>
      </c>
      <c r="AA305" s="19" t="s">
        <v>0</v>
      </c>
    </row>
    <row r="306" spans="1:27" ht="15">
      <c r="A306" s="10">
        <f t="shared" si="11"/>
        <v>46000297</v>
      </c>
      <c r="B306" s="4" t="s">
        <v>3638</v>
      </c>
      <c r="C306" s="4" t="s">
        <v>62</v>
      </c>
      <c r="D306" s="11">
        <f>IFERROR(VLOOKUP(C306,ShipShapeEnum!$E:$F,2,FALSE),"-")</f>
        <v>1</v>
      </c>
      <c r="E306" s="19" t="s">
        <v>3641</v>
      </c>
      <c r="F306" s="4" t="s">
        <v>61</v>
      </c>
      <c r="G306" s="11">
        <f>IFERROR(VLOOKUP(F306,ShipShapeEnum!$B:$C,2,FALSE),"-")</f>
        <v>1</v>
      </c>
      <c r="H306" s="19" t="s">
        <v>0</v>
      </c>
      <c r="I306" s="19" t="s">
        <v>0</v>
      </c>
      <c r="J306" s="19" t="s">
        <v>0</v>
      </c>
      <c r="K306" s="19" t="s">
        <v>0</v>
      </c>
      <c r="L306" s="19" t="s">
        <v>0</v>
      </c>
      <c r="M306" s="4" t="s">
        <v>81</v>
      </c>
      <c r="N306" s="11">
        <f>IFERROR(VLOOKUP(M306,ShipShapeEnum!$H:$I,2,FALSE),"-")</f>
        <v>1</v>
      </c>
      <c r="O306" s="11" t="s">
        <v>0</v>
      </c>
      <c r="P306" s="30"/>
      <c r="Q306" s="11" t="str">
        <f>IFERROR(INDEX(SailPattern!$A:$A,MATCH(P306,SailPattern!$B:$B,0)),"-")</f>
        <v>-</v>
      </c>
      <c r="R306" s="30"/>
      <c r="S306" s="11" t="str">
        <f>IFERROR(INDEX(SailCrest!$A:$A,MATCH(R306,SailCrest!$B:$B,0)),"-")</f>
        <v>-</v>
      </c>
      <c r="T306" s="19" t="s">
        <v>0</v>
      </c>
      <c r="U306" s="19" t="s">
        <v>0</v>
      </c>
      <c r="V306" s="19" t="s">
        <v>0</v>
      </c>
      <c r="W306" s="19" t="s">
        <v>0</v>
      </c>
      <c r="X306" s="19" t="s">
        <v>0</v>
      </c>
      <c r="Y306" s="19" t="s">
        <v>0</v>
      </c>
      <c r="Z306" s="19" t="s">
        <v>0</v>
      </c>
      <c r="AA306" s="19" t="s">
        <v>0</v>
      </c>
    </row>
    <row r="307" spans="1:27" ht="15">
      <c r="A307" s="10">
        <f t="shared" si="11"/>
        <v>46000298</v>
      </c>
      <c r="B307" s="4" t="s">
        <v>3650</v>
      </c>
      <c r="C307" s="4" t="s">
        <v>62</v>
      </c>
      <c r="D307" s="11">
        <f>IFERROR(VLOOKUP(C307,ShipShapeEnum!$E:$F,2,FALSE),"-")</f>
        <v>1</v>
      </c>
      <c r="E307" s="19" t="s">
        <v>3646</v>
      </c>
      <c r="F307" s="4" t="s">
        <v>61</v>
      </c>
      <c r="G307" s="11">
        <f>IFERROR(VLOOKUP(F307,ShipShapeEnum!$B:$C,2,FALSE),"-")</f>
        <v>1</v>
      </c>
      <c r="H307" s="19" t="s">
        <v>0</v>
      </c>
      <c r="I307" s="19" t="s">
        <v>0</v>
      </c>
      <c r="J307" s="19" t="s">
        <v>0</v>
      </c>
      <c r="K307" s="19" t="s">
        <v>0</v>
      </c>
      <c r="L307" s="19" t="s">
        <v>0</v>
      </c>
      <c r="M307" s="4" t="s">
        <v>81</v>
      </c>
      <c r="N307" s="11">
        <f>IFERROR(VLOOKUP(M307,ShipShapeEnum!$H:$I,2,FALSE),"-")</f>
        <v>1</v>
      </c>
      <c r="O307" s="11" t="s">
        <v>0</v>
      </c>
      <c r="P307" s="30"/>
      <c r="Q307" s="11" t="str">
        <f>IFERROR(INDEX(SailPattern!$A:$A,MATCH(P307,SailPattern!$B:$B,0)),"-")</f>
        <v>-</v>
      </c>
      <c r="R307" s="30"/>
      <c r="S307" s="11" t="str">
        <f>IFERROR(INDEX(SailCrest!$A:$A,MATCH(R307,SailCrest!$B:$B,0)),"-")</f>
        <v>-</v>
      </c>
      <c r="T307" s="19" t="s">
        <v>0</v>
      </c>
      <c r="U307" s="19" t="s">
        <v>0</v>
      </c>
      <c r="V307" s="19" t="s">
        <v>0</v>
      </c>
      <c r="W307" s="19" t="s">
        <v>0</v>
      </c>
      <c r="X307" s="19" t="s">
        <v>0</v>
      </c>
      <c r="Y307" s="19" t="s">
        <v>0</v>
      </c>
      <c r="Z307" s="19" t="s">
        <v>0</v>
      </c>
      <c r="AA307" s="19" t="s">
        <v>0</v>
      </c>
    </row>
    <row r="308" spans="1:27" ht="15">
      <c r="A308" s="10">
        <f t="shared" si="11"/>
        <v>46000299</v>
      </c>
      <c r="B308" s="4" t="s">
        <v>3652</v>
      </c>
      <c r="C308" s="4" t="s">
        <v>62</v>
      </c>
      <c r="D308" s="11">
        <f>IFERROR(VLOOKUP(C308,ShipShapeEnum!$E:$F,2,FALSE),"-")</f>
        <v>1</v>
      </c>
      <c r="E308" s="19" t="s">
        <v>3653</v>
      </c>
      <c r="F308" s="4" t="s">
        <v>61</v>
      </c>
      <c r="G308" s="11">
        <f>IFERROR(VLOOKUP(F308,ShipShapeEnum!$B:$C,2,FALSE),"-")</f>
        <v>1</v>
      </c>
      <c r="H308" s="19" t="s">
        <v>0</v>
      </c>
      <c r="I308" s="19" t="s">
        <v>0</v>
      </c>
      <c r="J308" s="19" t="s">
        <v>0</v>
      </c>
      <c r="K308" s="19" t="s">
        <v>0</v>
      </c>
      <c r="L308" s="19" t="s">
        <v>0</v>
      </c>
      <c r="M308" s="4" t="s">
        <v>81</v>
      </c>
      <c r="N308" s="11">
        <f>IFERROR(VLOOKUP(M308,ShipShapeEnum!$H:$I,2,FALSE),"-")</f>
        <v>1</v>
      </c>
      <c r="O308" s="11" t="s">
        <v>0</v>
      </c>
      <c r="P308" s="30"/>
      <c r="Q308" s="11" t="str">
        <f>IFERROR(INDEX(SailPattern!$A:$A,MATCH(P308,SailPattern!$B:$B,0)),"-")</f>
        <v>-</v>
      </c>
      <c r="R308" s="30"/>
      <c r="S308" s="11" t="str">
        <f>IFERROR(INDEX(SailCrest!$A:$A,MATCH(R308,SailCrest!$B:$B,0)),"-")</f>
        <v>-</v>
      </c>
      <c r="T308" s="19" t="s">
        <v>0</v>
      </c>
      <c r="U308" s="19" t="s">
        <v>0</v>
      </c>
      <c r="V308" s="19" t="s">
        <v>0</v>
      </c>
      <c r="W308" s="19" t="s">
        <v>0</v>
      </c>
      <c r="X308" s="19" t="s">
        <v>0</v>
      </c>
      <c r="Y308" s="19" t="s">
        <v>0</v>
      </c>
      <c r="Z308" s="19" t="s">
        <v>0</v>
      </c>
      <c r="AA308" s="19" t="s">
        <v>0</v>
      </c>
    </row>
    <row r="309" spans="1:27" ht="15">
      <c r="A309" s="10">
        <f t="shared" si="11"/>
        <v>46000300</v>
      </c>
      <c r="B309" s="4" t="s">
        <v>3675</v>
      </c>
      <c r="C309" s="4" t="s">
        <v>62</v>
      </c>
      <c r="D309" s="11">
        <f>IFERROR(VLOOKUP(C309,ShipShapeEnum!$E:$F,2,FALSE),"-")</f>
        <v>1</v>
      </c>
      <c r="E309" s="19" t="s">
        <v>3671</v>
      </c>
      <c r="F309" s="4" t="s">
        <v>61</v>
      </c>
      <c r="G309" s="11">
        <f>IFERROR(VLOOKUP(F309,ShipShapeEnum!$B:$C,2,FALSE),"-")</f>
        <v>1</v>
      </c>
      <c r="H309" s="19" t="s">
        <v>0</v>
      </c>
      <c r="I309" s="19" t="s">
        <v>0</v>
      </c>
      <c r="J309" s="19" t="s">
        <v>0</v>
      </c>
      <c r="K309" s="19" t="s">
        <v>0</v>
      </c>
      <c r="L309" s="19" t="s">
        <v>0</v>
      </c>
      <c r="M309" s="4" t="s">
        <v>81</v>
      </c>
      <c r="N309" s="11">
        <f>IFERROR(VLOOKUP(M309,ShipShapeEnum!$H:$I,2,FALSE),"-")</f>
        <v>1</v>
      </c>
      <c r="O309" s="11" t="s">
        <v>0</v>
      </c>
      <c r="P309" s="30"/>
      <c r="Q309" s="11" t="str">
        <f>IFERROR(INDEX(SailPattern!$A:$A,MATCH(P309,SailPattern!$B:$B,0)),"-")</f>
        <v>-</v>
      </c>
      <c r="R309" s="30"/>
      <c r="S309" s="11" t="str">
        <f>IFERROR(INDEX(SailCrest!$A:$A,MATCH(R309,SailCrest!$B:$B,0)),"-")</f>
        <v>-</v>
      </c>
      <c r="T309" s="19" t="s">
        <v>0</v>
      </c>
      <c r="U309" s="19" t="s">
        <v>0</v>
      </c>
      <c r="V309" s="19" t="s">
        <v>0</v>
      </c>
      <c r="W309" s="19" t="s">
        <v>0</v>
      </c>
      <c r="X309" s="19" t="s">
        <v>0</v>
      </c>
      <c r="Y309" s="19" t="s">
        <v>0</v>
      </c>
      <c r="Z309" s="19" t="s">
        <v>0</v>
      </c>
      <c r="AA309" s="19" t="s">
        <v>0</v>
      </c>
    </row>
    <row r="310" spans="1:27" ht="15">
      <c r="A310" s="10">
        <f t="shared" si="11"/>
        <v>46000301</v>
      </c>
      <c r="B310" s="4" t="s">
        <v>3677</v>
      </c>
      <c r="C310" s="4" t="s">
        <v>62</v>
      </c>
      <c r="D310" s="11">
        <f>IFERROR(VLOOKUP(C310,ShipShapeEnum!$E:$F,2,FALSE),"-")</f>
        <v>1</v>
      </c>
      <c r="E310" s="19" t="s">
        <v>3672</v>
      </c>
      <c r="F310" s="4" t="s">
        <v>61</v>
      </c>
      <c r="G310" s="11">
        <f>IFERROR(VLOOKUP(F310,ShipShapeEnum!$B:$C,2,FALSE),"-")</f>
        <v>1</v>
      </c>
      <c r="H310" s="19" t="s">
        <v>0</v>
      </c>
      <c r="I310" s="19" t="s">
        <v>0</v>
      </c>
      <c r="J310" s="19" t="s">
        <v>0</v>
      </c>
      <c r="K310" s="19" t="s">
        <v>0</v>
      </c>
      <c r="L310" s="19" t="s">
        <v>0</v>
      </c>
      <c r="M310" s="4" t="s">
        <v>81</v>
      </c>
      <c r="N310" s="11">
        <f>IFERROR(VLOOKUP(M310,ShipShapeEnum!$H:$I,2,FALSE),"-")</f>
        <v>1</v>
      </c>
      <c r="O310" s="11" t="s">
        <v>0</v>
      </c>
      <c r="P310" s="30"/>
      <c r="Q310" s="11" t="str">
        <f>IFERROR(INDEX(SailPattern!$A:$A,MATCH(P310,SailPattern!$B:$B,0)),"-")</f>
        <v>-</v>
      </c>
      <c r="R310" s="30"/>
      <c r="S310" s="11" t="str">
        <f>IFERROR(INDEX(SailCrest!$A:$A,MATCH(R310,SailCrest!$B:$B,0)),"-")</f>
        <v>-</v>
      </c>
      <c r="T310" s="19" t="s">
        <v>0</v>
      </c>
      <c r="U310" s="19" t="s">
        <v>0</v>
      </c>
      <c r="V310" s="19" t="s">
        <v>0</v>
      </c>
      <c r="W310" s="19" t="s">
        <v>0</v>
      </c>
      <c r="X310" s="19" t="s">
        <v>0</v>
      </c>
      <c r="Y310" s="19" t="s">
        <v>0</v>
      </c>
      <c r="Z310" s="19" t="s">
        <v>0</v>
      </c>
      <c r="AA310" s="19" t="s">
        <v>0</v>
      </c>
    </row>
    <row r="311" spans="1:27" ht="15">
      <c r="A311" s="10">
        <f t="shared" si="11"/>
        <v>46000302</v>
      </c>
      <c r="B311" s="4" t="s">
        <v>3685</v>
      </c>
      <c r="C311" s="4" t="s">
        <v>62</v>
      </c>
      <c r="D311" s="11">
        <f>IFERROR(VLOOKUP(C311,ShipShapeEnum!$E:$F,2,FALSE),"-")</f>
        <v>1</v>
      </c>
      <c r="E311" s="19" t="s">
        <v>3681</v>
      </c>
      <c r="F311" s="4" t="s">
        <v>61</v>
      </c>
      <c r="G311" s="11">
        <f>IFERROR(VLOOKUP(F311,ShipShapeEnum!$B:$C,2,FALSE),"-")</f>
        <v>1</v>
      </c>
      <c r="H311" s="19" t="s">
        <v>0</v>
      </c>
      <c r="I311" s="19" t="s">
        <v>0</v>
      </c>
      <c r="J311" s="19" t="s">
        <v>0</v>
      </c>
      <c r="K311" s="19" t="s">
        <v>0</v>
      </c>
      <c r="L311" s="19" t="s">
        <v>0</v>
      </c>
      <c r="M311" s="4" t="s">
        <v>81</v>
      </c>
      <c r="N311" s="11">
        <f>IFERROR(VLOOKUP(M311,ShipShapeEnum!$H:$I,2,FALSE),"-")</f>
        <v>1</v>
      </c>
      <c r="O311" s="11" t="s">
        <v>0</v>
      </c>
      <c r="P311" s="30"/>
      <c r="Q311" s="11" t="str">
        <f>IFERROR(INDEX(SailPattern!$A:$A,MATCH(P311,SailPattern!$B:$B,0)),"-")</f>
        <v>-</v>
      </c>
      <c r="R311" s="30"/>
      <c r="S311" s="11" t="str">
        <f>IFERROR(INDEX(SailCrest!$A:$A,MATCH(R311,SailCrest!$B:$B,0)),"-")</f>
        <v>-</v>
      </c>
      <c r="T311" s="19" t="s">
        <v>0</v>
      </c>
      <c r="U311" s="19" t="s">
        <v>0</v>
      </c>
      <c r="V311" s="19" t="s">
        <v>0</v>
      </c>
      <c r="W311" s="19" t="s">
        <v>0</v>
      </c>
      <c r="X311" s="19" t="s">
        <v>0</v>
      </c>
      <c r="Y311" s="19" t="s">
        <v>0</v>
      </c>
      <c r="Z311" s="19" t="s">
        <v>0</v>
      </c>
      <c r="AA311" s="19" t="s">
        <v>0</v>
      </c>
    </row>
    <row r="312" spans="1:27" ht="15">
      <c r="A312" s="10">
        <f t="shared" si="11"/>
        <v>46000303</v>
      </c>
      <c r="B312" s="4" t="s">
        <v>3687</v>
      </c>
      <c r="C312" s="4" t="s">
        <v>62</v>
      </c>
      <c r="D312" s="11">
        <f>IFERROR(VLOOKUP(C312,ShipShapeEnum!$E:$F,2,FALSE),"-")</f>
        <v>1</v>
      </c>
      <c r="E312" s="19" t="s">
        <v>3682</v>
      </c>
      <c r="F312" s="4" t="s">
        <v>61</v>
      </c>
      <c r="G312" s="11">
        <f>IFERROR(VLOOKUP(F312,ShipShapeEnum!$B:$C,2,FALSE),"-")</f>
        <v>1</v>
      </c>
      <c r="H312" s="19" t="s">
        <v>0</v>
      </c>
      <c r="I312" s="19" t="s">
        <v>0</v>
      </c>
      <c r="J312" s="19" t="s">
        <v>0</v>
      </c>
      <c r="K312" s="19" t="s">
        <v>0</v>
      </c>
      <c r="L312" s="19" t="s">
        <v>0</v>
      </c>
      <c r="M312" s="4" t="s">
        <v>81</v>
      </c>
      <c r="N312" s="11">
        <f>IFERROR(VLOOKUP(M312,ShipShapeEnum!$H:$I,2,FALSE),"-")</f>
        <v>1</v>
      </c>
      <c r="O312" s="11" t="s">
        <v>0</v>
      </c>
      <c r="P312" s="30"/>
      <c r="Q312" s="11" t="str">
        <f>IFERROR(INDEX(SailPattern!$A:$A,MATCH(P312,SailPattern!$B:$B,0)),"-")</f>
        <v>-</v>
      </c>
      <c r="R312" s="30"/>
      <c r="S312" s="11" t="str">
        <f>IFERROR(INDEX(SailCrest!$A:$A,MATCH(R312,SailCrest!$B:$B,0)),"-")</f>
        <v>-</v>
      </c>
      <c r="T312" s="19" t="s">
        <v>0</v>
      </c>
      <c r="U312" s="19" t="s">
        <v>0</v>
      </c>
      <c r="V312" s="19" t="s">
        <v>0</v>
      </c>
      <c r="W312" s="19" t="s">
        <v>0</v>
      </c>
      <c r="X312" s="19" t="s">
        <v>0</v>
      </c>
      <c r="Y312" s="19" t="s">
        <v>0</v>
      </c>
      <c r="Z312" s="19" t="s">
        <v>0</v>
      </c>
      <c r="AA312" s="19" t="s">
        <v>0</v>
      </c>
    </row>
    <row r="313" spans="1:27" ht="15">
      <c r="A313" s="10">
        <f t="shared" si="11"/>
        <v>46000304</v>
      </c>
      <c r="B313" s="4" t="s">
        <v>3689</v>
      </c>
      <c r="C313" s="4" t="s">
        <v>62</v>
      </c>
      <c r="D313" s="11">
        <f>IFERROR(VLOOKUP(C313,ShipShapeEnum!$E:$F,2,FALSE),"-")</f>
        <v>1</v>
      </c>
      <c r="E313" s="19" t="s">
        <v>3683</v>
      </c>
      <c r="F313" s="4" t="s">
        <v>61</v>
      </c>
      <c r="G313" s="11">
        <f>IFERROR(VLOOKUP(F313,ShipShapeEnum!$B:$C,2,FALSE),"-")</f>
        <v>1</v>
      </c>
      <c r="H313" s="19" t="s">
        <v>0</v>
      </c>
      <c r="I313" s="19" t="s">
        <v>0</v>
      </c>
      <c r="J313" s="19" t="s">
        <v>0</v>
      </c>
      <c r="K313" s="19" t="s">
        <v>0</v>
      </c>
      <c r="L313" s="19" t="s">
        <v>0</v>
      </c>
      <c r="M313" s="4" t="s">
        <v>81</v>
      </c>
      <c r="N313" s="11">
        <f>IFERROR(VLOOKUP(M313,ShipShapeEnum!$H:$I,2,FALSE),"-")</f>
        <v>1</v>
      </c>
      <c r="O313" s="11" t="s">
        <v>0</v>
      </c>
      <c r="P313" s="30"/>
      <c r="Q313" s="11" t="str">
        <f>IFERROR(INDEX(SailPattern!$A:$A,MATCH(P313,SailPattern!$B:$B,0)),"-")</f>
        <v>-</v>
      </c>
      <c r="R313" s="30"/>
      <c r="S313" s="11" t="str">
        <f>IFERROR(INDEX(SailCrest!$A:$A,MATCH(R313,SailCrest!$B:$B,0)),"-")</f>
        <v>-</v>
      </c>
      <c r="T313" s="19" t="s">
        <v>0</v>
      </c>
      <c r="U313" s="19" t="s">
        <v>0</v>
      </c>
      <c r="V313" s="19" t="s">
        <v>0</v>
      </c>
      <c r="W313" s="19" t="s">
        <v>0</v>
      </c>
      <c r="X313" s="19" t="s">
        <v>0</v>
      </c>
      <c r="Y313" s="19" t="s">
        <v>0</v>
      </c>
      <c r="Z313" s="19" t="s">
        <v>0</v>
      </c>
      <c r="AA313" s="19" t="s">
        <v>0</v>
      </c>
    </row>
    <row r="314" spans="1:27" ht="15">
      <c r="A314" s="10">
        <f t="shared" si="11"/>
        <v>46000305</v>
      </c>
      <c r="B314" s="4" t="s">
        <v>3699</v>
      </c>
      <c r="C314" s="4" t="s">
        <v>62</v>
      </c>
      <c r="D314" s="11">
        <f>IFERROR(VLOOKUP(C314,ShipShapeEnum!$E:$F,2,FALSE),"-")</f>
        <v>1</v>
      </c>
      <c r="E314" s="19" t="s">
        <v>3700</v>
      </c>
      <c r="F314" s="4" t="s">
        <v>61</v>
      </c>
      <c r="G314" s="11">
        <f>IFERROR(VLOOKUP(F314,ShipShapeEnum!$B:$C,2,FALSE),"-")</f>
        <v>1</v>
      </c>
      <c r="H314" s="19" t="s">
        <v>0</v>
      </c>
      <c r="I314" s="19" t="s">
        <v>0</v>
      </c>
      <c r="J314" s="19" t="s">
        <v>0</v>
      </c>
      <c r="K314" s="19" t="s">
        <v>0</v>
      </c>
      <c r="L314" s="19" t="s">
        <v>0</v>
      </c>
      <c r="M314" s="4" t="s">
        <v>81</v>
      </c>
      <c r="N314" s="11">
        <f>IFERROR(VLOOKUP(M314,ShipShapeEnum!$H:$I,2,FALSE),"-")</f>
        <v>1</v>
      </c>
      <c r="O314" s="11" t="s">
        <v>0</v>
      </c>
      <c r="P314" s="30"/>
      <c r="Q314" s="11" t="str">
        <f>IFERROR(INDEX(SailPattern!$A:$A,MATCH(P314,SailPattern!$B:$B,0)),"-")</f>
        <v>-</v>
      </c>
      <c r="R314" s="30"/>
      <c r="S314" s="11" t="str">
        <f>IFERROR(INDEX(SailCrest!$A:$A,MATCH(R314,SailCrest!$B:$B,0)),"-")</f>
        <v>-</v>
      </c>
      <c r="T314" s="19" t="s">
        <v>0</v>
      </c>
      <c r="U314" s="19" t="s">
        <v>0</v>
      </c>
      <c r="V314" s="19" t="s">
        <v>0</v>
      </c>
      <c r="W314" s="19" t="s">
        <v>0</v>
      </c>
      <c r="X314" s="19" t="s">
        <v>0</v>
      </c>
      <c r="Y314" s="19" t="s">
        <v>0</v>
      </c>
      <c r="Z314" s="19" t="s">
        <v>0</v>
      </c>
      <c r="AA314" s="19" t="s">
        <v>0</v>
      </c>
    </row>
    <row r="315" spans="1:27" ht="15">
      <c r="A315" s="10">
        <f t="shared" si="11"/>
        <v>46000306</v>
      </c>
      <c r="B315" s="4" t="s">
        <v>3713</v>
      </c>
      <c r="C315" s="4" t="s">
        <v>62</v>
      </c>
      <c r="D315" s="11">
        <f>IFERROR(VLOOKUP(C315,ShipShapeEnum!$E:$F,2,FALSE),"-")</f>
        <v>1</v>
      </c>
      <c r="E315" s="19" t="s">
        <v>3711</v>
      </c>
      <c r="F315" s="4" t="s">
        <v>61</v>
      </c>
      <c r="G315" s="11">
        <f>IFERROR(VLOOKUP(F315,ShipShapeEnum!$B:$C,2,FALSE),"-")</f>
        <v>1</v>
      </c>
      <c r="H315" s="19" t="s">
        <v>0</v>
      </c>
      <c r="I315" s="19" t="s">
        <v>0</v>
      </c>
      <c r="J315" s="19" t="s">
        <v>0</v>
      </c>
      <c r="K315" s="19" t="s">
        <v>0</v>
      </c>
      <c r="L315" s="19" t="s">
        <v>0</v>
      </c>
      <c r="M315" s="4" t="s">
        <v>81</v>
      </c>
      <c r="N315" s="11">
        <f>IFERROR(VLOOKUP(M315,ShipShapeEnum!$H:$I,2,FALSE),"-")</f>
        <v>1</v>
      </c>
      <c r="O315" s="11" t="s">
        <v>0</v>
      </c>
      <c r="P315" s="30"/>
      <c r="Q315" s="11" t="str">
        <f>IFERROR(INDEX(SailPattern!$A:$A,MATCH(P315,SailPattern!$B:$B,0)),"-")</f>
        <v>-</v>
      </c>
      <c r="R315" s="30"/>
      <c r="S315" s="11" t="str">
        <f>IFERROR(INDEX(SailCrest!$A:$A,MATCH(R315,SailCrest!$B:$B,0)),"-")</f>
        <v>-</v>
      </c>
      <c r="T315" s="19" t="s">
        <v>0</v>
      </c>
      <c r="U315" s="19" t="s">
        <v>0</v>
      </c>
      <c r="V315" s="19" t="s">
        <v>0</v>
      </c>
      <c r="W315" s="19" t="s">
        <v>0</v>
      </c>
      <c r="X315" s="19" t="s">
        <v>0</v>
      </c>
      <c r="Y315" s="19" t="s">
        <v>0</v>
      </c>
      <c r="Z315" s="19" t="s">
        <v>0</v>
      </c>
      <c r="AA315" s="19" t="s">
        <v>0</v>
      </c>
    </row>
    <row r="316" spans="1:27" ht="15">
      <c r="A316" s="10">
        <f t="shared" si="11"/>
        <v>46000307</v>
      </c>
      <c r="B316" s="4" t="s">
        <v>3720</v>
      </c>
      <c r="C316" s="4" t="s">
        <v>62</v>
      </c>
      <c r="D316" s="11">
        <f>IFERROR(VLOOKUP(C316,ShipShapeEnum!$E:$F,2,FALSE),"-")</f>
        <v>1</v>
      </c>
      <c r="E316" s="19" t="s">
        <v>3723</v>
      </c>
      <c r="F316" s="4" t="s">
        <v>61</v>
      </c>
      <c r="G316" s="11">
        <f>IFERROR(VLOOKUP(F316,ShipShapeEnum!$B:$C,2,FALSE),"-")</f>
        <v>1</v>
      </c>
      <c r="H316" s="19" t="s">
        <v>0</v>
      </c>
      <c r="I316" s="19" t="s">
        <v>0</v>
      </c>
      <c r="J316" s="19" t="s">
        <v>0</v>
      </c>
      <c r="K316" s="19" t="s">
        <v>0</v>
      </c>
      <c r="L316" s="19" t="s">
        <v>0</v>
      </c>
      <c r="M316" s="4" t="s">
        <v>81</v>
      </c>
      <c r="N316" s="11">
        <f>IFERROR(VLOOKUP(M316,ShipShapeEnum!$H:$I,2,FALSE),"-")</f>
        <v>1</v>
      </c>
      <c r="O316" s="11" t="s">
        <v>0</v>
      </c>
      <c r="P316" s="30"/>
      <c r="Q316" s="11" t="str">
        <f>IFERROR(INDEX(SailPattern!$A:$A,MATCH(P316,SailPattern!$B:$B,0)),"-")</f>
        <v>-</v>
      </c>
      <c r="R316" s="30"/>
      <c r="S316" s="11" t="str">
        <f>IFERROR(INDEX(SailCrest!$A:$A,MATCH(R316,SailCrest!$B:$B,0)),"-")</f>
        <v>-</v>
      </c>
      <c r="T316" s="19" t="s">
        <v>0</v>
      </c>
      <c r="U316" s="19" t="s">
        <v>0</v>
      </c>
      <c r="V316" s="19" t="s">
        <v>0</v>
      </c>
      <c r="W316" s="19" t="s">
        <v>0</v>
      </c>
      <c r="X316" s="19" t="s">
        <v>0</v>
      </c>
      <c r="Y316" s="19" t="s">
        <v>0</v>
      </c>
      <c r="Z316" s="19" t="s">
        <v>0</v>
      </c>
      <c r="AA316" s="19" t="s">
        <v>0</v>
      </c>
    </row>
    <row r="317" spans="1:27" ht="15">
      <c r="A317" s="10">
        <f t="shared" si="11"/>
        <v>46000308</v>
      </c>
      <c r="B317" s="4" t="s">
        <v>3722</v>
      </c>
      <c r="C317" s="4" t="s">
        <v>62</v>
      </c>
      <c r="D317" s="11">
        <f>IFERROR(VLOOKUP(C317,ShipShapeEnum!$E:$F,2,FALSE),"-")</f>
        <v>1</v>
      </c>
      <c r="E317" s="19" t="s">
        <v>3724</v>
      </c>
      <c r="F317" s="4" t="s">
        <v>61</v>
      </c>
      <c r="G317" s="11">
        <f>IFERROR(VLOOKUP(F317,ShipShapeEnum!$B:$C,2,FALSE),"-")</f>
        <v>1</v>
      </c>
      <c r="H317" s="19" t="s">
        <v>0</v>
      </c>
      <c r="I317" s="19" t="s">
        <v>0</v>
      </c>
      <c r="J317" s="19" t="s">
        <v>0</v>
      </c>
      <c r="K317" s="19" t="s">
        <v>0</v>
      </c>
      <c r="L317" s="19" t="s">
        <v>0</v>
      </c>
      <c r="M317" s="4" t="s">
        <v>81</v>
      </c>
      <c r="N317" s="11">
        <f>IFERROR(VLOOKUP(M317,ShipShapeEnum!$H:$I,2,FALSE),"-")</f>
        <v>1</v>
      </c>
      <c r="O317" s="11" t="s">
        <v>0</v>
      </c>
      <c r="P317" s="30"/>
      <c r="Q317" s="11" t="str">
        <f>IFERROR(INDEX(SailPattern!$A:$A,MATCH(P317,SailPattern!$B:$B,0)),"-")</f>
        <v>-</v>
      </c>
      <c r="R317" s="30"/>
      <c r="S317" s="11" t="str">
        <f>IFERROR(INDEX(SailCrest!$A:$A,MATCH(R317,SailCrest!$B:$B,0)),"-")</f>
        <v>-</v>
      </c>
      <c r="T317" s="19" t="s">
        <v>0</v>
      </c>
      <c r="U317" s="19" t="s">
        <v>0</v>
      </c>
      <c r="V317" s="19" t="s">
        <v>0</v>
      </c>
      <c r="W317" s="19" t="s">
        <v>0</v>
      </c>
      <c r="X317" s="19" t="s">
        <v>0</v>
      </c>
      <c r="Y317" s="19" t="s">
        <v>0</v>
      </c>
      <c r="Z317" s="19" t="s">
        <v>0</v>
      </c>
      <c r="AA317" s="19" t="s">
        <v>0</v>
      </c>
    </row>
    <row r="318" spans="1:27" ht="15">
      <c r="A318" s="10">
        <f t="shared" si="11"/>
        <v>46000309</v>
      </c>
      <c r="B318" s="4" t="s">
        <v>3736</v>
      </c>
      <c r="C318" s="4" t="s">
        <v>62</v>
      </c>
      <c r="D318" s="11">
        <f>IFERROR(VLOOKUP(C318,ShipShapeEnum!$E:$F,2,FALSE),"-")</f>
        <v>1</v>
      </c>
      <c r="E318" s="19" t="s">
        <v>3729</v>
      </c>
      <c r="F318" s="4" t="s">
        <v>61</v>
      </c>
      <c r="G318" s="11">
        <f>IFERROR(VLOOKUP(F318,ShipShapeEnum!$B:$C,2,FALSE),"-")</f>
        <v>1</v>
      </c>
      <c r="H318" s="19" t="s">
        <v>0</v>
      </c>
      <c r="I318" s="19" t="s">
        <v>0</v>
      </c>
      <c r="J318" s="19" t="s">
        <v>0</v>
      </c>
      <c r="K318" s="19" t="s">
        <v>0</v>
      </c>
      <c r="L318" s="19" t="s">
        <v>0</v>
      </c>
      <c r="M318" s="4" t="s">
        <v>81</v>
      </c>
      <c r="N318" s="11">
        <f>IFERROR(VLOOKUP(M318,ShipShapeEnum!$H:$I,2,FALSE),"-")</f>
        <v>1</v>
      </c>
      <c r="O318" s="11" t="s">
        <v>0</v>
      </c>
      <c r="P318" s="30"/>
      <c r="Q318" s="11" t="str">
        <f>IFERROR(INDEX(SailPattern!$A:$A,MATCH(P318,SailPattern!$B:$B,0)),"-")</f>
        <v>-</v>
      </c>
      <c r="R318" s="30"/>
      <c r="S318" s="11" t="str">
        <f>IFERROR(INDEX(SailCrest!$A:$A,MATCH(R318,SailCrest!$B:$B,0)),"-")</f>
        <v>-</v>
      </c>
      <c r="T318" s="19" t="s">
        <v>0</v>
      </c>
      <c r="U318" s="19" t="s">
        <v>0</v>
      </c>
      <c r="V318" s="19" t="s">
        <v>0</v>
      </c>
      <c r="W318" s="19" t="s">
        <v>0</v>
      </c>
      <c r="X318" s="19" t="s">
        <v>0</v>
      </c>
      <c r="Y318" s="19" t="s">
        <v>0</v>
      </c>
      <c r="Z318" s="19" t="s">
        <v>0</v>
      </c>
      <c r="AA318" s="19" t="s">
        <v>0</v>
      </c>
    </row>
    <row r="319" spans="1:27" ht="15">
      <c r="A319" s="10">
        <f t="shared" si="11"/>
        <v>46000310</v>
      </c>
      <c r="B319" s="4" t="s">
        <v>3735</v>
      </c>
      <c r="C319" s="4" t="s">
        <v>62</v>
      </c>
      <c r="D319" s="11">
        <f>IFERROR(VLOOKUP(C319,ShipShapeEnum!$E:$F,2,FALSE),"-")</f>
        <v>1</v>
      </c>
      <c r="E319" s="19" t="s">
        <v>3731</v>
      </c>
      <c r="F319" s="4" t="s">
        <v>61</v>
      </c>
      <c r="G319" s="11">
        <f>IFERROR(VLOOKUP(F319,ShipShapeEnum!$B:$C,2,FALSE),"-")</f>
        <v>1</v>
      </c>
      <c r="H319" s="19" t="s">
        <v>0</v>
      </c>
      <c r="I319" s="19" t="s">
        <v>0</v>
      </c>
      <c r="J319" s="19" t="s">
        <v>0</v>
      </c>
      <c r="K319" s="19" t="s">
        <v>0</v>
      </c>
      <c r="L319" s="19" t="s">
        <v>0</v>
      </c>
      <c r="M319" s="4" t="s">
        <v>81</v>
      </c>
      <c r="N319" s="11">
        <f>IFERROR(VLOOKUP(M319,ShipShapeEnum!$H:$I,2,FALSE),"-")</f>
        <v>1</v>
      </c>
      <c r="O319" s="11" t="s">
        <v>0</v>
      </c>
      <c r="P319" s="30"/>
      <c r="Q319" s="11" t="str">
        <f>IFERROR(INDEX(SailPattern!$A:$A,MATCH(P319,SailPattern!$B:$B,0)),"-")</f>
        <v>-</v>
      </c>
      <c r="R319" s="30"/>
      <c r="S319" s="11" t="str">
        <f>IFERROR(INDEX(SailCrest!$A:$A,MATCH(R319,SailCrest!$B:$B,0)),"-")</f>
        <v>-</v>
      </c>
      <c r="T319" s="19" t="s">
        <v>0</v>
      </c>
      <c r="U319" s="19" t="s">
        <v>0</v>
      </c>
      <c r="V319" s="19" t="s">
        <v>0</v>
      </c>
      <c r="W319" s="19" t="s">
        <v>0</v>
      </c>
      <c r="X319" s="19" t="s">
        <v>0</v>
      </c>
      <c r="Y319" s="19" t="s">
        <v>0</v>
      </c>
      <c r="Z319" s="19" t="s">
        <v>0</v>
      </c>
      <c r="AA319" s="19" t="s">
        <v>0</v>
      </c>
    </row>
    <row r="320" spans="1:27" ht="15">
      <c r="A320" s="10">
        <f t="shared" si="11"/>
        <v>46000311</v>
      </c>
      <c r="B320" s="4" t="s">
        <v>3747</v>
      </c>
      <c r="C320" s="4" t="s">
        <v>62</v>
      </c>
      <c r="D320" s="11">
        <f>IFERROR(VLOOKUP(C320,ShipShapeEnum!$E:$F,2,FALSE),"-")</f>
        <v>1</v>
      </c>
      <c r="E320" s="19" t="s">
        <v>3745</v>
      </c>
      <c r="F320" s="4" t="s">
        <v>61</v>
      </c>
      <c r="G320" s="11">
        <f>IFERROR(VLOOKUP(F320,ShipShapeEnum!$B:$C,2,FALSE),"-")</f>
        <v>1</v>
      </c>
      <c r="H320" s="19" t="s">
        <v>0</v>
      </c>
      <c r="I320" s="19" t="s">
        <v>0</v>
      </c>
      <c r="J320" s="19" t="s">
        <v>0</v>
      </c>
      <c r="K320" s="19" t="s">
        <v>0</v>
      </c>
      <c r="L320" s="19" t="s">
        <v>0</v>
      </c>
      <c r="M320" s="4" t="s">
        <v>81</v>
      </c>
      <c r="N320" s="11">
        <f>IFERROR(VLOOKUP(M320,ShipShapeEnum!$H:$I,2,FALSE),"-")</f>
        <v>1</v>
      </c>
      <c r="O320" s="11" t="s">
        <v>0</v>
      </c>
      <c r="P320" s="30"/>
      <c r="Q320" s="11" t="str">
        <f>IFERROR(INDEX(SailPattern!$A:$A,MATCH(P320,SailPattern!$B:$B,0)),"-")</f>
        <v>-</v>
      </c>
      <c r="R320" s="30"/>
      <c r="S320" s="11" t="str">
        <f>IFERROR(INDEX(SailCrest!$A:$A,MATCH(R320,SailCrest!$B:$B,0)),"-")</f>
        <v>-</v>
      </c>
      <c r="T320" s="19" t="s">
        <v>0</v>
      </c>
      <c r="U320" s="19" t="s">
        <v>0</v>
      </c>
      <c r="V320" s="19" t="s">
        <v>0</v>
      </c>
      <c r="W320" s="19" t="s">
        <v>0</v>
      </c>
      <c r="X320" s="19" t="s">
        <v>0</v>
      </c>
      <c r="Y320" s="19" t="s">
        <v>0</v>
      </c>
      <c r="Z320" s="19" t="s">
        <v>0</v>
      </c>
      <c r="AA320" s="19" t="s">
        <v>0</v>
      </c>
    </row>
    <row r="321" spans="1:27" ht="15">
      <c r="A321" s="10">
        <f t="shared" si="11"/>
        <v>46000312</v>
      </c>
      <c r="B321" s="4" t="s">
        <v>3760</v>
      </c>
      <c r="C321" s="4" t="s">
        <v>62</v>
      </c>
      <c r="D321" s="11">
        <f>IFERROR(VLOOKUP(C321,ShipShapeEnum!$E:$F,2,FALSE),"-")</f>
        <v>1</v>
      </c>
      <c r="E321" s="19" t="s">
        <v>3758</v>
      </c>
      <c r="F321" s="4" t="s">
        <v>61</v>
      </c>
      <c r="G321" s="11">
        <f>IFERROR(VLOOKUP(F321,ShipShapeEnum!$B:$C,2,FALSE),"-")</f>
        <v>1</v>
      </c>
      <c r="H321" s="19" t="s">
        <v>0</v>
      </c>
      <c r="I321" s="19" t="s">
        <v>0</v>
      </c>
      <c r="J321" s="19" t="s">
        <v>0</v>
      </c>
      <c r="K321" s="19" t="s">
        <v>0</v>
      </c>
      <c r="L321" s="19" t="s">
        <v>0</v>
      </c>
      <c r="M321" s="4" t="s">
        <v>81</v>
      </c>
      <c r="N321" s="11">
        <f>IFERROR(VLOOKUP(M321,ShipShapeEnum!$H:$I,2,FALSE),"-")</f>
        <v>1</v>
      </c>
      <c r="O321" s="11" t="s">
        <v>0</v>
      </c>
      <c r="P321" s="30"/>
      <c r="Q321" s="11" t="str">
        <f>IFERROR(INDEX(SailPattern!$A:$A,MATCH(P321,SailPattern!$B:$B,0)),"-")</f>
        <v>-</v>
      </c>
      <c r="R321" s="30"/>
      <c r="S321" s="11" t="str">
        <f>IFERROR(INDEX(SailCrest!$A:$A,MATCH(R321,SailCrest!$B:$B,0)),"-")</f>
        <v>-</v>
      </c>
      <c r="T321" s="19" t="s">
        <v>0</v>
      </c>
      <c r="U321" s="19" t="s">
        <v>0</v>
      </c>
      <c r="V321" s="19" t="s">
        <v>0</v>
      </c>
      <c r="W321" s="19" t="s">
        <v>0</v>
      </c>
      <c r="X321" s="19" t="s">
        <v>0</v>
      </c>
      <c r="Y321" s="19" t="s">
        <v>0</v>
      </c>
      <c r="Z321" s="19" t="s">
        <v>0</v>
      </c>
      <c r="AA321" s="19" t="s">
        <v>0</v>
      </c>
    </row>
    <row r="322" spans="1:27" ht="15">
      <c r="A322" s="10">
        <f t="shared" si="11"/>
        <v>46000313</v>
      </c>
      <c r="B322" s="4" t="s">
        <v>3765</v>
      </c>
      <c r="C322" s="4" t="s">
        <v>62</v>
      </c>
      <c r="D322" s="11">
        <f>IFERROR(VLOOKUP(C322,ShipShapeEnum!$E:$F,2,FALSE),"-")</f>
        <v>1</v>
      </c>
      <c r="E322" s="19" t="s">
        <v>3763</v>
      </c>
      <c r="F322" s="4" t="s">
        <v>61</v>
      </c>
      <c r="G322" s="11">
        <f>IFERROR(VLOOKUP(F322,ShipShapeEnum!$B:$C,2,FALSE),"-")</f>
        <v>1</v>
      </c>
      <c r="H322" s="19" t="s">
        <v>0</v>
      </c>
      <c r="I322" s="19" t="s">
        <v>0</v>
      </c>
      <c r="J322" s="19" t="s">
        <v>0</v>
      </c>
      <c r="K322" s="19" t="s">
        <v>0</v>
      </c>
      <c r="L322" s="19" t="s">
        <v>0</v>
      </c>
      <c r="M322" s="4" t="s">
        <v>81</v>
      </c>
      <c r="N322" s="11">
        <f>IFERROR(VLOOKUP(M322,ShipShapeEnum!$H:$I,2,FALSE),"-")</f>
        <v>1</v>
      </c>
      <c r="O322" s="11" t="s">
        <v>0</v>
      </c>
      <c r="P322" s="30"/>
      <c r="Q322" s="11" t="str">
        <f>IFERROR(INDEX(SailPattern!$A:$A,MATCH(P322,SailPattern!$B:$B,0)),"-")</f>
        <v>-</v>
      </c>
      <c r="R322" s="30"/>
      <c r="S322" s="11" t="str">
        <f>IFERROR(INDEX(SailCrest!$A:$A,MATCH(R322,SailCrest!$B:$B,0)),"-")</f>
        <v>-</v>
      </c>
      <c r="T322" s="19" t="s">
        <v>0</v>
      </c>
      <c r="U322" s="19" t="s">
        <v>0</v>
      </c>
      <c r="V322" s="19" t="s">
        <v>0</v>
      </c>
      <c r="W322" s="19" t="s">
        <v>0</v>
      </c>
      <c r="X322" s="19" t="s">
        <v>0</v>
      </c>
      <c r="Y322" s="19" t="s">
        <v>0</v>
      </c>
      <c r="Z322" s="19" t="s">
        <v>0</v>
      </c>
      <c r="AA322" s="19" t="s">
        <v>0</v>
      </c>
    </row>
    <row r="323" spans="1:27" ht="15">
      <c r="A323" s="10">
        <f t="shared" si="11"/>
        <v>46000314</v>
      </c>
      <c r="B323" s="4" t="s">
        <v>3768</v>
      </c>
      <c r="C323" s="4" t="s">
        <v>62</v>
      </c>
      <c r="D323" s="11">
        <f>IFERROR(VLOOKUP(C323,ShipShapeEnum!$E:$F,2,FALSE),"-")</f>
        <v>1</v>
      </c>
      <c r="E323" s="19" t="s">
        <v>3769</v>
      </c>
      <c r="F323" s="4" t="s">
        <v>61</v>
      </c>
      <c r="G323" s="11">
        <f>IFERROR(VLOOKUP(F323,ShipShapeEnum!$B:$C,2,FALSE),"-")</f>
        <v>1</v>
      </c>
      <c r="H323" s="19" t="s">
        <v>0</v>
      </c>
      <c r="I323" s="19" t="s">
        <v>0</v>
      </c>
      <c r="J323" s="19" t="s">
        <v>0</v>
      </c>
      <c r="K323" s="19" t="s">
        <v>0</v>
      </c>
      <c r="L323" s="19" t="s">
        <v>0</v>
      </c>
      <c r="M323" s="4" t="s">
        <v>81</v>
      </c>
      <c r="N323" s="11">
        <f>IFERROR(VLOOKUP(M323,ShipShapeEnum!$H:$I,2,FALSE),"-")</f>
        <v>1</v>
      </c>
      <c r="O323" s="11" t="s">
        <v>0</v>
      </c>
      <c r="P323" s="30"/>
      <c r="Q323" s="11" t="str">
        <f>IFERROR(INDEX(SailPattern!$A:$A,MATCH(P323,SailPattern!$B:$B,0)),"-")</f>
        <v>-</v>
      </c>
      <c r="R323" s="30"/>
      <c r="S323" s="11" t="str">
        <f>IFERROR(INDEX(SailCrest!$A:$A,MATCH(R323,SailCrest!$B:$B,0)),"-")</f>
        <v>-</v>
      </c>
      <c r="T323" s="19" t="s">
        <v>0</v>
      </c>
      <c r="U323" s="19" t="s">
        <v>0</v>
      </c>
      <c r="V323" s="19" t="s">
        <v>0</v>
      </c>
      <c r="W323" s="19" t="s">
        <v>0</v>
      </c>
      <c r="X323" s="19" t="s">
        <v>0</v>
      </c>
      <c r="Y323" s="19" t="s">
        <v>0</v>
      </c>
      <c r="Z323" s="19" t="s">
        <v>0</v>
      </c>
      <c r="AA323" s="19" t="s">
        <v>0</v>
      </c>
    </row>
    <row r="324" spans="1:27" ht="15">
      <c r="A324" s="10">
        <f t="shared" si="11"/>
        <v>46000315</v>
      </c>
      <c r="B324" s="4" t="s">
        <v>3776</v>
      </c>
      <c r="C324" s="4" t="s">
        <v>62</v>
      </c>
      <c r="D324" s="11">
        <f>IFERROR(VLOOKUP(C324,ShipShapeEnum!$E:$F,2,FALSE),"-")</f>
        <v>1</v>
      </c>
      <c r="E324" s="19" t="s">
        <v>3777</v>
      </c>
      <c r="F324" s="4" t="s">
        <v>61</v>
      </c>
      <c r="G324" s="11">
        <f>IFERROR(VLOOKUP(F324,ShipShapeEnum!$B:$C,2,FALSE),"-")</f>
        <v>1</v>
      </c>
      <c r="H324" s="19" t="s">
        <v>0</v>
      </c>
      <c r="I324" s="19" t="s">
        <v>0</v>
      </c>
      <c r="J324" s="19" t="s">
        <v>0</v>
      </c>
      <c r="K324" s="19" t="s">
        <v>0</v>
      </c>
      <c r="L324" s="19" t="s">
        <v>0</v>
      </c>
      <c r="M324" s="4" t="s">
        <v>81</v>
      </c>
      <c r="N324" s="11">
        <f>IFERROR(VLOOKUP(M324,ShipShapeEnum!$H:$I,2,FALSE),"-")</f>
        <v>1</v>
      </c>
      <c r="O324" s="11" t="s">
        <v>0</v>
      </c>
      <c r="P324" s="30"/>
      <c r="Q324" s="11" t="str">
        <f>IFERROR(INDEX(SailPattern!$A:$A,MATCH(P324,SailPattern!$B:$B,0)),"-")</f>
        <v>-</v>
      </c>
      <c r="R324" s="30"/>
      <c r="S324" s="11" t="str">
        <f>IFERROR(INDEX(SailCrest!$A:$A,MATCH(R324,SailCrest!$B:$B,0)),"-")</f>
        <v>-</v>
      </c>
      <c r="T324" s="19" t="s">
        <v>0</v>
      </c>
      <c r="U324" s="19" t="s">
        <v>0</v>
      </c>
      <c r="V324" s="19" t="s">
        <v>0</v>
      </c>
      <c r="W324" s="19" t="s">
        <v>0</v>
      </c>
      <c r="X324" s="19" t="s">
        <v>0</v>
      </c>
      <c r="Y324" s="19" t="s">
        <v>0</v>
      </c>
      <c r="Z324" s="19" t="s">
        <v>0</v>
      </c>
      <c r="AA324" s="19" t="s">
        <v>0</v>
      </c>
    </row>
    <row r="325" spans="1:27" ht="15">
      <c r="A325" s="10">
        <f t="shared" si="11"/>
        <v>46000316</v>
      </c>
      <c r="B325" s="4" t="s">
        <v>3781</v>
      </c>
      <c r="C325" s="4" t="s">
        <v>62</v>
      </c>
      <c r="D325" s="11">
        <f>IFERROR(VLOOKUP(C325,ShipShapeEnum!$E:$F,2,FALSE),"-")</f>
        <v>1</v>
      </c>
      <c r="E325" s="19" t="s">
        <v>3782</v>
      </c>
      <c r="F325" s="4" t="s">
        <v>61</v>
      </c>
      <c r="G325" s="11">
        <f>IFERROR(VLOOKUP(F325,ShipShapeEnum!$B:$C,2,FALSE),"-")</f>
        <v>1</v>
      </c>
      <c r="H325" s="19" t="s">
        <v>0</v>
      </c>
      <c r="I325" s="19" t="s">
        <v>0</v>
      </c>
      <c r="J325" s="19" t="s">
        <v>0</v>
      </c>
      <c r="K325" s="19" t="s">
        <v>0</v>
      </c>
      <c r="L325" s="19" t="s">
        <v>0</v>
      </c>
      <c r="M325" s="4" t="s">
        <v>81</v>
      </c>
      <c r="N325" s="11">
        <f>IFERROR(VLOOKUP(M325,ShipShapeEnum!$H:$I,2,FALSE),"-")</f>
        <v>1</v>
      </c>
      <c r="O325" s="11" t="s">
        <v>0</v>
      </c>
      <c r="P325" s="30"/>
      <c r="Q325" s="11" t="str">
        <f>IFERROR(INDEX(SailPattern!$A:$A,MATCH(P325,SailPattern!$B:$B,0)),"-")</f>
        <v>-</v>
      </c>
      <c r="R325" s="30"/>
      <c r="S325" s="11" t="str">
        <f>IFERROR(INDEX(SailCrest!$A:$A,MATCH(R325,SailCrest!$B:$B,0)),"-")</f>
        <v>-</v>
      </c>
      <c r="T325" s="19" t="s">
        <v>0</v>
      </c>
      <c r="U325" s="19" t="s">
        <v>0</v>
      </c>
      <c r="V325" s="19" t="s">
        <v>0</v>
      </c>
      <c r="W325" s="19" t="s">
        <v>0</v>
      </c>
      <c r="X325" s="19" t="s">
        <v>0</v>
      </c>
      <c r="Y325" s="19" t="s">
        <v>0</v>
      </c>
      <c r="Z325" s="19" t="s">
        <v>0</v>
      </c>
      <c r="AA325" s="19" t="s">
        <v>0</v>
      </c>
    </row>
    <row r="326" spans="1:27" ht="15">
      <c r="A326" s="10">
        <f t="shared" si="11"/>
        <v>46000317</v>
      </c>
      <c r="B326" s="4" t="s">
        <v>3786</v>
      </c>
      <c r="C326" s="4" t="s">
        <v>62</v>
      </c>
      <c r="D326" s="11">
        <f>IFERROR(VLOOKUP(C326,ShipShapeEnum!$E:$F,2,FALSE),"-")</f>
        <v>1</v>
      </c>
      <c r="E326" s="19" t="s">
        <v>3787</v>
      </c>
      <c r="F326" s="4" t="s">
        <v>61</v>
      </c>
      <c r="G326" s="11">
        <f>IFERROR(VLOOKUP(F326,ShipShapeEnum!$B:$C,2,FALSE),"-")</f>
        <v>1</v>
      </c>
      <c r="H326" s="19" t="s">
        <v>0</v>
      </c>
      <c r="I326" s="19" t="s">
        <v>0</v>
      </c>
      <c r="J326" s="19" t="s">
        <v>0</v>
      </c>
      <c r="K326" s="19" t="s">
        <v>0</v>
      </c>
      <c r="L326" s="19" t="s">
        <v>0</v>
      </c>
      <c r="M326" s="4" t="s">
        <v>81</v>
      </c>
      <c r="N326" s="11">
        <f>IFERROR(VLOOKUP(M326,ShipShapeEnum!$H:$I,2,FALSE),"-")</f>
        <v>1</v>
      </c>
      <c r="O326" s="11" t="s">
        <v>0</v>
      </c>
      <c r="P326" s="30"/>
      <c r="Q326" s="11" t="str">
        <f>IFERROR(INDEX(SailPattern!$A:$A,MATCH(P326,SailPattern!$B:$B,0)),"-")</f>
        <v>-</v>
      </c>
      <c r="R326" s="30"/>
      <c r="S326" s="11" t="str">
        <f>IFERROR(INDEX(SailCrest!$A:$A,MATCH(R326,SailCrest!$B:$B,0)),"-")</f>
        <v>-</v>
      </c>
      <c r="T326" s="19" t="s">
        <v>0</v>
      </c>
      <c r="U326" s="19" t="s">
        <v>0</v>
      </c>
      <c r="V326" s="19" t="s">
        <v>0</v>
      </c>
      <c r="W326" s="19" t="s">
        <v>0</v>
      </c>
      <c r="X326" s="19" t="s">
        <v>0</v>
      </c>
      <c r="Y326" s="19" t="s">
        <v>0</v>
      </c>
      <c r="Z326" s="19" t="s">
        <v>0</v>
      </c>
      <c r="AA326" s="19" t="s">
        <v>0</v>
      </c>
    </row>
    <row r="327" spans="1:27" ht="15">
      <c r="A327" s="10">
        <f t="shared" si="11"/>
        <v>46000318</v>
      </c>
      <c r="B327" s="4" t="s">
        <v>3809</v>
      </c>
      <c r="C327" s="4" t="s">
        <v>62</v>
      </c>
      <c r="D327" s="11">
        <f>IFERROR(VLOOKUP(C327,ShipShapeEnum!$E:$F,2,FALSE),"-")</f>
        <v>1</v>
      </c>
      <c r="E327" s="19" t="s">
        <v>3807</v>
      </c>
      <c r="F327" s="4" t="s">
        <v>61</v>
      </c>
      <c r="G327" s="11">
        <f>IFERROR(VLOOKUP(F327,ShipShapeEnum!$B:$C,2,FALSE),"-")</f>
        <v>1</v>
      </c>
      <c r="H327" s="19" t="s">
        <v>0</v>
      </c>
      <c r="I327" s="19" t="s">
        <v>0</v>
      </c>
      <c r="J327" s="19" t="s">
        <v>0</v>
      </c>
      <c r="K327" s="19" t="s">
        <v>0</v>
      </c>
      <c r="L327" s="19" t="s">
        <v>0</v>
      </c>
      <c r="M327" s="4" t="s">
        <v>81</v>
      </c>
      <c r="N327" s="11">
        <f>IFERROR(VLOOKUP(M327,ShipShapeEnum!$H:$I,2,FALSE),"-")</f>
        <v>1</v>
      </c>
      <c r="O327" s="11" t="s">
        <v>0</v>
      </c>
      <c r="P327" s="30"/>
      <c r="Q327" s="11" t="str">
        <f>IFERROR(INDEX(SailPattern!$A:$A,MATCH(P327,SailPattern!$B:$B,0)),"-")</f>
        <v>-</v>
      </c>
      <c r="R327" s="30"/>
      <c r="S327" s="11" t="str">
        <f>IFERROR(INDEX(SailCrest!$A:$A,MATCH(R327,SailCrest!$B:$B,0)),"-")</f>
        <v>-</v>
      </c>
      <c r="T327" s="19" t="s">
        <v>0</v>
      </c>
      <c r="U327" s="19" t="s">
        <v>0</v>
      </c>
      <c r="V327" s="19" t="s">
        <v>0</v>
      </c>
      <c r="W327" s="19" t="s">
        <v>0</v>
      </c>
      <c r="X327" s="19" t="s">
        <v>0</v>
      </c>
      <c r="Y327" s="19" t="s">
        <v>0</v>
      </c>
      <c r="Z327" s="19" t="s">
        <v>0</v>
      </c>
      <c r="AA327" s="19" t="s">
        <v>0</v>
      </c>
    </row>
    <row r="328" spans="1:27" ht="15">
      <c r="A328" s="10">
        <f t="shared" si="11"/>
        <v>46000319</v>
      </c>
      <c r="B328" s="4" t="s">
        <v>3813</v>
      </c>
      <c r="C328" s="4" t="s">
        <v>62</v>
      </c>
      <c r="D328" s="11">
        <f>IFERROR(VLOOKUP(C328,ShipShapeEnum!$E:$F,2,FALSE),"-")</f>
        <v>1</v>
      </c>
      <c r="E328" s="19" t="s">
        <v>3814</v>
      </c>
      <c r="F328" s="4" t="s">
        <v>61</v>
      </c>
      <c r="G328" s="11">
        <f>IFERROR(VLOOKUP(F328,ShipShapeEnum!$B:$C,2,FALSE),"-")</f>
        <v>1</v>
      </c>
      <c r="H328" s="19" t="s">
        <v>0</v>
      </c>
      <c r="I328" s="19" t="s">
        <v>0</v>
      </c>
      <c r="J328" s="19" t="s">
        <v>0</v>
      </c>
      <c r="K328" s="19" t="s">
        <v>0</v>
      </c>
      <c r="L328" s="19" t="s">
        <v>0</v>
      </c>
      <c r="M328" s="4" t="s">
        <v>81</v>
      </c>
      <c r="N328" s="11">
        <f>IFERROR(VLOOKUP(M328,ShipShapeEnum!$H:$I,2,FALSE),"-")</f>
        <v>1</v>
      </c>
      <c r="O328" s="11" t="s">
        <v>0</v>
      </c>
      <c r="P328" s="30"/>
      <c r="Q328" s="11" t="str">
        <f>IFERROR(INDEX(SailPattern!$A:$A,MATCH(P328,SailPattern!$B:$B,0)),"-")</f>
        <v>-</v>
      </c>
      <c r="R328" s="30"/>
      <c r="S328" s="11" t="str">
        <f>IFERROR(INDEX(SailCrest!$A:$A,MATCH(R328,SailCrest!$B:$B,0)),"-")</f>
        <v>-</v>
      </c>
      <c r="T328" s="19" t="s">
        <v>0</v>
      </c>
      <c r="U328" s="19" t="s">
        <v>0</v>
      </c>
      <c r="V328" s="19" t="s">
        <v>0</v>
      </c>
      <c r="W328" s="19" t="s">
        <v>0</v>
      </c>
      <c r="X328" s="19" t="s">
        <v>0</v>
      </c>
      <c r="Y328" s="19" t="s">
        <v>0</v>
      </c>
      <c r="Z328" s="19" t="s">
        <v>0</v>
      </c>
      <c r="AA328" s="19" t="s">
        <v>0</v>
      </c>
    </row>
    <row r="329" spans="1:27" ht="15">
      <c r="A329" s="10">
        <f t="shared" si="11"/>
        <v>46000320</v>
      </c>
      <c r="B329" s="4" t="s">
        <v>3818</v>
      </c>
      <c r="C329" s="4" t="s">
        <v>62</v>
      </c>
      <c r="D329" s="11">
        <f>IFERROR(VLOOKUP(C329,ShipShapeEnum!$E:$F,2,FALSE),"-")</f>
        <v>1</v>
      </c>
      <c r="E329" s="19" t="s">
        <v>3826</v>
      </c>
      <c r="F329" s="4" t="s">
        <v>61</v>
      </c>
      <c r="G329" s="11">
        <f>IFERROR(VLOOKUP(F329,ShipShapeEnum!$B:$C,2,FALSE),"-")</f>
        <v>1</v>
      </c>
      <c r="H329" s="19" t="s">
        <v>0</v>
      </c>
      <c r="I329" s="19" t="s">
        <v>0</v>
      </c>
      <c r="J329" s="19" t="s">
        <v>0</v>
      </c>
      <c r="K329" s="19" t="s">
        <v>0</v>
      </c>
      <c r="L329" s="19" t="s">
        <v>0</v>
      </c>
      <c r="M329" s="4" t="s">
        <v>81</v>
      </c>
      <c r="N329" s="11">
        <f>IFERROR(VLOOKUP(M329,ShipShapeEnum!$H:$I,2,FALSE),"-")</f>
        <v>1</v>
      </c>
      <c r="O329" s="11" t="s">
        <v>0</v>
      </c>
      <c r="P329" s="30"/>
      <c r="Q329" s="11" t="str">
        <f>IFERROR(INDEX(SailPattern!$A:$A,MATCH(P329,SailPattern!$B:$B,0)),"-")</f>
        <v>-</v>
      </c>
      <c r="R329" s="30"/>
      <c r="S329" s="11" t="str">
        <f>IFERROR(INDEX(SailCrest!$A:$A,MATCH(R329,SailCrest!$B:$B,0)),"-")</f>
        <v>-</v>
      </c>
      <c r="T329" s="19" t="s">
        <v>0</v>
      </c>
      <c r="U329" s="19" t="s">
        <v>0</v>
      </c>
      <c r="V329" s="19" t="s">
        <v>0</v>
      </c>
      <c r="W329" s="19" t="s">
        <v>0</v>
      </c>
      <c r="X329" s="19" t="s">
        <v>0</v>
      </c>
      <c r="Y329" s="19" t="s">
        <v>0</v>
      </c>
      <c r="Z329" s="19" t="s">
        <v>0</v>
      </c>
      <c r="AA329" s="19" t="s">
        <v>0</v>
      </c>
    </row>
    <row r="330" spans="1:27" ht="15">
      <c r="A330" s="10">
        <f t="shared" si="11"/>
        <v>46000321</v>
      </c>
      <c r="B330" s="4" t="s">
        <v>3822</v>
      </c>
      <c r="C330" s="4" t="s">
        <v>3823</v>
      </c>
      <c r="D330" s="11">
        <f>IFERROR(VLOOKUP(C330,ShipShapeEnum!$E:$F,2,FALSE),"-")</f>
        <v>1</v>
      </c>
      <c r="E330" s="19" t="s">
        <v>3827</v>
      </c>
      <c r="F330" s="4" t="s">
        <v>61</v>
      </c>
      <c r="G330" s="11">
        <f>IFERROR(VLOOKUP(F330,ShipShapeEnum!$B:$C,2,FALSE),"-")</f>
        <v>1</v>
      </c>
      <c r="H330" s="19" t="s">
        <v>0</v>
      </c>
      <c r="I330" s="19" t="s">
        <v>0</v>
      </c>
      <c r="J330" s="19" t="s">
        <v>0</v>
      </c>
      <c r="K330" s="19" t="s">
        <v>0</v>
      </c>
      <c r="L330" s="19" t="s">
        <v>0</v>
      </c>
      <c r="M330" s="4" t="s">
        <v>81</v>
      </c>
      <c r="N330" s="11">
        <f>IFERROR(VLOOKUP(M330,ShipShapeEnum!$H:$I,2,FALSE),"-")</f>
        <v>1</v>
      </c>
      <c r="O330" s="11" t="s">
        <v>0</v>
      </c>
      <c r="P330" s="30"/>
      <c r="Q330" s="11" t="str">
        <f>IFERROR(INDEX(SailPattern!$A:$A,MATCH(P330,SailPattern!$B:$B,0)),"-")</f>
        <v>-</v>
      </c>
      <c r="R330" s="30"/>
      <c r="S330" s="11" t="str">
        <f>IFERROR(INDEX(SailCrest!$A:$A,MATCH(R330,SailCrest!$B:$B,0)),"-")</f>
        <v>-</v>
      </c>
      <c r="T330" s="19" t="s">
        <v>0</v>
      </c>
      <c r="U330" s="19" t="s">
        <v>0</v>
      </c>
      <c r="V330" s="19" t="s">
        <v>0</v>
      </c>
      <c r="W330" s="19" t="s">
        <v>0</v>
      </c>
      <c r="X330" s="19" t="s">
        <v>0</v>
      </c>
      <c r="Y330" s="19" t="s">
        <v>0</v>
      </c>
      <c r="Z330" s="19" t="s">
        <v>0</v>
      </c>
      <c r="AA330" s="19" t="s">
        <v>0</v>
      </c>
    </row>
    <row r="331" spans="1:27" ht="15">
      <c r="A331" s="10">
        <f t="shared" si="11"/>
        <v>46000322</v>
      </c>
      <c r="B331" s="4" t="s">
        <v>3825</v>
      </c>
      <c r="C331" s="4" t="s">
        <v>62</v>
      </c>
      <c r="D331" s="11">
        <f>IFERROR(VLOOKUP(C331,ShipShapeEnum!$E:$F,2,FALSE),"-")</f>
        <v>1</v>
      </c>
      <c r="E331" s="19" t="s">
        <v>3828</v>
      </c>
      <c r="F331" s="4" t="s">
        <v>61</v>
      </c>
      <c r="G331" s="11">
        <f>IFERROR(VLOOKUP(F331,ShipShapeEnum!$B:$C,2,FALSE),"-")</f>
        <v>1</v>
      </c>
      <c r="H331" s="19" t="s">
        <v>0</v>
      </c>
      <c r="I331" s="19" t="s">
        <v>0</v>
      </c>
      <c r="J331" s="19" t="s">
        <v>0</v>
      </c>
      <c r="K331" s="19" t="s">
        <v>0</v>
      </c>
      <c r="L331" s="19" t="s">
        <v>0</v>
      </c>
      <c r="M331" s="4" t="s">
        <v>81</v>
      </c>
      <c r="N331" s="11">
        <f>IFERROR(VLOOKUP(M331,ShipShapeEnum!$H:$I,2,FALSE),"-")</f>
        <v>1</v>
      </c>
      <c r="O331" s="11" t="s">
        <v>0</v>
      </c>
      <c r="P331" s="30"/>
      <c r="Q331" s="11" t="str">
        <f>IFERROR(INDEX(SailPattern!$A:$A,MATCH(P331,SailPattern!$B:$B,0)),"-")</f>
        <v>-</v>
      </c>
      <c r="R331" s="30"/>
      <c r="S331" s="11" t="str">
        <f>IFERROR(INDEX(SailCrest!$A:$A,MATCH(R331,SailCrest!$B:$B,0)),"-")</f>
        <v>-</v>
      </c>
      <c r="T331" s="19" t="s">
        <v>0</v>
      </c>
      <c r="U331" s="19" t="s">
        <v>0</v>
      </c>
      <c r="V331" s="19" t="s">
        <v>0</v>
      </c>
      <c r="W331" s="19" t="s">
        <v>0</v>
      </c>
      <c r="X331" s="19" t="s">
        <v>0</v>
      </c>
      <c r="Y331" s="19" t="s">
        <v>0</v>
      </c>
      <c r="Z331" s="19" t="s">
        <v>0</v>
      </c>
      <c r="AA331" s="19" t="s">
        <v>0</v>
      </c>
    </row>
    <row r="332" spans="1:27" ht="15">
      <c r="A332" s="10">
        <f t="shared" si="11"/>
        <v>46000323</v>
      </c>
      <c r="B332" s="4" t="s">
        <v>3867</v>
      </c>
      <c r="C332" s="4" t="s">
        <v>62</v>
      </c>
      <c r="D332" s="11">
        <f>IFERROR(VLOOKUP(C332,ShipShapeEnum!$E:$F,2,FALSE),"-")</f>
        <v>1</v>
      </c>
      <c r="E332" s="19" t="s">
        <v>3865</v>
      </c>
      <c r="F332" s="4" t="s">
        <v>61</v>
      </c>
      <c r="G332" s="11">
        <f>IFERROR(VLOOKUP(F332,ShipShapeEnum!$B:$C,2,FALSE),"-")</f>
        <v>1</v>
      </c>
      <c r="H332" s="19" t="s">
        <v>0</v>
      </c>
      <c r="I332" s="19" t="s">
        <v>0</v>
      </c>
      <c r="J332" s="19" t="s">
        <v>0</v>
      </c>
      <c r="K332" s="19" t="s">
        <v>0</v>
      </c>
      <c r="L332" s="19" t="s">
        <v>0</v>
      </c>
      <c r="M332" s="4" t="s">
        <v>81</v>
      </c>
      <c r="N332" s="11">
        <f>IFERROR(VLOOKUP(M332,ShipShapeEnum!$H:$I,2,FALSE),"-")</f>
        <v>1</v>
      </c>
      <c r="O332" s="11" t="s">
        <v>0</v>
      </c>
      <c r="P332" s="30"/>
      <c r="Q332" s="11" t="str">
        <f>IFERROR(INDEX(SailPattern!$A:$A,MATCH(P332,SailPattern!$B:$B,0)),"-")</f>
        <v>-</v>
      </c>
      <c r="R332" s="30"/>
      <c r="S332" s="11" t="str">
        <f>IFERROR(INDEX(SailCrest!$A:$A,MATCH(R332,SailCrest!$B:$B,0)),"-")</f>
        <v>-</v>
      </c>
      <c r="T332" s="19" t="s">
        <v>0</v>
      </c>
      <c r="U332" s="19" t="s">
        <v>0</v>
      </c>
      <c r="V332" s="19" t="s">
        <v>0</v>
      </c>
      <c r="W332" s="19" t="s">
        <v>0</v>
      </c>
      <c r="X332" s="19" t="s">
        <v>0</v>
      </c>
      <c r="Y332" s="19" t="s">
        <v>0</v>
      </c>
      <c r="Z332" s="19" t="s">
        <v>0</v>
      </c>
      <c r="AA332" s="19" t="s">
        <v>0</v>
      </c>
    </row>
    <row r="333" spans="1:27" ht="15">
      <c r="A333" s="10">
        <f>A332+1</f>
        <v>46000324</v>
      </c>
      <c r="B333" s="4" t="s">
        <v>3873</v>
      </c>
      <c r="C333" s="4" t="s">
        <v>62</v>
      </c>
      <c r="D333" s="11">
        <f>IFERROR(VLOOKUP(C333,ShipShapeEnum!$E:$F,2,FALSE),"-")</f>
        <v>1</v>
      </c>
      <c r="E333" s="19" t="s">
        <v>3871</v>
      </c>
      <c r="F333" s="4" t="s">
        <v>61</v>
      </c>
      <c r="G333" s="11">
        <f>IFERROR(VLOOKUP(F333,ShipShapeEnum!$B:$C,2,FALSE),"-")</f>
        <v>1</v>
      </c>
      <c r="H333" s="19" t="s">
        <v>0</v>
      </c>
      <c r="I333" s="19" t="s">
        <v>0</v>
      </c>
      <c r="J333" s="19" t="s">
        <v>0</v>
      </c>
      <c r="K333" s="19" t="s">
        <v>0</v>
      </c>
      <c r="L333" s="19" t="s">
        <v>0</v>
      </c>
      <c r="M333" s="4" t="s">
        <v>81</v>
      </c>
      <c r="N333" s="11">
        <f>IFERROR(VLOOKUP(M333,ShipShapeEnum!$H:$I,2,FALSE),"-")</f>
        <v>1</v>
      </c>
      <c r="O333" s="11" t="s">
        <v>0</v>
      </c>
      <c r="P333" s="30"/>
      <c r="Q333" s="11" t="str">
        <f>IFERROR(INDEX(SailPattern!$A:$A,MATCH(P333,SailPattern!$B:$B,0)),"-")</f>
        <v>-</v>
      </c>
      <c r="R333" s="30"/>
      <c r="S333" s="11" t="str">
        <f>IFERROR(INDEX(SailCrest!$A:$A,MATCH(R333,SailCrest!$B:$B,0)),"-")</f>
        <v>-</v>
      </c>
      <c r="T333" s="19" t="s">
        <v>0</v>
      </c>
      <c r="U333" s="19" t="s">
        <v>0</v>
      </c>
      <c r="V333" s="19" t="s">
        <v>0</v>
      </c>
      <c r="W333" s="19" t="s">
        <v>0</v>
      </c>
      <c r="X333" s="19" t="s">
        <v>0</v>
      </c>
      <c r="Y333" s="19" t="s">
        <v>0</v>
      </c>
      <c r="Z333" s="19" t="s">
        <v>0</v>
      </c>
      <c r="AA333" s="19" t="s">
        <v>0</v>
      </c>
    </row>
    <row r="334" spans="1:27" ht="15">
      <c r="A334" s="10">
        <f>A333+1</f>
        <v>46000325</v>
      </c>
      <c r="B334" s="4" t="s">
        <v>3887</v>
      </c>
      <c r="C334" s="4" t="s">
        <v>62</v>
      </c>
      <c r="D334" s="11">
        <f>IFERROR(VLOOKUP(C334,ShipShapeEnum!$E:$F,2,FALSE),"-")</f>
        <v>1</v>
      </c>
      <c r="E334" s="19" t="s">
        <v>3888</v>
      </c>
      <c r="F334" s="4" t="s">
        <v>61</v>
      </c>
      <c r="G334" s="11">
        <f>IFERROR(VLOOKUP(F334,ShipShapeEnum!$B:$C,2,FALSE),"-")</f>
        <v>1</v>
      </c>
      <c r="H334" s="19" t="s">
        <v>0</v>
      </c>
      <c r="I334" s="19" t="s">
        <v>0</v>
      </c>
      <c r="J334" s="19" t="s">
        <v>0</v>
      </c>
      <c r="K334" s="19" t="s">
        <v>0</v>
      </c>
      <c r="L334" s="19" t="s">
        <v>0</v>
      </c>
      <c r="M334" s="4" t="s">
        <v>81</v>
      </c>
      <c r="N334" s="11">
        <f>IFERROR(VLOOKUP(M334,ShipShapeEnum!$H:$I,2,FALSE),"-")</f>
        <v>1</v>
      </c>
      <c r="O334" s="11" t="s">
        <v>0</v>
      </c>
      <c r="P334" s="30"/>
      <c r="Q334" s="11" t="str">
        <f>IFERROR(INDEX(SailPattern!$A:$A,MATCH(P334,SailPattern!$B:$B,0)),"-")</f>
        <v>-</v>
      </c>
      <c r="R334" s="30"/>
      <c r="S334" s="11" t="str">
        <f>IFERROR(INDEX(SailCrest!$A:$A,MATCH(R334,SailCrest!$B:$B,0)),"-")</f>
        <v>-</v>
      </c>
      <c r="T334" s="19" t="s">
        <v>0</v>
      </c>
      <c r="U334" s="19" t="s">
        <v>0</v>
      </c>
      <c r="V334" s="19" t="s">
        <v>0</v>
      </c>
      <c r="W334" s="19" t="s">
        <v>0</v>
      </c>
      <c r="X334" s="19" t="s">
        <v>0</v>
      </c>
      <c r="Y334" s="19" t="s">
        <v>0</v>
      </c>
      <c r="Z334" s="19" t="s">
        <v>0</v>
      </c>
      <c r="AA334" s="19" t="s">
        <v>0</v>
      </c>
    </row>
    <row r="335" spans="1:27" ht="15">
      <c r="A335" s="10">
        <f>A334+1</f>
        <v>46000326</v>
      </c>
      <c r="B335" s="4" t="s">
        <v>3895</v>
      </c>
      <c r="C335" s="4" t="s">
        <v>62</v>
      </c>
      <c r="D335" s="11">
        <f>IFERROR(VLOOKUP(C335,ShipShapeEnum!$E:$F,2,FALSE),"-")</f>
        <v>1</v>
      </c>
      <c r="E335" s="19" t="s">
        <v>3896</v>
      </c>
      <c r="F335" s="4" t="s">
        <v>61</v>
      </c>
      <c r="G335" s="11">
        <f>IFERROR(VLOOKUP(F335,ShipShapeEnum!$B:$C,2,FALSE),"-")</f>
        <v>1</v>
      </c>
      <c r="H335" s="19" t="s">
        <v>0</v>
      </c>
      <c r="I335" s="19" t="s">
        <v>0</v>
      </c>
      <c r="J335" s="19" t="s">
        <v>0</v>
      </c>
      <c r="K335" s="19" t="s">
        <v>0</v>
      </c>
      <c r="L335" s="19" t="s">
        <v>0</v>
      </c>
      <c r="M335" s="4" t="s">
        <v>81</v>
      </c>
      <c r="N335" s="11">
        <f>IFERROR(VLOOKUP(M335,ShipShapeEnum!$H:$I,2,FALSE),"-")</f>
        <v>1</v>
      </c>
      <c r="O335" s="11" t="s">
        <v>0</v>
      </c>
      <c r="P335" s="30"/>
      <c r="Q335" s="11" t="str">
        <f>IFERROR(INDEX(SailPattern!$A:$A,MATCH(P335,SailPattern!$B:$B,0)),"-")</f>
        <v>-</v>
      </c>
      <c r="R335" s="30"/>
      <c r="S335" s="11" t="str">
        <f>IFERROR(INDEX(SailCrest!$A:$A,MATCH(R335,SailCrest!$B:$B,0)),"-")</f>
        <v>-</v>
      </c>
      <c r="T335" s="19" t="s">
        <v>0</v>
      </c>
      <c r="U335" s="19" t="s">
        <v>0</v>
      </c>
      <c r="V335" s="19" t="s">
        <v>0</v>
      </c>
      <c r="W335" s="19" t="s">
        <v>0</v>
      </c>
      <c r="X335" s="19" t="s">
        <v>0</v>
      </c>
      <c r="Y335" s="19" t="s">
        <v>0</v>
      </c>
      <c r="Z335" s="19" t="s">
        <v>0</v>
      </c>
      <c r="AA335" s="19" t="s">
        <v>0</v>
      </c>
    </row>
    <row r="336" spans="1:27" ht="15">
      <c r="A336" s="10">
        <f>A335+1</f>
        <v>46000327</v>
      </c>
      <c r="B336" s="4" t="s">
        <v>3898</v>
      </c>
      <c r="C336" s="4" t="s">
        <v>62</v>
      </c>
      <c r="D336" s="11">
        <f>IFERROR(VLOOKUP(C336,ShipShapeEnum!$E:$F,2,FALSE),"-")</f>
        <v>1</v>
      </c>
      <c r="E336" s="19" t="s">
        <v>3899</v>
      </c>
      <c r="F336" s="4" t="s">
        <v>61</v>
      </c>
      <c r="G336" s="11">
        <f>IFERROR(VLOOKUP(F336,ShipShapeEnum!$B:$C,2,FALSE),"-")</f>
        <v>1</v>
      </c>
      <c r="H336" s="19" t="s">
        <v>0</v>
      </c>
      <c r="I336" s="19" t="s">
        <v>0</v>
      </c>
      <c r="J336" s="19" t="s">
        <v>0</v>
      </c>
      <c r="K336" s="19" t="s">
        <v>0</v>
      </c>
      <c r="L336" s="19" t="s">
        <v>0</v>
      </c>
      <c r="M336" s="4" t="s">
        <v>81</v>
      </c>
      <c r="N336" s="11">
        <f>IFERROR(VLOOKUP(M336,ShipShapeEnum!$H:$I,2,FALSE),"-")</f>
        <v>1</v>
      </c>
      <c r="O336" s="11" t="s">
        <v>0</v>
      </c>
      <c r="P336" s="30"/>
      <c r="Q336" s="11" t="str">
        <f>IFERROR(INDEX(SailPattern!$A:$A,MATCH(P336,SailPattern!$B:$B,0)),"-")</f>
        <v>-</v>
      </c>
      <c r="R336" s="30"/>
      <c r="S336" s="11" t="str">
        <f>IFERROR(INDEX(SailCrest!$A:$A,MATCH(R336,SailCrest!$B:$B,0)),"-")</f>
        <v>-</v>
      </c>
      <c r="T336" s="19" t="s">
        <v>0</v>
      </c>
      <c r="U336" s="19" t="s">
        <v>0</v>
      </c>
      <c r="V336" s="19" t="s">
        <v>0</v>
      </c>
      <c r="W336" s="19" t="s">
        <v>0</v>
      </c>
      <c r="X336" s="19" t="s">
        <v>0</v>
      </c>
      <c r="Y336" s="19" t="s">
        <v>0</v>
      </c>
      <c r="Z336" s="19" t="s">
        <v>0</v>
      </c>
      <c r="AA336" s="19" t="s">
        <v>0</v>
      </c>
    </row>
    <row r="337" spans="1:27" ht="15">
      <c r="A337" s="10">
        <f t="shared" ref="A337:A348" si="12">A336+1</f>
        <v>46000328</v>
      </c>
      <c r="B337" s="4" t="s">
        <v>3927</v>
      </c>
      <c r="C337" s="4" t="s">
        <v>62</v>
      </c>
      <c r="D337" s="11">
        <f>IFERROR(VLOOKUP(C337,ShipShapeEnum!$E:$F,2,FALSE),"-")</f>
        <v>1</v>
      </c>
      <c r="E337" s="19" t="s">
        <v>3931</v>
      </c>
      <c r="F337" s="4" t="s">
        <v>61</v>
      </c>
      <c r="G337" s="11">
        <f>IFERROR(VLOOKUP(F337,ShipShapeEnum!$B:$C,2,FALSE),"-")</f>
        <v>1</v>
      </c>
      <c r="H337" s="19" t="s">
        <v>0</v>
      </c>
      <c r="I337" s="19" t="s">
        <v>0</v>
      </c>
      <c r="J337" s="19" t="s">
        <v>0</v>
      </c>
      <c r="K337" s="19" t="s">
        <v>0</v>
      </c>
      <c r="L337" s="19" t="s">
        <v>0</v>
      </c>
      <c r="M337" s="4" t="s">
        <v>81</v>
      </c>
      <c r="N337" s="11">
        <f>IFERROR(VLOOKUP(M337,ShipShapeEnum!$H:$I,2,FALSE),"-")</f>
        <v>1</v>
      </c>
      <c r="O337" s="11" t="s">
        <v>0</v>
      </c>
      <c r="P337" s="30"/>
      <c r="Q337" s="11" t="str">
        <f>IFERROR(INDEX(SailPattern!$A:$A,MATCH(P337,SailPattern!$B:$B,0)),"-")</f>
        <v>-</v>
      </c>
      <c r="R337" s="30"/>
      <c r="S337" s="11" t="str">
        <f>IFERROR(INDEX(SailCrest!$A:$A,MATCH(R337,SailCrest!$B:$B,0)),"-")</f>
        <v>-</v>
      </c>
      <c r="T337" s="19" t="s">
        <v>0</v>
      </c>
      <c r="U337" s="19" t="s">
        <v>0</v>
      </c>
      <c r="V337" s="19" t="s">
        <v>0</v>
      </c>
      <c r="W337" s="19" t="s">
        <v>0</v>
      </c>
      <c r="X337" s="19" t="s">
        <v>0</v>
      </c>
      <c r="Y337" s="19" t="s">
        <v>0</v>
      </c>
      <c r="Z337" s="19" t="s">
        <v>0</v>
      </c>
      <c r="AA337" s="19" t="s">
        <v>0</v>
      </c>
    </row>
    <row r="338" spans="1:27" ht="15">
      <c r="A338" s="10">
        <f t="shared" si="12"/>
        <v>46000329</v>
      </c>
      <c r="B338" s="4" t="s">
        <v>3929</v>
      </c>
      <c r="C338" s="4" t="s">
        <v>62</v>
      </c>
      <c r="D338" s="11">
        <f>IFERROR(VLOOKUP(C338,ShipShapeEnum!$E:$F,2,FALSE),"-")</f>
        <v>1</v>
      </c>
      <c r="E338" s="19" t="s">
        <v>3930</v>
      </c>
      <c r="F338" s="4" t="s">
        <v>61</v>
      </c>
      <c r="G338" s="11">
        <f>IFERROR(VLOOKUP(F338,ShipShapeEnum!$B:$C,2,FALSE),"-")</f>
        <v>1</v>
      </c>
      <c r="H338" s="19" t="s">
        <v>0</v>
      </c>
      <c r="I338" s="19" t="s">
        <v>0</v>
      </c>
      <c r="J338" s="19" t="s">
        <v>0</v>
      </c>
      <c r="K338" s="19" t="s">
        <v>0</v>
      </c>
      <c r="L338" s="19" t="s">
        <v>0</v>
      </c>
      <c r="M338" s="4" t="s">
        <v>81</v>
      </c>
      <c r="N338" s="11">
        <f>IFERROR(VLOOKUP(M338,ShipShapeEnum!$H:$I,2,FALSE),"-")</f>
        <v>1</v>
      </c>
      <c r="O338" s="11" t="s">
        <v>0</v>
      </c>
      <c r="P338" s="30"/>
      <c r="Q338" s="11" t="str">
        <f>IFERROR(INDEX(SailPattern!$A:$A,MATCH(P338,SailPattern!$B:$B,0)),"-")</f>
        <v>-</v>
      </c>
      <c r="R338" s="30"/>
      <c r="S338" s="11" t="str">
        <f>IFERROR(INDEX(SailCrest!$A:$A,MATCH(R338,SailCrest!$B:$B,0)),"-")</f>
        <v>-</v>
      </c>
      <c r="T338" s="19" t="s">
        <v>0</v>
      </c>
      <c r="U338" s="19" t="s">
        <v>0</v>
      </c>
      <c r="V338" s="19" t="s">
        <v>0</v>
      </c>
      <c r="W338" s="19" t="s">
        <v>0</v>
      </c>
      <c r="X338" s="19" t="s">
        <v>0</v>
      </c>
      <c r="Y338" s="19" t="s">
        <v>0</v>
      </c>
      <c r="Z338" s="19" t="s">
        <v>0</v>
      </c>
      <c r="AA338" s="19" t="s">
        <v>0</v>
      </c>
    </row>
    <row r="339" spans="1:27" ht="15">
      <c r="A339" s="10">
        <f t="shared" si="12"/>
        <v>46000330</v>
      </c>
      <c r="B339" s="4" t="s">
        <v>3942</v>
      </c>
      <c r="C339" s="4" t="s">
        <v>62</v>
      </c>
      <c r="D339" s="11">
        <f>IFERROR(VLOOKUP(C339,ShipShapeEnum!$E:$F,2,FALSE),"-")</f>
        <v>1</v>
      </c>
      <c r="E339" s="19" t="s">
        <v>3943</v>
      </c>
      <c r="F339" s="4" t="s">
        <v>61</v>
      </c>
      <c r="G339" s="11">
        <f>IFERROR(VLOOKUP(F339,ShipShapeEnum!$B:$C,2,FALSE),"-")</f>
        <v>1</v>
      </c>
      <c r="H339" s="19" t="s">
        <v>0</v>
      </c>
      <c r="I339" s="19" t="s">
        <v>0</v>
      </c>
      <c r="J339" s="19" t="s">
        <v>0</v>
      </c>
      <c r="K339" s="19" t="s">
        <v>0</v>
      </c>
      <c r="L339" s="19" t="s">
        <v>0</v>
      </c>
      <c r="M339" s="4" t="s">
        <v>81</v>
      </c>
      <c r="N339" s="11">
        <f>IFERROR(VLOOKUP(M339,ShipShapeEnum!$H:$I,2,FALSE),"-")</f>
        <v>1</v>
      </c>
      <c r="O339" s="11" t="s">
        <v>0</v>
      </c>
      <c r="P339" s="30"/>
      <c r="Q339" s="11" t="str">
        <f>IFERROR(INDEX(SailPattern!$A:$A,MATCH(P339,SailPattern!$B:$B,0)),"-")</f>
        <v>-</v>
      </c>
      <c r="R339" s="30"/>
      <c r="S339" s="11" t="str">
        <f>IFERROR(INDEX(SailCrest!$A:$A,MATCH(R339,SailCrest!$B:$B,0)),"-")</f>
        <v>-</v>
      </c>
      <c r="T339" s="19" t="s">
        <v>0</v>
      </c>
      <c r="U339" s="19" t="s">
        <v>0</v>
      </c>
      <c r="V339" s="19" t="s">
        <v>0</v>
      </c>
      <c r="W339" s="19" t="s">
        <v>0</v>
      </c>
      <c r="X339" s="19" t="s">
        <v>0</v>
      </c>
      <c r="Y339" s="19" t="s">
        <v>0</v>
      </c>
      <c r="Z339" s="19" t="s">
        <v>0</v>
      </c>
      <c r="AA339" s="19" t="s">
        <v>0</v>
      </c>
    </row>
    <row r="340" spans="1:27" ht="15">
      <c r="A340" s="10">
        <f t="shared" si="12"/>
        <v>46000331</v>
      </c>
      <c r="B340" s="4" t="s">
        <v>3955</v>
      </c>
      <c r="C340" s="4" t="s">
        <v>62</v>
      </c>
      <c r="D340" s="11">
        <f>IFERROR(VLOOKUP(C340,ShipShapeEnum!$E:$F,2,FALSE),"-")</f>
        <v>1</v>
      </c>
      <c r="E340" s="19" t="s">
        <v>3958</v>
      </c>
      <c r="F340" s="4" t="s">
        <v>61</v>
      </c>
      <c r="G340" s="11">
        <f>IFERROR(VLOOKUP(F340,ShipShapeEnum!$B:$C,2,FALSE),"-")</f>
        <v>1</v>
      </c>
      <c r="H340" s="19" t="s">
        <v>0</v>
      </c>
      <c r="I340" s="19" t="s">
        <v>0</v>
      </c>
      <c r="J340" s="19" t="s">
        <v>0</v>
      </c>
      <c r="K340" s="19" t="s">
        <v>0</v>
      </c>
      <c r="L340" s="19" t="s">
        <v>0</v>
      </c>
      <c r="M340" s="4" t="s">
        <v>81</v>
      </c>
      <c r="N340" s="11">
        <f>IFERROR(VLOOKUP(M340,ShipShapeEnum!$H:$I,2,FALSE),"-")</f>
        <v>1</v>
      </c>
      <c r="O340" s="11" t="s">
        <v>0</v>
      </c>
      <c r="P340" s="30"/>
      <c r="Q340" s="11" t="str">
        <f>IFERROR(INDEX(SailPattern!$A:$A,MATCH(P340,SailPattern!$B:$B,0)),"-")</f>
        <v>-</v>
      </c>
      <c r="R340" s="30"/>
      <c r="S340" s="11" t="str">
        <f>IFERROR(INDEX(SailCrest!$A:$A,MATCH(R340,SailCrest!$B:$B,0)),"-")</f>
        <v>-</v>
      </c>
      <c r="T340" s="19" t="s">
        <v>0</v>
      </c>
      <c r="U340" s="19" t="s">
        <v>0</v>
      </c>
      <c r="V340" s="19" t="s">
        <v>0</v>
      </c>
      <c r="W340" s="19" t="s">
        <v>0</v>
      </c>
      <c r="X340" s="19" t="s">
        <v>0</v>
      </c>
      <c r="Y340" s="19" t="s">
        <v>0</v>
      </c>
      <c r="Z340" s="19" t="s">
        <v>0</v>
      </c>
      <c r="AA340" s="19" t="s">
        <v>0</v>
      </c>
    </row>
    <row r="341" spans="1:27" ht="15">
      <c r="A341" s="10">
        <f t="shared" si="12"/>
        <v>46000332</v>
      </c>
      <c r="B341" s="4" t="s">
        <v>3957</v>
      </c>
      <c r="C341" s="4" t="s">
        <v>62</v>
      </c>
      <c r="D341" s="11">
        <f>IFERROR(VLOOKUP(C341,ShipShapeEnum!$E:$F,2,FALSE),"-")</f>
        <v>1</v>
      </c>
      <c r="E341" s="19" t="s">
        <v>3959</v>
      </c>
      <c r="F341" s="4" t="s">
        <v>61</v>
      </c>
      <c r="G341" s="11">
        <f>IFERROR(VLOOKUP(F341,ShipShapeEnum!$B:$C,2,FALSE),"-")</f>
        <v>1</v>
      </c>
      <c r="H341" s="19" t="s">
        <v>0</v>
      </c>
      <c r="I341" s="19" t="s">
        <v>0</v>
      </c>
      <c r="J341" s="19" t="s">
        <v>0</v>
      </c>
      <c r="K341" s="19" t="s">
        <v>0</v>
      </c>
      <c r="L341" s="19" t="s">
        <v>0</v>
      </c>
      <c r="M341" s="4" t="s">
        <v>81</v>
      </c>
      <c r="N341" s="11">
        <f>IFERROR(VLOOKUP(M341,ShipShapeEnum!$H:$I,2,FALSE),"-")</f>
        <v>1</v>
      </c>
      <c r="O341" s="11" t="s">
        <v>0</v>
      </c>
      <c r="P341" s="30"/>
      <c r="Q341" s="11" t="str">
        <f>IFERROR(INDEX(SailPattern!$A:$A,MATCH(P341,SailPattern!$B:$B,0)),"-")</f>
        <v>-</v>
      </c>
      <c r="R341" s="30"/>
      <c r="S341" s="11" t="str">
        <f>IFERROR(INDEX(SailCrest!$A:$A,MATCH(R341,SailCrest!$B:$B,0)),"-")</f>
        <v>-</v>
      </c>
      <c r="T341" s="19" t="s">
        <v>0</v>
      </c>
      <c r="U341" s="19" t="s">
        <v>0</v>
      </c>
      <c r="V341" s="19" t="s">
        <v>0</v>
      </c>
      <c r="W341" s="19" t="s">
        <v>0</v>
      </c>
      <c r="X341" s="19" t="s">
        <v>0</v>
      </c>
      <c r="Y341" s="19" t="s">
        <v>0</v>
      </c>
      <c r="Z341" s="19" t="s">
        <v>0</v>
      </c>
      <c r="AA341" s="19" t="s">
        <v>0</v>
      </c>
    </row>
    <row r="342" spans="1:27" ht="15">
      <c r="A342" s="10">
        <f t="shared" si="12"/>
        <v>46000333</v>
      </c>
      <c r="B342" s="4" t="s">
        <v>3973</v>
      </c>
      <c r="C342" s="4" t="s">
        <v>62</v>
      </c>
      <c r="D342" s="11">
        <f>IFERROR(VLOOKUP(C342,ShipShapeEnum!$E:$F,2,FALSE),"-")</f>
        <v>1</v>
      </c>
      <c r="E342" s="19" t="s">
        <v>3974</v>
      </c>
      <c r="F342" s="4" t="s">
        <v>61</v>
      </c>
      <c r="G342" s="11">
        <f>IFERROR(VLOOKUP(F342,ShipShapeEnum!$B:$C,2,FALSE),"-")</f>
        <v>1</v>
      </c>
      <c r="H342" s="19" t="s">
        <v>0</v>
      </c>
      <c r="I342" s="19" t="s">
        <v>0</v>
      </c>
      <c r="J342" s="19" t="s">
        <v>0</v>
      </c>
      <c r="K342" s="19" t="s">
        <v>0</v>
      </c>
      <c r="L342" s="19" t="s">
        <v>0</v>
      </c>
      <c r="M342" s="4" t="s">
        <v>81</v>
      </c>
      <c r="N342" s="11">
        <f>IFERROR(VLOOKUP(M342,ShipShapeEnum!$H:$I,2,FALSE),"-")</f>
        <v>1</v>
      </c>
      <c r="O342" s="11" t="s">
        <v>0</v>
      </c>
      <c r="P342" s="30"/>
      <c r="Q342" s="11" t="str">
        <f>IFERROR(INDEX(SailPattern!$A:$A,MATCH(P342,SailPattern!$B:$B,0)),"-")</f>
        <v>-</v>
      </c>
      <c r="R342" s="30"/>
      <c r="S342" s="11" t="str">
        <f>IFERROR(INDEX(SailCrest!$A:$A,MATCH(R342,SailCrest!$B:$B,0)),"-")</f>
        <v>-</v>
      </c>
      <c r="T342" s="19" t="s">
        <v>0</v>
      </c>
      <c r="U342" s="19" t="s">
        <v>0</v>
      </c>
      <c r="V342" s="19" t="s">
        <v>0</v>
      </c>
      <c r="W342" s="19" t="s">
        <v>0</v>
      </c>
      <c r="X342" s="19" t="s">
        <v>0</v>
      </c>
      <c r="Y342" s="19" t="s">
        <v>0</v>
      </c>
      <c r="Z342" s="19" t="s">
        <v>0</v>
      </c>
      <c r="AA342" s="19" t="s">
        <v>0</v>
      </c>
    </row>
    <row r="343" spans="1:27" ht="15">
      <c r="A343" s="10">
        <f t="shared" si="12"/>
        <v>46000334</v>
      </c>
      <c r="B343" s="4" t="s">
        <v>3979</v>
      </c>
      <c r="C343" s="4" t="s">
        <v>62</v>
      </c>
      <c r="D343" s="11">
        <f>IFERROR(VLOOKUP(C343,ShipShapeEnum!$E:$F,2,FALSE),"-")</f>
        <v>1</v>
      </c>
      <c r="E343" s="19" t="s">
        <v>3977</v>
      </c>
      <c r="F343" s="4" t="s">
        <v>61</v>
      </c>
      <c r="G343" s="11">
        <f>IFERROR(VLOOKUP(F343,ShipShapeEnum!$B:$C,2,FALSE),"-")</f>
        <v>1</v>
      </c>
      <c r="H343" s="19" t="s">
        <v>0</v>
      </c>
      <c r="I343" s="19" t="s">
        <v>0</v>
      </c>
      <c r="J343" s="19" t="s">
        <v>0</v>
      </c>
      <c r="K343" s="19" t="s">
        <v>0</v>
      </c>
      <c r="L343" s="19" t="s">
        <v>0</v>
      </c>
      <c r="M343" s="4" t="s">
        <v>81</v>
      </c>
      <c r="N343" s="11">
        <f>IFERROR(VLOOKUP(M343,ShipShapeEnum!$H:$I,2,FALSE),"-")</f>
        <v>1</v>
      </c>
      <c r="O343" s="11" t="s">
        <v>0</v>
      </c>
      <c r="P343" s="30"/>
      <c r="Q343" s="11" t="str">
        <f>IFERROR(INDEX(SailPattern!$A:$A,MATCH(P343,SailPattern!$B:$B,0)),"-")</f>
        <v>-</v>
      </c>
      <c r="R343" s="30"/>
      <c r="S343" s="11" t="str">
        <f>IFERROR(INDEX(SailCrest!$A:$A,MATCH(R343,SailCrest!$B:$B,0)),"-")</f>
        <v>-</v>
      </c>
      <c r="T343" s="19" t="s">
        <v>0</v>
      </c>
      <c r="U343" s="19" t="s">
        <v>0</v>
      </c>
      <c r="V343" s="19" t="s">
        <v>0</v>
      </c>
      <c r="W343" s="19" t="s">
        <v>0</v>
      </c>
      <c r="X343" s="19" t="s">
        <v>0</v>
      </c>
      <c r="Y343" s="19" t="s">
        <v>0</v>
      </c>
      <c r="Z343" s="19" t="s">
        <v>0</v>
      </c>
      <c r="AA343" s="19" t="s">
        <v>0</v>
      </c>
    </row>
    <row r="344" spans="1:27" ht="15">
      <c r="A344" s="10">
        <f t="shared" si="12"/>
        <v>46000335</v>
      </c>
      <c r="B344" s="4" t="s">
        <v>3981</v>
      </c>
      <c r="C344" s="4" t="s">
        <v>62</v>
      </c>
      <c r="D344" s="11">
        <f>IFERROR(VLOOKUP(C344,ShipShapeEnum!$E:$F,2,FALSE),"-")</f>
        <v>1</v>
      </c>
      <c r="E344" s="19" t="s">
        <v>3982</v>
      </c>
      <c r="F344" s="4" t="s">
        <v>61</v>
      </c>
      <c r="G344" s="11">
        <f>IFERROR(VLOOKUP(F344,ShipShapeEnum!$B:$C,2,FALSE),"-")</f>
        <v>1</v>
      </c>
      <c r="H344" s="19" t="s">
        <v>0</v>
      </c>
      <c r="I344" s="19" t="s">
        <v>0</v>
      </c>
      <c r="J344" s="19" t="s">
        <v>0</v>
      </c>
      <c r="K344" s="19" t="s">
        <v>0</v>
      </c>
      <c r="L344" s="19" t="s">
        <v>0</v>
      </c>
      <c r="M344" s="4" t="s">
        <v>81</v>
      </c>
      <c r="N344" s="11">
        <f>IFERROR(VLOOKUP(M344,ShipShapeEnum!$H:$I,2,FALSE),"-")</f>
        <v>1</v>
      </c>
      <c r="O344" s="11" t="s">
        <v>0</v>
      </c>
      <c r="P344" s="30"/>
      <c r="Q344" s="11" t="str">
        <f>IFERROR(INDEX(SailPattern!$A:$A,MATCH(P344,SailPattern!$B:$B,0)),"-")</f>
        <v>-</v>
      </c>
      <c r="R344" s="30"/>
      <c r="S344" s="11" t="str">
        <f>IFERROR(INDEX(SailCrest!$A:$A,MATCH(R344,SailCrest!$B:$B,0)),"-")</f>
        <v>-</v>
      </c>
      <c r="T344" s="19" t="s">
        <v>0</v>
      </c>
      <c r="U344" s="19" t="s">
        <v>0</v>
      </c>
      <c r="V344" s="19" t="s">
        <v>0</v>
      </c>
      <c r="W344" s="19" t="s">
        <v>0</v>
      </c>
      <c r="X344" s="19" t="s">
        <v>0</v>
      </c>
      <c r="Y344" s="19" t="s">
        <v>0</v>
      </c>
      <c r="Z344" s="19" t="s">
        <v>0</v>
      </c>
      <c r="AA344" s="19" t="s">
        <v>0</v>
      </c>
    </row>
    <row r="345" spans="1:27" ht="15">
      <c r="A345" s="10">
        <f t="shared" si="12"/>
        <v>46000336</v>
      </c>
      <c r="B345" s="4" t="s">
        <v>3988</v>
      </c>
      <c r="C345" s="4" t="s">
        <v>62</v>
      </c>
      <c r="D345" s="11">
        <f>IFERROR(VLOOKUP(C345,ShipShapeEnum!$E:$F,2,FALSE),"-")</f>
        <v>1</v>
      </c>
      <c r="E345" s="19" t="s">
        <v>3991</v>
      </c>
      <c r="F345" s="4" t="s">
        <v>61</v>
      </c>
      <c r="G345" s="11">
        <f>IFERROR(VLOOKUP(F345,ShipShapeEnum!$B:$C,2,FALSE),"-")</f>
        <v>1</v>
      </c>
      <c r="H345" s="19" t="s">
        <v>0</v>
      </c>
      <c r="I345" s="19" t="s">
        <v>0</v>
      </c>
      <c r="J345" s="19" t="s">
        <v>0</v>
      </c>
      <c r="K345" s="19" t="s">
        <v>0</v>
      </c>
      <c r="L345" s="19" t="s">
        <v>0</v>
      </c>
      <c r="M345" s="4" t="s">
        <v>81</v>
      </c>
      <c r="N345" s="11">
        <f>IFERROR(VLOOKUP(M345,ShipShapeEnum!$H:$I,2,FALSE),"-")</f>
        <v>1</v>
      </c>
      <c r="O345" s="11" t="s">
        <v>0</v>
      </c>
      <c r="P345" s="30"/>
      <c r="Q345" s="11" t="str">
        <f>IFERROR(INDEX(SailPattern!$A:$A,MATCH(P345,SailPattern!$B:$B,0)),"-")</f>
        <v>-</v>
      </c>
      <c r="R345" s="30"/>
      <c r="S345" s="11" t="str">
        <f>IFERROR(INDEX(SailCrest!$A:$A,MATCH(R345,SailCrest!$B:$B,0)),"-")</f>
        <v>-</v>
      </c>
      <c r="T345" s="19" t="s">
        <v>0</v>
      </c>
      <c r="U345" s="19" t="s">
        <v>0</v>
      </c>
      <c r="V345" s="19" t="s">
        <v>0</v>
      </c>
      <c r="W345" s="19" t="s">
        <v>0</v>
      </c>
      <c r="X345" s="19" t="s">
        <v>0</v>
      </c>
      <c r="Y345" s="19" t="s">
        <v>0</v>
      </c>
      <c r="Z345" s="19" t="s">
        <v>0</v>
      </c>
      <c r="AA345" s="19" t="s">
        <v>0</v>
      </c>
    </row>
    <row r="346" spans="1:27" ht="15">
      <c r="A346" s="10">
        <f t="shared" si="12"/>
        <v>46000337</v>
      </c>
      <c r="B346" s="4" t="s">
        <v>3990</v>
      </c>
      <c r="C346" s="4" t="s">
        <v>62</v>
      </c>
      <c r="D346" s="11">
        <f>IFERROR(VLOOKUP(C346,ShipShapeEnum!$E:$F,2,FALSE),"-")</f>
        <v>1</v>
      </c>
      <c r="E346" s="19" t="s">
        <v>3992</v>
      </c>
      <c r="F346" s="4" t="s">
        <v>61</v>
      </c>
      <c r="G346" s="11">
        <f>IFERROR(VLOOKUP(F346,ShipShapeEnum!$B:$C,2,FALSE),"-")</f>
        <v>1</v>
      </c>
      <c r="H346" s="19" t="s">
        <v>0</v>
      </c>
      <c r="I346" s="19" t="s">
        <v>0</v>
      </c>
      <c r="J346" s="19" t="s">
        <v>0</v>
      </c>
      <c r="K346" s="19" t="s">
        <v>0</v>
      </c>
      <c r="L346" s="19" t="s">
        <v>0</v>
      </c>
      <c r="M346" s="4" t="s">
        <v>81</v>
      </c>
      <c r="N346" s="11">
        <f>IFERROR(VLOOKUP(M346,ShipShapeEnum!$H:$I,2,FALSE),"-")</f>
        <v>1</v>
      </c>
      <c r="O346" s="11" t="s">
        <v>0</v>
      </c>
      <c r="P346" s="30"/>
      <c r="Q346" s="11" t="str">
        <f>IFERROR(INDEX(SailPattern!$A:$A,MATCH(P346,SailPattern!$B:$B,0)),"-")</f>
        <v>-</v>
      </c>
      <c r="R346" s="30"/>
      <c r="S346" s="11" t="str">
        <f>IFERROR(INDEX(SailCrest!$A:$A,MATCH(R346,SailCrest!$B:$B,0)),"-")</f>
        <v>-</v>
      </c>
      <c r="T346" s="19" t="s">
        <v>0</v>
      </c>
      <c r="U346" s="19" t="s">
        <v>0</v>
      </c>
      <c r="V346" s="19" t="s">
        <v>0</v>
      </c>
      <c r="W346" s="19" t="s">
        <v>0</v>
      </c>
      <c r="X346" s="19" t="s">
        <v>0</v>
      </c>
      <c r="Y346" s="19" t="s">
        <v>0</v>
      </c>
      <c r="Z346" s="19" t="s">
        <v>0</v>
      </c>
      <c r="AA346" s="19" t="s">
        <v>0</v>
      </c>
    </row>
    <row r="347" spans="1:27" ht="15">
      <c r="A347" s="10">
        <f t="shared" si="12"/>
        <v>46000338</v>
      </c>
      <c r="B347" s="4" t="s">
        <v>4009</v>
      </c>
      <c r="C347" s="4" t="s">
        <v>62</v>
      </c>
      <c r="D347" s="11">
        <f>IFERROR(VLOOKUP(C347,ShipShapeEnum!$E:$F,2,FALSE),"-")</f>
        <v>1</v>
      </c>
      <c r="E347" s="19" t="s">
        <v>4004</v>
      </c>
      <c r="F347" s="4" t="s">
        <v>61</v>
      </c>
      <c r="G347" s="11">
        <f>IFERROR(VLOOKUP(F347,ShipShapeEnum!$B:$C,2,FALSE),"-")</f>
        <v>1</v>
      </c>
      <c r="H347" s="19" t="s">
        <v>0</v>
      </c>
      <c r="I347" s="19" t="s">
        <v>0</v>
      </c>
      <c r="J347" s="19" t="s">
        <v>0</v>
      </c>
      <c r="K347" s="19" t="s">
        <v>0</v>
      </c>
      <c r="L347" s="19" t="s">
        <v>0</v>
      </c>
      <c r="M347" s="4" t="s">
        <v>81</v>
      </c>
      <c r="N347" s="11">
        <f>IFERROR(VLOOKUP(M347,ShipShapeEnum!$H:$I,2,FALSE),"-")</f>
        <v>1</v>
      </c>
      <c r="O347" s="11" t="s">
        <v>0</v>
      </c>
      <c r="P347" s="30"/>
      <c r="Q347" s="11" t="str">
        <f>IFERROR(INDEX(SailPattern!$A:$A,MATCH(P347,SailPattern!$B:$B,0)),"-")</f>
        <v>-</v>
      </c>
      <c r="R347" s="30" t="s">
        <v>386</v>
      </c>
      <c r="S347" s="11">
        <f>IFERROR(INDEX(SailCrest!$A:$A,MATCH(R347,SailCrest!$B:$B,0)),"-")</f>
        <v>47100078</v>
      </c>
      <c r="T347" s="19" t="s">
        <v>0</v>
      </c>
      <c r="U347" s="19" t="s">
        <v>0</v>
      </c>
      <c r="V347" s="19" t="s">
        <v>0</v>
      </c>
      <c r="W347" s="19" t="s">
        <v>0</v>
      </c>
      <c r="X347" s="19" t="s">
        <v>0</v>
      </c>
      <c r="Y347" s="19" t="s">
        <v>0</v>
      </c>
      <c r="Z347" s="19" t="s">
        <v>0</v>
      </c>
      <c r="AA347" s="19" t="s">
        <v>0</v>
      </c>
    </row>
    <row r="348" spans="1:27" ht="15">
      <c r="A348" s="10">
        <f t="shared" si="12"/>
        <v>46000339</v>
      </c>
      <c r="B348" s="4" t="s">
        <v>4007</v>
      </c>
      <c r="C348" s="4" t="s">
        <v>62</v>
      </c>
      <c r="D348" s="11">
        <f>IFERROR(VLOOKUP(C348,ShipShapeEnum!$E:$F,2,FALSE),"-")</f>
        <v>1</v>
      </c>
      <c r="E348" s="19" t="s">
        <v>4005</v>
      </c>
      <c r="F348" s="4" t="s">
        <v>61</v>
      </c>
      <c r="G348" s="11">
        <f>IFERROR(VLOOKUP(F348,ShipShapeEnum!$B:$C,2,FALSE),"-")</f>
        <v>1</v>
      </c>
      <c r="H348" s="19" t="s">
        <v>0</v>
      </c>
      <c r="I348" s="19" t="s">
        <v>0</v>
      </c>
      <c r="J348" s="19" t="s">
        <v>0</v>
      </c>
      <c r="K348" s="19" t="s">
        <v>0</v>
      </c>
      <c r="L348" s="19" t="s">
        <v>0</v>
      </c>
      <c r="M348" s="4" t="s">
        <v>81</v>
      </c>
      <c r="N348" s="11">
        <f>IFERROR(VLOOKUP(M348,ShipShapeEnum!$H:$I,2,FALSE),"-")</f>
        <v>1</v>
      </c>
      <c r="O348" s="11" t="s">
        <v>0</v>
      </c>
      <c r="P348" s="30"/>
      <c r="Q348" s="11" t="str">
        <f>IFERROR(INDEX(SailPattern!$A:$A,MATCH(P348,SailPattern!$B:$B,0)),"-")</f>
        <v>-</v>
      </c>
      <c r="R348" s="30" t="s">
        <v>384</v>
      </c>
      <c r="S348" s="11">
        <f>IFERROR(INDEX(SailCrest!$A:$A,MATCH(R348,SailCrest!$B:$B,0)),"-")</f>
        <v>47100076</v>
      </c>
      <c r="T348" s="19" t="s">
        <v>0</v>
      </c>
      <c r="U348" s="19" t="s">
        <v>0</v>
      </c>
      <c r="V348" s="19" t="s">
        <v>0</v>
      </c>
      <c r="W348" s="19" t="s">
        <v>0</v>
      </c>
      <c r="X348" s="19" t="s">
        <v>0</v>
      </c>
      <c r="Y348" s="19" t="s">
        <v>0</v>
      </c>
      <c r="Z348" s="19" t="s">
        <v>0</v>
      </c>
      <c r="AA348" s="19" t="s">
        <v>0</v>
      </c>
    </row>
    <row r="349" spans="1:27" ht="15">
      <c r="A349" s="10">
        <v>46100001</v>
      </c>
      <c r="B349" s="40" t="s">
        <v>3870</v>
      </c>
      <c r="C349" s="4" t="s">
        <v>63</v>
      </c>
      <c r="D349" s="11">
        <f>IFERROR(VLOOKUP(C349,ShipShapeEnum!$E:$F,2,FALSE),"-")</f>
        <v>2</v>
      </c>
      <c r="E349" s="19" t="s">
        <v>271</v>
      </c>
      <c r="F349" s="4" t="s">
        <v>272</v>
      </c>
      <c r="G349" s="11">
        <f>IFERROR(VLOOKUP(F349,ShipShapeEnum!$B:$C,2,FALSE),"-")</f>
        <v>2</v>
      </c>
      <c r="H349" s="19" t="s">
        <v>0</v>
      </c>
      <c r="I349" s="19" t="s">
        <v>0</v>
      </c>
      <c r="J349" s="19" t="s">
        <v>0</v>
      </c>
      <c r="K349" s="19" t="s">
        <v>0</v>
      </c>
      <c r="L349" s="19" t="s">
        <v>0</v>
      </c>
      <c r="M349" s="4" t="s">
        <v>81</v>
      </c>
      <c r="N349" s="11">
        <f>IFERROR(VLOOKUP(M349,ShipShapeEnum!$H:$I,2,FALSE),"-")</f>
        <v>1</v>
      </c>
      <c r="O349" s="11" t="s">
        <v>2688</v>
      </c>
      <c r="P349" s="30"/>
      <c r="Q349" s="11" t="str">
        <f>IFERROR(INDEX(SailPattern!$A:$A,MATCH(P349,SailPattern!$B:$B,0)),"-")</f>
        <v>-</v>
      </c>
      <c r="R349" s="30"/>
      <c r="S349" s="11" t="str">
        <f>IFERROR(INDEX(SailCrest!$A:$A,MATCH(R349,SailCrest!$B:$B,0)),"-")</f>
        <v>-</v>
      </c>
      <c r="T349" s="19" t="s">
        <v>0</v>
      </c>
      <c r="U349" s="19" t="s">
        <v>0</v>
      </c>
      <c r="V349" s="19" t="s">
        <v>0</v>
      </c>
      <c r="W349" s="19" t="s">
        <v>0</v>
      </c>
      <c r="X349" s="19" t="s">
        <v>0</v>
      </c>
      <c r="Y349" s="19" t="s">
        <v>0</v>
      </c>
      <c r="Z349" s="19" t="s">
        <v>0</v>
      </c>
      <c r="AA349" s="19" t="s">
        <v>0</v>
      </c>
    </row>
    <row r="350" spans="1:27" ht="15">
      <c r="A350" s="10">
        <f>A349+1</f>
        <v>46100002</v>
      </c>
      <c r="B350" s="40" t="s">
        <v>783</v>
      </c>
      <c r="C350" s="4" t="s">
        <v>63</v>
      </c>
      <c r="D350" s="11">
        <f>IFERROR(VLOOKUP(C350,ShipShapeEnum!$E:$F,2,FALSE),"-")</f>
        <v>2</v>
      </c>
      <c r="E350" s="19" t="s">
        <v>784</v>
      </c>
      <c r="F350" s="4" t="s">
        <v>65</v>
      </c>
      <c r="G350" s="11">
        <f>IFERROR(VLOOKUP(F350,ShipShapeEnum!$B:$C,2,FALSE),"-")</f>
        <v>2</v>
      </c>
      <c r="H350" s="19" t="s">
        <v>78</v>
      </c>
      <c r="I350" s="19" t="s">
        <v>79</v>
      </c>
      <c r="J350" s="19" t="s">
        <v>79</v>
      </c>
      <c r="K350" s="19" t="s">
        <v>79</v>
      </c>
      <c r="L350" s="19" t="s">
        <v>79</v>
      </c>
      <c r="M350" s="4" t="s">
        <v>81</v>
      </c>
      <c r="N350" s="11">
        <f>IFERROR(VLOOKUP(M350,ShipShapeEnum!$H:$I,2,FALSE),"-")</f>
        <v>1</v>
      </c>
      <c r="O350" s="11" t="s">
        <v>2688</v>
      </c>
      <c r="P350" s="30"/>
      <c r="Q350" s="11" t="str">
        <f>IFERROR(INDEX(SailPattern!$A:$A,MATCH(P350,SailPattern!$B:$B,0)),"-")</f>
        <v>-</v>
      </c>
      <c r="R350" s="30"/>
      <c r="S350" s="11" t="str">
        <f>IFERROR(INDEX(SailCrest!$A:$A,MATCH(R350,SailCrest!$B:$B,0)),"-")</f>
        <v>-</v>
      </c>
      <c r="T350" s="19" t="s">
        <v>0</v>
      </c>
      <c r="U350" s="19" t="s">
        <v>0</v>
      </c>
      <c r="V350" s="19" t="s">
        <v>0</v>
      </c>
      <c r="W350" s="19" t="s">
        <v>78</v>
      </c>
      <c r="X350" s="19" t="s">
        <v>85</v>
      </c>
      <c r="Y350" s="19" t="s">
        <v>86</v>
      </c>
      <c r="Z350" s="19" t="s">
        <v>78</v>
      </c>
      <c r="AA350" s="19" t="s">
        <v>86</v>
      </c>
    </row>
    <row r="351" spans="1:27" ht="15">
      <c r="A351" s="10">
        <f t="shared" ref="A351:A401" si="13">A350+1</f>
        <v>46100003</v>
      </c>
      <c r="B351" s="40" t="s">
        <v>841</v>
      </c>
      <c r="C351" s="4" t="s">
        <v>63</v>
      </c>
      <c r="D351" s="11">
        <f>IFERROR(VLOOKUP(C351,ShipShapeEnum!$E:$F,2,FALSE),"-")</f>
        <v>2</v>
      </c>
      <c r="E351" s="19" t="s">
        <v>455</v>
      </c>
      <c r="F351" s="4" t="s">
        <v>65</v>
      </c>
      <c r="G351" s="11">
        <f>IFERROR(VLOOKUP(F351,ShipShapeEnum!$B:$C,2,FALSE),"-")</f>
        <v>2</v>
      </c>
      <c r="H351" s="19" t="s">
        <v>459</v>
      </c>
      <c r="I351" s="19" t="s">
        <v>0</v>
      </c>
      <c r="J351" s="19" t="s">
        <v>0</v>
      </c>
      <c r="K351" s="19" t="s">
        <v>0</v>
      </c>
      <c r="L351" s="19" t="s">
        <v>0</v>
      </c>
      <c r="M351" s="4" t="s">
        <v>81</v>
      </c>
      <c r="N351" s="11">
        <f>IFERROR(VLOOKUP(M351,ShipShapeEnum!$H:$I,2,FALSE),"-")</f>
        <v>1</v>
      </c>
      <c r="O351" s="11" t="s">
        <v>2688</v>
      </c>
      <c r="P351" s="30"/>
      <c r="Q351" s="11" t="str">
        <f>IFERROR(INDEX(SailPattern!$A:$A,MATCH(P351,SailPattern!$B:$B,0)),"-")</f>
        <v>-</v>
      </c>
      <c r="R351" s="30"/>
      <c r="S351" s="11" t="str">
        <f>IFERROR(INDEX(SailCrest!$A:$A,MATCH(R351,SailCrest!$B:$B,0)),"-")</f>
        <v>-</v>
      </c>
      <c r="T351" s="19" t="s">
        <v>0</v>
      </c>
      <c r="U351" s="19" t="s">
        <v>0</v>
      </c>
      <c r="V351" s="19" t="s">
        <v>0</v>
      </c>
      <c r="W351" s="19" t="s">
        <v>0</v>
      </c>
      <c r="X351" s="19" t="s">
        <v>0</v>
      </c>
      <c r="Y351" s="19" t="s">
        <v>0</v>
      </c>
      <c r="Z351" s="19" t="s">
        <v>0</v>
      </c>
      <c r="AA351" s="19" t="s">
        <v>0</v>
      </c>
    </row>
    <row r="352" spans="1:27" ht="15">
      <c r="A352" s="10">
        <f>A351+1</f>
        <v>46100004</v>
      </c>
      <c r="B352" s="40" t="s">
        <v>780</v>
      </c>
      <c r="C352" s="4" t="s">
        <v>63</v>
      </c>
      <c r="D352" s="11">
        <f>IFERROR(VLOOKUP(C352,ShipShapeEnum!$E:$F,2,FALSE),"-")</f>
        <v>2</v>
      </c>
      <c r="E352" s="19" t="s">
        <v>456</v>
      </c>
      <c r="F352" s="4" t="s">
        <v>65</v>
      </c>
      <c r="G352" s="11">
        <f>IFERROR(VLOOKUP(F352,ShipShapeEnum!$B:$C,2,FALSE),"-")</f>
        <v>2</v>
      </c>
      <c r="H352" s="19" t="s">
        <v>459</v>
      </c>
      <c r="I352" s="19" t="s">
        <v>0</v>
      </c>
      <c r="J352" s="19" t="s">
        <v>0</v>
      </c>
      <c r="K352" s="19" t="s">
        <v>0</v>
      </c>
      <c r="L352" s="19" t="s">
        <v>0</v>
      </c>
      <c r="M352" s="4" t="s">
        <v>81</v>
      </c>
      <c r="N352" s="11">
        <f>IFERROR(VLOOKUP(M352,ShipShapeEnum!$H:$I,2,FALSE),"-")</f>
        <v>1</v>
      </c>
      <c r="O352" s="11" t="s">
        <v>2688</v>
      </c>
      <c r="P352" s="30"/>
      <c r="Q352" s="11" t="str">
        <f>IFERROR(INDEX(SailPattern!$A:$A,MATCH(P352,SailPattern!$B:$B,0)),"-")</f>
        <v>-</v>
      </c>
      <c r="R352" s="30"/>
      <c r="S352" s="11" t="str">
        <f>IFERROR(INDEX(SailCrest!$A:$A,MATCH(R352,SailCrest!$B:$B,0)),"-")</f>
        <v>-</v>
      </c>
      <c r="T352" s="19" t="s">
        <v>0</v>
      </c>
      <c r="U352" s="19" t="s">
        <v>0</v>
      </c>
      <c r="V352" s="19" t="s">
        <v>0</v>
      </c>
      <c r="W352" s="19" t="s">
        <v>0</v>
      </c>
      <c r="X352" s="19" t="s">
        <v>0</v>
      </c>
      <c r="Y352" s="19" t="s">
        <v>0</v>
      </c>
      <c r="Z352" s="19" t="s">
        <v>0</v>
      </c>
      <c r="AA352" s="19" t="s">
        <v>0</v>
      </c>
    </row>
    <row r="353" spans="1:27" ht="15">
      <c r="A353" s="10">
        <f t="shared" si="13"/>
        <v>46100005</v>
      </c>
      <c r="B353" s="40" t="s">
        <v>1662</v>
      </c>
      <c r="C353" s="4" t="s">
        <v>63</v>
      </c>
      <c r="D353" s="11">
        <f>IFERROR(VLOOKUP(C353,ShipShapeEnum!$E:$F,2,FALSE),"-")</f>
        <v>2</v>
      </c>
      <c r="E353" s="19" t="s">
        <v>457</v>
      </c>
      <c r="F353" s="4" t="s">
        <v>65</v>
      </c>
      <c r="G353" s="11">
        <f>IFERROR(VLOOKUP(F353,ShipShapeEnum!$B:$C,2,FALSE),"-")</f>
        <v>2</v>
      </c>
      <c r="H353" s="19" t="s">
        <v>460</v>
      </c>
      <c r="I353" s="19" t="s">
        <v>0</v>
      </c>
      <c r="J353" s="19" t="s">
        <v>0</v>
      </c>
      <c r="K353" s="19" t="s">
        <v>0</v>
      </c>
      <c r="L353" s="19" t="s">
        <v>0</v>
      </c>
      <c r="M353" s="4" t="s">
        <v>81</v>
      </c>
      <c r="N353" s="11">
        <f>IFERROR(VLOOKUP(M353,ShipShapeEnum!$H:$I,2,FALSE),"-")</f>
        <v>1</v>
      </c>
      <c r="O353" s="11" t="s">
        <v>2688</v>
      </c>
      <c r="P353" s="30"/>
      <c r="Q353" s="11" t="str">
        <f>IFERROR(INDEX(SailPattern!$A:$A,MATCH(P353,SailPattern!$B:$B,0)),"-")</f>
        <v>-</v>
      </c>
      <c r="R353" s="30"/>
      <c r="S353" s="11" t="str">
        <f>IFERROR(INDEX(SailCrest!$A:$A,MATCH(R353,SailCrest!$B:$B,0)),"-")</f>
        <v>-</v>
      </c>
      <c r="T353" s="19" t="s">
        <v>0</v>
      </c>
      <c r="U353" s="19" t="s">
        <v>0</v>
      </c>
      <c r="V353" s="19" t="s">
        <v>0</v>
      </c>
      <c r="W353" s="19" t="s">
        <v>0</v>
      </c>
      <c r="X353" s="19" t="s">
        <v>0</v>
      </c>
      <c r="Y353" s="19" t="s">
        <v>0</v>
      </c>
      <c r="Z353" s="19" t="s">
        <v>0</v>
      </c>
      <c r="AA353" s="19" t="s">
        <v>0</v>
      </c>
    </row>
    <row r="354" spans="1:27" ht="15">
      <c r="A354" s="10">
        <f t="shared" si="13"/>
        <v>46100006</v>
      </c>
      <c r="B354" s="40" t="s">
        <v>1663</v>
      </c>
      <c r="C354" s="4" t="s">
        <v>63</v>
      </c>
      <c r="D354" s="11">
        <f>IFERROR(VLOOKUP(C354,ShipShapeEnum!$E:$F,2,FALSE),"-")</f>
        <v>2</v>
      </c>
      <c r="E354" s="19" t="s">
        <v>458</v>
      </c>
      <c r="F354" s="4" t="s">
        <v>65</v>
      </c>
      <c r="G354" s="11">
        <f>IFERROR(VLOOKUP(F354,ShipShapeEnum!$B:$C,2,FALSE),"-")</f>
        <v>2</v>
      </c>
      <c r="H354" s="19" t="s">
        <v>460</v>
      </c>
      <c r="I354" s="19" t="s">
        <v>0</v>
      </c>
      <c r="J354" s="19" t="s">
        <v>0</v>
      </c>
      <c r="K354" s="19" t="s">
        <v>0</v>
      </c>
      <c r="L354" s="19" t="s">
        <v>0</v>
      </c>
      <c r="M354" s="4" t="s">
        <v>81</v>
      </c>
      <c r="N354" s="11">
        <f>IFERROR(VLOOKUP(M354,ShipShapeEnum!$H:$I,2,FALSE),"-")</f>
        <v>1</v>
      </c>
      <c r="O354" s="11" t="s">
        <v>2688</v>
      </c>
      <c r="P354" s="30"/>
      <c r="Q354" s="11" t="str">
        <f>IFERROR(INDEX(SailPattern!$A:$A,MATCH(P354,SailPattern!$B:$B,0)),"-")</f>
        <v>-</v>
      </c>
      <c r="R354" s="30"/>
      <c r="S354" s="11" t="str">
        <f>IFERROR(INDEX(SailCrest!$A:$A,MATCH(R354,SailCrest!$B:$B,0)),"-")</f>
        <v>-</v>
      </c>
      <c r="T354" s="19" t="s">
        <v>0</v>
      </c>
      <c r="U354" s="19" t="s">
        <v>0</v>
      </c>
      <c r="V354" s="19" t="s">
        <v>0</v>
      </c>
      <c r="W354" s="19" t="s">
        <v>0</v>
      </c>
      <c r="X354" s="19" t="s">
        <v>0</v>
      </c>
      <c r="Y354" s="19" t="s">
        <v>0</v>
      </c>
      <c r="Z354" s="19" t="s">
        <v>0</v>
      </c>
      <c r="AA354" s="19" t="s">
        <v>0</v>
      </c>
    </row>
    <row r="355" spans="1:27" ht="15">
      <c r="A355" s="10">
        <f t="shared" si="13"/>
        <v>46100007</v>
      </c>
      <c r="B355" s="40" t="s">
        <v>1664</v>
      </c>
      <c r="C355" s="4" t="s">
        <v>63</v>
      </c>
      <c r="D355" s="11">
        <f>IFERROR(VLOOKUP(C355,ShipShapeEnum!$E:$F,2,FALSE),"-")</f>
        <v>2</v>
      </c>
      <c r="E355" s="19" t="s">
        <v>785</v>
      </c>
      <c r="F355" s="4" t="s">
        <v>65</v>
      </c>
      <c r="G355" s="11">
        <f>IFERROR(VLOOKUP(F355,ShipShapeEnum!$B:$C,2,FALSE),"-")</f>
        <v>2</v>
      </c>
      <c r="H355" s="19" t="s">
        <v>459</v>
      </c>
      <c r="I355" s="19" t="s">
        <v>0</v>
      </c>
      <c r="J355" s="19" t="s">
        <v>0</v>
      </c>
      <c r="K355" s="19" t="s">
        <v>0</v>
      </c>
      <c r="L355" s="19" t="s">
        <v>0</v>
      </c>
      <c r="M355" s="4" t="s">
        <v>81</v>
      </c>
      <c r="N355" s="11">
        <f>IFERROR(VLOOKUP(M355,ShipShapeEnum!$H:$I,2,FALSE),"-")</f>
        <v>1</v>
      </c>
      <c r="O355" s="11" t="s">
        <v>2688</v>
      </c>
      <c r="P355" s="30"/>
      <c r="Q355" s="11" t="str">
        <f>IFERROR(INDEX(SailPattern!$A:$A,MATCH(P355,SailPattern!$B:$B,0)),"-")</f>
        <v>-</v>
      </c>
      <c r="R355" s="30"/>
      <c r="S355" s="11" t="str">
        <f>IFERROR(INDEX(SailCrest!$A:$A,MATCH(R355,SailCrest!$B:$B,0)),"-")</f>
        <v>-</v>
      </c>
      <c r="T355" s="19" t="s">
        <v>0</v>
      </c>
      <c r="U355" s="19" t="s">
        <v>0</v>
      </c>
      <c r="V355" s="19" t="s">
        <v>0</v>
      </c>
      <c r="W355" s="19" t="s">
        <v>0</v>
      </c>
      <c r="X355" s="19" t="s">
        <v>0</v>
      </c>
      <c r="Y355" s="19" t="s">
        <v>0</v>
      </c>
      <c r="Z355" s="19" t="s">
        <v>0</v>
      </c>
      <c r="AA355" s="19" t="s">
        <v>0</v>
      </c>
    </row>
    <row r="356" spans="1:27" ht="15">
      <c r="A356" s="10">
        <f t="shared" si="13"/>
        <v>46100008</v>
      </c>
      <c r="B356" s="40" t="s">
        <v>1665</v>
      </c>
      <c r="C356" s="4" t="s">
        <v>63</v>
      </c>
      <c r="D356" s="11">
        <f>IFERROR(VLOOKUP(C356,ShipShapeEnum!$E:$F,2,FALSE),"-")</f>
        <v>2</v>
      </c>
      <c r="E356" s="19" t="s">
        <v>786</v>
      </c>
      <c r="F356" s="4" t="s">
        <v>65</v>
      </c>
      <c r="G356" s="11">
        <f>IFERROR(VLOOKUP(F356,ShipShapeEnum!$B:$C,2,FALSE),"-")</f>
        <v>2</v>
      </c>
      <c r="H356" s="19" t="s">
        <v>459</v>
      </c>
      <c r="I356" s="19" t="s">
        <v>0</v>
      </c>
      <c r="J356" s="19" t="s">
        <v>0</v>
      </c>
      <c r="K356" s="19" t="s">
        <v>0</v>
      </c>
      <c r="L356" s="19" t="s">
        <v>0</v>
      </c>
      <c r="M356" s="4" t="s">
        <v>81</v>
      </c>
      <c r="N356" s="11">
        <f>IFERROR(VLOOKUP(M356,ShipShapeEnum!$H:$I,2,FALSE),"-")</f>
        <v>1</v>
      </c>
      <c r="O356" s="11" t="s">
        <v>2688</v>
      </c>
      <c r="P356" s="30"/>
      <c r="Q356" s="11" t="str">
        <f>IFERROR(INDEX(SailPattern!$A:$A,MATCH(P356,SailPattern!$B:$B,0)),"-")</f>
        <v>-</v>
      </c>
      <c r="R356" s="30"/>
      <c r="S356" s="11" t="str">
        <f>IFERROR(INDEX(SailCrest!$A:$A,MATCH(R356,SailCrest!$B:$B,0)),"-")</f>
        <v>-</v>
      </c>
      <c r="T356" s="19" t="s">
        <v>0</v>
      </c>
      <c r="U356" s="19" t="s">
        <v>0</v>
      </c>
      <c r="V356" s="19" t="s">
        <v>0</v>
      </c>
      <c r="W356" s="19" t="s">
        <v>0</v>
      </c>
      <c r="X356" s="19" t="s">
        <v>0</v>
      </c>
      <c r="Y356" s="19" t="s">
        <v>0</v>
      </c>
      <c r="Z356" s="19" t="s">
        <v>0</v>
      </c>
      <c r="AA356" s="19" t="s">
        <v>0</v>
      </c>
    </row>
    <row r="357" spans="1:27" ht="15">
      <c r="A357" s="10">
        <f t="shared" si="13"/>
        <v>46100009</v>
      </c>
      <c r="B357" s="40" t="s">
        <v>1666</v>
      </c>
      <c r="C357" s="4" t="s">
        <v>63</v>
      </c>
      <c r="D357" s="11">
        <f>IFERROR(VLOOKUP(C357,ShipShapeEnum!$E:$F,2,FALSE),"-")</f>
        <v>2</v>
      </c>
      <c r="E357" s="19" t="s">
        <v>787</v>
      </c>
      <c r="F357" s="4" t="s">
        <v>65</v>
      </c>
      <c r="G357" s="11">
        <f>IFERROR(VLOOKUP(F357,ShipShapeEnum!$B:$C,2,FALSE),"-")</f>
        <v>2</v>
      </c>
      <c r="H357" s="19" t="s">
        <v>459</v>
      </c>
      <c r="I357" s="19" t="s">
        <v>0</v>
      </c>
      <c r="J357" s="19" t="s">
        <v>0</v>
      </c>
      <c r="K357" s="19" t="s">
        <v>0</v>
      </c>
      <c r="L357" s="19" t="s">
        <v>0</v>
      </c>
      <c r="M357" s="4" t="s">
        <v>81</v>
      </c>
      <c r="N357" s="11">
        <f>IFERROR(VLOOKUP(M357,ShipShapeEnum!$H:$I,2,FALSE),"-")</f>
        <v>1</v>
      </c>
      <c r="O357" s="11" t="s">
        <v>2688</v>
      </c>
      <c r="P357" s="30"/>
      <c r="Q357" s="11" t="str">
        <f>IFERROR(INDEX(SailPattern!$A:$A,MATCH(P357,SailPattern!$B:$B,0)),"-")</f>
        <v>-</v>
      </c>
      <c r="R357" s="30"/>
      <c r="S357" s="11" t="str">
        <f>IFERROR(INDEX(SailCrest!$A:$A,MATCH(R357,SailCrest!$B:$B,0)),"-")</f>
        <v>-</v>
      </c>
      <c r="T357" s="19" t="s">
        <v>0</v>
      </c>
      <c r="U357" s="19" t="s">
        <v>0</v>
      </c>
      <c r="V357" s="19" t="s">
        <v>0</v>
      </c>
      <c r="W357" s="19" t="s">
        <v>0</v>
      </c>
      <c r="X357" s="19" t="s">
        <v>0</v>
      </c>
      <c r="Y357" s="19" t="s">
        <v>0</v>
      </c>
      <c r="Z357" s="19" t="s">
        <v>0</v>
      </c>
      <c r="AA357" s="19" t="s">
        <v>0</v>
      </c>
    </row>
    <row r="358" spans="1:27" ht="15">
      <c r="A358" s="10">
        <f t="shared" si="13"/>
        <v>46100010</v>
      </c>
      <c r="B358" s="40" t="s">
        <v>1667</v>
      </c>
      <c r="C358" s="4" t="s">
        <v>63</v>
      </c>
      <c r="D358" s="11">
        <f>IFERROR(VLOOKUP(C358,ShipShapeEnum!$E:$F,2,FALSE),"-")</f>
        <v>2</v>
      </c>
      <c r="E358" s="19" t="s">
        <v>788</v>
      </c>
      <c r="F358" s="4" t="s">
        <v>65</v>
      </c>
      <c r="G358" s="11">
        <f>IFERROR(VLOOKUP(F358,ShipShapeEnum!$B:$C,2,FALSE),"-")</f>
        <v>2</v>
      </c>
      <c r="H358" s="19" t="s">
        <v>459</v>
      </c>
      <c r="I358" s="19" t="s">
        <v>0</v>
      </c>
      <c r="J358" s="19" t="s">
        <v>0</v>
      </c>
      <c r="K358" s="19" t="s">
        <v>0</v>
      </c>
      <c r="L358" s="19" t="s">
        <v>0</v>
      </c>
      <c r="M358" s="4" t="s">
        <v>81</v>
      </c>
      <c r="N358" s="11">
        <f>IFERROR(VLOOKUP(M358,ShipShapeEnum!$H:$I,2,FALSE),"-")</f>
        <v>1</v>
      </c>
      <c r="O358" s="11" t="s">
        <v>2688</v>
      </c>
      <c r="P358" s="30"/>
      <c r="Q358" s="11" t="str">
        <f>IFERROR(INDEX(SailPattern!$A:$A,MATCH(P358,SailPattern!$B:$B,0)),"-")</f>
        <v>-</v>
      </c>
      <c r="R358" s="30"/>
      <c r="S358" s="11" t="str">
        <f>IFERROR(INDEX(SailCrest!$A:$A,MATCH(R358,SailCrest!$B:$B,0)),"-")</f>
        <v>-</v>
      </c>
      <c r="T358" s="19" t="s">
        <v>0</v>
      </c>
      <c r="U358" s="19" t="s">
        <v>0</v>
      </c>
      <c r="V358" s="19" t="s">
        <v>0</v>
      </c>
      <c r="W358" s="19" t="s">
        <v>0</v>
      </c>
      <c r="X358" s="19" t="s">
        <v>0</v>
      </c>
      <c r="Y358" s="19" t="s">
        <v>0</v>
      </c>
      <c r="Z358" s="19" t="s">
        <v>0</v>
      </c>
      <c r="AA358" s="19" t="s">
        <v>0</v>
      </c>
    </row>
    <row r="359" spans="1:27" ht="15">
      <c r="A359" s="10">
        <f t="shared" si="13"/>
        <v>46100011</v>
      </c>
      <c r="B359" s="40" t="s">
        <v>1668</v>
      </c>
      <c r="C359" s="4" t="s">
        <v>63</v>
      </c>
      <c r="D359" s="11">
        <f>IFERROR(VLOOKUP(C359,ShipShapeEnum!$E:$F,2,FALSE),"-")</f>
        <v>2</v>
      </c>
      <c r="E359" s="19" t="s">
        <v>789</v>
      </c>
      <c r="F359" s="4" t="s">
        <v>65</v>
      </c>
      <c r="G359" s="11">
        <f>IFERROR(VLOOKUP(F359,ShipShapeEnum!$B:$C,2,FALSE),"-")</f>
        <v>2</v>
      </c>
      <c r="H359" s="19" t="s">
        <v>459</v>
      </c>
      <c r="I359" s="19" t="s">
        <v>0</v>
      </c>
      <c r="J359" s="19" t="s">
        <v>0</v>
      </c>
      <c r="K359" s="19" t="s">
        <v>0</v>
      </c>
      <c r="L359" s="19" t="s">
        <v>0</v>
      </c>
      <c r="M359" s="4" t="s">
        <v>81</v>
      </c>
      <c r="N359" s="11">
        <f>IFERROR(VLOOKUP(M359,ShipShapeEnum!$H:$I,2,FALSE),"-")</f>
        <v>1</v>
      </c>
      <c r="O359" s="11" t="s">
        <v>2688</v>
      </c>
      <c r="P359" s="30"/>
      <c r="Q359" s="11" t="str">
        <f>IFERROR(INDEX(SailPattern!$A:$A,MATCH(P359,SailPattern!$B:$B,0)),"-")</f>
        <v>-</v>
      </c>
      <c r="R359" s="30"/>
      <c r="S359" s="11" t="str">
        <f>IFERROR(INDEX(SailCrest!$A:$A,MATCH(R359,SailCrest!$B:$B,0)),"-")</f>
        <v>-</v>
      </c>
      <c r="T359" s="19" t="s">
        <v>0</v>
      </c>
      <c r="U359" s="19" t="s">
        <v>0</v>
      </c>
      <c r="V359" s="19" t="s">
        <v>0</v>
      </c>
      <c r="W359" s="19" t="s">
        <v>0</v>
      </c>
      <c r="X359" s="19" t="s">
        <v>0</v>
      </c>
      <c r="Y359" s="19" t="s">
        <v>0</v>
      </c>
      <c r="Z359" s="19" t="s">
        <v>0</v>
      </c>
      <c r="AA359" s="19" t="s">
        <v>0</v>
      </c>
    </row>
    <row r="360" spans="1:27" ht="15">
      <c r="A360" s="10">
        <f t="shared" si="13"/>
        <v>46100012</v>
      </c>
      <c r="B360" s="40" t="s">
        <v>1669</v>
      </c>
      <c r="C360" s="4" t="s">
        <v>63</v>
      </c>
      <c r="D360" s="11">
        <f>IFERROR(VLOOKUP(C360,ShipShapeEnum!$E:$F,2,FALSE),"-")</f>
        <v>2</v>
      </c>
      <c r="E360" s="19" t="s">
        <v>790</v>
      </c>
      <c r="F360" s="4" t="s">
        <v>65</v>
      </c>
      <c r="G360" s="11">
        <f>IFERROR(VLOOKUP(F360,ShipShapeEnum!$B:$C,2,FALSE),"-")</f>
        <v>2</v>
      </c>
      <c r="H360" s="19" t="s">
        <v>460</v>
      </c>
      <c r="I360" s="19" t="s">
        <v>0</v>
      </c>
      <c r="J360" s="19" t="s">
        <v>0</v>
      </c>
      <c r="K360" s="19" t="s">
        <v>0</v>
      </c>
      <c r="L360" s="19" t="s">
        <v>0</v>
      </c>
      <c r="M360" s="4" t="s">
        <v>81</v>
      </c>
      <c r="N360" s="11">
        <f>IFERROR(VLOOKUP(M360,ShipShapeEnum!$H:$I,2,FALSE),"-")</f>
        <v>1</v>
      </c>
      <c r="O360" s="11" t="s">
        <v>2688</v>
      </c>
      <c r="P360" s="30"/>
      <c r="Q360" s="11" t="str">
        <f>IFERROR(INDEX(SailPattern!$A:$A,MATCH(P360,SailPattern!$B:$B,0)),"-")</f>
        <v>-</v>
      </c>
      <c r="R360" s="30"/>
      <c r="S360" s="11" t="str">
        <f>IFERROR(INDEX(SailCrest!$A:$A,MATCH(R360,SailCrest!$B:$B,0)),"-")</f>
        <v>-</v>
      </c>
      <c r="T360" s="19" t="s">
        <v>0</v>
      </c>
      <c r="U360" s="19" t="s">
        <v>0</v>
      </c>
      <c r="V360" s="19" t="s">
        <v>0</v>
      </c>
      <c r="W360" s="19" t="s">
        <v>0</v>
      </c>
      <c r="X360" s="19" t="s">
        <v>0</v>
      </c>
      <c r="Y360" s="19" t="s">
        <v>0</v>
      </c>
      <c r="Z360" s="19" t="s">
        <v>0</v>
      </c>
      <c r="AA360" s="19" t="s">
        <v>0</v>
      </c>
    </row>
    <row r="361" spans="1:27" ht="15">
      <c r="A361" s="10">
        <f t="shared" si="13"/>
        <v>46100013</v>
      </c>
      <c r="B361" s="40" t="s">
        <v>1670</v>
      </c>
      <c r="C361" s="4" t="s">
        <v>63</v>
      </c>
      <c r="D361" s="11">
        <f>IFERROR(VLOOKUP(C361,ShipShapeEnum!$E:$F,2,FALSE),"-")</f>
        <v>2</v>
      </c>
      <c r="E361" s="19" t="s">
        <v>791</v>
      </c>
      <c r="F361" s="4" t="s">
        <v>65</v>
      </c>
      <c r="G361" s="11">
        <f>IFERROR(VLOOKUP(F361,ShipShapeEnum!$B:$C,2,FALSE),"-")</f>
        <v>2</v>
      </c>
      <c r="H361" s="19" t="s">
        <v>459</v>
      </c>
      <c r="I361" s="19" t="s">
        <v>0</v>
      </c>
      <c r="J361" s="19" t="s">
        <v>0</v>
      </c>
      <c r="K361" s="19" t="s">
        <v>0</v>
      </c>
      <c r="L361" s="19" t="s">
        <v>0</v>
      </c>
      <c r="M361" s="4" t="s">
        <v>81</v>
      </c>
      <c r="N361" s="11">
        <f>IFERROR(VLOOKUP(M361,ShipShapeEnum!$H:$I,2,FALSE),"-")</f>
        <v>1</v>
      </c>
      <c r="O361" s="11" t="s">
        <v>2688</v>
      </c>
      <c r="P361" s="30"/>
      <c r="Q361" s="11" t="str">
        <f>IFERROR(INDEX(SailPattern!$A:$A,MATCH(P361,SailPattern!$B:$B,0)),"-")</f>
        <v>-</v>
      </c>
      <c r="R361" s="30"/>
      <c r="S361" s="11" t="str">
        <f>IFERROR(INDEX(SailCrest!$A:$A,MATCH(R361,SailCrest!$B:$B,0)),"-")</f>
        <v>-</v>
      </c>
      <c r="T361" s="19" t="s">
        <v>0</v>
      </c>
      <c r="U361" s="19" t="s">
        <v>0</v>
      </c>
      <c r="V361" s="19" t="s">
        <v>0</v>
      </c>
      <c r="W361" s="19" t="s">
        <v>0</v>
      </c>
      <c r="X361" s="19" t="s">
        <v>0</v>
      </c>
      <c r="Y361" s="19" t="s">
        <v>0</v>
      </c>
      <c r="Z361" s="19" t="s">
        <v>0</v>
      </c>
      <c r="AA361" s="19" t="s">
        <v>0</v>
      </c>
    </row>
    <row r="362" spans="1:27" ht="15">
      <c r="A362" s="10">
        <f t="shared" si="13"/>
        <v>46100014</v>
      </c>
      <c r="B362" s="40" t="s">
        <v>1671</v>
      </c>
      <c r="C362" s="4" t="s">
        <v>63</v>
      </c>
      <c r="D362" s="11">
        <f>IFERROR(VLOOKUP(C362,ShipShapeEnum!$E:$F,2,FALSE),"-")</f>
        <v>2</v>
      </c>
      <c r="E362" s="19" t="s">
        <v>792</v>
      </c>
      <c r="F362" s="4" t="s">
        <v>65</v>
      </c>
      <c r="G362" s="11">
        <f>IFERROR(VLOOKUP(F362,ShipShapeEnum!$B:$C,2,FALSE),"-")</f>
        <v>2</v>
      </c>
      <c r="H362" s="19" t="s">
        <v>459</v>
      </c>
      <c r="I362" s="19" t="s">
        <v>0</v>
      </c>
      <c r="J362" s="19" t="s">
        <v>0</v>
      </c>
      <c r="K362" s="19" t="s">
        <v>0</v>
      </c>
      <c r="L362" s="19" t="s">
        <v>0</v>
      </c>
      <c r="M362" s="4" t="s">
        <v>81</v>
      </c>
      <c r="N362" s="11">
        <f>IFERROR(VLOOKUP(M362,ShipShapeEnum!$H:$I,2,FALSE),"-")</f>
        <v>1</v>
      </c>
      <c r="O362" s="11" t="s">
        <v>2688</v>
      </c>
      <c r="P362" s="30"/>
      <c r="Q362" s="11" t="str">
        <f>IFERROR(INDEX(SailPattern!$A:$A,MATCH(P362,SailPattern!$B:$B,0)),"-")</f>
        <v>-</v>
      </c>
      <c r="R362" s="30"/>
      <c r="S362" s="11" t="str">
        <f>IFERROR(INDEX(SailCrest!$A:$A,MATCH(R362,SailCrest!$B:$B,0)),"-")</f>
        <v>-</v>
      </c>
      <c r="T362" s="19" t="s">
        <v>0</v>
      </c>
      <c r="U362" s="19" t="s">
        <v>0</v>
      </c>
      <c r="V362" s="19" t="s">
        <v>0</v>
      </c>
      <c r="W362" s="19" t="s">
        <v>0</v>
      </c>
      <c r="X362" s="19" t="s">
        <v>0</v>
      </c>
      <c r="Y362" s="19" t="s">
        <v>0</v>
      </c>
      <c r="Z362" s="19" t="s">
        <v>0</v>
      </c>
      <c r="AA362" s="19" t="s">
        <v>0</v>
      </c>
    </row>
    <row r="363" spans="1:27" ht="15">
      <c r="A363" s="10">
        <f t="shared" si="13"/>
        <v>46100015</v>
      </c>
      <c r="B363" s="40" t="s">
        <v>1672</v>
      </c>
      <c r="C363" s="4" t="s">
        <v>63</v>
      </c>
      <c r="D363" s="11">
        <f>IFERROR(VLOOKUP(C363,ShipShapeEnum!$E:$F,2,FALSE),"-")</f>
        <v>2</v>
      </c>
      <c r="E363" s="19" t="s">
        <v>793</v>
      </c>
      <c r="F363" s="4" t="s">
        <v>65</v>
      </c>
      <c r="G363" s="11">
        <f>IFERROR(VLOOKUP(F363,ShipShapeEnum!$B:$C,2,FALSE),"-")</f>
        <v>2</v>
      </c>
      <c r="H363" s="19" t="s">
        <v>459</v>
      </c>
      <c r="I363" s="19" t="s">
        <v>0</v>
      </c>
      <c r="J363" s="19" t="s">
        <v>0</v>
      </c>
      <c r="K363" s="19" t="s">
        <v>0</v>
      </c>
      <c r="L363" s="19" t="s">
        <v>0</v>
      </c>
      <c r="M363" s="4" t="s">
        <v>81</v>
      </c>
      <c r="N363" s="11">
        <f>IFERROR(VLOOKUP(M363,ShipShapeEnum!$H:$I,2,FALSE),"-")</f>
        <v>1</v>
      </c>
      <c r="O363" s="11" t="s">
        <v>2688</v>
      </c>
      <c r="P363" s="30"/>
      <c r="Q363" s="11" t="str">
        <f>IFERROR(INDEX(SailPattern!$A:$A,MATCH(P363,SailPattern!$B:$B,0)),"-")</f>
        <v>-</v>
      </c>
      <c r="R363" s="30"/>
      <c r="S363" s="11" t="str">
        <f>IFERROR(INDEX(SailCrest!$A:$A,MATCH(R363,SailCrest!$B:$B,0)),"-")</f>
        <v>-</v>
      </c>
      <c r="T363" s="19" t="s">
        <v>0</v>
      </c>
      <c r="U363" s="19" t="s">
        <v>0</v>
      </c>
      <c r="V363" s="19" t="s">
        <v>0</v>
      </c>
      <c r="W363" s="19" t="s">
        <v>0</v>
      </c>
      <c r="X363" s="19" t="s">
        <v>0</v>
      </c>
      <c r="Y363" s="19" t="s">
        <v>0</v>
      </c>
      <c r="Z363" s="19" t="s">
        <v>0</v>
      </c>
      <c r="AA363" s="19" t="s">
        <v>0</v>
      </c>
    </row>
    <row r="364" spans="1:27" ht="15">
      <c r="A364" s="10">
        <f t="shared" si="13"/>
        <v>46100016</v>
      </c>
      <c r="B364" s="40" t="s">
        <v>1673</v>
      </c>
      <c r="C364" s="4" t="s">
        <v>63</v>
      </c>
      <c r="D364" s="11">
        <f>IFERROR(VLOOKUP(C364,ShipShapeEnum!$E:$F,2,FALSE),"-")</f>
        <v>2</v>
      </c>
      <c r="E364" s="19" t="s">
        <v>794</v>
      </c>
      <c r="F364" s="4" t="s">
        <v>65</v>
      </c>
      <c r="G364" s="11">
        <f>IFERROR(VLOOKUP(F364,ShipShapeEnum!$B:$C,2,FALSE),"-")</f>
        <v>2</v>
      </c>
      <c r="H364" s="19" t="s">
        <v>459</v>
      </c>
      <c r="I364" s="19" t="s">
        <v>0</v>
      </c>
      <c r="J364" s="19" t="s">
        <v>0</v>
      </c>
      <c r="K364" s="19" t="s">
        <v>0</v>
      </c>
      <c r="L364" s="19" t="s">
        <v>0</v>
      </c>
      <c r="M364" s="4" t="s">
        <v>81</v>
      </c>
      <c r="N364" s="11">
        <f>IFERROR(VLOOKUP(M364,ShipShapeEnum!$H:$I,2,FALSE),"-")</f>
        <v>1</v>
      </c>
      <c r="O364" s="11" t="s">
        <v>2688</v>
      </c>
      <c r="P364" s="30"/>
      <c r="Q364" s="11" t="str">
        <f>IFERROR(INDEX(SailPattern!$A:$A,MATCH(P364,SailPattern!$B:$B,0)),"-")</f>
        <v>-</v>
      </c>
      <c r="R364" s="30"/>
      <c r="S364" s="11" t="str">
        <f>IFERROR(INDEX(SailCrest!$A:$A,MATCH(R364,SailCrest!$B:$B,0)),"-")</f>
        <v>-</v>
      </c>
      <c r="T364" s="19" t="s">
        <v>0</v>
      </c>
      <c r="U364" s="19" t="s">
        <v>0</v>
      </c>
      <c r="V364" s="19" t="s">
        <v>0</v>
      </c>
      <c r="W364" s="19" t="s">
        <v>0</v>
      </c>
      <c r="X364" s="19" t="s">
        <v>0</v>
      </c>
      <c r="Y364" s="19" t="s">
        <v>0</v>
      </c>
      <c r="Z364" s="19" t="s">
        <v>0</v>
      </c>
      <c r="AA364" s="19" t="s">
        <v>0</v>
      </c>
    </row>
    <row r="365" spans="1:27" ht="15">
      <c r="A365" s="10">
        <f t="shared" si="13"/>
        <v>46100017</v>
      </c>
      <c r="B365" s="40" t="s">
        <v>1674</v>
      </c>
      <c r="C365" s="4" t="s">
        <v>63</v>
      </c>
      <c r="D365" s="11">
        <f>IFERROR(VLOOKUP(C365,ShipShapeEnum!$E:$F,2,FALSE),"-")</f>
        <v>2</v>
      </c>
      <c r="E365" s="19" t="s">
        <v>795</v>
      </c>
      <c r="F365" s="4" t="s">
        <v>65</v>
      </c>
      <c r="G365" s="11">
        <f>IFERROR(VLOOKUP(F365,ShipShapeEnum!$B:$C,2,FALSE),"-")</f>
        <v>2</v>
      </c>
      <c r="H365" s="19" t="s">
        <v>459</v>
      </c>
      <c r="I365" s="19" t="s">
        <v>0</v>
      </c>
      <c r="J365" s="19" t="s">
        <v>0</v>
      </c>
      <c r="K365" s="19" t="s">
        <v>0</v>
      </c>
      <c r="L365" s="19" t="s">
        <v>0</v>
      </c>
      <c r="M365" s="4" t="s">
        <v>81</v>
      </c>
      <c r="N365" s="11">
        <f>IFERROR(VLOOKUP(M365,ShipShapeEnum!$H:$I,2,FALSE),"-")</f>
        <v>1</v>
      </c>
      <c r="O365" s="11" t="s">
        <v>2688</v>
      </c>
      <c r="P365" s="30"/>
      <c r="Q365" s="11" t="str">
        <f>IFERROR(INDEX(SailPattern!$A:$A,MATCH(P365,SailPattern!$B:$B,0)),"-")</f>
        <v>-</v>
      </c>
      <c r="R365" s="30"/>
      <c r="S365" s="11" t="str">
        <f>IFERROR(INDEX(SailCrest!$A:$A,MATCH(R365,SailCrest!$B:$B,0)),"-")</f>
        <v>-</v>
      </c>
      <c r="T365" s="19" t="s">
        <v>0</v>
      </c>
      <c r="U365" s="19" t="s">
        <v>0</v>
      </c>
      <c r="V365" s="19" t="s">
        <v>0</v>
      </c>
      <c r="W365" s="19" t="s">
        <v>0</v>
      </c>
      <c r="X365" s="19" t="s">
        <v>0</v>
      </c>
      <c r="Y365" s="19" t="s">
        <v>0</v>
      </c>
      <c r="Z365" s="19" t="s">
        <v>0</v>
      </c>
      <c r="AA365" s="19" t="s">
        <v>0</v>
      </c>
    </row>
    <row r="366" spans="1:27" ht="15">
      <c r="A366" s="10">
        <f t="shared" si="13"/>
        <v>46100018</v>
      </c>
      <c r="B366" s="40" t="s">
        <v>1675</v>
      </c>
      <c r="C366" s="4" t="s">
        <v>63</v>
      </c>
      <c r="D366" s="11">
        <f>IFERROR(VLOOKUP(C366,ShipShapeEnum!$E:$F,2,FALSE),"-")</f>
        <v>2</v>
      </c>
      <c r="E366" s="19" t="s">
        <v>796</v>
      </c>
      <c r="F366" s="4" t="s">
        <v>65</v>
      </c>
      <c r="G366" s="11">
        <f>IFERROR(VLOOKUP(F366,ShipShapeEnum!$B:$C,2,FALSE),"-")</f>
        <v>2</v>
      </c>
      <c r="H366" s="19" t="s">
        <v>459</v>
      </c>
      <c r="I366" s="19" t="s">
        <v>0</v>
      </c>
      <c r="J366" s="19" t="s">
        <v>0</v>
      </c>
      <c r="K366" s="19" t="s">
        <v>0</v>
      </c>
      <c r="L366" s="19" t="s">
        <v>0</v>
      </c>
      <c r="M366" s="4" t="s">
        <v>81</v>
      </c>
      <c r="N366" s="11">
        <f>IFERROR(VLOOKUP(M366,ShipShapeEnum!$H:$I,2,FALSE),"-")</f>
        <v>1</v>
      </c>
      <c r="O366" s="11" t="s">
        <v>2688</v>
      </c>
      <c r="P366" s="30"/>
      <c r="Q366" s="11" t="str">
        <f>IFERROR(INDEX(SailPattern!$A:$A,MATCH(P366,SailPattern!$B:$B,0)),"-")</f>
        <v>-</v>
      </c>
      <c r="R366" s="30"/>
      <c r="S366" s="11" t="str">
        <f>IFERROR(INDEX(SailCrest!$A:$A,MATCH(R366,SailCrest!$B:$B,0)),"-")</f>
        <v>-</v>
      </c>
      <c r="T366" s="19" t="s">
        <v>0</v>
      </c>
      <c r="U366" s="19" t="s">
        <v>0</v>
      </c>
      <c r="V366" s="19" t="s">
        <v>0</v>
      </c>
      <c r="W366" s="19" t="s">
        <v>0</v>
      </c>
      <c r="X366" s="19" t="s">
        <v>0</v>
      </c>
      <c r="Y366" s="19" t="s">
        <v>0</v>
      </c>
      <c r="Z366" s="19" t="s">
        <v>0</v>
      </c>
      <c r="AA366" s="19" t="s">
        <v>0</v>
      </c>
    </row>
    <row r="367" spans="1:27" ht="15">
      <c r="A367" s="10">
        <f t="shared" si="13"/>
        <v>46100019</v>
      </c>
      <c r="B367" s="40" t="s">
        <v>1676</v>
      </c>
      <c r="C367" s="4" t="s">
        <v>63</v>
      </c>
      <c r="D367" s="11">
        <f>IFERROR(VLOOKUP(C367,ShipShapeEnum!$E:$F,2,FALSE),"-")</f>
        <v>2</v>
      </c>
      <c r="E367" s="45" t="s">
        <v>1158</v>
      </c>
      <c r="F367" s="4" t="s">
        <v>65</v>
      </c>
      <c r="G367" s="11">
        <f>IFERROR(VLOOKUP(F367,ShipShapeEnum!$B:$C,2,FALSE),"-")</f>
        <v>2</v>
      </c>
      <c r="H367" s="19" t="s">
        <v>459</v>
      </c>
      <c r="I367" s="19" t="s">
        <v>0</v>
      </c>
      <c r="J367" s="19" t="s">
        <v>0</v>
      </c>
      <c r="K367" s="19" t="s">
        <v>0</v>
      </c>
      <c r="L367" s="19" t="s">
        <v>0</v>
      </c>
      <c r="M367" s="4" t="s">
        <v>81</v>
      </c>
      <c r="N367" s="11">
        <f>IFERROR(VLOOKUP(M367,ShipShapeEnum!$H:$I,2,FALSE),"-")</f>
        <v>1</v>
      </c>
      <c r="O367" s="11" t="s">
        <v>2688</v>
      </c>
      <c r="P367" s="30"/>
      <c r="Q367" s="11" t="str">
        <f>IFERROR(INDEX(SailPattern!$A:$A,MATCH(P367,SailPattern!$B:$B,0)),"-")</f>
        <v>-</v>
      </c>
      <c r="R367" s="30"/>
      <c r="S367" s="11" t="str">
        <f>IFERROR(INDEX(SailCrest!$A:$A,MATCH(R367,SailCrest!$B:$B,0)),"-")</f>
        <v>-</v>
      </c>
      <c r="T367" s="19" t="s">
        <v>0</v>
      </c>
      <c r="U367" s="19" t="s">
        <v>0</v>
      </c>
      <c r="V367" s="19" t="s">
        <v>0</v>
      </c>
      <c r="W367" s="19" t="s">
        <v>0</v>
      </c>
      <c r="X367" s="19" t="s">
        <v>0</v>
      </c>
      <c r="Y367" s="19" t="s">
        <v>0</v>
      </c>
      <c r="Z367" s="19" t="s">
        <v>0</v>
      </c>
      <c r="AA367" s="19" t="s">
        <v>0</v>
      </c>
    </row>
    <row r="368" spans="1:27" ht="15">
      <c r="A368" s="10">
        <f t="shared" si="13"/>
        <v>46100020</v>
      </c>
      <c r="B368" s="40" t="s">
        <v>1677</v>
      </c>
      <c r="C368" s="4" t="s">
        <v>63</v>
      </c>
      <c r="D368" s="11">
        <f>IFERROR(VLOOKUP(C368,ShipShapeEnum!$E:$F,2,FALSE),"-")</f>
        <v>2</v>
      </c>
      <c r="E368" s="19" t="s">
        <v>1159</v>
      </c>
      <c r="F368" s="4" t="s">
        <v>65</v>
      </c>
      <c r="G368" s="11">
        <f>IFERROR(VLOOKUP(F368,ShipShapeEnum!$B:$C,2,FALSE),"-")</f>
        <v>2</v>
      </c>
      <c r="H368" s="19" t="s">
        <v>460</v>
      </c>
      <c r="I368" s="19" t="s">
        <v>0</v>
      </c>
      <c r="J368" s="19" t="s">
        <v>0</v>
      </c>
      <c r="K368" s="19" t="s">
        <v>0</v>
      </c>
      <c r="L368" s="19" t="s">
        <v>0</v>
      </c>
      <c r="M368" s="4" t="s">
        <v>81</v>
      </c>
      <c r="N368" s="11">
        <f>IFERROR(VLOOKUP(M368,ShipShapeEnum!$H:$I,2,FALSE),"-")</f>
        <v>1</v>
      </c>
      <c r="O368" s="11" t="s">
        <v>2688</v>
      </c>
      <c r="P368" s="30"/>
      <c r="Q368" s="11" t="str">
        <f>IFERROR(INDEX(SailPattern!$A:$A,MATCH(P368,SailPattern!$B:$B,0)),"-")</f>
        <v>-</v>
      </c>
      <c r="R368" s="30"/>
      <c r="S368" s="11" t="str">
        <f>IFERROR(INDEX(SailCrest!$A:$A,MATCH(R368,SailCrest!$B:$B,0)),"-")</f>
        <v>-</v>
      </c>
      <c r="T368" s="19" t="s">
        <v>0</v>
      </c>
      <c r="U368" s="19" t="s">
        <v>0</v>
      </c>
      <c r="V368" s="19" t="s">
        <v>0</v>
      </c>
      <c r="W368" s="19" t="s">
        <v>0</v>
      </c>
      <c r="X368" s="19" t="s">
        <v>0</v>
      </c>
      <c r="Y368" s="19" t="s">
        <v>0</v>
      </c>
      <c r="Z368" s="19" t="s">
        <v>0</v>
      </c>
      <c r="AA368" s="19" t="s">
        <v>0</v>
      </c>
    </row>
    <row r="369" spans="1:27" ht="15">
      <c r="A369" s="10">
        <f t="shared" si="13"/>
        <v>46100021</v>
      </c>
      <c r="B369" s="40" t="s">
        <v>1678</v>
      </c>
      <c r="C369" s="4" t="s">
        <v>63</v>
      </c>
      <c r="D369" s="11">
        <f>IFERROR(VLOOKUP(C369,ShipShapeEnum!$E:$F,2,FALSE),"-")</f>
        <v>2</v>
      </c>
      <c r="E369" s="19" t="s">
        <v>1166</v>
      </c>
      <c r="F369" s="4" t="s">
        <v>65</v>
      </c>
      <c r="G369" s="11">
        <f>IFERROR(VLOOKUP(F369,ShipShapeEnum!$B:$C,2,FALSE),"-")</f>
        <v>2</v>
      </c>
      <c r="H369" s="19" t="s">
        <v>459</v>
      </c>
      <c r="I369" s="19" t="s">
        <v>0</v>
      </c>
      <c r="J369" s="19" t="s">
        <v>0</v>
      </c>
      <c r="K369" s="19" t="s">
        <v>0</v>
      </c>
      <c r="L369" s="19" t="s">
        <v>0</v>
      </c>
      <c r="M369" s="4" t="s">
        <v>81</v>
      </c>
      <c r="N369" s="11">
        <f>IFERROR(VLOOKUP(M369,ShipShapeEnum!$H:$I,2,FALSE),"-")</f>
        <v>1</v>
      </c>
      <c r="O369" s="11" t="s">
        <v>2688</v>
      </c>
      <c r="P369" s="30"/>
      <c r="Q369" s="11" t="str">
        <f>IFERROR(INDEX(SailPattern!$A:$A,MATCH(P369,SailPattern!$B:$B,0)),"-")</f>
        <v>-</v>
      </c>
      <c r="R369" s="30"/>
      <c r="S369" s="11" t="str">
        <f>IFERROR(INDEX(SailCrest!$A:$A,MATCH(R369,SailCrest!$B:$B,0)),"-")</f>
        <v>-</v>
      </c>
      <c r="T369" s="19" t="s">
        <v>0</v>
      </c>
      <c r="U369" s="19" t="s">
        <v>0</v>
      </c>
      <c r="V369" s="19" t="s">
        <v>0</v>
      </c>
      <c r="W369" s="19" t="s">
        <v>0</v>
      </c>
      <c r="X369" s="19" t="s">
        <v>0</v>
      </c>
      <c r="Y369" s="19" t="s">
        <v>0</v>
      </c>
      <c r="Z369" s="19" t="s">
        <v>0</v>
      </c>
      <c r="AA369" s="19" t="s">
        <v>0</v>
      </c>
    </row>
    <row r="370" spans="1:27" ht="15">
      <c r="A370" s="10">
        <f t="shared" si="13"/>
        <v>46100022</v>
      </c>
      <c r="B370" s="40" t="s">
        <v>1679</v>
      </c>
      <c r="C370" s="4" t="s">
        <v>63</v>
      </c>
      <c r="D370" s="11">
        <f>IFERROR(VLOOKUP(C370,ShipShapeEnum!$E:$F,2,FALSE),"-")</f>
        <v>2</v>
      </c>
      <c r="E370" s="19" t="s">
        <v>1167</v>
      </c>
      <c r="F370" s="4" t="s">
        <v>65</v>
      </c>
      <c r="G370" s="11">
        <f>IFERROR(VLOOKUP(F370,ShipShapeEnum!$B:$C,2,FALSE),"-")</f>
        <v>2</v>
      </c>
      <c r="H370" s="19" t="s">
        <v>459</v>
      </c>
      <c r="I370" s="19" t="s">
        <v>0</v>
      </c>
      <c r="J370" s="19" t="s">
        <v>0</v>
      </c>
      <c r="K370" s="19" t="s">
        <v>0</v>
      </c>
      <c r="L370" s="19" t="s">
        <v>0</v>
      </c>
      <c r="M370" s="4" t="s">
        <v>81</v>
      </c>
      <c r="N370" s="11">
        <f>IFERROR(VLOOKUP(M370,ShipShapeEnum!$H:$I,2,FALSE),"-")</f>
        <v>1</v>
      </c>
      <c r="O370" s="11" t="s">
        <v>2688</v>
      </c>
      <c r="P370" s="30"/>
      <c r="Q370" s="11" t="str">
        <f>IFERROR(INDEX(SailPattern!$A:$A,MATCH(P370,SailPattern!$B:$B,0)),"-")</f>
        <v>-</v>
      </c>
      <c r="R370" s="30"/>
      <c r="S370" s="11" t="str">
        <f>IFERROR(INDEX(SailCrest!$A:$A,MATCH(R370,SailCrest!$B:$B,0)),"-")</f>
        <v>-</v>
      </c>
      <c r="T370" s="19" t="s">
        <v>0</v>
      </c>
      <c r="U370" s="19" t="s">
        <v>0</v>
      </c>
      <c r="V370" s="19" t="s">
        <v>0</v>
      </c>
      <c r="W370" s="19" t="s">
        <v>0</v>
      </c>
      <c r="X370" s="19" t="s">
        <v>0</v>
      </c>
      <c r="Y370" s="19" t="s">
        <v>0</v>
      </c>
      <c r="Z370" s="19" t="s">
        <v>0</v>
      </c>
      <c r="AA370" s="19" t="s">
        <v>0</v>
      </c>
    </row>
    <row r="371" spans="1:27" ht="15">
      <c r="A371" s="10">
        <f t="shared" si="13"/>
        <v>46100023</v>
      </c>
      <c r="B371" s="40" t="s">
        <v>1680</v>
      </c>
      <c r="C371" s="4" t="s">
        <v>63</v>
      </c>
      <c r="D371" s="11">
        <f>IFERROR(VLOOKUP(C371,ShipShapeEnum!$E:$F,2,FALSE),"-")</f>
        <v>2</v>
      </c>
      <c r="E371" s="19" t="s">
        <v>1168</v>
      </c>
      <c r="F371" s="4" t="s">
        <v>65</v>
      </c>
      <c r="G371" s="11">
        <f>IFERROR(VLOOKUP(F371,ShipShapeEnum!$B:$C,2,FALSE),"-")</f>
        <v>2</v>
      </c>
      <c r="H371" s="19" t="s">
        <v>460</v>
      </c>
      <c r="I371" s="19" t="s">
        <v>0</v>
      </c>
      <c r="J371" s="19" t="s">
        <v>0</v>
      </c>
      <c r="K371" s="19" t="s">
        <v>0</v>
      </c>
      <c r="L371" s="19" t="s">
        <v>0</v>
      </c>
      <c r="M371" s="4" t="s">
        <v>81</v>
      </c>
      <c r="N371" s="11">
        <f>IFERROR(VLOOKUP(M371,ShipShapeEnum!$H:$I,2,FALSE),"-")</f>
        <v>1</v>
      </c>
      <c r="O371" s="11" t="s">
        <v>2688</v>
      </c>
      <c r="P371" s="30"/>
      <c r="Q371" s="11" t="str">
        <f>IFERROR(INDEX(SailPattern!$A:$A,MATCH(P371,SailPattern!$B:$B,0)),"-")</f>
        <v>-</v>
      </c>
      <c r="R371" s="30"/>
      <c r="S371" s="11" t="str">
        <f>IFERROR(INDEX(SailCrest!$A:$A,MATCH(R371,SailCrest!$B:$B,0)),"-")</f>
        <v>-</v>
      </c>
      <c r="T371" s="19" t="s">
        <v>0</v>
      </c>
      <c r="U371" s="19" t="s">
        <v>0</v>
      </c>
      <c r="V371" s="19" t="s">
        <v>0</v>
      </c>
      <c r="W371" s="19" t="s">
        <v>0</v>
      </c>
      <c r="X371" s="19" t="s">
        <v>0</v>
      </c>
      <c r="Y371" s="19" t="s">
        <v>0</v>
      </c>
      <c r="Z371" s="19" t="s">
        <v>0</v>
      </c>
      <c r="AA371" s="19" t="s">
        <v>0</v>
      </c>
    </row>
    <row r="372" spans="1:27" ht="15">
      <c r="A372" s="10">
        <f t="shared" si="13"/>
        <v>46100024</v>
      </c>
      <c r="B372" s="40" t="s">
        <v>1681</v>
      </c>
      <c r="C372" s="4" t="s">
        <v>63</v>
      </c>
      <c r="D372" s="11">
        <f>IFERROR(VLOOKUP(C372,ShipShapeEnum!$E:$F,2,FALSE),"-")</f>
        <v>2</v>
      </c>
      <c r="E372" s="19" t="s">
        <v>1160</v>
      </c>
      <c r="F372" s="4" t="s">
        <v>65</v>
      </c>
      <c r="G372" s="11">
        <f>IFERROR(VLOOKUP(F372,ShipShapeEnum!$B:$C,2,FALSE),"-")</f>
        <v>2</v>
      </c>
      <c r="H372" s="19" t="s">
        <v>459</v>
      </c>
      <c r="I372" s="19" t="s">
        <v>0</v>
      </c>
      <c r="J372" s="19" t="s">
        <v>0</v>
      </c>
      <c r="K372" s="19" t="s">
        <v>0</v>
      </c>
      <c r="L372" s="19" t="s">
        <v>0</v>
      </c>
      <c r="M372" s="4" t="s">
        <v>81</v>
      </c>
      <c r="N372" s="11">
        <f>IFERROR(VLOOKUP(M372,ShipShapeEnum!$H:$I,2,FALSE),"-")</f>
        <v>1</v>
      </c>
      <c r="O372" s="11" t="s">
        <v>2688</v>
      </c>
      <c r="P372" s="30"/>
      <c r="Q372" s="11" t="str">
        <f>IFERROR(INDEX(SailPattern!$A:$A,MATCH(P372,SailPattern!$B:$B,0)),"-")</f>
        <v>-</v>
      </c>
      <c r="R372" s="30"/>
      <c r="S372" s="11" t="str">
        <f>IFERROR(INDEX(SailCrest!$A:$A,MATCH(R372,SailCrest!$B:$B,0)),"-")</f>
        <v>-</v>
      </c>
      <c r="T372" s="19" t="s">
        <v>0</v>
      </c>
      <c r="U372" s="19" t="s">
        <v>0</v>
      </c>
      <c r="V372" s="19" t="s">
        <v>0</v>
      </c>
      <c r="W372" s="19" t="s">
        <v>0</v>
      </c>
      <c r="X372" s="19" t="s">
        <v>0</v>
      </c>
      <c r="Y372" s="19" t="s">
        <v>0</v>
      </c>
      <c r="Z372" s="19" t="s">
        <v>0</v>
      </c>
      <c r="AA372" s="19" t="s">
        <v>0</v>
      </c>
    </row>
    <row r="373" spans="1:27" ht="15">
      <c r="A373" s="10">
        <f t="shared" si="13"/>
        <v>46100025</v>
      </c>
      <c r="B373" s="40" t="s">
        <v>1682</v>
      </c>
      <c r="C373" s="4" t="s">
        <v>63</v>
      </c>
      <c r="D373" s="11">
        <f>IFERROR(VLOOKUP(C373,ShipShapeEnum!$E:$F,2,FALSE),"-")</f>
        <v>2</v>
      </c>
      <c r="E373" s="19" t="s">
        <v>1161</v>
      </c>
      <c r="F373" s="4" t="s">
        <v>65</v>
      </c>
      <c r="G373" s="11">
        <f>IFERROR(VLOOKUP(F373,ShipShapeEnum!$B:$C,2,FALSE),"-")</f>
        <v>2</v>
      </c>
      <c r="H373" s="19" t="s">
        <v>459</v>
      </c>
      <c r="I373" s="19" t="s">
        <v>0</v>
      </c>
      <c r="J373" s="19" t="s">
        <v>0</v>
      </c>
      <c r="K373" s="19" t="s">
        <v>0</v>
      </c>
      <c r="L373" s="19" t="s">
        <v>0</v>
      </c>
      <c r="M373" s="4" t="s">
        <v>81</v>
      </c>
      <c r="N373" s="11">
        <f>IFERROR(VLOOKUP(M373,ShipShapeEnum!$H:$I,2,FALSE),"-")</f>
        <v>1</v>
      </c>
      <c r="O373" s="11" t="s">
        <v>2688</v>
      </c>
      <c r="P373" s="30"/>
      <c r="Q373" s="11" t="str">
        <f>IFERROR(INDEX(SailPattern!$A:$A,MATCH(P373,SailPattern!$B:$B,0)),"-")</f>
        <v>-</v>
      </c>
      <c r="R373" s="30"/>
      <c r="S373" s="11" t="str">
        <f>IFERROR(INDEX(SailCrest!$A:$A,MATCH(R373,SailCrest!$B:$B,0)),"-")</f>
        <v>-</v>
      </c>
      <c r="T373" s="19" t="s">
        <v>0</v>
      </c>
      <c r="U373" s="19" t="s">
        <v>0</v>
      </c>
      <c r="V373" s="19" t="s">
        <v>0</v>
      </c>
      <c r="W373" s="19" t="s">
        <v>0</v>
      </c>
      <c r="X373" s="19" t="s">
        <v>0</v>
      </c>
      <c r="Y373" s="19" t="s">
        <v>0</v>
      </c>
      <c r="Z373" s="19" t="s">
        <v>0</v>
      </c>
      <c r="AA373" s="19" t="s">
        <v>0</v>
      </c>
    </row>
    <row r="374" spans="1:27" ht="15">
      <c r="A374" s="10">
        <f t="shared" si="13"/>
        <v>46100026</v>
      </c>
      <c r="B374" s="40" t="s">
        <v>1683</v>
      </c>
      <c r="C374" s="4" t="s">
        <v>63</v>
      </c>
      <c r="D374" s="11">
        <f>IFERROR(VLOOKUP(C374,ShipShapeEnum!$E:$F,2,FALSE),"-")</f>
        <v>2</v>
      </c>
      <c r="E374" s="19" t="s">
        <v>1169</v>
      </c>
      <c r="F374" s="4" t="s">
        <v>65</v>
      </c>
      <c r="G374" s="11">
        <f>IFERROR(VLOOKUP(F374,ShipShapeEnum!$B:$C,2,FALSE),"-")</f>
        <v>2</v>
      </c>
      <c r="H374" s="19" t="s">
        <v>459</v>
      </c>
      <c r="I374" s="19" t="s">
        <v>0</v>
      </c>
      <c r="J374" s="19" t="s">
        <v>0</v>
      </c>
      <c r="K374" s="19" t="s">
        <v>0</v>
      </c>
      <c r="L374" s="19" t="s">
        <v>0</v>
      </c>
      <c r="M374" s="4" t="s">
        <v>81</v>
      </c>
      <c r="N374" s="11">
        <f>IFERROR(VLOOKUP(M374,ShipShapeEnum!$H:$I,2,FALSE),"-")</f>
        <v>1</v>
      </c>
      <c r="O374" s="11" t="s">
        <v>2688</v>
      </c>
      <c r="P374" s="30"/>
      <c r="Q374" s="11" t="str">
        <f>IFERROR(INDEX(SailPattern!$A:$A,MATCH(P374,SailPattern!$B:$B,0)),"-")</f>
        <v>-</v>
      </c>
      <c r="R374" s="30"/>
      <c r="S374" s="11" t="str">
        <f>IFERROR(INDEX(SailCrest!$A:$A,MATCH(R374,SailCrest!$B:$B,0)),"-")</f>
        <v>-</v>
      </c>
      <c r="T374" s="19" t="s">
        <v>0</v>
      </c>
      <c r="U374" s="19" t="s">
        <v>0</v>
      </c>
      <c r="V374" s="19" t="s">
        <v>0</v>
      </c>
      <c r="W374" s="19" t="s">
        <v>0</v>
      </c>
      <c r="X374" s="19" t="s">
        <v>0</v>
      </c>
      <c r="Y374" s="19" t="s">
        <v>0</v>
      </c>
      <c r="Z374" s="19" t="s">
        <v>0</v>
      </c>
      <c r="AA374" s="19" t="s">
        <v>0</v>
      </c>
    </row>
    <row r="375" spans="1:27" ht="15">
      <c r="A375" s="10">
        <f t="shared" si="13"/>
        <v>46100027</v>
      </c>
      <c r="B375" s="40" t="s">
        <v>1684</v>
      </c>
      <c r="C375" s="4" t="s">
        <v>63</v>
      </c>
      <c r="D375" s="11">
        <f>IFERROR(VLOOKUP(C375,ShipShapeEnum!$E:$F,2,FALSE),"-")</f>
        <v>2</v>
      </c>
      <c r="E375" s="19" t="s">
        <v>1170</v>
      </c>
      <c r="F375" s="4" t="s">
        <v>65</v>
      </c>
      <c r="G375" s="11">
        <f>IFERROR(VLOOKUP(F375,ShipShapeEnum!$B:$C,2,FALSE),"-")</f>
        <v>2</v>
      </c>
      <c r="H375" s="19" t="s">
        <v>460</v>
      </c>
      <c r="I375" s="19" t="s">
        <v>0</v>
      </c>
      <c r="J375" s="19" t="s">
        <v>0</v>
      </c>
      <c r="K375" s="19" t="s">
        <v>0</v>
      </c>
      <c r="L375" s="19" t="s">
        <v>0</v>
      </c>
      <c r="M375" s="4" t="s">
        <v>81</v>
      </c>
      <c r="N375" s="11">
        <f>IFERROR(VLOOKUP(M375,ShipShapeEnum!$H:$I,2,FALSE),"-")</f>
        <v>1</v>
      </c>
      <c r="O375" s="11" t="s">
        <v>2688</v>
      </c>
      <c r="P375" s="30"/>
      <c r="Q375" s="11" t="str">
        <f>IFERROR(INDEX(SailPattern!$A:$A,MATCH(P375,SailPattern!$B:$B,0)),"-")</f>
        <v>-</v>
      </c>
      <c r="R375" s="30"/>
      <c r="S375" s="11" t="str">
        <f>IFERROR(INDEX(SailCrest!$A:$A,MATCH(R375,SailCrest!$B:$B,0)),"-")</f>
        <v>-</v>
      </c>
      <c r="T375" s="19" t="s">
        <v>0</v>
      </c>
      <c r="U375" s="19" t="s">
        <v>0</v>
      </c>
      <c r="V375" s="19" t="s">
        <v>0</v>
      </c>
      <c r="W375" s="19" t="s">
        <v>0</v>
      </c>
      <c r="X375" s="19" t="s">
        <v>0</v>
      </c>
      <c r="Y375" s="19" t="s">
        <v>0</v>
      </c>
      <c r="Z375" s="19" t="s">
        <v>0</v>
      </c>
      <c r="AA375" s="19" t="s">
        <v>0</v>
      </c>
    </row>
    <row r="376" spans="1:27" ht="15">
      <c r="A376" s="10">
        <f t="shared" si="13"/>
        <v>46100028</v>
      </c>
      <c r="B376" s="40" t="s">
        <v>1685</v>
      </c>
      <c r="C376" s="4" t="s">
        <v>63</v>
      </c>
      <c r="D376" s="11">
        <f>IFERROR(VLOOKUP(C376,ShipShapeEnum!$E:$F,2,FALSE),"-")</f>
        <v>2</v>
      </c>
      <c r="E376" s="19" t="s">
        <v>1171</v>
      </c>
      <c r="F376" s="4" t="s">
        <v>65</v>
      </c>
      <c r="G376" s="11">
        <f>IFERROR(VLOOKUP(F376,ShipShapeEnum!$B:$C,2,FALSE),"-")</f>
        <v>2</v>
      </c>
      <c r="H376" s="19" t="s">
        <v>459</v>
      </c>
      <c r="I376" s="19" t="s">
        <v>0</v>
      </c>
      <c r="J376" s="19" t="s">
        <v>0</v>
      </c>
      <c r="K376" s="19" t="s">
        <v>0</v>
      </c>
      <c r="L376" s="19" t="s">
        <v>0</v>
      </c>
      <c r="M376" s="4" t="s">
        <v>81</v>
      </c>
      <c r="N376" s="11">
        <f>IFERROR(VLOOKUP(M376,ShipShapeEnum!$H:$I,2,FALSE),"-")</f>
        <v>1</v>
      </c>
      <c r="O376" s="11" t="s">
        <v>2688</v>
      </c>
      <c r="P376" s="30"/>
      <c r="Q376" s="11" t="str">
        <f>IFERROR(INDEX(SailPattern!$A:$A,MATCH(P376,SailPattern!$B:$B,0)),"-")</f>
        <v>-</v>
      </c>
      <c r="R376" s="30"/>
      <c r="S376" s="11" t="str">
        <f>IFERROR(INDEX(SailCrest!$A:$A,MATCH(R376,SailCrest!$B:$B,0)),"-")</f>
        <v>-</v>
      </c>
      <c r="T376" s="19" t="s">
        <v>0</v>
      </c>
      <c r="U376" s="19" t="s">
        <v>0</v>
      </c>
      <c r="V376" s="19" t="s">
        <v>0</v>
      </c>
      <c r="W376" s="19" t="s">
        <v>0</v>
      </c>
      <c r="X376" s="19" t="s">
        <v>0</v>
      </c>
      <c r="Y376" s="19" t="s">
        <v>0</v>
      </c>
      <c r="Z376" s="19" t="s">
        <v>0</v>
      </c>
      <c r="AA376" s="19" t="s">
        <v>0</v>
      </c>
    </row>
    <row r="377" spans="1:27" ht="15">
      <c r="A377" s="10">
        <f t="shared" si="13"/>
        <v>46100029</v>
      </c>
      <c r="B377" s="40" t="s">
        <v>1686</v>
      </c>
      <c r="C377" s="4" t="s">
        <v>63</v>
      </c>
      <c r="D377" s="11">
        <f>IFERROR(VLOOKUP(C377,ShipShapeEnum!$E:$F,2,FALSE),"-")</f>
        <v>2</v>
      </c>
      <c r="E377" s="19" t="s">
        <v>1172</v>
      </c>
      <c r="F377" s="4" t="s">
        <v>65</v>
      </c>
      <c r="G377" s="11">
        <f>IFERROR(VLOOKUP(F377,ShipShapeEnum!$B:$C,2,FALSE),"-")</f>
        <v>2</v>
      </c>
      <c r="H377" s="19" t="s">
        <v>459</v>
      </c>
      <c r="I377" s="19" t="s">
        <v>0</v>
      </c>
      <c r="J377" s="19" t="s">
        <v>0</v>
      </c>
      <c r="K377" s="19" t="s">
        <v>0</v>
      </c>
      <c r="L377" s="19" t="s">
        <v>0</v>
      </c>
      <c r="M377" s="4" t="s">
        <v>81</v>
      </c>
      <c r="N377" s="11">
        <f>IFERROR(VLOOKUP(M377,ShipShapeEnum!$H:$I,2,FALSE),"-")</f>
        <v>1</v>
      </c>
      <c r="O377" s="11" t="s">
        <v>2688</v>
      </c>
      <c r="P377" s="30"/>
      <c r="Q377" s="11" t="str">
        <f>IFERROR(INDEX(SailPattern!$A:$A,MATCH(P377,SailPattern!$B:$B,0)),"-")</f>
        <v>-</v>
      </c>
      <c r="R377" s="30"/>
      <c r="S377" s="11" t="str">
        <f>IFERROR(INDEX(SailCrest!$A:$A,MATCH(R377,SailCrest!$B:$B,0)),"-")</f>
        <v>-</v>
      </c>
      <c r="T377" s="19" t="s">
        <v>0</v>
      </c>
      <c r="U377" s="19" t="s">
        <v>0</v>
      </c>
      <c r="V377" s="19" t="s">
        <v>0</v>
      </c>
      <c r="W377" s="19" t="s">
        <v>0</v>
      </c>
      <c r="X377" s="19" t="s">
        <v>0</v>
      </c>
      <c r="Y377" s="19" t="s">
        <v>0</v>
      </c>
      <c r="Z377" s="19" t="s">
        <v>0</v>
      </c>
      <c r="AA377" s="19" t="s">
        <v>0</v>
      </c>
    </row>
    <row r="378" spans="1:27" ht="15">
      <c r="A378" s="10">
        <f t="shared" si="13"/>
        <v>46100030</v>
      </c>
      <c r="B378" s="40" t="s">
        <v>1687</v>
      </c>
      <c r="C378" s="4" t="s">
        <v>63</v>
      </c>
      <c r="D378" s="11">
        <f>IFERROR(VLOOKUP(C378,ShipShapeEnum!$E:$F,2,FALSE),"-")</f>
        <v>2</v>
      </c>
      <c r="E378" s="19" t="s">
        <v>1173</v>
      </c>
      <c r="F378" s="4" t="s">
        <v>65</v>
      </c>
      <c r="G378" s="11">
        <f>IFERROR(VLOOKUP(F378,ShipShapeEnum!$B:$C,2,FALSE),"-")</f>
        <v>2</v>
      </c>
      <c r="H378" s="19" t="s">
        <v>460</v>
      </c>
      <c r="I378" s="19" t="s">
        <v>0</v>
      </c>
      <c r="J378" s="19" t="s">
        <v>0</v>
      </c>
      <c r="K378" s="19" t="s">
        <v>0</v>
      </c>
      <c r="L378" s="19" t="s">
        <v>0</v>
      </c>
      <c r="M378" s="4" t="s">
        <v>81</v>
      </c>
      <c r="N378" s="11">
        <f>IFERROR(VLOOKUP(M378,ShipShapeEnum!$H:$I,2,FALSE),"-")</f>
        <v>1</v>
      </c>
      <c r="O378" s="11" t="s">
        <v>2688</v>
      </c>
      <c r="P378" s="30"/>
      <c r="Q378" s="11" t="str">
        <f>IFERROR(INDEX(SailPattern!$A:$A,MATCH(P378,SailPattern!$B:$B,0)),"-")</f>
        <v>-</v>
      </c>
      <c r="R378" s="30"/>
      <c r="S378" s="11" t="str">
        <f>IFERROR(INDEX(SailCrest!$A:$A,MATCH(R378,SailCrest!$B:$B,0)),"-")</f>
        <v>-</v>
      </c>
      <c r="T378" s="19" t="s">
        <v>0</v>
      </c>
      <c r="U378" s="19" t="s">
        <v>0</v>
      </c>
      <c r="V378" s="19" t="s">
        <v>0</v>
      </c>
      <c r="W378" s="19" t="s">
        <v>0</v>
      </c>
      <c r="X378" s="19" t="s">
        <v>0</v>
      </c>
      <c r="Y378" s="19" t="s">
        <v>0</v>
      </c>
      <c r="Z378" s="19" t="s">
        <v>0</v>
      </c>
      <c r="AA378" s="19" t="s">
        <v>0</v>
      </c>
    </row>
    <row r="379" spans="1:27" ht="15">
      <c r="A379" s="10">
        <f t="shared" si="13"/>
        <v>46100031</v>
      </c>
      <c r="B379" s="40" t="s">
        <v>1688</v>
      </c>
      <c r="C379" s="4" t="s">
        <v>63</v>
      </c>
      <c r="D379" s="11">
        <f>IFERROR(VLOOKUP(C379,ShipShapeEnum!$E:$F,2,FALSE),"-")</f>
        <v>2</v>
      </c>
      <c r="E379" s="19" t="s">
        <v>1174</v>
      </c>
      <c r="F379" s="4" t="s">
        <v>65</v>
      </c>
      <c r="G379" s="11">
        <f>IFERROR(VLOOKUP(F379,ShipShapeEnum!$B:$C,2,FALSE),"-")</f>
        <v>2</v>
      </c>
      <c r="H379" s="19" t="s">
        <v>459</v>
      </c>
      <c r="I379" s="19" t="s">
        <v>0</v>
      </c>
      <c r="J379" s="19" t="s">
        <v>0</v>
      </c>
      <c r="K379" s="19" t="s">
        <v>0</v>
      </c>
      <c r="L379" s="19" t="s">
        <v>0</v>
      </c>
      <c r="M379" s="4" t="s">
        <v>81</v>
      </c>
      <c r="N379" s="11">
        <f>IFERROR(VLOOKUP(M379,ShipShapeEnum!$H:$I,2,FALSE),"-")</f>
        <v>1</v>
      </c>
      <c r="O379" s="11" t="s">
        <v>2688</v>
      </c>
      <c r="P379" s="30"/>
      <c r="Q379" s="11" t="str">
        <f>IFERROR(INDEX(SailPattern!$A:$A,MATCH(P379,SailPattern!$B:$B,0)),"-")</f>
        <v>-</v>
      </c>
      <c r="R379" s="30"/>
      <c r="S379" s="11" t="str">
        <f>IFERROR(INDEX(SailCrest!$A:$A,MATCH(R379,SailCrest!$B:$B,0)),"-")</f>
        <v>-</v>
      </c>
      <c r="T379" s="19" t="s">
        <v>0</v>
      </c>
      <c r="U379" s="19" t="s">
        <v>0</v>
      </c>
      <c r="V379" s="19" t="s">
        <v>0</v>
      </c>
      <c r="W379" s="19" t="s">
        <v>0</v>
      </c>
      <c r="X379" s="19" t="s">
        <v>0</v>
      </c>
      <c r="Y379" s="19" t="s">
        <v>0</v>
      </c>
      <c r="Z379" s="19" t="s">
        <v>0</v>
      </c>
      <c r="AA379" s="19" t="s">
        <v>0</v>
      </c>
    </row>
    <row r="380" spans="1:27" ht="15">
      <c r="A380" s="10">
        <f t="shared" si="13"/>
        <v>46100032</v>
      </c>
      <c r="B380" s="40" t="s">
        <v>1689</v>
      </c>
      <c r="C380" s="4" t="s">
        <v>63</v>
      </c>
      <c r="D380" s="11">
        <f>IFERROR(VLOOKUP(C380,ShipShapeEnum!$E:$F,2,FALSE),"-")</f>
        <v>2</v>
      </c>
      <c r="E380" s="19" t="s">
        <v>1194</v>
      </c>
      <c r="F380" s="4" t="s">
        <v>65</v>
      </c>
      <c r="G380" s="11">
        <f>IFERROR(VLOOKUP(F380,ShipShapeEnum!$B:$C,2,FALSE),"-")</f>
        <v>2</v>
      </c>
      <c r="H380" s="19" t="s">
        <v>459</v>
      </c>
      <c r="I380" s="19" t="s">
        <v>0</v>
      </c>
      <c r="J380" s="19" t="s">
        <v>0</v>
      </c>
      <c r="K380" s="19" t="s">
        <v>0</v>
      </c>
      <c r="L380" s="19" t="s">
        <v>0</v>
      </c>
      <c r="M380" s="4" t="s">
        <v>81</v>
      </c>
      <c r="N380" s="11">
        <f>IFERROR(VLOOKUP(M380,ShipShapeEnum!$H:$I,2,FALSE),"-")</f>
        <v>1</v>
      </c>
      <c r="O380" s="11" t="s">
        <v>2688</v>
      </c>
      <c r="P380" s="30"/>
      <c r="Q380" s="11" t="str">
        <f>IFERROR(INDEX(SailPattern!$A:$A,MATCH(P380,SailPattern!$B:$B,0)),"-")</f>
        <v>-</v>
      </c>
      <c r="R380" s="30"/>
      <c r="S380" s="11" t="str">
        <f>IFERROR(INDEX(SailCrest!$A:$A,MATCH(R380,SailCrest!$B:$B,0)),"-")</f>
        <v>-</v>
      </c>
      <c r="T380" s="19" t="s">
        <v>0</v>
      </c>
      <c r="U380" s="19" t="s">
        <v>0</v>
      </c>
      <c r="V380" s="19" t="s">
        <v>0</v>
      </c>
      <c r="W380" s="19" t="s">
        <v>0</v>
      </c>
      <c r="X380" s="19" t="s">
        <v>0</v>
      </c>
      <c r="Y380" s="19" t="s">
        <v>0</v>
      </c>
      <c r="Z380" s="19" t="s">
        <v>0</v>
      </c>
      <c r="AA380" s="19" t="s">
        <v>0</v>
      </c>
    </row>
    <row r="381" spans="1:27" ht="15">
      <c r="A381" s="10">
        <f t="shared" si="13"/>
        <v>46100033</v>
      </c>
      <c r="B381" s="40" t="s">
        <v>1690</v>
      </c>
      <c r="C381" s="4" t="s">
        <v>63</v>
      </c>
      <c r="D381" s="11">
        <f>IFERROR(VLOOKUP(C381,ShipShapeEnum!$E:$F,2,FALSE),"-")</f>
        <v>2</v>
      </c>
      <c r="E381" s="19" t="s">
        <v>1175</v>
      </c>
      <c r="F381" s="4" t="s">
        <v>65</v>
      </c>
      <c r="G381" s="11">
        <f>IFERROR(VLOOKUP(F381,ShipShapeEnum!$B:$C,2,FALSE),"-")</f>
        <v>2</v>
      </c>
      <c r="H381" s="19" t="s">
        <v>460</v>
      </c>
      <c r="I381" s="19" t="s">
        <v>0</v>
      </c>
      <c r="J381" s="19" t="s">
        <v>0</v>
      </c>
      <c r="K381" s="19" t="s">
        <v>0</v>
      </c>
      <c r="L381" s="19" t="s">
        <v>0</v>
      </c>
      <c r="M381" s="4" t="s">
        <v>81</v>
      </c>
      <c r="N381" s="11">
        <f>IFERROR(VLOOKUP(M381,ShipShapeEnum!$H:$I,2,FALSE),"-")</f>
        <v>1</v>
      </c>
      <c r="O381" s="11" t="s">
        <v>2688</v>
      </c>
      <c r="P381" s="30"/>
      <c r="Q381" s="11" t="str">
        <f>IFERROR(INDEX(SailPattern!$A:$A,MATCH(P381,SailPattern!$B:$B,0)),"-")</f>
        <v>-</v>
      </c>
      <c r="R381" s="30"/>
      <c r="S381" s="11" t="str">
        <f>IFERROR(INDEX(SailCrest!$A:$A,MATCH(R381,SailCrest!$B:$B,0)),"-")</f>
        <v>-</v>
      </c>
      <c r="T381" s="19" t="s">
        <v>0</v>
      </c>
      <c r="U381" s="19" t="s">
        <v>0</v>
      </c>
      <c r="V381" s="19" t="s">
        <v>0</v>
      </c>
      <c r="W381" s="19" t="s">
        <v>0</v>
      </c>
      <c r="X381" s="19" t="s">
        <v>0</v>
      </c>
      <c r="Y381" s="19" t="s">
        <v>0</v>
      </c>
      <c r="Z381" s="19" t="s">
        <v>0</v>
      </c>
      <c r="AA381" s="19" t="s">
        <v>0</v>
      </c>
    </row>
    <row r="382" spans="1:27" ht="15">
      <c r="A382" s="10">
        <f t="shared" si="13"/>
        <v>46100034</v>
      </c>
      <c r="B382" s="40" t="s">
        <v>1691</v>
      </c>
      <c r="C382" s="4" t="s">
        <v>63</v>
      </c>
      <c r="D382" s="11">
        <f>IFERROR(VLOOKUP(C382,ShipShapeEnum!$E:$F,2,FALSE),"-")</f>
        <v>2</v>
      </c>
      <c r="E382" s="19" t="s">
        <v>1176</v>
      </c>
      <c r="F382" s="4" t="s">
        <v>65</v>
      </c>
      <c r="G382" s="11">
        <f>IFERROR(VLOOKUP(F382,ShipShapeEnum!$B:$C,2,FALSE),"-")</f>
        <v>2</v>
      </c>
      <c r="H382" s="19" t="s">
        <v>460</v>
      </c>
      <c r="I382" s="19" t="s">
        <v>0</v>
      </c>
      <c r="J382" s="19" t="s">
        <v>0</v>
      </c>
      <c r="K382" s="19" t="s">
        <v>0</v>
      </c>
      <c r="L382" s="19" t="s">
        <v>0</v>
      </c>
      <c r="M382" s="4" t="s">
        <v>81</v>
      </c>
      <c r="N382" s="11">
        <f>IFERROR(VLOOKUP(M382,ShipShapeEnum!$H:$I,2,FALSE),"-")</f>
        <v>1</v>
      </c>
      <c r="O382" s="11" t="s">
        <v>2688</v>
      </c>
      <c r="P382" s="30"/>
      <c r="Q382" s="11" t="str">
        <f>IFERROR(INDEX(SailPattern!$A:$A,MATCH(P382,SailPattern!$B:$B,0)),"-")</f>
        <v>-</v>
      </c>
      <c r="R382" s="30"/>
      <c r="S382" s="11" t="str">
        <f>IFERROR(INDEX(SailCrest!$A:$A,MATCH(R382,SailCrest!$B:$B,0)),"-")</f>
        <v>-</v>
      </c>
      <c r="T382" s="19" t="s">
        <v>0</v>
      </c>
      <c r="U382" s="19" t="s">
        <v>0</v>
      </c>
      <c r="V382" s="19" t="s">
        <v>0</v>
      </c>
      <c r="W382" s="19" t="s">
        <v>0</v>
      </c>
      <c r="X382" s="19" t="s">
        <v>0</v>
      </c>
      <c r="Y382" s="19" t="s">
        <v>0</v>
      </c>
      <c r="Z382" s="19" t="s">
        <v>0</v>
      </c>
      <c r="AA382" s="19" t="s">
        <v>0</v>
      </c>
    </row>
    <row r="383" spans="1:27" ht="15">
      <c r="A383" s="10">
        <f t="shared" si="13"/>
        <v>46100035</v>
      </c>
      <c r="B383" s="40" t="s">
        <v>1162</v>
      </c>
      <c r="C383" s="4" t="s">
        <v>63</v>
      </c>
      <c r="D383" s="11">
        <f>IFERROR(VLOOKUP(C383,ShipShapeEnum!$E:$F,2,FALSE),"-")</f>
        <v>2</v>
      </c>
      <c r="E383" s="19" t="s">
        <v>1163</v>
      </c>
      <c r="F383" s="4" t="s">
        <v>65</v>
      </c>
      <c r="G383" s="11">
        <f>IFERROR(VLOOKUP(F383,ShipShapeEnum!$B:$C,2,FALSE),"-")</f>
        <v>2</v>
      </c>
      <c r="H383" s="19" t="s">
        <v>460</v>
      </c>
      <c r="I383" s="19" t="s">
        <v>0</v>
      </c>
      <c r="J383" s="19" t="s">
        <v>0</v>
      </c>
      <c r="K383" s="19" t="s">
        <v>0</v>
      </c>
      <c r="L383" s="19" t="s">
        <v>0</v>
      </c>
      <c r="M383" s="4" t="s">
        <v>81</v>
      </c>
      <c r="N383" s="11">
        <f>IFERROR(VLOOKUP(M383,ShipShapeEnum!$H:$I,2,FALSE),"-")</f>
        <v>1</v>
      </c>
      <c r="O383" s="11" t="s">
        <v>2688</v>
      </c>
      <c r="P383" s="30"/>
      <c r="Q383" s="11" t="str">
        <f>IFERROR(INDEX(SailPattern!$A:$A,MATCH(P383,SailPattern!$B:$B,0)),"-")</f>
        <v>-</v>
      </c>
      <c r="R383" s="30"/>
      <c r="S383" s="11" t="str">
        <f>IFERROR(INDEX(SailCrest!$A:$A,MATCH(R383,SailCrest!$B:$B,0)),"-")</f>
        <v>-</v>
      </c>
      <c r="T383" s="19" t="s">
        <v>0</v>
      </c>
      <c r="U383" s="19" t="s">
        <v>0</v>
      </c>
      <c r="V383" s="19" t="s">
        <v>0</v>
      </c>
      <c r="W383" s="19" t="s">
        <v>0</v>
      </c>
      <c r="X383" s="19" t="s">
        <v>0</v>
      </c>
      <c r="Y383" s="19" t="s">
        <v>0</v>
      </c>
      <c r="Z383" s="19" t="s">
        <v>0</v>
      </c>
      <c r="AA383" s="19" t="s">
        <v>0</v>
      </c>
    </row>
    <row r="384" spans="1:27" ht="15">
      <c r="A384" s="10">
        <f t="shared" si="13"/>
        <v>46100036</v>
      </c>
      <c r="B384" s="40" t="s">
        <v>1692</v>
      </c>
      <c r="C384" s="4" t="s">
        <v>63</v>
      </c>
      <c r="D384" s="11">
        <f>IFERROR(VLOOKUP(C384,ShipShapeEnum!$E:$F,2,FALSE),"-")</f>
        <v>2</v>
      </c>
      <c r="E384" s="19" t="s">
        <v>1177</v>
      </c>
      <c r="F384" s="4" t="s">
        <v>65</v>
      </c>
      <c r="G384" s="11">
        <f>IFERROR(VLOOKUP(F384,ShipShapeEnum!$B:$C,2,FALSE),"-")</f>
        <v>2</v>
      </c>
      <c r="H384" s="19" t="s">
        <v>459</v>
      </c>
      <c r="I384" s="19" t="s">
        <v>0</v>
      </c>
      <c r="J384" s="19" t="s">
        <v>0</v>
      </c>
      <c r="K384" s="19" t="s">
        <v>0</v>
      </c>
      <c r="L384" s="19" t="s">
        <v>0</v>
      </c>
      <c r="M384" s="4" t="s">
        <v>81</v>
      </c>
      <c r="N384" s="11">
        <f>IFERROR(VLOOKUP(M384,ShipShapeEnum!$H:$I,2,FALSE),"-")</f>
        <v>1</v>
      </c>
      <c r="O384" s="11" t="s">
        <v>2688</v>
      </c>
      <c r="P384" s="30"/>
      <c r="Q384" s="11" t="str">
        <f>IFERROR(INDEX(SailPattern!$A:$A,MATCH(P384,SailPattern!$B:$B,0)),"-")</f>
        <v>-</v>
      </c>
      <c r="R384" s="30"/>
      <c r="S384" s="11" t="str">
        <f>IFERROR(INDEX(SailCrest!$A:$A,MATCH(R384,SailCrest!$B:$B,0)),"-")</f>
        <v>-</v>
      </c>
      <c r="T384" s="19" t="s">
        <v>0</v>
      </c>
      <c r="U384" s="19" t="s">
        <v>0</v>
      </c>
      <c r="V384" s="19" t="s">
        <v>0</v>
      </c>
      <c r="W384" s="19" t="s">
        <v>0</v>
      </c>
      <c r="X384" s="19" t="s">
        <v>0</v>
      </c>
      <c r="Y384" s="19" t="s">
        <v>0</v>
      </c>
      <c r="Z384" s="19" t="s">
        <v>0</v>
      </c>
      <c r="AA384" s="19" t="s">
        <v>0</v>
      </c>
    </row>
    <row r="385" spans="1:27" ht="15">
      <c r="A385" s="10">
        <f t="shared" si="13"/>
        <v>46100037</v>
      </c>
      <c r="B385" s="40" t="s">
        <v>1693</v>
      </c>
      <c r="C385" s="4" t="s">
        <v>63</v>
      </c>
      <c r="D385" s="11">
        <f>IFERROR(VLOOKUP(C385,ShipShapeEnum!$E:$F,2,FALSE),"-")</f>
        <v>2</v>
      </c>
      <c r="E385" s="19" t="s">
        <v>1178</v>
      </c>
      <c r="F385" s="4" t="s">
        <v>65</v>
      </c>
      <c r="G385" s="11">
        <f>IFERROR(VLOOKUP(F385,ShipShapeEnum!$B:$C,2,FALSE),"-")</f>
        <v>2</v>
      </c>
      <c r="H385" s="19" t="s">
        <v>459</v>
      </c>
      <c r="I385" s="19" t="s">
        <v>0</v>
      </c>
      <c r="J385" s="19" t="s">
        <v>0</v>
      </c>
      <c r="K385" s="19" t="s">
        <v>0</v>
      </c>
      <c r="L385" s="19" t="s">
        <v>0</v>
      </c>
      <c r="M385" s="4" t="s">
        <v>81</v>
      </c>
      <c r="N385" s="11">
        <f>IFERROR(VLOOKUP(M385,ShipShapeEnum!$H:$I,2,FALSE),"-")</f>
        <v>1</v>
      </c>
      <c r="O385" s="11" t="s">
        <v>2688</v>
      </c>
      <c r="P385" s="30"/>
      <c r="Q385" s="11" t="str">
        <f>IFERROR(INDEX(SailPattern!$A:$A,MATCH(P385,SailPattern!$B:$B,0)),"-")</f>
        <v>-</v>
      </c>
      <c r="R385" s="30"/>
      <c r="S385" s="11" t="str">
        <f>IFERROR(INDEX(SailCrest!$A:$A,MATCH(R385,SailCrest!$B:$B,0)),"-")</f>
        <v>-</v>
      </c>
      <c r="T385" s="19" t="s">
        <v>0</v>
      </c>
      <c r="U385" s="19" t="s">
        <v>0</v>
      </c>
      <c r="V385" s="19" t="s">
        <v>0</v>
      </c>
      <c r="W385" s="19" t="s">
        <v>0</v>
      </c>
      <c r="X385" s="19" t="s">
        <v>0</v>
      </c>
      <c r="Y385" s="19" t="s">
        <v>0</v>
      </c>
      <c r="Z385" s="19" t="s">
        <v>0</v>
      </c>
      <c r="AA385" s="19" t="s">
        <v>0</v>
      </c>
    </row>
    <row r="386" spans="1:27" ht="15">
      <c r="A386" s="10">
        <f t="shared" si="13"/>
        <v>46100038</v>
      </c>
      <c r="B386" s="40" t="s">
        <v>1694</v>
      </c>
      <c r="C386" s="4" t="s">
        <v>63</v>
      </c>
      <c r="D386" s="11">
        <f>IFERROR(VLOOKUP(C386,ShipShapeEnum!$E:$F,2,FALSE),"-")</f>
        <v>2</v>
      </c>
      <c r="E386" s="19" t="s">
        <v>1164</v>
      </c>
      <c r="F386" s="4" t="s">
        <v>65</v>
      </c>
      <c r="G386" s="11">
        <f>IFERROR(VLOOKUP(F386,ShipShapeEnum!$B:$C,2,FALSE),"-")</f>
        <v>2</v>
      </c>
      <c r="H386" s="19" t="s">
        <v>459</v>
      </c>
      <c r="I386" s="19" t="s">
        <v>0</v>
      </c>
      <c r="J386" s="19" t="s">
        <v>0</v>
      </c>
      <c r="K386" s="19" t="s">
        <v>0</v>
      </c>
      <c r="L386" s="19" t="s">
        <v>0</v>
      </c>
      <c r="M386" s="4" t="s">
        <v>81</v>
      </c>
      <c r="N386" s="11">
        <f>IFERROR(VLOOKUP(M386,ShipShapeEnum!$H:$I,2,FALSE),"-")</f>
        <v>1</v>
      </c>
      <c r="O386" s="11" t="s">
        <v>2688</v>
      </c>
      <c r="P386" s="30"/>
      <c r="Q386" s="11" t="str">
        <f>IFERROR(INDEX(SailPattern!$A:$A,MATCH(P386,SailPattern!$B:$B,0)),"-")</f>
        <v>-</v>
      </c>
      <c r="R386" s="30"/>
      <c r="S386" s="11" t="str">
        <f>IFERROR(INDEX(SailCrest!$A:$A,MATCH(R386,SailCrest!$B:$B,0)),"-")</f>
        <v>-</v>
      </c>
      <c r="T386" s="19" t="s">
        <v>0</v>
      </c>
      <c r="U386" s="19" t="s">
        <v>0</v>
      </c>
      <c r="V386" s="19" t="s">
        <v>0</v>
      </c>
      <c r="W386" s="19" t="s">
        <v>0</v>
      </c>
      <c r="X386" s="19" t="s">
        <v>0</v>
      </c>
      <c r="Y386" s="19" t="s">
        <v>0</v>
      </c>
      <c r="Z386" s="19" t="s">
        <v>0</v>
      </c>
      <c r="AA386" s="19" t="s">
        <v>0</v>
      </c>
    </row>
    <row r="387" spans="1:27" ht="15">
      <c r="A387" s="10">
        <f t="shared" si="13"/>
        <v>46100039</v>
      </c>
      <c r="B387" s="40" t="s">
        <v>1695</v>
      </c>
      <c r="C387" s="4" t="s">
        <v>63</v>
      </c>
      <c r="D387" s="11">
        <f>IFERROR(VLOOKUP(C387,ShipShapeEnum!$E:$F,2,FALSE),"-")</f>
        <v>2</v>
      </c>
      <c r="E387" s="19" t="s">
        <v>1179</v>
      </c>
      <c r="F387" s="4" t="s">
        <v>65</v>
      </c>
      <c r="G387" s="11">
        <f>IFERROR(VLOOKUP(F387,ShipShapeEnum!$B:$C,2,FALSE),"-")</f>
        <v>2</v>
      </c>
      <c r="H387" s="19" t="s">
        <v>459</v>
      </c>
      <c r="I387" s="19" t="s">
        <v>0</v>
      </c>
      <c r="J387" s="19" t="s">
        <v>0</v>
      </c>
      <c r="K387" s="19" t="s">
        <v>0</v>
      </c>
      <c r="L387" s="19" t="s">
        <v>0</v>
      </c>
      <c r="M387" s="4" t="s">
        <v>81</v>
      </c>
      <c r="N387" s="11">
        <f>IFERROR(VLOOKUP(M387,ShipShapeEnum!$H:$I,2,FALSE),"-")</f>
        <v>1</v>
      </c>
      <c r="O387" s="11" t="s">
        <v>2688</v>
      </c>
      <c r="P387" s="30"/>
      <c r="Q387" s="11" t="str">
        <f>IFERROR(INDEX(SailPattern!$A:$A,MATCH(P387,SailPattern!$B:$B,0)),"-")</f>
        <v>-</v>
      </c>
      <c r="R387" s="30"/>
      <c r="S387" s="11" t="str">
        <f>IFERROR(INDEX(SailCrest!$A:$A,MATCH(R387,SailCrest!$B:$B,0)),"-")</f>
        <v>-</v>
      </c>
      <c r="T387" s="19" t="s">
        <v>0</v>
      </c>
      <c r="U387" s="19" t="s">
        <v>0</v>
      </c>
      <c r="V387" s="19" t="s">
        <v>0</v>
      </c>
      <c r="W387" s="19" t="s">
        <v>0</v>
      </c>
      <c r="X387" s="19" t="s">
        <v>0</v>
      </c>
      <c r="Y387" s="19" t="s">
        <v>0</v>
      </c>
      <c r="Z387" s="19" t="s">
        <v>0</v>
      </c>
      <c r="AA387" s="19" t="s">
        <v>0</v>
      </c>
    </row>
    <row r="388" spans="1:27" ht="15">
      <c r="A388" s="10">
        <f t="shared" si="13"/>
        <v>46100040</v>
      </c>
      <c r="B388" s="40" t="s">
        <v>1696</v>
      </c>
      <c r="C388" s="4" t="s">
        <v>63</v>
      </c>
      <c r="D388" s="11">
        <f>IFERROR(VLOOKUP(C388,ShipShapeEnum!$E:$F,2,FALSE),"-")</f>
        <v>2</v>
      </c>
      <c r="E388" s="19" t="s">
        <v>1180</v>
      </c>
      <c r="F388" s="4" t="s">
        <v>65</v>
      </c>
      <c r="G388" s="11">
        <f>IFERROR(VLOOKUP(F388,ShipShapeEnum!$B:$C,2,FALSE),"-")</f>
        <v>2</v>
      </c>
      <c r="H388" s="19" t="s">
        <v>460</v>
      </c>
      <c r="I388" s="19" t="s">
        <v>0</v>
      </c>
      <c r="J388" s="19" t="s">
        <v>0</v>
      </c>
      <c r="K388" s="19" t="s">
        <v>0</v>
      </c>
      <c r="L388" s="19" t="s">
        <v>0</v>
      </c>
      <c r="M388" s="4" t="s">
        <v>81</v>
      </c>
      <c r="N388" s="11">
        <f>IFERROR(VLOOKUP(M388,ShipShapeEnum!$H:$I,2,FALSE),"-")</f>
        <v>1</v>
      </c>
      <c r="O388" s="11" t="s">
        <v>2688</v>
      </c>
      <c r="P388" s="30"/>
      <c r="Q388" s="11" t="str">
        <f>IFERROR(INDEX(SailPattern!$A:$A,MATCH(P388,SailPattern!$B:$B,0)),"-")</f>
        <v>-</v>
      </c>
      <c r="R388" s="30"/>
      <c r="S388" s="11" t="str">
        <f>IFERROR(INDEX(SailCrest!$A:$A,MATCH(R388,SailCrest!$B:$B,0)),"-")</f>
        <v>-</v>
      </c>
      <c r="T388" s="19" t="s">
        <v>0</v>
      </c>
      <c r="U388" s="19" t="s">
        <v>0</v>
      </c>
      <c r="V388" s="19" t="s">
        <v>0</v>
      </c>
      <c r="W388" s="19" t="s">
        <v>0</v>
      </c>
      <c r="X388" s="19" t="s">
        <v>0</v>
      </c>
      <c r="Y388" s="19" t="s">
        <v>0</v>
      </c>
      <c r="Z388" s="19" t="s">
        <v>0</v>
      </c>
      <c r="AA388" s="19" t="s">
        <v>0</v>
      </c>
    </row>
    <row r="389" spans="1:27" ht="15">
      <c r="A389" s="10">
        <f t="shared" si="13"/>
        <v>46100041</v>
      </c>
      <c r="B389" s="40" t="s">
        <v>1697</v>
      </c>
      <c r="C389" s="4" t="s">
        <v>63</v>
      </c>
      <c r="D389" s="11">
        <f>IFERROR(VLOOKUP(C389,ShipShapeEnum!$E:$F,2,FALSE),"-")</f>
        <v>2</v>
      </c>
      <c r="E389" s="19" t="s">
        <v>1181</v>
      </c>
      <c r="F389" s="4" t="s">
        <v>65</v>
      </c>
      <c r="G389" s="11">
        <f>IFERROR(VLOOKUP(F389,ShipShapeEnum!$B:$C,2,FALSE),"-")</f>
        <v>2</v>
      </c>
      <c r="H389" s="19" t="s">
        <v>459</v>
      </c>
      <c r="I389" s="19" t="s">
        <v>0</v>
      </c>
      <c r="J389" s="19" t="s">
        <v>0</v>
      </c>
      <c r="K389" s="19" t="s">
        <v>0</v>
      </c>
      <c r="L389" s="19" t="s">
        <v>0</v>
      </c>
      <c r="M389" s="4" t="s">
        <v>81</v>
      </c>
      <c r="N389" s="11">
        <f>IFERROR(VLOOKUP(M389,ShipShapeEnum!$H:$I,2,FALSE),"-")</f>
        <v>1</v>
      </c>
      <c r="O389" s="11" t="s">
        <v>2688</v>
      </c>
      <c r="P389" s="30"/>
      <c r="Q389" s="11" t="str">
        <f>IFERROR(INDEX(SailPattern!$A:$A,MATCH(P389,SailPattern!$B:$B,0)),"-")</f>
        <v>-</v>
      </c>
      <c r="R389" s="30"/>
      <c r="S389" s="11" t="str">
        <f>IFERROR(INDEX(SailCrest!$A:$A,MATCH(R389,SailCrest!$B:$B,0)),"-")</f>
        <v>-</v>
      </c>
      <c r="T389" s="19" t="s">
        <v>0</v>
      </c>
      <c r="U389" s="19" t="s">
        <v>0</v>
      </c>
      <c r="V389" s="19" t="s">
        <v>0</v>
      </c>
      <c r="W389" s="19" t="s">
        <v>0</v>
      </c>
      <c r="X389" s="19" t="s">
        <v>0</v>
      </c>
      <c r="Y389" s="19" t="s">
        <v>0</v>
      </c>
      <c r="Z389" s="19" t="s">
        <v>0</v>
      </c>
      <c r="AA389" s="19" t="s">
        <v>0</v>
      </c>
    </row>
    <row r="390" spans="1:27" ht="15">
      <c r="A390" s="10">
        <f t="shared" si="13"/>
        <v>46100042</v>
      </c>
      <c r="B390" s="40" t="s">
        <v>1698</v>
      </c>
      <c r="C390" s="4" t="s">
        <v>63</v>
      </c>
      <c r="D390" s="11">
        <f>IFERROR(VLOOKUP(C390,ShipShapeEnum!$E:$F,2,FALSE),"-")</f>
        <v>2</v>
      </c>
      <c r="E390" s="19" t="s">
        <v>1165</v>
      </c>
      <c r="F390" s="4" t="s">
        <v>65</v>
      </c>
      <c r="G390" s="11">
        <f>IFERROR(VLOOKUP(F390,ShipShapeEnum!$B:$C,2,FALSE),"-")</f>
        <v>2</v>
      </c>
      <c r="H390" s="19" t="s">
        <v>460</v>
      </c>
      <c r="I390" s="19" t="s">
        <v>0</v>
      </c>
      <c r="J390" s="19" t="s">
        <v>0</v>
      </c>
      <c r="K390" s="19" t="s">
        <v>0</v>
      </c>
      <c r="L390" s="19" t="s">
        <v>0</v>
      </c>
      <c r="M390" s="4" t="s">
        <v>81</v>
      </c>
      <c r="N390" s="11">
        <f>IFERROR(VLOOKUP(M390,ShipShapeEnum!$H:$I,2,FALSE),"-")</f>
        <v>1</v>
      </c>
      <c r="O390" s="11" t="s">
        <v>2688</v>
      </c>
      <c r="P390" s="30"/>
      <c r="Q390" s="11" t="str">
        <f>IFERROR(INDEX(SailPattern!$A:$A,MATCH(P390,SailPattern!$B:$B,0)),"-")</f>
        <v>-</v>
      </c>
      <c r="R390" s="30"/>
      <c r="S390" s="11" t="str">
        <f>IFERROR(INDEX(SailCrest!$A:$A,MATCH(R390,SailCrest!$B:$B,0)),"-")</f>
        <v>-</v>
      </c>
      <c r="T390" s="19" t="s">
        <v>0</v>
      </c>
      <c r="U390" s="19" t="s">
        <v>0</v>
      </c>
      <c r="V390" s="19" t="s">
        <v>0</v>
      </c>
      <c r="W390" s="19" t="s">
        <v>0</v>
      </c>
      <c r="X390" s="19" t="s">
        <v>0</v>
      </c>
      <c r="Y390" s="19" t="s">
        <v>0</v>
      </c>
      <c r="Z390" s="19" t="s">
        <v>0</v>
      </c>
      <c r="AA390" s="19" t="s">
        <v>0</v>
      </c>
    </row>
    <row r="391" spans="1:27" ht="15">
      <c r="A391" s="10">
        <f t="shared" si="13"/>
        <v>46100043</v>
      </c>
      <c r="B391" s="40" t="s">
        <v>1699</v>
      </c>
      <c r="C391" s="4" t="s">
        <v>63</v>
      </c>
      <c r="D391" s="11">
        <f>IFERROR(VLOOKUP(C391,ShipShapeEnum!$E:$F,2,FALSE),"-")</f>
        <v>2</v>
      </c>
      <c r="E391" s="45" t="s">
        <v>1182</v>
      </c>
      <c r="F391" s="4" t="s">
        <v>65</v>
      </c>
      <c r="G391" s="11">
        <f>IFERROR(VLOOKUP(F391,ShipShapeEnum!$B:$C,2,FALSE),"-")</f>
        <v>2</v>
      </c>
      <c r="H391" s="19" t="s">
        <v>460</v>
      </c>
      <c r="I391" s="19" t="s">
        <v>0</v>
      </c>
      <c r="J391" s="19" t="s">
        <v>0</v>
      </c>
      <c r="K391" s="19" t="s">
        <v>0</v>
      </c>
      <c r="L391" s="19" t="s">
        <v>0</v>
      </c>
      <c r="M391" s="4" t="s">
        <v>81</v>
      </c>
      <c r="N391" s="11">
        <f>IFERROR(VLOOKUP(M391,ShipShapeEnum!$H:$I,2,FALSE),"-")</f>
        <v>1</v>
      </c>
      <c r="O391" s="11" t="s">
        <v>2688</v>
      </c>
      <c r="P391" s="30"/>
      <c r="Q391" s="11" t="str">
        <f>IFERROR(INDEX(SailPattern!$A:$A,MATCH(P391,SailPattern!$B:$B,0)),"-")</f>
        <v>-</v>
      </c>
      <c r="R391" s="30"/>
      <c r="S391" s="11" t="str">
        <f>IFERROR(INDEX(SailCrest!$A:$A,MATCH(R391,SailCrest!$B:$B,0)),"-")</f>
        <v>-</v>
      </c>
      <c r="T391" s="19" t="s">
        <v>0</v>
      </c>
      <c r="U391" s="19" t="s">
        <v>0</v>
      </c>
      <c r="V391" s="19" t="s">
        <v>0</v>
      </c>
      <c r="W391" s="19" t="s">
        <v>0</v>
      </c>
      <c r="X391" s="19" t="s">
        <v>0</v>
      </c>
      <c r="Y391" s="19" t="s">
        <v>0</v>
      </c>
      <c r="Z391" s="19" t="s">
        <v>0</v>
      </c>
      <c r="AA391" s="19" t="s">
        <v>0</v>
      </c>
    </row>
    <row r="392" spans="1:27" ht="15">
      <c r="A392" s="10">
        <f t="shared" si="13"/>
        <v>46100044</v>
      </c>
      <c r="B392" s="40" t="s">
        <v>1700</v>
      </c>
      <c r="C392" s="4" t="s">
        <v>63</v>
      </c>
      <c r="D392" s="11">
        <f>IFERROR(VLOOKUP(C392,ShipShapeEnum!$E:$F,2,FALSE),"-")</f>
        <v>2</v>
      </c>
      <c r="E392" s="19" t="s">
        <v>1183</v>
      </c>
      <c r="F392" s="4" t="s">
        <v>65</v>
      </c>
      <c r="G392" s="11">
        <f>IFERROR(VLOOKUP(F392,ShipShapeEnum!$B:$C,2,FALSE),"-")</f>
        <v>2</v>
      </c>
      <c r="H392" s="19" t="s">
        <v>460</v>
      </c>
      <c r="I392" s="19" t="s">
        <v>0</v>
      </c>
      <c r="J392" s="19" t="s">
        <v>0</v>
      </c>
      <c r="K392" s="19" t="s">
        <v>0</v>
      </c>
      <c r="L392" s="19" t="s">
        <v>0</v>
      </c>
      <c r="M392" s="4" t="s">
        <v>81</v>
      </c>
      <c r="N392" s="11">
        <f>IFERROR(VLOOKUP(M392,ShipShapeEnum!$H:$I,2,FALSE),"-")</f>
        <v>1</v>
      </c>
      <c r="O392" s="11" t="s">
        <v>2688</v>
      </c>
      <c r="P392" s="30"/>
      <c r="Q392" s="11" t="str">
        <f>IFERROR(INDEX(SailPattern!$A:$A,MATCH(P392,SailPattern!$B:$B,0)),"-")</f>
        <v>-</v>
      </c>
      <c r="R392" s="30"/>
      <c r="S392" s="11" t="str">
        <f>IFERROR(INDEX(SailCrest!$A:$A,MATCH(R392,SailCrest!$B:$B,0)),"-")</f>
        <v>-</v>
      </c>
      <c r="T392" s="19" t="s">
        <v>0</v>
      </c>
      <c r="U392" s="19" t="s">
        <v>0</v>
      </c>
      <c r="V392" s="19" t="s">
        <v>0</v>
      </c>
      <c r="W392" s="19" t="s">
        <v>0</v>
      </c>
      <c r="X392" s="19" t="s">
        <v>0</v>
      </c>
      <c r="Y392" s="19" t="s">
        <v>0</v>
      </c>
      <c r="Z392" s="19" t="s">
        <v>0</v>
      </c>
      <c r="AA392" s="19" t="s">
        <v>0</v>
      </c>
    </row>
    <row r="393" spans="1:27" ht="15">
      <c r="A393" s="10">
        <f t="shared" si="13"/>
        <v>46100045</v>
      </c>
      <c r="B393" s="40" t="s">
        <v>1701</v>
      </c>
      <c r="C393" s="4" t="s">
        <v>63</v>
      </c>
      <c r="D393" s="11">
        <f>IFERROR(VLOOKUP(C393,ShipShapeEnum!$E:$F,2,FALSE),"-")</f>
        <v>2</v>
      </c>
      <c r="E393" s="19" t="s">
        <v>1184</v>
      </c>
      <c r="F393" s="4" t="s">
        <v>65</v>
      </c>
      <c r="G393" s="11">
        <f>IFERROR(VLOOKUP(F393,ShipShapeEnum!$B:$C,2,FALSE),"-")</f>
        <v>2</v>
      </c>
      <c r="H393" s="19" t="s">
        <v>459</v>
      </c>
      <c r="I393" s="19" t="s">
        <v>0</v>
      </c>
      <c r="J393" s="19" t="s">
        <v>0</v>
      </c>
      <c r="K393" s="19" t="s">
        <v>0</v>
      </c>
      <c r="L393" s="19" t="s">
        <v>0</v>
      </c>
      <c r="M393" s="4" t="s">
        <v>81</v>
      </c>
      <c r="N393" s="11">
        <f>IFERROR(VLOOKUP(M393,ShipShapeEnum!$H:$I,2,FALSE),"-")</f>
        <v>1</v>
      </c>
      <c r="O393" s="11" t="s">
        <v>2688</v>
      </c>
      <c r="P393" s="30"/>
      <c r="Q393" s="11" t="str">
        <f>IFERROR(INDEX(SailPattern!$A:$A,MATCH(P393,SailPattern!$B:$B,0)),"-")</f>
        <v>-</v>
      </c>
      <c r="R393" s="30"/>
      <c r="S393" s="11" t="str">
        <f>IFERROR(INDEX(SailCrest!$A:$A,MATCH(R393,SailCrest!$B:$B,0)),"-")</f>
        <v>-</v>
      </c>
      <c r="T393" s="19" t="s">
        <v>0</v>
      </c>
      <c r="U393" s="19" t="s">
        <v>0</v>
      </c>
      <c r="V393" s="19" t="s">
        <v>0</v>
      </c>
      <c r="W393" s="19" t="s">
        <v>0</v>
      </c>
      <c r="X393" s="19" t="s">
        <v>0</v>
      </c>
      <c r="Y393" s="19" t="s">
        <v>0</v>
      </c>
      <c r="Z393" s="19" t="s">
        <v>0</v>
      </c>
      <c r="AA393" s="19" t="s">
        <v>0</v>
      </c>
    </row>
    <row r="394" spans="1:27" ht="15">
      <c r="A394" s="10">
        <f t="shared" si="13"/>
        <v>46100046</v>
      </c>
      <c r="B394" s="40" t="s">
        <v>1702</v>
      </c>
      <c r="C394" s="4" t="s">
        <v>63</v>
      </c>
      <c r="D394" s="11">
        <f>IFERROR(VLOOKUP(C394,ShipShapeEnum!$E:$F,2,FALSE),"-")</f>
        <v>2</v>
      </c>
      <c r="E394" s="19" t="s">
        <v>1185</v>
      </c>
      <c r="F394" s="4" t="s">
        <v>65</v>
      </c>
      <c r="G394" s="11">
        <f>IFERROR(VLOOKUP(F394,ShipShapeEnum!$B:$C,2,FALSE),"-")</f>
        <v>2</v>
      </c>
      <c r="H394" s="19" t="s">
        <v>459</v>
      </c>
      <c r="I394" s="19" t="s">
        <v>0</v>
      </c>
      <c r="J394" s="19" t="s">
        <v>0</v>
      </c>
      <c r="K394" s="19" t="s">
        <v>0</v>
      </c>
      <c r="L394" s="19" t="s">
        <v>0</v>
      </c>
      <c r="M394" s="4" t="s">
        <v>81</v>
      </c>
      <c r="N394" s="11">
        <f>IFERROR(VLOOKUP(M394,ShipShapeEnum!$H:$I,2,FALSE),"-")</f>
        <v>1</v>
      </c>
      <c r="O394" s="11" t="s">
        <v>2688</v>
      </c>
      <c r="P394" s="30"/>
      <c r="Q394" s="11" t="str">
        <f>IFERROR(INDEX(SailPattern!$A:$A,MATCH(P394,SailPattern!$B:$B,0)),"-")</f>
        <v>-</v>
      </c>
      <c r="R394" s="30"/>
      <c r="S394" s="11" t="str">
        <f>IFERROR(INDEX(SailCrest!$A:$A,MATCH(R394,SailCrest!$B:$B,0)),"-")</f>
        <v>-</v>
      </c>
      <c r="T394" s="19" t="s">
        <v>0</v>
      </c>
      <c r="U394" s="19" t="s">
        <v>0</v>
      </c>
      <c r="V394" s="19" t="s">
        <v>0</v>
      </c>
      <c r="W394" s="19" t="s">
        <v>0</v>
      </c>
      <c r="X394" s="19" t="s">
        <v>0</v>
      </c>
      <c r="Y394" s="19" t="s">
        <v>0</v>
      </c>
      <c r="Z394" s="19" t="s">
        <v>0</v>
      </c>
      <c r="AA394" s="19" t="s">
        <v>0</v>
      </c>
    </row>
    <row r="395" spans="1:27" ht="15">
      <c r="A395" s="10">
        <f t="shared" si="13"/>
        <v>46100047</v>
      </c>
      <c r="B395" s="40" t="s">
        <v>1703</v>
      </c>
      <c r="C395" s="4" t="s">
        <v>63</v>
      </c>
      <c r="D395" s="11">
        <f>IFERROR(VLOOKUP(C395,ShipShapeEnum!$E:$F,2,FALSE),"-")</f>
        <v>2</v>
      </c>
      <c r="E395" s="19" t="s">
        <v>1186</v>
      </c>
      <c r="F395" s="4" t="s">
        <v>65</v>
      </c>
      <c r="G395" s="11">
        <f>IFERROR(VLOOKUP(F395,ShipShapeEnum!$B:$C,2,FALSE),"-")</f>
        <v>2</v>
      </c>
      <c r="H395" s="19" t="s">
        <v>459</v>
      </c>
      <c r="I395" s="19" t="s">
        <v>0</v>
      </c>
      <c r="J395" s="19" t="s">
        <v>0</v>
      </c>
      <c r="K395" s="19" t="s">
        <v>0</v>
      </c>
      <c r="L395" s="19" t="s">
        <v>0</v>
      </c>
      <c r="M395" s="4" t="s">
        <v>81</v>
      </c>
      <c r="N395" s="11">
        <f>IFERROR(VLOOKUP(M395,ShipShapeEnum!$H:$I,2,FALSE),"-")</f>
        <v>1</v>
      </c>
      <c r="O395" s="11" t="s">
        <v>2688</v>
      </c>
      <c r="P395" s="30"/>
      <c r="Q395" s="11" t="str">
        <f>IFERROR(INDEX(SailPattern!$A:$A,MATCH(P395,SailPattern!$B:$B,0)),"-")</f>
        <v>-</v>
      </c>
      <c r="R395" s="30"/>
      <c r="S395" s="11" t="str">
        <f>IFERROR(INDEX(SailCrest!$A:$A,MATCH(R395,SailCrest!$B:$B,0)),"-")</f>
        <v>-</v>
      </c>
      <c r="T395" s="19" t="s">
        <v>0</v>
      </c>
      <c r="U395" s="19" t="s">
        <v>0</v>
      </c>
      <c r="V395" s="19" t="s">
        <v>0</v>
      </c>
      <c r="W395" s="19" t="s">
        <v>0</v>
      </c>
      <c r="X395" s="19" t="s">
        <v>0</v>
      </c>
      <c r="Y395" s="19" t="s">
        <v>0</v>
      </c>
      <c r="Z395" s="19" t="s">
        <v>0</v>
      </c>
      <c r="AA395" s="19" t="s">
        <v>0</v>
      </c>
    </row>
    <row r="396" spans="1:27" ht="15">
      <c r="A396" s="10">
        <f t="shared" si="13"/>
        <v>46100048</v>
      </c>
      <c r="B396" s="40" t="s">
        <v>1704</v>
      </c>
      <c r="C396" s="4" t="s">
        <v>63</v>
      </c>
      <c r="D396" s="11">
        <f>IFERROR(VLOOKUP(C396,ShipShapeEnum!$E:$F,2,FALSE),"-")</f>
        <v>2</v>
      </c>
      <c r="E396" s="19" t="s">
        <v>1187</v>
      </c>
      <c r="F396" s="4" t="s">
        <v>65</v>
      </c>
      <c r="G396" s="11">
        <f>IFERROR(VLOOKUP(F396,ShipShapeEnum!$B:$C,2,FALSE),"-")</f>
        <v>2</v>
      </c>
      <c r="H396" s="19" t="s">
        <v>459</v>
      </c>
      <c r="I396" s="19" t="s">
        <v>0</v>
      </c>
      <c r="J396" s="19" t="s">
        <v>0</v>
      </c>
      <c r="K396" s="19" t="s">
        <v>0</v>
      </c>
      <c r="L396" s="19" t="s">
        <v>0</v>
      </c>
      <c r="M396" s="4" t="s">
        <v>81</v>
      </c>
      <c r="N396" s="11">
        <f>IFERROR(VLOOKUP(M396,ShipShapeEnum!$H:$I,2,FALSE),"-")</f>
        <v>1</v>
      </c>
      <c r="O396" s="11" t="s">
        <v>2688</v>
      </c>
      <c r="P396" s="30"/>
      <c r="Q396" s="11" t="str">
        <f>IFERROR(INDEX(SailPattern!$A:$A,MATCH(P396,SailPattern!$B:$B,0)),"-")</f>
        <v>-</v>
      </c>
      <c r="R396" s="30"/>
      <c r="S396" s="11" t="str">
        <f>IFERROR(INDEX(SailCrest!$A:$A,MATCH(R396,SailCrest!$B:$B,0)),"-")</f>
        <v>-</v>
      </c>
      <c r="T396" s="19" t="s">
        <v>0</v>
      </c>
      <c r="U396" s="19" t="s">
        <v>0</v>
      </c>
      <c r="V396" s="19" t="s">
        <v>0</v>
      </c>
      <c r="W396" s="19" t="s">
        <v>0</v>
      </c>
      <c r="X396" s="19" t="s">
        <v>0</v>
      </c>
      <c r="Y396" s="19" t="s">
        <v>0</v>
      </c>
      <c r="Z396" s="19" t="s">
        <v>0</v>
      </c>
      <c r="AA396" s="19" t="s">
        <v>0</v>
      </c>
    </row>
    <row r="397" spans="1:27" ht="15">
      <c r="A397" s="10">
        <f t="shared" si="13"/>
        <v>46100049</v>
      </c>
      <c r="B397" s="40" t="s">
        <v>1705</v>
      </c>
      <c r="C397" s="4" t="s">
        <v>63</v>
      </c>
      <c r="D397" s="11">
        <f>IFERROR(VLOOKUP(C397,ShipShapeEnum!$E:$F,2,FALSE),"-")</f>
        <v>2</v>
      </c>
      <c r="E397" s="19" t="s">
        <v>1188</v>
      </c>
      <c r="F397" s="4" t="s">
        <v>65</v>
      </c>
      <c r="G397" s="11">
        <f>IFERROR(VLOOKUP(F397,ShipShapeEnum!$B:$C,2,FALSE),"-")</f>
        <v>2</v>
      </c>
      <c r="H397" s="19" t="s">
        <v>459</v>
      </c>
      <c r="I397" s="19" t="s">
        <v>0</v>
      </c>
      <c r="J397" s="19" t="s">
        <v>0</v>
      </c>
      <c r="K397" s="19" t="s">
        <v>0</v>
      </c>
      <c r="L397" s="19" t="s">
        <v>0</v>
      </c>
      <c r="M397" s="4" t="s">
        <v>81</v>
      </c>
      <c r="N397" s="11">
        <f>IFERROR(VLOOKUP(M397,ShipShapeEnum!$H:$I,2,FALSE),"-")</f>
        <v>1</v>
      </c>
      <c r="O397" s="11" t="s">
        <v>2688</v>
      </c>
      <c r="P397" s="30"/>
      <c r="Q397" s="11" t="str">
        <f>IFERROR(INDEX(SailPattern!$A:$A,MATCH(P397,SailPattern!$B:$B,0)),"-")</f>
        <v>-</v>
      </c>
      <c r="R397" s="30"/>
      <c r="S397" s="11" t="str">
        <f>IFERROR(INDEX(SailCrest!$A:$A,MATCH(R397,SailCrest!$B:$B,0)),"-")</f>
        <v>-</v>
      </c>
      <c r="T397" s="19" t="s">
        <v>0</v>
      </c>
      <c r="U397" s="19" t="s">
        <v>0</v>
      </c>
      <c r="V397" s="19" t="s">
        <v>0</v>
      </c>
      <c r="W397" s="19" t="s">
        <v>0</v>
      </c>
      <c r="X397" s="19" t="s">
        <v>0</v>
      </c>
      <c r="Y397" s="19" t="s">
        <v>0</v>
      </c>
      <c r="Z397" s="19" t="s">
        <v>0</v>
      </c>
      <c r="AA397" s="19" t="s">
        <v>0</v>
      </c>
    </row>
    <row r="398" spans="1:27" ht="15">
      <c r="A398" s="10">
        <f t="shared" si="13"/>
        <v>46100050</v>
      </c>
      <c r="B398" s="40" t="s">
        <v>1706</v>
      </c>
      <c r="C398" s="4" t="s">
        <v>63</v>
      </c>
      <c r="D398" s="11">
        <f>IFERROR(VLOOKUP(C398,ShipShapeEnum!$E:$F,2,FALSE),"-")</f>
        <v>2</v>
      </c>
      <c r="E398" s="19" t="s">
        <v>1189</v>
      </c>
      <c r="F398" s="4" t="s">
        <v>65</v>
      </c>
      <c r="G398" s="11">
        <f>IFERROR(VLOOKUP(F398,ShipShapeEnum!$B:$C,2,FALSE),"-")</f>
        <v>2</v>
      </c>
      <c r="H398" s="19" t="s">
        <v>459</v>
      </c>
      <c r="I398" s="19" t="s">
        <v>0</v>
      </c>
      <c r="J398" s="19" t="s">
        <v>0</v>
      </c>
      <c r="K398" s="19" t="s">
        <v>0</v>
      </c>
      <c r="L398" s="19" t="s">
        <v>0</v>
      </c>
      <c r="M398" s="4" t="s">
        <v>81</v>
      </c>
      <c r="N398" s="11">
        <f>IFERROR(VLOOKUP(M398,ShipShapeEnum!$H:$I,2,FALSE),"-")</f>
        <v>1</v>
      </c>
      <c r="O398" s="11" t="s">
        <v>2688</v>
      </c>
      <c r="P398" s="30"/>
      <c r="Q398" s="11" t="str">
        <f>IFERROR(INDEX(SailPattern!$A:$A,MATCH(P398,SailPattern!$B:$B,0)),"-")</f>
        <v>-</v>
      </c>
      <c r="R398" s="30"/>
      <c r="S398" s="11" t="str">
        <f>IFERROR(INDEX(SailCrest!$A:$A,MATCH(R398,SailCrest!$B:$B,0)),"-")</f>
        <v>-</v>
      </c>
      <c r="T398" s="19" t="s">
        <v>0</v>
      </c>
      <c r="U398" s="19" t="s">
        <v>0</v>
      </c>
      <c r="V398" s="19" t="s">
        <v>0</v>
      </c>
      <c r="W398" s="19" t="s">
        <v>0</v>
      </c>
      <c r="X398" s="19" t="s">
        <v>0</v>
      </c>
      <c r="Y398" s="19" t="s">
        <v>0</v>
      </c>
      <c r="Z398" s="19" t="s">
        <v>0</v>
      </c>
      <c r="AA398" s="19" t="s">
        <v>0</v>
      </c>
    </row>
    <row r="399" spans="1:27" ht="15">
      <c r="A399" s="10">
        <f t="shared" si="13"/>
        <v>46100051</v>
      </c>
      <c r="B399" s="40" t="s">
        <v>1707</v>
      </c>
      <c r="C399" s="4" t="s">
        <v>63</v>
      </c>
      <c r="D399" s="11">
        <f>IFERROR(VLOOKUP(C399,ShipShapeEnum!$E:$F,2,FALSE),"-")</f>
        <v>2</v>
      </c>
      <c r="E399" s="19" t="s">
        <v>1190</v>
      </c>
      <c r="F399" s="4" t="s">
        <v>65</v>
      </c>
      <c r="G399" s="11">
        <f>IFERROR(VLOOKUP(F399,ShipShapeEnum!$B:$C,2,FALSE),"-")</f>
        <v>2</v>
      </c>
      <c r="H399" s="19" t="s">
        <v>460</v>
      </c>
      <c r="I399" s="19" t="s">
        <v>0</v>
      </c>
      <c r="J399" s="19" t="s">
        <v>0</v>
      </c>
      <c r="K399" s="19" t="s">
        <v>0</v>
      </c>
      <c r="L399" s="19" t="s">
        <v>0</v>
      </c>
      <c r="M399" s="4" t="s">
        <v>81</v>
      </c>
      <c r="N399" s="11">
        <f>IFERROR(VLOOKUP(M399,ShipShapeEnum!$H:$I,2,FALSE),"-")</f>
        <v>1</v>
      </c>
      <c r="O399" s="11" t="s">
        <v>2688</v>
      </c>
      <c r="P399" s="30"/>
      <c r="Q399" s="11" t="str">
        <f>IFERROR(INDEX(SailPattern!$A:$A,MATCH(P399,SailPattern!$B:$B,0)),"-")</f>
        <v>-</v>
      </c>
      <c r="R399" s="30"/>
      <c r="S399" s="11" t="str">
        <f>IFERROR(INDEX(SailCrest!$A:$A,MATCH(R399,SailCrest!$B:$B,0)),"-")</f>
        <v>-</v>
      </c>
      <c r="T399" s="19" t="s">
        <v>0</v>
      </c>
      <c r="U399" s="19" t="s">
        <v>0</v>
      </c>
      <c r="V399" s="19" t="s">
        <v>0</v>
      </c>
      <c r="W399" s="19" t="s">
        <v>0</v>
      </c>
      <c r="X399" s="19" t="s">
        <v>0</v>
      </c>
      <c r="Y399" s="19" t="s">
        <v>0</v>
      </c>
      <c r="Z399" s="19" t="s">
        <v>0</v>
      </c>
      <c r="AA399" s="19" t="s">
        <v>0</v>
      </c>
    </row>
    <row r="400" spans="1:27" ht="15">
      <c r="A400" s="10">
        <f t="shared" si="13"/>
        <v>46100052</v>
      </c>
      <c r="B400" s="40" t="s">
        <v>1708</v>
      </c>
      <c r="C400" s="4" t="s">
        <v>63</v>
      </c>
      <c r="D400" s="11">
        <f>IFERROR(VLOOKUP(C400,ShipShapeEnum!$E:$F,2,FALSE),"-")</f>
        <v>2</v>
      </c>
      <c r="E400" s="19" t="s">
        <v>1191</v>
      </c>
      <c r="F400" s="4" t="s">
        <v>65</v>
      </c>
      <c r="G400" s="11">
        <f>IFERROR(VLOOKUP(F400,ShipShapeEnum!$B:$C,2,FALSE),"-")</f>
        <v>2</v>
      </c>
      <c r="H400" s="19" t="s">
        <v>459</v>
      </c>
      <c r="I400" s="19" t="s">
        <v>0</v>
      </c>
      <c r="J400" s="19" t="s">
        <v>0</v>
      </c>
      <c r="K400" s="19" t="s">
        <v>0</v>
      </c>
      <c r="L400" s="19" t="s">
        <v>0</v>
      </c>
      <c r="M400" s="4" t="s">
        <v>81</v>
      </c>
      <c r="N400" s="11">
        <f>IFERROR(VLOOKUP(M400,ShipShapeEnum!$H:$I,2,FALSE),"-")</f>
        <v>1</v>
      </c>
      <c r="O400" s="11" t="s">
        <v>2688</v>
      </c>
      <c r="P400" s="30"/>
      <c r="Q400" s="11" t="str">
        <f>IFERROR(INDEX(SailPattern!$A:$A,MATCH(P400,SailPattern!$B:$B,0)),"-")</f>
        <v>-</v>
      </c>
      <c r="R400" s="30"/>
      <c r="S400" s="11" t="str">
        <f>IFERROR(INDEX(SailCrest!$A:$A,MATCH(R400,SailCrest!$B:$B,0)),"-")</f>
        <v>-</v>
      </c>
      <c r="T400" s="19" t="s">
        <v>0</v>
      </c>
      <c r="U400" s="19" t="s">
        <v>0</v>
      </c>
      <c r="V400" s="19" t="s">
        <v>0</v>
      </c>
      <c r="W400" s="19" t="s">
        <v>0</v>
      </c>
      <c r="X400" s="19" t="s">
        <v>0</v>
      </c>
      <c r="Y400" s="19" t="s">
        <v>0</v>
      </c>
      <c r="Z400" s="19" t="s">
        <v>0</v>
      </c>
      <c r="AA400" s="19" t="s">
        <v>0</v>
      </c>
    </row>
    <row r="401" spans="1:27" ht="15">
      <c r="A401" s="10">
        <f t="shared" si="13"/>
        <v>46100053</v>
      </c>
      <c r="B401" s="40" t="s">
        <v>1709</v>
      </c>
      <c r="C401" s="4" t="s">
        <v>63</v>
      </c>
      <c r="D401" s="11">
        <f>IFERROR(VLOOKUP(C401,ShipShapeEnum!$E:$F,2,FALSE),"-")</f>
        <v>2</v>
      </c>
      <c r="E401" s="19" t="s">
        <v>1192</v>
      </c>
      <c r="F401" s="4" t="s">
        <v>65</v>
      </c>
      <c r="G401" s="11">
        <f>IFERROR(VLOOKUP(F401,ShipShapeEnum!$B:$C,2,FALSE),"-")</f>
        <v>2</v>
      </c>
      <c r="H401" s="19" t="s">
        <v>459</v>
      </c>
      <c r="I401" s="19" t="s">
        <v>0</v>
      </c>
      <c r="J401" s="19" t="s">
        <v>0</v>
      </c>
      <c r="K401" s="19" t="s">
        <v>0</v>
      </c>
      <c r="L401" s="19" t="s">
        <v>0</v>
      </c>
      <c r="M401" s="4" t="s">
        <v>81</v>
      </c>
      <c r="N401" s="11">
        <f>IFERROR(VLOOKUP(M401,ShipShapeEnum!$H:$I,2,FALSE),"-")</f>
        <v>1</v>
      </c>
      <c r="O401" s="11" t="s">
        <v>2688</v>
      </c>
      <c r="P401" s="30"/>
      <c r="Q401" s="11" t="str">
        <f>IFERROR(INDEX(SailPattern!$A:$A,MATCH(P401,SailPattern!$B:$B,0)),"-")</f>
        <v>-</v>
      </c>
      <c r="R401" s="30"/>
      <c r="S401" s="11" t="str">
        <f>IFERROR(INDEX(SailCrest!$A:$A,MATCH(R401,SailCrest!$B:$B,0)),"-")</f>
        <v>-</v>
      </c>
      <c r="T401" s="19" t="s">
        <v>0</v>
      </c>
      <c r="U401" s="19" t="s">
        <v>0</v>
      </c>
      <c r="V401" s="19" t="s">
        <v>0</v>
      </c>
      <c r="W401" s="19" t="s">
        <v>0</v>
      </c>
      <c r="X401" s="19" t="s">
        <v>0</v>
      </c>
      <c r="Y401" s="19" t="s">
        <v>0</v>
      </c>
      <c r="Z401" s="19" t="s">
        <v>0</v>
      </c>
      <c r="AA401" s="19" t="s">
        <v>0</v>
      </c>
    </row>
    <row r="402" spans="1:27" ht="15">
      <c r="A402" s="10">
        <f>A401+1</f>
        <v>46100054</v>
      </c>
      <c r="B402" s="40" t="s">
        <v>1710</v>
      </c>
      <c r="C402" s="4" t="s">
        <v>63</v>
      </c>
      <c r="D402" s="11">
        <f>IFERROR(VLOOKUP(C402,ShipShapeEnum!$E:$F,2,FALSE),"-")</f>
        <v>2</v>
      </c>
      <c r="E402" s="19" t="s">
        <v>1193</v>
      </c>
      <c r="F402" s="4" t="s">
        <v>65</v>
      </c>
      <c r="G402" s="11">
        <f>IFERROR(VLOOKUP(F402,ShipShapeEnum!$B:$C,2,FALSE),"-")</f>
        <v>2</v>
      </c>
      <c r="H402" s="19" t="s">
        <v>459</v>
      </c>
      <c r="I402" s="19" t="s">
        <v>0</v>
      </c>
      <c r="J402" s="19" t="s">
        <v>0</v>
      </c>
      <c r="K402" s="19" t="s">
        <v>0</v>
      </c>
      <c r="L402" s="19" t="s">
        <v>0</v>
      </c>
      <c r="M402" s="4" t="s">
        <v>81</v>
      </c>
      <c r="N402" s="11">
        <f>IFERROR(VLOOKUP(M402,ShipShapeEnum!$H:$I,2,FALSE),"-")</f>
        <v>1</v>
      </c>
      <c r="O402" s="11" t="s">
        <v>2688</v>
      </c>
      <c r="P402" s="30"/>
      <c r="Q402" s="11" t="str">
        <f>IFERROR(INDEX(SailPattern!$A:$A,MATCH(P402,SailPattern!$B:$B,0)),"-")</f>
        <v>-</v>
      </c>
      <c r="R402" s="30"/>
      <c r="S402" s="11" t="str">
        <f>IFERROR(INDEX(SailCrest!$A:$A,MATCH(R402,SailCrest!$B:$B,0)),"-")</f>
        <v>-</v>
      </c>
      <c r="T402" s="19" t="s">
        <v>0</v>
      </c>
      <c r="U402" s="19" t="s">
        <v>0</v>
      </c>
      <c r="V402" s="19" t="s">
        <v>0</v>
      </c>
      <c r="W402" s="19" t="s">
        <v>0</v>
      </c>
      <c r="X402" s="19" t="s">
        <v>0</v>
      </c>
      <c r="Y402" s="19" t="s">
        <v>0</v>
      </c>
      <c r="Z402" s="19" t="s">
        <v>0</v>
      </c>
      <c r="AA402" s="19" t="s">
        <v>0</v>
      </c>
    </row>
    <row r="403" spans="1:27" ht="15">
      <c r="A403" s="10">
        <f t="shared" ref="A403:A407" si="14">A402+1</f>
        <v>46100055</v>
      </c>
      <c r="B403" s="40" t="s">
        <v>1711</v>
      </c>
      <c r="C403" s="4" t="s">
        <v>63</v>
      </c>
      <c r="D403" s="11">
        <f>IFERROR(VLOOKUP(C403,ShipShapeEnum!$E:$F,2,FALSE),"-")</f>
        <v>2</v>
      </c>
      <c r="E403" s="19" t="s">
        <v>1235</v>
      </c>
      <c r="F403" s="4" t="s">
        <v>65</v>
      </c>
      <c r="G403" s="11">
        <f>IFERROR(VLOOKUP(F403,ShipShapeEnum!$B:$C,2,FALSE),"-")</f>
        <v>2</v>
      </c>
      <c r="H403" s="19" t="s">
        <v>459</v>
      </c>
      <c r="I403" s="19" t="s">
        <v>0</v>
      </c>
      <c r="J403" s="19" t="s">
        <v>0</v>
      </c>
      <c r="K403" s="19" t="s">
        <v>0</v>
      </c>
      <c r="L403" s="19" t="s">
        <v>0</v>
      </c>
      <c r="M403" s="4" t="s">
        <v>81</v>
      </c>
      <c r="N403" s="11">
        <f>IFERROR(VLOOKUP(M403,ShipShapeEnum!$H:$I,2,FALSE),"-")</f>
        <v>1</v>
      </c>
      <c r="O403" s="11" t="s">
        <v>2688</v>
      </c>
      <c r="P403" s="30"/>
      <c r="Q403" s="11" t="str">
        <f>IFERROR(INDEX(SailPattern!$A:$A,MATCH(P403,SailPattern!$B:$B,0)),"-")</f>
        <v>-</v>
      </c>
      <c r="R403" s="30"/>
      <c r="S403" s="11" t="str">
        <f>IFERROR(INDEX(SailCrest!$A:$A,MATCH(R403,SailCrest!$B:$B,0)),"-")</f>
        <v>-</v>
      </c>
      <c r="T403" s="19" t="s">
        <v>0</v>
      </c>
      <c r="U403" s="19" t="s">
        <v>0</v>
      </c>
      <c r="V403" s="19" t="s">
        <v>0</v>
      </c>
      <c r="W403" s="19" t="s">
        <v>0</v>
      </c>
      <c r="X403" s="19" t="s">
        <v>0</v>
      </c>
      <c r="Y403" s="19" t="s">
        <v>0</v>
      </c>
      <c r="Z403" s="19" t="s">
        <v>0</v>
      </c>
      <c r="AA403" s="19" t="s">
        <v>0</v>
      </c>
    </row>
    <row r="404" spans="1:27" ht="15">
      <c r="A404" s="10">
        <f t="shared" si="14"/>
        <v>46100056</v>
      </c>
      <c r="B404" s="40" t="s">
        <v>1712</v>
      </c>
      <c r="C404" s="4" t="s">
        <v>63</v>
      </c>
      <c r="D404" s="11">
        <f>IFERROR(VLOOKUP(C404,ShipShapeEnum!$E:$F,2,FALSE),"-")</f>
        <v>2</v>
      </c>
      <c r="E404" s="48" t="s">
        <v>1230</v>
      </c>
      <c r="F404" s="4" t="s">
        <v>65</v>
      </c>
      <c r="G404" s="11">
        <f>IFERROR(VLOOKUP(F404,ShipShapeEnum!$B:$C,2,FALSE),"-")</f>
        <v>2</v>
      </c>
      <c r="H404" s="19" t="s">
        <v>459</v>
      </c>
      <c r="I404" s="19" t="s">
        <v>0</v>
      </c>
      <c r="J404" s="19" t="s">
        <v>0</v>
      </c>
      <c r="K404" s="19" t="s">
        <v>0</v>
      </c>
      <c r="L404" s="19" t="s">
        <v>0</v>
      </c>
      <c r="M404" s="4" t="s">
        <v>81</v>
      </c>
      <c r="N404" s="11">
        <f>IFERROR(VLOOKUP(M404,ShipShapeEnum!$H:$I,2,FALSE),"-")</f>
        <v>1</v>
      </c>
      <c r="O404" s="11" t="s">
        <v>2688</v>
      </c>
      <c r="P404" s="30"/>
      <c r="Q404" s="11" t="str">
        <f>IFERROR(INDEX(SailPattern!$A:$A,MATCH(P404,SailPattern!$B:$B,0)),"-")</f>
        <v>-</v>
      </c>
      <c r="R404" s="30"/>
      <c r="S404" s="11" t="str">
        <f>IFERROR(INDEX(SailCrest!$A:$A,MATCH(R404,SailCrest!$B:$B,0)),"-")</f>
        <v>-</v>
      </c>
      <c r="T404" s="19" t="s">
        <v>0</v>
      </c>
      <c r="U404" s="19" t="s">
        <v>0</v>
      </c>
      <c r="V404" s="19" t="s">
        <v>0</v>
      </c>
      <c r="W404" s="19" t="s">
        <v>0</v>
      </c>
      <c r="X404" s="19" t="s">
        <v>0</v>
      </c>
      <c r="Y404" s="19" t="s">
        <v>0</v>
      </c>
      <c r="Z404" s="19" t="s">
        <v>0</v>
      </c>
      <c r="AA404" s="19" t="s">
        <v>0</v>
      </c>
    </row>
    <row r="405" spans="1:27" ht="15">
      <c r="A405" s="10">
        <f t="shared" si="14"/>
        <v>46100057</v>
      </c>
      <c r="B405" s="40" t="s">
        <v>1713</v>
      </c>
      <c r="C405" s="4" t="s">
        <v>63</v>
      </c>
      <c r="D405" s="11">
        <f>IFERROR(VLOOKUP(C405,ShipShapeEnum!$E:$F,2,FALSE),"-")</f>
        <v>2</v>
      </c>
      <c r="E405" s="19" t="s">
        <v>1231</v>
      </c>
      <c r="F405" s="4" t="s">
        <v>65</v>
      </c>
      <c r="G405" s="11">
        <f>IFERROR(VLOOKUP(F405,ShipShapeEnum!$B:$C,2,FALSE),"-")</f>
        <v>2</v>
      </c>
      <c r="H405" s="19" t="s">
        <v>459</v>
      </c>
      <c r="I405" s="19" t="s">
        <v>0</v>
      </c>
      <c r="J405" s="19" t="s">
        <v>0</v>
      </c>
      <c r="K405" s="19" t="s">
        <v>0</v>
      </c>
      <c r="L405" s="19" t="s">
        <v>0</v>
      </c>
      <c r="M405" s="4" t="s">
        <v>81</v>
      </c>
      <c r="N405" s="11">
        <f>IFERROR(VLOOKUP(M405,ShipShapeEnum!$H:$I,2,FALSE),"-")</f>
        <v>1</v>
      </c>
      <c r="O405" s="11" t="s">
        <v>2688</v>
      </c>
      <c r="P405" s="30"/>
      <c r="Q405" s="11" t="str">
        <f>IFERROR(INDEX(SailPattern!$A:$A,MATCH(P405,SailPattern!$B:$B,0)),"-")</f>
        <v>-</v>
      </c>
      <c r="R405" s="30"/>
      <c r="S405" s="11" t="str">
        <f>IFERROR(INDEX(SailCrest!$A:$A,MATCH(R405,SailCrest!$B:$B,0)),"-")</f>
        <v>-</v>
      </c>
      <c r="T405" s="19" t="s">
        <v>0</v>
      </c>
      <c r="U405" s="19" t="s">
        <v>0</v>
      </c>
      <c r="V405" s="19" t="s">
        <v>0</v>
      </c>
      <c r="W405" s="19" t="s">
        <v>0</v>
      </c>
      <c r="X405" s="19" t="s">
        <v>0</v>
      </c>
      <c r="Y405" s="19" t="s">
        <v>0</v>
      </c>
      <c r="Z405" s="19" t="s">
        <v>0</v>
      </c>
      <c r="AA405" s="19" t="s">
        <v>0</v>
      </c>
    </row>
    <row r="406" spans="1:27" ht="15">
      <c r="A406" s="10">
        <f t="shared" si="14"/>
        <v>46100058</v>
      </c>
      <c r="B406" s="40" t="s">
        <v>1714</v>
      </c>
      <c r="C406" s="4" t="s">
        <v>63</v>
      </c>
      <c r="D406" s="11">
        <f>IFERROR(VLOOKUP(C406,ShipShapeEnum!$E:$F,2,FALSE),"-")</f>
        <v>2</v>
      </c>
      <c r="E406" s="19" t="s">
        <v>1232</v>
      </c>
      <c r="F406" s="4" t="s">
        <v>65</v>
      </c>
      <c r="G406" s="11">
        <f>IFERROR(VLOOKUP(F406,ShipShapeEnum!$B:$C,2,FALSE),"-")</f>
        <v>2</v>
      </c>
      <c r="H406" s="19" t="s">
        <v>460</v>
      </c>
      <c r="I406" s="19" t="s">
        <v>0</v>
      </c>
      <c r="J406" s="19" t="s">
        <v>0</v>
      </c>
      <c r="K406" s="19" t="s">
        <v>0</v>
      </c>
      <c r="L406" s="19" t="s">
        <v>0</v>
      </c>
      <c r="M406" s="4" t="s">
        <v>81</v>
      </c>
      <c r="N406" s="11">
        <f>IFERROR(VLOOKUP(M406,ShipShapeEnum!$H:$I,2,FALSE),"-")</f>
        <v>1</v>
      </c>
      <c r="O406" s="11" t="s">
        <v>2688</v>
      </c>
      <c r="P406" s="30"/>
      <c r="Q406" s="11" t="str">
        <f>IFERROR(INDEX(SailPattern!$A:$A,MATCH(P406,SailPattern!$B:$B,0)),"-")</f>
        <v>-</v>
      </c>
      <c r="R406" s="30"/>
      <c r="S406" s="11" t="str">
        <f>IFERROR(INDEX(SailCrest!$A:$A,MATCH(R406,SailCrest!$B:$B,0)),"-")</f>
        <v>-</v>
      </c>
      <c r="T406" s="19" t="s">
        <v>0</v>
      </c>
      <c r="U406" s="19" t="s">
        <v>0</v>
      </c>
      <c r="V406" s="19" t="s">
        <v>0</v>
      </c>
      <c r="W406" s="19" t="s">
        <v>0</v>
      </c>
      <c r="X406" s="19" t="s">
        <v>0</v>
      </c>
      <c r="Y406" s="19" t="s">
        <v>0</v>
      </c>
      <c r="Z406" s="19" t="s">
        <v>0</v>
      </c>
      <c r="AA406" s="19" t="s">
        <v>0</v>
      </c>
    </row>
    <row r="407" spans="1:27" ht="15">
      <c r="A407" s="10">
        <f t="shared" si="14"/>
        <v>46100059</v>
      </c>
      <c r="B407" s="40" t="s">
        <v>1715</v>
      </c>
      <c r="C407" s="4" t="s">
        <v>63</v>
      </c>
      <c r="D407" s="11">
        <f>IFERROR(VLOOKUP(C407,ShipShapeEnum!$E:$F,2,FALSE),"-")</f>
        <v>2</v>
      </c>
      <c r="E407" s="19" t="s">
        <v>1233</v>
      </c>
      <c r="F407" s="4" t="s">
        <v>65</v>
      </c>
      <c r="G407" s="11">
        <f>IFERROR(VLOOKUP(F407,ShipShapeEnum!$B:$C,2,FALSE),"-")</f>
        <v>2</v>
      </c>
      <c r="H407" s="19" t="s">
        <v>460</v>
      </c>
      <c r="I407" s="19" t="s">
        <v>0</v>
      </c>
      <c r="J407" s="19" t="s">
        <v>0</v>
      </c>
      <c r="K407" s="19" t="s">
        <v>0</v>
      </c>
      <c r="L407" s="19" t="s">
        <v>0</v>
      </c>
      <c r="M407" s="4" t="s">
        <v>81</v>
      </c>
      <c r="N407" s="11">
        <f>IFERROR(VLOOKUP(M407,ShipShapeEnum!$H:$I,2,FALSE),"-")</f>
        <v>1</v>
      </c>
      <c r="O407" s="11" t="s">
        <v>2688</v>
      </c>
      <c r="P407" s="30"/>
      <c r="Q407" s="11" t="str">
        <f>IFERROR(INDEX(SailPattern!$A:$A,MATCH(P407,SailPattern!$B:$B,0)),"-")</f>
        <v>-</v>
      </c>
      <c r="R407" s="30"/>
      <c r="S407" s="11" t="str">
        <f>IFERROR(INDEX(SailCrest!$A:$A,MATCH(R407,SailCrest!$B:$B,0)),"-")</f>
        <v>-</v>
      </c>
      <c r="T407" s="19" t="s">
        <v>0</v>
      </c>
      <c r="U407" s="19" t="s">
        <v>0</v>
      </c>
      <c r="V407" s="19" t="s">
        <v>0</v>
      </c>
      <c r="W407" s="19" t="s">
        <v>0</v>
      </c>
      <c r="X407" s="19" t="s">
        <v>0</v>
      </c>
      <c r="Y407" s="19" t="s">
        <v>0</v>
      </c>
      <c r="Z407" s="19" t="s">
        <v>0</v>
      </c>
      <c r="AA407" s="19" t="s">
        <v>0</v>
      </c>
    </row>
    <row r="408" spans="1:27" ht="15">
      <c r="A408" s="10">
        <f>A407+1</f>
        <v>46100060</v>
      </c>
      <c r="B408" s="40" t="s">
        <v>2318</v>
      </c>
      <c r="C408" s="4" t="s">
        <v>63</v>
      </c>
      <c r="D408" s="11">
        <f>IFERROR(VLOOKUP(C408,ShipShapeEnum!$E:$F,2,FALSE),"-")</f>
        <v>2</v>
      </c>
      <c r="E408" s="19" t="s">
        <v>1234</v>
      </c>
      <c r="F408" s="4" t="s">
        <v>65</v>
      </c>
      <c r="G408" s="11">
        <f>IFERROR(VLOOKUP(F408,ShipShapeEnum!$B:$C,2,FALSE),"-")</f>
        <v>2</v>
      </c>
      <c r="H408" s="19" t="s">
        <v>459</v>
      </c>
      <c r="I408" s="19" t="s">
        <v>0</v>
      </c>
      <c r="J408" s="19" t="s">
        <v>0</v>
      </c>
      <c r="K408" s="19" t="s">
        <v>0</v>
      </c>
      <c r="L408" s="19" t="s">
        <v>0</v>
      </c>
      <c r="M408" s="4" t="s">
        <v>81</v>
      </c>
      <c r="N408" s="11">
        <f>IFERROR(VLOOKUP(M408,ShipShapeEnum!$H:$I,2,FALSE),"-")</f>
        <v>1</v>
      </c>
      <c r="O408" s="11" t="s">
        <v>2688</v>
      </c>
      <c r="P408" s="30"/>
      <c r="Q408" s="11" t="str">
        <f>IFERROR(INDEX(SailPattern!$A:$A,MATCH(P408,SailPattern!$B:$B,0)),"-")</f>
        <v>-</v>
      </c>
      <c r="R408" s="30"/>
      <c r="S408" s="11" t="str">
        <f>IFERROR(INDEX(SailCrest!$A:$A,MATCH(R408,SailCrest!$B:$B,0)),"-")</f>
        <v>-</v>
      </c>
      <c r="T408" s="19" t="s">
        <v>0</v>
      </c>
      <c r="U408" s="19" t="s">
        <v>0</v>
      </c>
      <c r="V408" s="19" t="s">
        <v>0</v>
      </c>
      <c r="W408" s="19" t="s">
        <v>0</v>
      </c>
      <c r="X408" s="19" t="s">
        <v>0</v>
      </c>
      <c r="Y408" s="19" t="s">
        <v>0</v>
      </c>
      <c r="Z408" s="19" t="s">
        <v>0</v>
      </c>
      <c r="AA408" s="19" t="s">
        <v>0</v>
      </c>
    </row>
    <row r="409" spans="1:27" ht="15">
      <c r="A409" s="10">
        <f t="shared" ref="A409:A472" si="15">A408+1</f>
        <v>46100061</v>
      </c>
      <c r="B409" s="40" t="s">
        <v>1716</v>
      </c>
      <c r="C409" s="4" t="s">
        <v>63</v>
      </c>
      <c r="D409" s="11">
        <f>IFERROR(VLOOKUP(C409,ShipShapeEnum!$E:$F,2,FALSE),"-")</f>
        <v>2</v>
      </c>
      <c r="E409" s="19" t="s">
        <v>1588</v>
      </c>
      <c r="F409" s="4" t="s">
        <v>65</v>
      </c>
      <c r="G409" s="11">
        <f>IFERROR(VLOOKUP(F409,ShipShapeEnum!$B:$C,2,FALSE),"-")</f>
        <v>2</v>
      </c>
      <c r="H409" s="19" t="s">
        <v>459</v>
      </c>
      <c r="I409" s="19" t="s">
        <v>0</v>
      </c>
      <c r="J409" s="19" t="s">
        <v>0</v>
      </c>
      <c r="K409" s="19" t="s">
        <v>0</v>
      </c>
      <c r="L409" s="19" t="s">
        <v>0</v>
      </c>
      <c r="M409" s="4" t="s">
        <v>81</v>
      </c>
      <c r="N409" s="11">
        <f>IFERROR(VLOOKUP(M409,ShipShapeEnum!$H:$I,2,FALSE),"-")</f>
        <v>1</v>
      </c>
      <c r="O409" s="11" t="s">
        <v>2688</v>
      </c>
      <c r="P409" s="30"/>
      <c r="Q409" s="11" t="str">
        <f>IFERROR(INDEX(SailPattern!$A:$A,MATCH(P409,SailPattern!$B:$B,0)),"-")</f>
        <v>-</v>
      </c>
      <c r="R409" s="30"/>
      <c r="S409" s="11" t="str">
        <f>IFERROR(INDEX(SailCrest!$A:$A,MATCH(R409,SailCrest!$B:$B,0)),"-")</f>
        <v>-</v>
      </c>
      <c r="T409" s="19" t="s">
        <v>0</v>
      </c>
      <c r="U409" s="19" t="s">
        <v>0</v>
      </c>
      <c r="V409" s="19" t="s">
        <v>0</v>
      </c>
      <c r="W409" s="19" t="s">
        <v>0</v>
      </c>
      <c r="X409" s="19" t="s">
        <v>0</v>
      </c>
      <c r="Y409" s="19" t="s">
        <v>0</v>
      </c>
      <c r="Z409" s="19" t="s">
        <v>0</v>
      </c>
      <c r="AA409" s="19" t="s">
        <v>0</v>
      </c>
    </row>
    <row r="410" spans="1:27" ht="15">
      <c r="A410" s="10">
        <f t="shared" si="15"/>
        <v>46100062</v>
      </c>
      <c r="B410" s="40" t="s">
        <v>1717</v>
      </c>
      <c r="C410" s="4" t="s">
        <v>63</v>
      </c>
      <c r="D410" s="11">
        <f>IFERROR(VLOOKUP(C410,ShipShapeEnum!$E:$F,2,FALSE),"-")</f>
        <v>2</v>
      </c>
      <c r="E410" s="53" t="s">
        <v>1589</v>
      </c>
      <c r="F410" s="4" t="s">
        <v>65</v>
      </c>
      <c r="G410" s="11">
        <f>IFERROR(VLOOKUP(F410,ShipShapeEnum!$B:$C,2,FALSE),"-")</f>
        <v>2</v>
      </c>
      <c r="H410" s="19" t="s">
        <v>460</v>
      </c>
      <c r="I410" s="19" t="s">
        <v>0</v>
      </c>
      <c r="J410" s="19" t="s">
        <v>0</v>
      </c>
      <c r="K410" s="19" t="s">
        <v>0</v>
      </c>
      <c r="L410" s="19" t="s">
        <v>0</v>
      </c>
      <c r="M410" s="4" t="s">
        <v>81</v>
      </c>
      <c r="N410" s="11">
        <f>IFERROR(VLOOKUP(M410,ShipShapeEnum!$H:$I,2,FALSE),"-")</f>
        <v>1</v>
      </c>
      <c r="O410" s="11" t="s">
        <v>2688</v>
      </c>
      <c r="P410" s="30"/>
      <c r="Q410" s="11" t="str">
        <f>IFERROR(INDEX(SailPattern!$A:$A,MATCH(P410,SailPattern!$B:$B,0)),"-")</f>
        <v>-</v>
      </c>
      <c r="R410" s="30"/>
      <c r="S410" s="11" t="str">
        <f>IFERROR(INDEX(SailCrest!$A:$A,MATCH(R410,SailCrest!$B:$B,0)),"-")</f>
        <v>-</v>
      </c>
      <c r="T410" s="19" t="s">
        <v>0</v>
      </c>
      <c r="U410" s="19" t="s">
        <v>0</v>
      </c>
      <c r="V410" s="19" t="s">
        <v>0</v>
      </c>
      <c r="W410" s="19" t="s">
        <v>0</v>
      </c>
      <c r="X410" s="19" t="s">
        <v>0</v>
      </c>
      <c r="Y410" s="19" t="s">
        <v>0</v>
      </c>
      <c r="Z410" s="19" t="s">
        <v>0</v>
      </c>
      <c r="AA410" s="19" t="s">
        <v>0</v>
      </c>
    </row>
    <row r="411" spans="1:27" ht="15">
      <c r="A411" s="10">
        <f t="shared" si="15"/>
        <v>46100063</v>
      </c>
      <c r="B411" s="40" t="s">
        <v>1718</v>
      </c>
      <c r="C411" s="4" t="s">
        <v>63</v>
      </c>
      <c r="D411" s="11">
        <f>IFERROR(VLOOKUP(C411,ShipShapeEnum!$E:$F,2,FALSE),"-")</f>
        <v>2</v>
      </c>
      <c r="E411" s="19" t="s">
        <v>1590</v>
      </c>
      <c r="F411" s="4" t="s">
        <v>65</v>
      </c>
      <c r="G411" s="11">
        <f>IFERROR(VLOOKUP(F411,ShipShapeEnum!$B:$C,2,FALSE),"-")</f>
        <v>2</v>
      </c>
      <c r="H411" s="19" t="s">
        <v>459</v>
      </c>
      <c r="I411" s="19" t="s">
        <v>0</v>
      </c>
      <c r="J411" s="19" t="s">
        <v>0</v>
      </c>
      <c r="K411" s="19" t="s">
        <v>0</v>
      </c>
      <c r="L411" s="19" t="s">
        <v>0</v>
      </c>
      <c r="M411" s="4" t="s">
        <v>81</v>
      </c>
      <c r="N411" s="11">
        <f>IFERROR(VLOOKUP(M411,ShipShapeEnum!$H:$I,2,FALSE),"-")</f>
        <v>1</v>
      </c>
      <c r="O411" s="11" t="s">
        <v>2688</v>
      </c>
      <c r="P411" s="30"/>
      <c r="Q411" s="11" t="str">
        <f>IFERROR(INDEX(SailPattern!$A:$A,MATCH(P411,SailPattern!$B:$B,0)),"-")</f>
        <v>-</v>
      </c>
      <c r="R411" s="30"/>
      <c r="S411" s="11" t="str">
        <f>IFERROR(INDEX(SailCrest!$A:$A,MATCH(R411,SailCrest!$B:$B,0)),"-")</f>
        <v>-</v>
      </c>
      <c r="T411" s="19" t="s">
        <v>0</v>
      </c>
      <c r="U411" s="19" t="s">
        <v>0</v>
      </c>
      <c r="V411" s="19" t="s">
        <v>0</v>
      </c>
      <c r="W411" s="19" t="s">
        <v>0</v>
      </c>
      <c r="X411" s="19" t="s">
        <v>0</v>
      </c>
      <c r="Y411" s="19" t="s">
        <v>0</v>
      </c>
      <c r="Z411" s="19" t="s">
        <v>0</v>
      </c>
      <c r="AA411" s="19" t="s">
        <v>0</v>
      </c>
    </row>
    <row r="412" spans="1:27" ht="15">
      <c r="A412" s="10">
        <f t="shared" si="15"/>
        <v>46100064</v>
      </c>
      <c r="B412" s="40" t="s">
        <v>1719</v>
      </c>
      <c r="C412" s="4" t="s">
        <v>63</v>
      </c>
      <c r="D412" s="11">
        <f>IFERROR(VLOOKUP(C412,ShipShapeEnum!$E:$F,2,FALSE),"-")</f>
        <v>2</v>
      </c>
      <c r="E412" s="19" t="s">
        <v>1591</v>
      </c>
      <c r="F412" s="4" t="s">
        <v>65</v>
      </c>
      <c r="G412" s="11">
        <f>IFERROR(VLOOKUP(F412,ShipShapeEnum!$B:$C,2,FALSE),"-")</f>
        <v>2</v>
      </c>
      <c r="H412" s="19" t="s">
        <v>459</v>
      </c>
      <c r="I412" s="19" t="s">
        <v>0</v>
      </c>
      <c r="J412" s="19" t="s">
        <v>0</v>
      </c>
      <c r="K412" s="19" t="s">
        <v>0</v>
      </c>
      <c r="L412" s="19" t="s">
        <v>0</v>
      </c>
      <c r="M412" s="4" t="s">
        <v>81</v>
      </c>
      <c r="N412" s="11">
        <f>IFERROR(VLOOKUP(M412,ShipShapeEnum!$H:$I,2,FALSE),"-")</f>
        <v>1</v>
      </c>
      <c r="O412" s="11" t="s">
        <v>2688</v>
      </c>
      <c r="P412" s="30"/>
      <c r="Q412" s="11" t="str">
        <f>IFERROR(INDEX(SailPattern!$A:$A,MATCH(P412,SailPattern!$B:$B,0)),"-")</f>
        <v>-</v>
      </c>
      <c r="R412" s="30"/>
      <c r="S412" s="11" t="str">
        <f>IFERROR(INDEX(SailCrest!$A:$A,MATCH(R412,SailCrest!$B:$B,0)),"-")</f>
        <v>-</v>
      </c>
      <c r="T412" s="19" t="s">
        <v>0</v>
      </c>
      <c r="U412" s="19" t="s">
        <v>0</v>
      </c>
      <c r="V412" s="19" t="s">
        <v>0</v>
      </c>
      <c r="W412" s="19" t="s">
        <v>0</v>
      </c>
      <c r="X412" s="19" t="s">
        <v>0</v>
      </c>
      <c r="Y412" s="19" t="s">
        <v>0</v>
      </c>
      <c r="Z412" s="19" t="s">
        <v>0</v>
      </c>
      <c r="AA412" s="19" t="s">
        <v>0</v>
      </c>
    </row>
    <row r="413" spans="1:27" ht="15">
      <c r="A413" s="10">
        <f t="shared" si="15"/>
        <v>46100065</v>
      </c>
      <c r="B413" s="40" t="s">
        <v>1720</v>
      </c>
      <c r="C413" s="4" t="s">
        <v>63</v>
      </c>
      <c r="D413" s="11">
        <f>IFERROR(VLOOKUP(C413,ShipShapeEnum!$E:$F,2,FALSE),"-")</f>
        <v>2</v>
      </c>
      <c r="E413" s="19" t="s">
        <v>1592</v>
      </c>
      <c r="F413" s="4" t="s">
        <v>65</v>
      </c>
      <c r="G413" s="11">
        <f>IFERROR(VLOOKUP(F413,ShipShapeEnum!$B:$C,2,FALSE),"-")</f>
        <v>2</v>
      </c>
      <c r="H413" s="19" t="s">
        <v>459</v>
      </c>
      <c r="I413" s="19" t="s">
        <v>0</v>
      </c>
      <c r="J413" s="19" t="s">
        <v>0</v>
      </c>
      <c r="K413" s="19" t="s">
        <v>0</v>
      </c>
      <c r="L413" s="19" t="s">
        <v>0</v>
      </c>
      <c r="M413" s="4" t="s">
        <v>81</v>
      </c>
      <c r="N413" s="11">
        <f>IFERROR(VLOOKUP(M413,ShipShapeEnum!$H:$I,2,FALSE),"-")</f>
        <v>1</v>
      </c>
      <c r="O413" s="11" t="s">
        <v>2688</v>
      </c>
      <c r="P413" s="30"/>
      <c r="Q413" s="11" t="str">
        <f>IFERROR(INDEX(SailPattern!$A:$A,MATCH(P413,SailPattern!$B:$B,0)),"-")</f>
        <v>-</v>
      </c>
      <c r="R413" s="30"/>
      <c r="S413" s="11" t="str">
        <f>IFERROR(INDEX(SailCrest!$A:$A,MATCH(R413,SailCrest!$B:$B,0)),"-")</f>
        <v>-</v>
      </c>
      <c r="T413" s="19" t="s">
        <v>0</v>
      </c>
      <c r="U413" s="19" t="s">
        <v>0</v>
      </c>
      <c r="V413" s="19" t="s">
        <v>0</v>
      </c>
      <c r="W413" s="19" t="s">
        <v>0</v>
      </c>
      <c r="X413" s="19" t="s">
        <v>0</v>
      </c>
      <c r="Y413" s="19" t="s">
        <v>0</v>
      </c>
      <c r="Z413" s="19" t="s">
        <v>0</v>
      </c>
      <c r="AA413" s="19" t="s">
        <v>0</v>
      </c>
    </row>
    <row r="414" spans="1:27" ht="15">
      <c r="A414" s="10">
        <f t="shared" si="15"/>
        <v>46100066</v>
      </c>
      <c r="B414" s="40" t="s">
        <v>1721</v>
      </c>
      <c r="C414" s="4" t="s">
        <v>63</v>
      </c>
      <c r="D414" s="11">
        <f>IFERROR(VLOOKUP(C414,ShipShapeEnum!$E:$F,2,FALSE),"-")</f>
        <v>2</v>
      </c>
      <c r="E414" s="19" t="s">
        <v>1593</v>
      </c>
      <c r="F414" s="4" t="s">
        <v>65</v>
      </c>
      <c r="G414" s="11">
        <f>IFERROR(VLOOKUP(F414,ShipShapeEnum!$B:$C,2,FALSE),"-")</f>
        <v>2</v>
      </c>
      <c r="H414" s="19" t="s">
        <v>459</v>
      </c>
      <c r="I414" s="19" t="s">
        <v>0</v>
      </c>
      <c r="J414" s="19" t="s">
        <v>0</v>
      </c>
      <c r="K414" s="19" t="s">
        <v>0</v>
      </c>
      <c r="L414" s="19" t="s">
        <v>0</v>
      </c>
      <c r="M414" s="4" t="s">
        <v>81</v>
      </c>
      <c r="N414" s="11">
        <f>IFERROR(VLOOKUP(M414,ShipShapeEnum!$H:$I,2,FALSE),"-")</f>
        <v>1</v>
      </c>
      <c r="O414" s="11" t="s">
        <v>2688</v>
      </c>
      <c r="P414" s="30"/>
      <c r="Q414" s="11" t="str">
        <f>IFERROR(INDEX(SailPattern!$A:$A,MATCH(P414,SailPattern!$B:$B,0)),"-")</f>
        <v>-</v>
      </c>
      <c r="R414" s="30"/>
      <c r="S414" s="11" t="str">
        <f>IFERROR(INDEX(SailCrest!$A:$A,MATCH(R414,SailCrest!$B:$B,0)),"-")</f>
        <v>-</v>
      </c>
      <c r="T414" s="19" t="s">
        <v>0</v>
      </c>
      <c r="U414" s="19" t="s">
        <v>0</v>
      </c>
      <c r="V414" s="19" t="s">
        <v>0</v>
      </c>
      <c r="W414" s="19" t="s">
        <v>0</v>
      </c>
      <c r="X414" s="19" t="s">
        <v>0</v>
      </c>
      <c r="Y414" s="19" t="s">
        <v>0</v>
      </c>
      <c r="Z414" s="19" t="s">
        <v>0</v>
      </c>
      <c r="AA414" s="19" t="s">
        <v>0</v>
      </c>
    </row>
    <row r="415" spans="1:27" ht="15">
      <c r="A415" s="10">
        <f t="shared" si="15"/>
        <v>46100067</v>
      </c>
      <c r="B415" s="40" t="s">
        <v>1722</v>
      </c>
      <c r="C415" s="4" t="s">
        <v>63</v>
      </c>
      <c r="D415" s="11">
        <f>IFERROR(VLOOKUP(C415,ShipShapeEnum!$E:$F,2,FALSE),"-")</f>
        <v>2</v>
      </c>
      <c r="E415" s="19" t="s">
        <v>1594</v>
      </c>
      <c r="F415" s="4" t="s">
        <v>65</v>
      </c>
      <c r="G415" s="11">
        <f>IFERROR(VLOOKUP(F415,ShipShapeEnum!$B:$C,2,FALSE),"-")</f>
        <v>2</v>
      </c>
      <c r="H415" s="19" t="s">
        <v>459</v>
      </c>
      <c r="I415" s="19" t="s">
        <v>0</v>
      </c>
      <c r="J415" s="19" t="s">
        <v>0</v>
      </c>
      <c r="K415" s="19" t="s">
        <v>0</v>
      </c>
      <c r="L415" s="19" t="s">
        <v>0</v>
      </c>
      <c r="M415" s="4" t="s">
        <v>81</v>
      </c>
      <c r="N415" s="11">
        <f>IFERROR(VLOOKUP(M415,ShipShapeEnum!$H:$I,2,FALSE),"-")</f>
        <v>1</v>
      </c>
      <c r="O415" s="11" t="s">
        <v>2688</v>
      </c>
      <c r="P415" s="30"/>
      <c r="Q415" s="11" t="str">
        <f>IFERROR(INDEX(SailPattern!$A:$A,MATCH(P415,SailPattern!$B:$B,0)),"-")</f>
        <v>-</v>
      </c>
      <c r="R415" s="30"/>
      <c r="S415" s="11" t="str">
        <f>IFERROR(INDEX(SailCrest!$A:$A,MATCH(R415,SailCrest!$B:$B,0)),"-")</f>
        <v>-</v>
      </c>
      <c r="T415" s="19" t="s">
        <v>0</v>
      </c>
      <c r="U415" s="19" t="s">
        <v>0</v>
      </c>
      <c r="V415" s="19" t="s">
        <v>0</v>
      </c>
      <c r="W415" s="19" t="s">
        <v>0</v>
      </c>
      <c r="X415" s="19" t="s">
        <v>0</v>
      </c>
      <c r="Y415" s="19" t="s">
        <v>0</v>
      </c>
      <c r="Z415" s="19" t="s">
        <v>0</v>
      </c>
      <c r="AA415" s="19" t="s">
        <v>0</v>
      </c>
    </row>
    <row r="416" spans="1:27" ht="15">
      <c r="A416" s="10">
        <f t="shared" si="15"/>
        <v>46100068</v>
      </c>
      <c r="B416" s="40" t="s">
        <v>1723</v>
      </c>
      <c r="C416" s="4" t="s">
        <v>63</v>
      </c>
      <c r="D416" s="11">
        <f>IFERROR(VLOOKUP(C416,ShipShapeEnum!$E:$F,2,FALSE),"-")</f>
        <v>2</v>
      </c>
      <c r="E416" s="19" t="s">
        <v>1595</v>
      </c>
      <c r="F416" s="4" t="s">
        <v>65</v>
      </c>
      <c r="G416" s="11">
        <f>IFERROR(VLOOKUP(F416,ShipShapeEnum!$B:$C,2,FALSE),"-")</f>
        <v>2</v>
      </c>
      <c r="H416" s="19" t="s">
        <v>459</v>
      </c>
      <c r="I416" s="19" t="s">
        <v>0</v>
      </c>
      <c r="J416" s="19" t="s">
        <v>0</v>
      </c>
      <c r="K416" s="19" t="s">
        <v>0</v>
      </c>
      <c r="L416" s="19" t="s">
        <v>0</v>
      </c>
      <c r="M416" s="4" t="s">
        <v>81</v>
      </c>
      <c r="N416" s="11">
        <f>IFERROR(VLOOKUP(M416,ShipShapeEnum!$H:$I,2,FALSE),"-")</f>
        <v>1</v>
      </c>
      <c r="O416" s="11" t="s">
        <v>2688</v>
      </c>
      <c r="P416" s="30"/>
      <c r="Q416" s="11" t="str">
        <f>IFERROR(INDEX(SailPattern!$A:$A,MATCH(P416,SailPattern!$B:$B,0)),"-")</f>
        <v>-</v>
      </c>
      <c r="R416" s="30"/>
      <c r="S416" s="11" t="str">
        <f>IFERROR(INDEX(SailCrest!$A:$A,MATCH(R416,SailCrest!$B:$B,0)),"-")</f>
        <v>-</v>
      </c>
      <c r="T416" s="19" t="s">
        <v>0</v>
      </c>
      <c r="U416" s="19" t="s">
        <v>0</v>
      </c>
      <c r="V416" s="19" t="s">
        <v>0</v>
      </c>
      <c r="W416" s="19" t="s">
        <v>0</v>
      </c>
      <c r="X416" s="19" t="s">
        <v>0</v>
      </c>
      <c r="Y416" s="19" t="s">
        <v>0</v>
      </c>
      <c r="Z416" s="19" t="s">
        <v>0</v>
      </c>
      <c r="AA416" s="19" t="s">
        <v>0</v>
      </c>
    </row>
    <row r="417" spans="1:27" ht="15">
      <c r="A417" s="10">
        <f t="shared" si="15"/>
        <v>46100069</v>
      </c>
      <c r="B417" s="40" t="s">
        <v>1724</v>
      </c>
      <c r="C417" s="4" t="s">
        <v>63</v>
      </c>
      <c r="D417" s="11">
        <f>IFERROR(VLOOKUP(C417,ShipShapeEnum!$E:$F,2,FALSE),"-")</f>
        <v>2</v>
      </c>
      <c r="E417" s="19" t="s">
        <v>1596</v>
      </c>
      <c r="F417" s="4" t="s">
        <v>65</v>
      </c>
      <c r="G417" s="11">
        <f>IFERROR(VLOOKUP(F417,ShipShapeEnum!$B:$C,2,FALSE),"-")</f>
        <v>2</v>
      </c>
      <c r="H417" s="19" t="s">
        <v>459</v>
      </c>
      <c r="I417" s="19" t="s">
        <v>0</v>
      </c>
      <c r="J417" s="19" t="s">
        <v>0</v>
      </c>
      <c r="K417" s="19" t="s">
        <v>0</v>
      </c>
      <c r="L417" s="19" t="s">
        <v>0</v>
      </c>
      <c r="M417" s="4" t="s">
        <v>81</v>
      </c>
      <c r="N417" s="11">
        <f>IFERROR(VLOOKUP(M417,ShipShapeEnum!$H:$I,2,FALSE),"-")</f>
        <v>1</v>
      </c>
      <c r="O417" s="11" t="s">
        <v>2688</v>
      </c>
      <c r="P417" s="30"/>
      <c r="Q417" s="11" t="str">
        <f>IFERROR(INDEX(SailPattern!$A:$A,MATCH(P417,SailPattern!$B:$B,0)),"-")</f>
        <v>-</v>
      </c>
      <c r="R417" s="30"/>
      <c r="S417" s="11" t="str">
        <f>IFERROR(INDEX(SailCrest!$A:$A,MATCH(R417,SailCrest!$B:$B,0)),"-")</f>
        <v>-</v>
      </c>
      <c r="T417" s="19" t="s">
        <v>0</v>
      </c>
      <c r="U417" s="19" t="s">
        <v>0</v>
      </c>
      <c r="V417" s="19" t="s">
        <v>0</v>
      </c>
      <c r="W417" s="19" t="s">
        <v>0</v>
      </c>
      <c r="X417" s="19" t="s">
        <v>0</v>
      </c>
      <c r="Y417" s="19" t="s">
        <v>0</v>
      </c>
      <c r="Z417" s="19" t="s">
        <v>0</v>
      </c>
      <c r="AA417" s="19" t="s">
        <v>0</v>
      </c>
    </row>
    <row r="418" spans="1:27" ht="15">
      <c r="A418" s="10">
        <f t="shared" si="15"/>
        <v>46100070</v>
      </c>
      <c r="B418" s="40" t="s">
        <v>1725</v>
      </c>
      <c r="C418" s="4" t="s">
        <v>63</v>
      </c>
      <c r="D418" s="11">
        <f>IFERROR(VLOOKUP(C418,ShipShapeEnum!$E:$F,2,FALSE),"-")</f>
        <v>2</v>
      </c>
      <c r="E418" s="19" t="s">
        <v>1597</v>
      </c>
      <c r="F418" s="4" t="s">
        <v>65</v>
      </c>
      <c r="G418" s="11">
        <f>IFERROR(VLOOKUP(F418,ShipShapeEnum!$B:$C,2,FALSE),"-")</f>
        <v>2</v>
      </c>
      <c r="H418" s="19" t="s">
        <v>459</v>
      </c>
      <c r="I418" s="19" t="s">
        <v>0</v>
      </c>
      <c r="J418" s="19" t="s">
        <v>0</v>
      </c>
      <c r="K418" s="19" t="s">
        <v>0</v>
      </c>
      <c r="L418" s="19" t="s">
        <v>0</v>
      </c>
      <c r="M418" s="4" t="s">
        <v>81</v>
      </c>
      <c r="N418" s="11">
        <f>IFERROR(VLOOKUP(M418,ShipShapeEnum!$H:$I,2,FALSE),"-")</f>
        <v>1</v>
      </c>
      <c r="O418" s="11" t="s">
        <v>2688</v>
      </c>
      <c r="P418" s="30"/>
      <c r="Q418" s="11" t="str">
        <f>IFERROR(INDEX(SailPattern!$A:$A,MATCH(P418,SailPattern!$B:$B,0)),"-")</f>
        <v>-</v>
      </c>
      <c r="R418" s="30"/>
      <c r="S418" s="11" t="str">
        <f>IFERROR(INDEX(SailCrest!$A:$A,MATCH(R418,SailCrest!$B:$B,0)),"-")</f>
        <v>-</v>
      </c>
      <c r="T418" s="19" t="s">
        <v>0</v>
      </c>
      <c r="U418" s="19" t="s">
        <v>0</v>
      </c>
      <c r="V418" s="19" t="s">
        <v>0</v>
      </c>
      <c r="W418" s="19" t="s">
        <v>0</v>
      </c>
      <c r="X418" s="19" t="s">
        <v>0</v>
      </c>
      <c r="Y418" s="19" t="s">
        <v>0</v>
      </c>
      <c r="Z418" s="19" t="s">
        <v>0</v>
      </c>
      <c r="AA418" s="19" t="s">
        <v>0</v>
      </c>
    </row>
    <row r="419" spans="1:27" ht="15">
      <c r="A419" s="10">
        <f t="shared" si="15"/>
        <v>46100071</v>
      </c>
      <c r="B419" s="40" t="s">
        <v>1726</v>
      </c>
      <c r="C419" s="4" t="s">
        <v>63</v>
      </c>
      <c r="D419" s="11">
        <f>IFERROR(VLOOKUP(C419,ShipShapeEnum!$E:$F,2,FALSE),"-")</f>
        <v>2</v>
      </c>
      <c r="E419" s="19" t="s">
        <v>1598</v>
      </c>
      <c r="F419" s="4" t="s">
        <v>65</v>
      </c>
      <c r="G419" s="11">
        <f>IFERROR(VLOOKUP(F419,ShipShapeEnum!$B:$C,2,FALSE),"-")</f>
        <v>2</v>
      </c>
      <c r="H419" s="19" t="s">
        <v>459</v>
      </c>
      <c r="I419" s="19" t="s">
        <v>0</v>
      </c>
      <c r="J419" s="19" t="s">
        <v>0</v>
      </c>
      <c r="K419" s="19" t="s">
        <v>0</v>
      </c>
      <c r="L419" s="19" t="s">
        <v>0</v>
      </c>
      <c r="M419" s="4" t="s">
        <v>81</v>
      </c>
      <c r="N419" s="11">
        <f>IFERROR(VLOOKUP(M419,ShipShapeEnum!$H:$I,2,FALSE),"-")</f>
        <v>1</v>
      </c>
      <c r="O419" s="11" t="s">
        <v>2688</v>
      </c>
      <c r="P419" s="30"/>
      <c r="Q419" s="11" t="str">
        <f>IFERROR(INDEX(SailPattern!$A:$A,MATCH(P419,SailPattern!$B:$B,0)),"-")</f>
        <v>-</v>
      </c>
      <c r="R419" s="30"/>
      <c r="S419" s="11" t="str">
        <f>IFERROR(INDEX(SailCrest!$A:$A,MATCH(R419,SailCrest!$B:$B,0)),"-")</f>
        <v>-</v>
      </c>
      <c r="T419" s="19" t="s">
        <v>0</v>
      </c>
      <c r="U419" s="19" t="s">
        <v>0</v>
      </c>
      <c r="V419" s="19" t="s">
        <v>0</v>
      </c>
      <c r="W419" s="19" t="s">
        <v>0</v>
      </c>
      <c r="X419" s="19" t="s">
        <v>0</v>
      </c>
      <c r="Y419" s="19" t="s">
        <v>0</v>
      </c>
      <c r="Z419" s="19" t="s">
        <v>0</v>
      </c>
      <c r="AA419" s="19" t="s">
        <v>0</v>
      </c>
    </row>
    <row r="420" spans="1:27" ht="15">
      <c r="A420" s="10">
        <f t="shared" si="15"/>
        <v>46100072</v>
      </c>
      <c r="B420" s="40" t="s">
        <v>1727</v>
      </c>
      <c r="C420" s="4" t="s">
        <v>63</v>
      </c>
      <c r="D420" s="11">
        <f>IFERROR(VLOOKUP(C420,ShipShapeEnum!$E:$F,2,FALSE),"-")</f>
        <v>2</v>
      </c>
      <c r="E420" s="19" t="s">
        <v>1599</v>
      </c>
      <c r="F420" s="4" t="s">
        <v>65</v>
      </c>
      <c r="G420" s="11">
        <f>IFERROR(VLOOKUP(F420,ShipShapeEnum!$B:$C,2,FALSE),"-")</f>
        <v>2</v>
      </c>
      <c r="H420" s="19" t="s">
        <v>459</v>
      </c>
      <c r="I420" s="19" t="s">
        <v>0</v>
      </c>
      <c r="J420" s="19" t="s">
        <v>0</v>
      </c>
      <c r="K420" s="19" t="s">
        <v>0</v>
      </c>
      <c r="L420" s="19" t="s">
        <v>0</v>
      </c>
      <c r="M420" s="4" t="s">
        <v>81</v>
      </c>
      <c r="N420" s="11">
        <f>IFERROR(VLOOKUP(M420,ShipShapeEnum!$H:$I,2,FALSE),"-")</f>
        <v>1</v>
      </c>
      <c r="O420" s="11" t="s">
        <v>2688</v>
      </c>
      <c r="P420" s="30"/>
      <c r="Q420" s="11" t="str">
        <f>IFERROR(INDEX(SailPattern!$A:$A,MATCH(P420,SailPattern!$B:$B,0)),"-")</f>
        <v>-</v>
      </c>
      <c r="R420" s="30"/>
      <c r="S420" s="11" t="str">
        <f>IFERROR(INDEX(SailCrest!$A:$A,MATCH(R420,SailCrest!$B:$B,0)),"-")</f>
        <v>-</v>
      </c>
      <c r="T420" s="19" t="s">
        <v>0</v>
      </c>
      <c r="U420" s="19" t="s">
        <v>0</v>
      </c>
      <c r="V420" s="19" t="s">
        <v>0</v>
      </c>
      <c r="W420" s="19" t="s">
        <v>0</v>
      </c>
      <c r="X420" s="19" t="s">
        <v>0</v>
      </c>
      <c r="Y420" s="19" t="s">
        <v>0</v>
      </c>
      <c r="Z420" s="19" t="s">
        <v>0</v>
      </c>
      <c r="AA420" s="19" t="s">
        <v>0</v>
      </c>
    </row>
    <row r="421" spans="1:27" ht="15">
      <c r="A421" s="10">
        <f t="shared" si="15"/>
        <v>46100073</v>
      </c>
      <c r="B421" s="40" t="s">
        <v>1728</v>
      </c>
      <c r="C421" s="4" t="s">
        <v>63</v>
      </c>
      <c r="D421" s="11">
        <f>IFERROR(VLOOKUP(C421,ShipShapeEnum!$E:$F,2,FALSE),"-")</f>
        <v>2</v>
      </c>
      <c r="E421" s="19" t="s">
        <v>1600</v>
      </c>
      <c r="F421" s="4" t="s">
        <v>65</v>
      </c>
      <c r="G421" s="11">
        <f>IFERROR(VLOOKUP(F421,ShipShapeEnum!$B:$C,2,FALSE),"-")</f>
        <v>2</v>
      </c>
      <c r="H421" s="19" t="s">
        <v>459</v>
      </c>
      <c r="I421" s="19" t="s">
        <v>0</v>
      </c>
      <c r="J421" s="19" t="s">
        <v>0</v>
      </c>
      <c r="K421" s="19" t="s">
        <v>0</v>
      </c>
      <c r="L421" s="19" t="s">
        <v>0</v>
      </c>
      <c r="M421" s="4" t="s">
        <v>81</v>
      </c>
      <c r="N421" s="11">
        <f>IFERROR(VLOOKUP(M421,ShipShapeEnum!$H:$I,2,FALSE),"-")</f>
        <v>1</v>
      </c>
      <c r="O421" s="11" t="s">
        <v>2688</v>
      </c>
      <c r="P421" s="30"/>
      <c r="Q421" s="11" t="str">
        <f>IFERROR(INDEX(SailPattern!$A:$A,MATCH(P421,SailPattern!$B:$B,0)),"-")</f>
        <v>-</v>
      </c>
      <c r="R421" s="30"/>
      <c r="S421" s="11" t="str">
        <f>IFERROR(INDEX(SailCrest!$A:$A,MATCH(R421,SailCrest!$B:$B,0)),"-")</f>
        <v>-</v>
      </c>
      <c r="T421" s="19" t="s">
        <v>0</v>
      </c>
      <c r="U421" s="19" t="s">
        <v>0</v>
      </c>
      <c r="V421" s="19" t="s">
        <v>0</v>
      </c>
      <c r="W421" s="19" t="s">
        <v>0</v>
      </c>
      <c r="X421" s="19" t="s">
        <v>0</v>
      </c>
      <c r="Y421" s="19" t="s">
        <v>0</v>
      </c>
      <c r="Z421" s="19" t="s">
        <v>0</v>
      </c>
      <c r="AA421" s="19" t="s">
        <v>0</v>
      </c>
    </row>
    <row r="422" spans="1:27" ht="15">
      <c r="A422" s="10">
        <f t="shared" si="15"/>
        <v>46100074</v>
      </c>
      <c r="B422" s="40" t="s">
        <v>1729</v>
      </c>
      <c r="C422" s="4" t="s">
        <v>63</v>
      </c>
      <c r="D422" s="11">
        <f>IFERROR(VLOOKUP(C422,ShipShapeEnum!$E:$F,2,FALSE),"-")</f>
        <v>2</v>
      </c>
      <c r="E422" s="19" t="s">
        <v>1601</v>
      </c>
      <c r="F422" s="4" t="s">
        <v>65</v>
      </c>
      <c r="G422" s="11">
        <f>IFERROR(VLOOKUP(F422,ShipShapeEnum!$B:$C,2,FALSE),"-")</f>
        <v>2</v>
      </c>
      <c r="H422" s="19" t="s">
        <v>459</v>
      </c>
      <c r="I422" s="19" t="s">
        <v>0</v>
      </c>
      <c r="J422" s="19" t="s">
        <v>0</v>
      </c>
      <c r="K422" s="19" t="s">
        <v>0</v>
      </c>
      <c r="L422" s="19" t="s">
        <v>0</v>
      </c>
      <c r="M422" s="4" t="s">
        <v>81</v>
      </c>
      <c r="N422" s="11">
        <f>IFERROR(VLOOKUP(M422,ShipShapeEnum!$H:$I,2,FALSE),"-")</f>
        <v>1</v>
      </c>
      <c r="O422" s="11" t="s">
        <v>2688</v>
      </c>
      <c r="P422" s="30"/>
      <c r="Q422" s="11" t="str">
        <f>IFERROR(INDEX(SailPattern!$A:$A,MATCH(P422,SailPattern!$B:$B,0)),"-")</f>
        <v>-</v>
      </c>
      <c r="R422" s="30"/>
      <c r="S422" s="11" t="str">
        <f>IFERROR(INDEX(SailCrest!$A:$A,MATCH(R422,SailCrest!$B:$B,0)),"-")</f>
        <v>-</v>
      </c>
      <c r="T422" s="19" t="s">
        <v>0</v>
      </c>
      <c r="U422" s="19" t="s">
        <v>0</v>
      </c>
      <c r="V422" s="19" t="s">
        <v>0</v>
      </c>
      <c r="W422" s="19" t="s">
        <v>0</v>
      </c>
      <c r="X422" s="19" t="s">
        <v>0</v>
      </c>
      <c r="Y422" s="19" t="s">
        <v>0</v>
      </c>
      <c r="Z422" s="19" t="s">
        <v>0</v>
      </c>
      <c r="AA422" s="19" t="s">
        <v>0</v>
      </c>
    </row>
    <row r="423" spans="1:27" ht="15">
      <c r="A423" s="10">
        <f t="shared" si="15"/>
        <v>46100075</v>
      </c>
      <c r="B423" s="40" t="s">
        <v>1730</v>
      </c>
      <c r="C423" s="4" t="s">
        <v>63</v>
      </c>
      <c r="D423" s="11">
        <f>IFERROR(VLOOKUP(C423,ShipShapeEnum!$E:$F,2,FALSE),"-")</f>
        <v>2</v>
      </c>
      <c r="E423" s="19" t="s">
        <v>1602</v>
      </c>
      <c r="F423" s="4" t="s">
        <v>65</v>
      </c>
      <c r="G423" s="11">
        <f>IFERROR(VLOOKUP(F423,ShipShapeEnum!$B:$C,2,FALSE),"-")</f>
        <v>2</v>
      </c>
      <c r="H423" s="19" t="s">
        <v>459</v>
      </c>
      <c r="I423" s="19" t="s">
        <v>0</v>
      </c>
      <c r="J423" s="19" t="s">
        <v>0</v>
      </c>
      <c r="K423" s="19" t="s">
        <v>0</v>
      </c>
      <c r="L423" s="19" t="s">
        <v>0</v>
      </c>
      <c r="M423" s="4" t="s">
        <v>81</v>
      </c>
      <c r="N423" s="11">
        <f>IFERROR(VLOOKUP(M423,ShipShapeEnum!$H:$I,2,FALSE),"-")</f>
        <v>1</v>
      </c>
      <c r="O423" s="11" t="s">
        <v>2688</v>
      </c>
      <c r="P423" s="30"/>
      <c r="Q423" s="11" t="str">
        <f>IFERROR(INDEX(SailPattern!$A:$A,MATCH(P423,SailPattern!$B:$B,0)),"-")</f>
        <v>-</v>
      </c>
      <c r="R423" s="30"/>
      <c r="S423" s="11" t="str">
        <f>IFERROR(INDEX(SailCrest!$A:$A,MATCH(R423,SailCrest!$B:$B,0)),"-")</f>
        <v>-</v>
      </c>
      <c r="T423" s="19" t="s">
        <v>0</v>
      </c>
      <c r="U423" s="19" t="s">
        <v>0</v>
      </c>
      <c r="V423" s="19" t="s">
        <v>0</v>
      </c>
      <c r="W423" s="19" t="s">
        <v>0</v>
      </c>
      <c r="X423" s="19" t="s">
        <v>0</v>
      </c>
      <c r="Y423" s="19" t="s">
        <v>0</v>
      </c>
      <c r="Z423" s="19" t="s">
        <v>0</v>
      </c>
      <c r="AA423" s="19" t="s">
        <v>0</v>
      </c>
    </row>
    <row r="424" spans="1:27" ht="15">
      <c r="A424" s="10">
        <f t="shared" si="15"/>
        <v>46100076</v>
      </c>
      <c r="B424" s="40" t="s">
        <v>1731</v>
      </c>
      <c r="C424" s="4" t="s">
        <v>63</v>
      </c>
      <c r="D424" s="11">
        <f>IFERROR(VLOOKUP(C424,ShipShapeEnum!$E:$F,2,FALSE),"-")</f>
        <v>2</v>
      </c>
      <c r="E424" s="19" t="s">
        <v>1603</v>
      </c>
      <c r="F424" s="4" t="s">
        <v>65</v>
      </c>
      <c r="G424" s="11">
        <f>IFERROR(VLOOKUP(F424,ShipShapeEnum!$B:$C,2,FALSE),"-")</f>
        <v>2</v>
      </c>
      <c r="H424" s="19" t="s">
        <v>460</v>
      </c>
      <c r="I424" s="19" t="s">
        <v>0</v>
      </c>
      <c r="J424" s="19" t="s">
        <v>0</v>
      </c>
      <c r="K424" s="19" t="s">
        <v>0</v>
      </c>
      <c r="L424" s="19" t="s">
        <v>0</v>
      </c>
      <c r="M424" s="4" t="s">
        <v>81</v>
      </c>
      <c r="N424" s="11">
        <f>IFERROR(VLOOKUP(M424,ShipShapeEnum!$H:$I,2,FALSE),"-")</f>
        <v>1</v>
      </c>
      <c r="O424" s="11" t="s">
        <v>2688</v>
      </c>
      <c r="P424" s="30"/>
      <c r="Q424" s="11" t="str">
        <f>IFERROR(INDEX(SailPattern!$A:$A,MATCH(P424,SailPattern!$B:$B,0)),"-")</f>
        <v>-</v>
      </c>
      <c r="R424" s="30"/>
      <c r="S424" s="11" t="str">
        <f>IFERROR(INDEX(SailCrest!$A:$A,MATCH(R424,SailCrest!$B:$B,0)),"-")</f>
        <v>-</v>
      </c>
      <c r="T424" s="19" t="s">
        <v>0</v>
      </c>
      <c r="U424" s="19" t="s">
        <v>0</v>
      </c>
      <c r="V424" s="19" t="s">
        <v>0</v>
      </c>
      <c r="W424" s="19" t="s">
        <v>0</v>
      </c>
      <c r="X424" s="19" t="s">
        <v>0</v>
      </c>
      <c r="Y424" s="19" t="s">
        <v>0</v>
      </c>
      <c r="Z424" s="19" t="s">
        <v>0</v>
      </c>
      <c r="AA424" s="19" t="s">
        <v>0</v>
      </c>
    </row>
    <row r="425" spans="1:27" ht="15">
      <c r="A425" s="10">
        <f t="shared" si="15"/>
        <v>46100077</v>
      </c>
      <c r="B425" s="40" t="s">
        <v>1732</v>
      </c>
      <c r="C425" s="4" t="s">
        <v>63</v>
      </c>
      <c r="D425" s="11">
        <f>IFERROR(VLOOKUP(C425,ShipShapeEnum!$E:$F,2,FALSE),"-")</f>
        <v>2</v>
      </c>
      <c r="E425" s="19" t="s">
        <v>1604</v>
      </c>
      <c r="F425" s="4" t="s">
        <v>65</v>
      </c>
      <c r="G425" s="11">
        <f>IFERROR(VLOOKUP(F425,ShipShapeEnum!$B:$C,2,FALSE),"-")</f>
        <v>2</v>
      </c>
      <c r="H425" s="19" t="s">
        <v>459</v>
      </c>
      <c r="I425" s="19" t="s">
        <v>0</v>
      </c>
      <c r="J425" s="19" t="s">
        <v>0</v>
      </c>
      <c r="K425" s="19" t="s">
        <v>0</v>
      </c>
      <c r="L425" s="19" t="s">
        <v>0</v>
      </c>
      <c r="M425" s="4" t="s">
        <v>81</v>
      </c>
      <c r="N425" s="11">
        <f>IFERROR(VLOOKUP(M425,ShipShapeEnum!$H:$I,2,FALSE),"-")</f>
        <v>1</v>
      </c>
      <c r="O425" s="11" t="s">
        <v>2688</v>
      </c>
      <c r="P425" s="30"/>
      <c r="Q425" s="11" t="str">
        <f>IFERROR(INDEX(SailPattern!$A:$A,MATCH(P425,SailPattern!$B:$B,0)),"-")</f>
        <v>-</v>
      </c>
      <c r="R425" s="30"/>
      <c r="S425" s="11" t="str">
        <f>IFERROR(INDEX(SailCrest!$A:$A,MATCH(R425,SailCrest!$B:$B,0)),"-")</f>
        <v>-</v>
      </c>
      <c r="T425" s="19" t="s">
        <v>0</v>
      </c>
      <c r="U425" s="19" t="s">
        <v>0</v>
      </c>
      <c r="V425" s="19" t="s">
        <v>0</v>
      </c>
      <c r="W425" s="19" t="s">
        <v>0</v>
      </c>
      <c r="X425" s="19" t="s">
        <v>0</v>
      </c>
      <c r="Y425" s="19" t="s">
        <v>0</v>
      </c>
      <c r="Z425" s="19" t="s">
        <v>0</v>
      </c>
      <c r="AA425" s="19" t="s">
        <v>0</v>
      </c>
    </row>
    <row r="426" spans="1:27" ht="15">
      <c r="A426" s="10">
        <f t="shared" si="15"/>
        <v>46100078</v>
      </c>
      <c r="B426" s="40" t="s">
        <v>1733</v>
      </c>
      <c r="C426" s="4" t="s">
        <v>63</v>
      </c>
      <c r="D426" s="11">
        <f>IFERROR(VLOOKUP(C426,ShipShapeEnum!$E:$F,2,FALSE),"-")</f>
        <v>2</v>
      </c>
      <c r="E426" s="19" t="s">
        <v>1605</v>
      </c>
      <c r="F426" s="4" t="s">
        <v>65</v>
      </c>
      <c r="G426" s="11">
        <f>IFERROR(VLOOKUP(F426,ShipShapeEnum!$B:$C,2,FALSE),"-")</f>
        <v>2</v>
      </c>
      <c r="H426" s="19" t="s">
        <v>460</v>
      </c>
      <c r="I426" s="19" t="s">
        <v>0</v>
      </c>
      <c r="J426" s="19" t="s">
        <v>0</v>
      </c>
      <c r="K426" s="19" t="s">
        <v>0</v>
      </c>
      <c r="L426" s="19" t="s">
        <v>0</v>
      </c>
      <c r="M426" s="4" t="s">
        <v>81</v>
      </c>
      <c r="N426" s="11">
        <f>IFERROR(VLOOKUP(M426,ShipShapeEnum!$H:$I,2,FALSE),"-")</f>
        <v>1</v>
      </c>
      <c r="O426" s="11" t="s">
        <v>2688</v>
      </c>
      <c r="P426" s="30"/>
      <c r="Q426" s="11" t="str">
        <f>IFERROR(INDEX(SailPattern!$A:$A,MATCH(P426,SailPattern!$B:$B,0)),"-")</f>
        <v>-</v>
      </c>
      <c r="R426" s="30"/>
      <c r="S426" s="11" t="str">
        <f>IFERROR(INDEX(SailCrest!$A:$A,MATCH(R426,SailCrest!$B:$B,0)),"-")</f>
        <v>-</v>
      </c>
      <c r="T426" s="19" t="s">
        <v>0</v>
      </c>
      <c r="U426" s="19" t="s">
        <v>0</v>
      </c>
      <c r="V426" s="19" t="s">
        <v>0</v>
      </c>
      <c r="W426" s="19" t="s">
        <v>0</v>
      </c>
      <c r="X426" s="19" t="s">
        <v>0</v>
      </c>
      <c r="Y426" s="19" t="s">
        <v>0</v>
      </c>
      <c r="Z426" s="19" t="s">
        <v>0</v>
      </c>
      <c r="AA426" s="19" t="s">
        <v>0</v>
      </c>
    </row>
    <row r="427" spans="1:27" ht="15">
      <c r="A427" s="10">
        <f t="shared" si="15"/>
        <v>46100079</v>
      </c>
      <c r="B427" s="40" t="s">
        <v>1734</v>
      </c>
      <c r="C427" s="4" t="s">
        <v>63</v>
      </c>
      <c r="D427" s="11">
        <f>IFERROR(VLOOKUP(C427,ShipShapeEnum!$E:$F,2,FALSE),"-")</f>
        <v>2</v>
      </c>
      <c r="E427" s="19" t="s">
        <v>1606</v>
      </c>
      <c r="F427" s="4" t="s">
        <v>65</v>
      </c>
      <c r="G427" s="11">
        <f>IFERROR(VLOOKUP(F427,ShipShapeEnum!$B:$C,2,FALSE),"-")</f>
        <v>2</v>
      </c>
      <c r="H427" s="19" t="s">
        <v>459</v>
      </c>
      <c r="I427" s="19" t="s">
        <v>0</v>
      </c>
      <c r="J427" s="19" t="s">
        <v>0</v>
      </c>
      <c r="K427" s="19" t="s">
        <v>0</v>
      </c>
      <c r="L427" s="19" t="s">
        <v>0</v>
      </c>
      <c r="M427" s="4" t="s">
        <v>81</v>
      </c>
      <c r="N427" s="11">
        <f>IFERROR(VLOOKUP(M427,ShipShapeEnum!$H:$I,2,FALSE),"-")</f>
        <v>1</v>
      </c>
      <c r="O427" s="11" t="s">
        <v>2688</v>
      </c>
      <c r="P427" s="30"/>
      <c r="Q427" s="11" t="str">
        <f>IFERROR(INDEX(SailPattern!$A:$A,MATCH(P427,SailPattern!$B:$B,0)),"-")</f>
        <v>-</v>
      </c>
      <c r="R427" s="30"/>
      <c r="S427" s="11" t="str">
        <f>IFERROR(INDEX(SailCrest!$A:$A,MATCH(R427,SailCrest!$B:$B,0)),"-")</f>
        <v>-</v>
      </c>
      <c r="T427" s="19" t="s">
        <v>0</v>
      </c>
      <c r="U427" s="19" t="s">
        <v>0</v>
      </c>
      <c r="V427" s="19" t="s">
        <v>0</v>
      </c>
      <c r="W427" s="19" t="s">
        <v>0</v>
      </c>
      <c r="X427" s="19" t="s">
        <v>0</v>
      </c>
      <c r="Y427" s="19" t="s">
        <v>0</v>
      </c>
      <c r="Z427" s="19" t="s">
        <v>0</v>
      </c>
      <c r="AA427" s="19" t="s">
        <v>0</v>
      </c>
    </row>
    <row r="428" spans="1:27" ht="15">
      <c r="A428" s="10">
        <f t="shared" si="15"/>
        <v>46100080</v>
      </c>
      <c r="B428" s="40" t="s">
        <v>1735</v>
      </c>
      <c r="C428" s="4" t="s">
        <v>63</v>
      </c>
      <c r="D428" s="11">
        <f>IFERROR(VLOOKUP(C428,ShipShapeEnum!$E:$F,2,FALSE),"-")</f>
        <v>2</v>
      </c>
      <c r="E428" s="19" t="s">
        <v>1607</v>
      </c>
      <c r="F428" s="4" t="s">
        <v>65</v>
      </c>
      <c r="G428" s="11">
        <f>IFERROR(VLOOKUP(F428,ShipShapeEnum!$B:$C,2,FALSE),"-")</f>
        <v>2</v>
      </c>
      <c r="H428" s="19" t="s">
        <v>459</v>
      </c>
      <c r="I428" s="19" t="s">
        <v>0</v>
      </c>
      <c r="J428" s="19" t="s">
        <v>0</v>
      </c>
      <c r="K428" s="19" t="s">
        <v>0</v>
      </c>
      <c r="L428" s="19" t="s">
        <v>0</v>
      </c>
      <c r="M428" s="4" t="s">
        <v>81</v>
      </c>
      <c r="N428" s="11">
        <f>IFERROR(VLOOKUP(M428,ShipShapeEnum!$H:$I,2,FALSE),"-")</f>
        <v>1</v>
      </c>
      <c r="O428" s="11" t="s">
        <v>2688</v>
      </c>
      <c r="P428" s="30"/>
      <c r="Q428" s="11" t="str">
        <f>IFERROR(INDEX(SailPattern!$A:$A,MATCH(P428,SailPattern!$B:$B,0)),"-")</f>
        <v>-</v>
      </c>
      <c r="R428" s="30"/>
      <c r="S428" s="11" t="str">
        <f>IFERROR(INDEX(SailCrest!$A:$A,MATCH(R428,SailCrest!$B:$B,0)),"-")</f>
        <v>-</v>
      </c>
      <c r="T428" s="19" t="s">
        <v>0</v>
      </c>
      <c r="U428" s="19" t="s">
        <v>0</v>
      </c>
      <c r="V428" s="19" t="s">
        <v>0</v>
      </c>
      <c r="W428" s="19" t="s">
        <v>0</v>
      </c>
      <c r="X428" s="19" t="s">
        <v>0</v>
      </c>
      <c r="Y428" s="19" t="s">
        <v>0</v>
      </c>
      <c r="Z428" s="19" t="s">
        <v>0</v>
      </c>
      <c r="AA428" s="19" t="s">
        <v>0</v>
      </c>
    </row>
    <row r="429" spans="1:27" ht="15">
      <c r="A429" s="10">
        <f t="shared" si="15"/>
        <v>46100081</v>
      </c>
      <c r="B429" s="40" t="s">
        <v>1736</v>
      </c>
      <c r="C429" s="4" t="s">
        <v>63</v>
      </c>
      <c r="D429" s="11">
        <f>IFERROR(VLOOKUP(C429,ShipShapeEnum!$E:$F,2,FALSE),"-")</f>
        <v>2</v>
      </c>
      <c r="E429" s="19" t="s">
        <v>1608</v>
      </c>
      <c r="F429" s="4" t="s">
        <v>65</v>
      </c>
      <c r="G429" s="11">
        <f>IFERROR(VLOOKUP(F429,ShipShapeEnum!$B:$C,2,FALSE),"-")</f>
        <v>2</v>
      </c>
      <c r="H429" s="19" t="s">
        <v>459</v>
      </c>
      <c r="I429" s="19" t="s">
        <v>0</v>
      </c>
      <c r="J429" s="19" t="s">
        <v>0</v>
      </c>
      <c r="K429" s="19" t="s">
        <v>0</v>
      </c>
      <c r="L429" s="19" t="s">
        <v>0</v>
      </c>
      <c r="M429" s="4" t="s">
        <v>81</v>
      </c>
      <c r="N429" s="11">
        <f>IFERROR(VLOOKUP(M429,ShipShapeEnum!$H:$I,2,FALSE),"-")</f>
        <v>1</v>
      </c>
      <c r="O429" s="11" t="s">
        <v>2688</v>
      </c>
      <c r="P429" s="30"/>
      <c r="Q429" s="11" t="str">
        <f>IFERROR(INDEX(SailPattern!$A:$A,MATCH(P429,SailPattern!$B:$B,0)),"-")</f>
        <v>-</v>
      </c>
      <c r="R429" s="30"/>
      <c r="S429" s="11" t="str">
        <f>IFERROR(INDEX(SailCrest!$A:$A,MATCH(R429,SailCrest!$B:$B,0)),"-")</f>
        <v>-</v>
      </c>
      <c r="T429" s="19" t="s">
        <v>0</v>
      </c>
      <c r="U429" s="19" t="s">
        <v>0</v>
      </c>
      <c r="V429" s="19" t="s">
        <v>0</v>
      </c>
      <c r="W429" s="19" t="s">
        <v>0</v>
      </c>
      <c r="X429" s="19" t="s">
        <v>0</v>
      </c>
      <c r="Y429" s="19" t="s">
        <v>0</v>
      </c>
      <c r="Z429" s="19" t="s">
        <v>0</v>
      </c>
      <c r="AA429" s="19" t="s">
        <v>0</v>
      </c>
    </row>
    <row r="430" spans="1:27" ht="15">
      <c r="A430" s="10">
        <f t="shared" si="15"/>
        <v>46100082</v>
      </c>
      <c r="B430" s="40" t="s">
        <v>1737</v>
      </c>
      <c r="C430" s="4" t="s">
        <v>63</v>
      </c>
      <c r="D430" s="11">
        <f>IFERROR(VLOOKUP(C430,ShipShapeEnum!$E:$F,2,FALSE),"-")</f>
        <v>2</v>
      </c>
      <c r="E430" s="19" t="s">
        <v>1609</v>
      </c>
      <c r="F430" s="4" t="s">
        <v>65</v>
      </c>
      <c r="G430" s="11">
        <f>IFERROR(VLOOKUP(F430,ShipShapeEnum!$B:$C,2,FALSE),"-")</f>
        <v>2</v>
      </c>
      <c r="H430" s="19" t="s">
        <v>459</v>
      </c>
      <c r="I430" s="19" t="s">
        <v>0</v>
      </c>
      <c r="J430" s="19" t="s">
        <v>0</v>
      </c>
      <c r="K430" s="19" t="s">
        <v>0</v>
      </c>
      <c r="L430" s="19" t="s">
        <v>0</v>
      </c>
      <c r="M430" s="4" t="s">
        <v>81</v>
      </c>
      <c r="N430" s="11">
        <f>IFERROR(VLOOKUP(M430,ShipShapeEnum!$H:$I,2,FALSE),"-")</f>
        <v>1</v>
      </c>
      <c r="O430" s="11" t="s">
        <v>2688</v>
      </c>
      <c r="P430" s="30"/>
      <c r="Q430" s="11" t="str">
        <f>IFERROR(INDEX(SailPattern!$A:$A,MATCH(P430,SailPattern!$B:$B,0)),"-")</f>
        <v>-</v>
      </c>
      <c r="R430" s="30"/>
      <c r="S430" s="11" t="str">
        <f>IFERROR(INDEX(SailCrest!$A:$A,MATCH(R430,SailCrest!$B:$B,0)),"-")</f>
        <v>-</v>
      </c>
      <c r="T430" s="19" t="s">
        <v>0</v>
      </c>
      <c r="U430" s="19" t="s">
        <v>0</v>
      </c>
      <c r="V430" s="19" t="s">
        <v>0</v>
      </c>
      <c r="W430" s="19" t="s">
        <v>0</v>
      </c>
      <c r="X430" s="19" t="s">
        <v>0</v>
      </c>
      <c r="Y430" s="19" t="s">
        <v>0</v>
      </c>
      <c r="Z430" s="19" t="s">
        <v>0</v>
      </c>
      <c r="AA430" s="19" t="s">
        <v>0</v>
      </c>
    </row>
    <row r="431" spans="1:27" ht="15">
      <c r="A431" s="10">
        <f t="shared" si="15"/>
        <v>46100083</v>
      </c>
      <c r="B431" s="40" t="s">
        <v>1738</v>
      </c>
      <c r="C431" s="4" t="s">
        <v>63</v>
      </c>
      <c r="D431" s="11">
        <f>IFERROR(VLOOKUP(C431,ShipShapeEnum!$E:$F,2,FALSE),"-")</f>
        <v>2</v>
      </c>
      <c r="E431" s="19" t="s">
        <v>1610</v>
      </c>
      <c r="F431" s="4" t="s">
        <v>65</v>
      </c>
      <c r="G431" s="11">
        <f>IFERROR(VLOOKUP(F431,ShipShapeEnum!$B:$C,2,FALSE),"-")</f>
        <v>2</v>
      </c>
      <c r="H431" s="19" t="s">
        <v>459</v>
      </c>
      <c r="I431" s="19" t="s">
        <v>0</v>
      </c>
      <c r="J431" s="19" t="s">
        <v>0</v>
      </c>
      <c r="K431" s="19" t="s">
        <v>0</v>
      </c>
      <c r="L431" s="19" t="s">
        <v>0</v>
      </c>
      <c r="M431" s="4" t="s">
        <v>81</v>
      </c>
      <c r="N431" s="11">
        <f>IFERROR(VLOOKUP(M431,ShipShapeEnum!$H:$I,2,FALSE),"-")</f>
        <v>1</v>
      </c>
      <c r="O431" s="11" t="s">
        <v>2688</v>
      </c>
      <c r="P431" s="30"/>
      <c r="Q431" s="11" t="str">
        <f>IFERROR(INDEX(SailPattern!$A:$A,MATCH(P431,SailPattern!$B:$B,0)),"-")</f>
        <v>-</v>
      </c>
      <c r="R431" s="30"/>
      <c r="S431" s="11" t="str">
        <f>IFERROR(INDEX(SailCrest!$A:$A,MATCH(R431,SailCrest!$B:$B,0)),"-")</f>
        <v>-</v>
      </c>
      <c r="T431" s="19" t="s">
        <v>0</v>
      </c>
      <c r="U431" s="19" t="s">
        <v>0</v>
      </c>
      <c r="V431" s="19" t="s">
        <v>0</v>
      </c>
      <c r="W431" s="19" t="s">
        <v>0</v>
      </c>
      <c r="X431" s="19" t="s">
        <v>0</v>
      </c>
      <c r="Y431" s="19" t="s">
        <v>0</v>
      </c>
      <c r="Z431" s="19" t="s">
        <v>0</v>
      </c>
      <c r="AA431" s="19" t="s">
        <v>0</v>
      </c>
    </row>
    <row r="432" spans="1:27" ht="15">
      <c r="A432" s="10">
        <f t="shared" si="15"/>
        <v>46100084</v>
      </c>
      <c r="B432" s="40" t="s">
        <v>1739</v>
      </c>
      <c r="C432" s="4" t="s">
        <v>63</v>
      </c>
      <c r="D432" s="11">
        <f>IFERROR(VLOOKUP(C432,ShipShapeEnum!$E:$F,2,FALSE),"-")</f>
        <v>2</v>
      </c>
      <c r="E432" s="53" t="s">
        <v>1611</v>
      </c>
      <c r="F432" s="4" t="s">
        <v>65</v>
      </c>
      <c r="G432" s="11">
        <f>IFERROR(VLOOKUP(F432,ShipShapeEnum!$B:$C,2,FALSE),"-")</f>
        <v>2</v>
      </c>
      <c r="H432" s="19" t="s">
        <v>459</v>
      </c>
      <c r="I432" s="19" t="s">
        <v>0</v>
      </c>
      <c r="J432" s="19" t="s">
        <v>0</v>
      </c>
      <c r="K432" s="19" t="s">
        <v>0</v>
      </c>
      <c r="L432" s="19" t="s">
        <v>0</v>
      </c>
      <c r="M432" s="4" t="s">
        <v>81</v>
      </c>
      <c r="N432" s="11">
        <f>IFERROR(VLOOKUP(M432,ShipShapeEnum!$H:$I,2,FALSE),"-")</f>
        <v>1</v>
      </c>
      <c r="O432" s="11" t="s">
        <v>2688</v>
      </c>
      <c r="P432" s="30"/>
      <c r="Q432" s="11" t="str">
        <f>IFERROR(INDEX(SailPattern!$A:$A,MATCH(P432,SailPattern!$B:$B,0)),"-")</f>
        <v>-</v>
      </c>
      <c r="R432" s="30"/>
      <c r="S432" s="11" t="str">
        <f>IFERROR(INDEX(SailCrest!$A:$A,MATCH(R432,SailCrest!$B:$B,0)),"-")</f>
        <v>-</v>
      </c>
      <c r="T432" s="19" t="s">
        <v>0</v>
      </c>
      <c r="U432" s="19" t="s">
        <v>0</v>
      </c>
      <c r="V432" s="19" t="s">
        <v>0</v>
      </c>
      <c r="W432" s="19" t="s">
        <v>0</v>
      </c>
      <c r="X432" s="19" t="s">
        <v>0</v>
      </c>
      <c r="Y432" s="19" t="s">
        <v>0</v>
      </c>
      <c r="Z432" s="19" t="s">
        <v>0</v>
      </c>
      <c r="AA432" s="19" t="s">
        <v>0</v>
      </c>
    </row>
    <row r="433" spans="1:27" ht="15">
      <c r="A433" s="10">
        <f t="shared" si="15"/>
        <v>46100085</v>
      </c>
      <c r="B433" s="40" t="s">
        <v>1740</v>
      </c>
      <c r="C433" s="4" t="s">
        <v>63</v>
      </c>
      <c r="D433" s="11">
        <f>IFERROR(VLOOKUP(C433,ShipShapeEnum!$E:$F,2,FALSE),"-")</f>
        <v>2</v>
      </c>
      <c r="E433" s="19" t="s">
        <v>1612</v>
      </c>
      <c r="F433" s="4" t="s">
        <v>65</v>
      </c>
      <c r="G433" s="11">
        <f>IFERROR(VLOOKUP(F433,ShipShapeEnum!$B:$C,2,FALSE),"-")</f>
        <v>2</v>
      </c>
      <c r="H433" s="19" t="s">
        <v>459</v>
      </c>
      <c r="I433" s="19" t="s">
        <v>0</v>
      </c>
      <c r="J433" s="19" t="s">
        <v>0</v>
      </c>
      <c r="K433" s="19" t="s">
        <v>0</v>
      </c>
      <c r="L433" s="19" t="s">
        <v>0</v>
      </c>
      <c r="M433" s="4" t="s">
        <v>81</v>
      </c>
      <c r="N433" s="11">
        <f>IFERROR(VLOOKUP(M433,ShipShapeEnum!$H:$I,2,FALSE),"-")</f>
        <v>1</v>
      </c>
      <c r="O433" s="11" t="s">
        <v>2688</v>
      </c>
      <c r="P433" s="30"/>
      <c r="Q433" s="11" t="str">
        <f>IFERROR(INDEX(SailPattern!$A:$A,MATCH(P433,SailPattern!$B:$B,0)),"-")</f>
        <v>-</v>
      </c>
      <c r="R433" s="30"/>
      <c r="S433" s="11" t="str">
        <f>IFERROR(INDEX(SailCrest!$A:$A,MATCH(R433,SailCrest!$B:$B,0)),"-")</f>
        <v>-</v>
      </c>
      <c r="T433" s="19" t="s">
        <v>0</v>
      </c>
      <c r="U433" s="19" t="s">
        <v>0</v>
      </c>
      <c r="V433" s="19" t="s">
        <v>0</v>
      </c>
      <c r="W433" s="19" t="s">
        <v>0</v>
      </c>
      <c r="X433" s="19" t="s">
        <v>0</v>
      </c>
      <c r="Y433" s="19" t="s">
        <v>0</v>
      </c>
      <c r="Z433" s="19" t="s">
        <v>0</v>
      </c>
      <c r="AA433" s="19" t="s">
        <v>0</v>
      </c>
    </row>
    <row r="434" spans="1:27" ht="15">
      <c r="A434" s="10">
        <f t="shared" si="15"/>
        <v>46100086</v>
      </c>
      <c r="B434" s="40" t="s">
        <v>1741</v>
      </c>
      <c r="C434" s="4" t="s">
        <v>63</v>
      </c>
      <c r="D434" s="11">
        <f>IFERROR(VLOOKUP(C434,ShipShapeEnum!$E:$F,2,FALSE),"-")</f>
        <v>2</v>
      </c>
      <c r="E434" s="19" t="s">
        <v>1613</v>
      </c>
      <c r="F434" s="4" t="s">
        <v>65</v>
      </c>
      <c r="G434" s="11">
        <f>IFERROR(VLOOKUP(F434,ShipShapeEnum!$B:$C,2,FALSE),"-")</f>
        <v>2</v>
      </c>
      <c r="H434" s="19" t="s">
        <v>459</v>
      </c>
      <c r="I434" s="19" t="s">
        <v>0</v>
      </c>
      <c r="J434" s="19" t="s">
        <v>0</v>
      </c>
      <c r="K434" s="19" t="s">
        <v>0</v>
      </c>
      <c r="L434" s="19" t="s">
        <v>0</v>
      </c>
      <c r="M434" s="4" t="s">
        <v>81</v>
      </c>
      <c r="N434" s="11">
        <f>IFERROR(VLOOKUP(M434,ShipShapeEnum!$H:$I,2,FALSE),"-")</f>
        <v>1</v>
      </c>
      <c r="O434" s="11" t="s">
        <v>2688</v>
      </c>
      <c r="P434" s="30"/>
      <c r="Q434" s="11" t="str">
        <f>IFERROR(INDEX(SailPattern!$A:$A,MATCH(P434,SailPattern!$B:$B,0)),"-")</f>
        <v>-</v>
      </c>
      <c r="R434" s="30"/>
      <c r="S434" s="11" t="str">
        <f>IFERROR(INDEX(SailCrest!$A:$A,MATCH(R434,SailCrest!$B:$B,0)),"-")</f>
        <v>-</v>
      </c>
      <c r="T434" s="19" t="s">
        <v>0</v>
      </c>
      <c r="U434" s="19" t="s">
        <v>0</v>
      </c>
      <c r="V434" s="19" t="s">
        <v>0</v>
      </c>
      <c r="W434" s="19" t="s">
        <v>0</v>
      </c>
      <c r="X434" s="19" t="s">
        <v>0</v>
      </c>
      <c r="Y434" s="19" t="s">
        <v>0</v>
      </c>
      <c r="Z434" s="19" t="s">
        <v>0</v>
      </c>
      <c r="AA434" s="19" t="s">
        <v>0</v>
      </c>
    </row>
    <row r="435" spans="1:27" ht="15">
      <c r="A435" s="10">
        <f t="shared" si="15"/>
        <v>46100087</v>
      </c>
      <c r="B435" s="40" t="s">
        <v>1742</v>
      </c>
      <c r="C435" s="4" t="s">
        <v>63</v>
      </c>
      <c r="D435" s="11">
        <f>IFERROR(VLOOKUP(C435,ShipShapeEnum!$E:$F,2,FALSE),"-")</f>
        <v>2</v>
      </c>
      <c r="E435" s="19" t="s">
        <v>1614</v>
      </c>
      <c r="F435" s="4" t="s">
        <v>65</v>
      </c>
      <c r="G435" s="11">
        <f>IFERROR(VLOOKUP(F435,ShipShapeEnum!$B:$C,2,FALSE),"-")</f>
        <v>2</v>
      </c>
      <c r="H435" s="19" t="s">
        <v>459</v>
      </c>
      <c r="I435" s="19" t="s">
        <v>0</v>
      </c>
      <c r="J435" s="19" t="s">
        <v>0</v>
      </c>
      <c r="K435" s="19" t="s">
        <v>0</v>
      </c>
      <c r="L435" s="19" t="s">
        <v>0</v>
      </c>
      <c r="M435" s="4" t="s">
        <v>81</v>
      </c>
      <c r="N435" s="11">
        <f>IFERROR(VLOOKUP(M435,ShipShapeEnum!$H:$I,2,FALSE),"-")</f>
        <v>1</v>
      </c>
      <c r="O435" s="11" t="s">
        <v>2688</v>
      </c>
      <c r="P435" s="30"/>
      <c r="Q435" s="11" t="str">
        <f>IFERROR(INDEX(SailPattern!$A:$A,MATCH(P435,SailPattern!$B:$B,0)),"-")</f>
        <v>-</v>
      </c>
      <c r="R435" s="30"/>
      <c r="S435" s="11" t="str">
        <f>IFERROR(INDEX(SailCrest!$A:$A,MATCH(R435,SailCrest!$B:$B,0)),"-")</f>
        <v>-</v>
      </c>
      <c r="T435" s="19" t="s">
        <v>0</v>
      </c>
      <c r="U435" s="19" t="s">
        <v>0</v>
      </c>
      <c r="V435" s="19" t="s">
        <v>0</v>
      </c>
      <c r="W435" s="19" t="s">
        <v>0</v>
      </c>
      <c r="X435" s="19" t="s">
        <v>0</v>
      </c>
      <c r="Y435" s="19" t="s">
        <v>0</v>
      </c>
      <c r="Z435" s="19" t="s">
        <v>0</v>
      </c>
      <c r="AA435" s="19" t="s">
        <v>0</v>
      </c>
    </row>
    <row r="436" spans="1:27" ht="15">
      <c r="A436" s="10">
        <f t="shared" si="15"/>
        <v>46100088</v>
      </c>
      <c r="B436" s="40" t="s">
        <v>1743</v>
      </c>
      <c r="C436" s="4" t="s">
        <v>63</v>
      </c>
      <c r="D436" s="11">
        <f>IFERROR(VLOOKUP(C436,ShipShapeEnum!$E:$F,2,FALSE),"-")</f>
        <v>2</v>
      </c>
      <c r="E436" s="19" t="s">
        <v>1615</v>
      </c>
      <c r="F436" s="4" t="s">
        <v>65</v>
      </c>
      <c r="G436" s="11">
        <f>IFERROR(VLOOKUP(F436,ShipShapeEnum!$B:$C,2,FALSE),"-")</f>
        <v>2</v>
      </c>
      <c r="H436" s="19" t="s">
        <v>459</v>
      </c>
      <c r="I436" s="19" t="s">
        <v>0</v>
      </c>
      <c r="J436" s="19" t="s">
        <v>0</v>
      </c>
      <c r="K436" s="19" t="s">
        <v>0</v>
      </c>
      <c r="L436" s="19" t="s">
        <v>0</v>
      </c>
      <c r="M436" s="4" t="s">
        <v>81</v>
      </c>
      <c r="N436" s="11">
        <f>IFERROR(VLOOKUP(M436,ShipShapeEnum!$H:$I,2,FALSE),"-")</f>
        <v>1</v>
      </c>
      <c r="O436" s="11" t="s">
        <v>2688</v>
      </c>
      <c r="P436" s="30"/>
      <c r="Q436" s="11" t="str">
        <f>IFERROR(INDEX(SailPattern!$A:$A,MATCH(P436,SailPattern!$B:$B,0)),"-")</f>
        <v>-</v>
      </c>
      <c r="R436" s="30"/>
      <c r="S436" s="11" t="str">
        <f>IFERROR(INDEX(SailCrest!$A:$A,MATCH(R436,SailCrest!$B:$B,0)),"-")</f>
        <v>-</v>
      </c>
      <c r="T436" s="19" t="s">
        <v>0</v>
      </c>
      <c r="U436" s="19" t="s">
        <v>0</v>
      </c>
      <c r="V436" s="19" t="s">
        <v>0</v>
      </c>
      <c r="W436" s="19" t="s">
        <v>0</v>
      </c>
      <c r="X436" s="19" t="s">
        <v>0</v>
      </c>
      <c r="Y436" s="19" t="s">
        <v>0</v>
      </c>
      <c r="Z436" s="19" t="s">
        <v>0</v>
      </c>
      <c r="AA436" s="19" t="s">
        <v>0</v>
      </c>
    </row>
    <row r="437" spans="1:27" ht="15">
      <c r="A437" s="10">
        <f t="shared" si="15"/>
        <v>46100089</v>
      </c>
      <c r="B437" s="40" t="s">
        <v>1744</v>
      </c>
      <c r="C437" s="4" t="s">
        <v>63</v>
      </c>
      <c r="D437" s="11">
        <f>IFERROR(VLOOKUP(C437,ShipShapeEnum!$E:$F,2,FALSE),"-")</f>
        <v>2</v>
      </c>
      <c r="E437" s="19" t="s">
        <v>1616</v>
      </c>
      <c r="F437" s="4" t="s">
        <v>65</v>
      </c>
      <c r="G437" s="11">
        <f>IFERROR(VLOOKUP(F437,ShipShapeEnum!$B:$C,2,FALSE),"-")</f>
        <v>2</v>
      </c>
      <c r="H437" s="19" t="s">
        <v>459</v>
      </c>
      <c r="I437" s="19" t="s">
        <v>0</v>
      </c>
      <c r="J437" s="19" t="s">
        <v>0</v>
      </c>
      <c r="K437" s="19" t="s">
        <v>0</v>
      </c>
      <c r="L437" s="19" t="s">
        <v>0</v>
      </c>
      <c r="M437" s="4" t="s">
        <v>81</v>
      </c>
      <c r="N437" s="11">
        <f>IFERROR(VLOOKUP(M437,ShipShapeEnum!$H:$I,2,FALSE),"-")</f>
        <v>1</v>
      </c>
      <c r="O437" s="11" t="s">
        <v>2688</v>
      </c>
      <c r="P437" s="30"/>
      <c r="Q437" s="11" t="str">
        <f>IFERROR(INDEX(SailPattern!$A:$A,MATCH(P437,SailPattern!$B:$B,0)),"-")</f>
        <v>-</v>
      </c>
      <c r="R437" s="30"/>
      <c r="S437" s="11" t="str">
        <f>IFERROR(INDEX(SailCrest!$A:$A,MATCH(R437,SailCrest!$B:$B,0)),"-")</f>
        <v>-</v>
      </c>
      <c r="T437" s="19" t="s">
        <v>0</v>
      </c>
      <c r="U437" s="19" t="s">
        <v>0</v>
      </c>
      <c r="V437" s="19" t="s">
        <v>0</v>
      </c>
      <c r="W437" s="19" t="s">
        <v>0</v>
      </c>
      <c r="X437" s="19" t="s">
        <v>0</v>
      </c>
      <c r="Y437" s="19" t="s">
        <v>0</v>
      </c>
      <c r="Z437" s="19" t="s">
        <v>0</v>
      </c>
      <c r="AA437" s="19" t="s">
        <v>0</v>
      </c>
    </row>
    <row r="438" spans="1:27" ht="15">
      <c r="A438" s="10">
        <f t="shared" si="15"/>
        <v>46100090</v>
      </c>
      <c r="B438" s="40" t="s">
        <v>1745</v>
      </c>
      <c r="C438" s="4" t="s">
        <v>63</v>
      </c>
      <c r="D438" s="11">
        <f>IFERROR(VLOOKUP(C438,ShipShapeEnum!$E:$F,2,FALSE),"-")</f>
        <v>2</v>
      </c>
      <c r="E438" s="54" t="s">
        <v>1617</v>
      </c>
      <c r="F438" s="4" t="s">
        <v>65</v>
      </c>
      <c r="G438" s="11">
        <f>IFERROR(VLOOKUP(F438,ShipShapeEnum!$B:$C,2,FALSE),"-")</f>
        <v>2</v>
      </c>
      <c r="H438" s="19" t="s">
        <v>459</v>
      </c>
      <c r="I438" s="19" t="s">
        <v>0</v>
      </c>
      <c r="J438" s="19" t="s">
        <v>0</v>
      </c>
      <c r="K438" s="19" t="s">
        <v>0</v>
      </c>
      <c r="L438" s="19" t="s">
        <v>0</v>
      </c>
      <c r="M438" s="4" t="s">
        <v>81</v>
      </c>
      <c r="N438" s="11">
        <f>IFERROR(VLOOKUP(M438,ShipShapeEnum!$H:$I,2,FALSE),"-")</f>
        <v>1</v>
      </c>
      <c r="O438" s="11" t="s">
        <v>2688</v>
      </c>
      <c r="P438" s="30"/>
      <c r="Q438" s="11" t="str">
        <f>IFERROR(INDEX(SailPattern!$A:$A,MATCH(P438,SailPattern!$B:$B,0)),"-")</f>
        <v>-</v>
      </c>
      <c r="R438" s="30"/>
      <c r="S438" s="11" t="str">
        <f>IFERROR(INDEX(SailCrest!$A:$A,MATCH(R438,SailCrest!$B:$B,0)),"-")</f>
        <v>-</v>
      </c>
      <c r="T438" s="19" t="s">
        <v>0</v>
      </c>
      <c r="U438" s="19" t="s">
        <v>0</v>
      </c>
      <c r="V438" s="19" t="s">
        <v>0</v>
      </c>
      <c r="W438" s="19" t="s">
        <v>0</v>
      </c>
      <c r="X438" s="19" t="s">
        <v>0</v>
      </c>
      <c r="Y438" s="19" t="s">
        <v>0</v>
      </c>
      <c r="Z438" s="19" t="s">
        <v>0</v>
      </c>
      <c r="AA438" s="19" t="s">
        <v>0</v>
      </c>
    </row>
    <row r="439" spans="1:27" ht="15">
      <c r="A439" s="10">
        <f t="shared" si="15"/>
        <v>46100091</v>
      </c>
      <c r="B439" s="40" t="s">
        <v>1746</v>
      </c>
      <c r="C439" s="4" t="s">
        <v>63</v>
      </c>
      <c r="D439" s="11">
        <f>IFERROR(VLOOKUP(C439,ShipShapeEnum!$E:$F,2,FALSE),"-")</f>
        <v>2</v>
      </c>
      <c r="E439" s="19" t="s">
        <v>1618</v>
      </c>
      <c r="F439" s="4" t="s">
        <v>65</v>
      </c>
      <c r="G439" s="11">
        <f>IFERROR(VLOOKUP(F439,ShipShapeEnum!$B:$C,2,FALSE),"-")</f>
        <v>2</v>
      </c>
      <c r="H439" s="19" t="s">
        <v>459</v>
      </c>
      <c r="I439" s="19" t="s">
        <v>0</v>
      </c>
      <c r="J439" s="19" t="s">
        <v>0</v>
      </c>
      <c r="K439" s="19" t="s">
        <v>0</v>
      </c>
      <c r="L439" s="19" t="s">
        <v>0</v>
      </c>
      <c r="M439" s="4" t="s">
        <v>81</v>
      </c>
      <c r="N439" s="11">
        <f>IFERROR(VLOOKUP(M439,ShipShapeEnum!$H:$I,2,FALSE),"-")</f>
        <v>1</v>
      </c>
      <c r="O439" s="11" t="s">
        <v>2688</v>
      </c>
      <c r="P439" s="30"/>
      <c r="Q439" s="11" t="str">
        <f>IFERROR(INDEX(SailPattern!$A:$A,MATCH(P439,SailPattern!$B:$B,0)),"-")</f>
        <v>-</v>
      </c>
      <c r="R439" s="30"/>
      <c r="S439" s="11" t="str">
        <f>IFERROR(INDEX(SailCrest!$A:$A,MATCH(R439,SailCrest!$B:$B,0)),"-")</f>
        <v>-</v>
      </c>
      <c r="T439" s="19" t="s">
        <v>0</v>
      </c>
      <c r="U439" s="19" t="s">
        <v>0</v>
      </c>
      <c r="V439" s="19" t="s">
        <v>0</v>
      </c>
      <c r="W439" s="19" t="s">
        <v>0</v>
      </c>
      <c r="X439" s="19" t="s">
        <v>0</v>
      </c>
      <c r="Y439" s="19" t="s">
        <v>0</v>
      </c>
      <c r="Z439" s="19" t="s">
        <v>0</v>
      </c>
      <c r="AA439" s="19" t="s">
        <v>0</v>
      </c>
    </row>
    <row r="440" spans="1:27" ht="15">
      <c r="A440" s="10">
        <f t="shared" si="15"/>
        <v>46100092</v>
      </c>
      <c r="B440" s="40" t="s">
        <v>1747</v>
      </c>
      <c r="C440" s="4" t="s">
        <v>63</v>
      </c>
      <c r="D440" s="11">
        <f>IFERROR(VLOOKUP(C440,ShipShapeEnum!$E:$F,2,FALSE),"-")</f>
        <v>2</v>
      </c>
      <c r="E440" s="19" t="s">
        <v>1619</v>
      </c>
      <c r="F440" s="4" t="s">
        <v>65</v>
      </c>
      <c r="G440" s="11">
        <f>IFERROR(VLOOKUP(F440,ShipShapeEnum!$B:$C,2,FALSE),"-")</f>
        <v>2</v>
      </c>
      <c r="H440" s="19" t="s">
        <v>459</v>
      </c>
      <c r="I440" s="19" t="s">
        <v>0</v>
      </c>
      <c r="J440" s="19" t="s">
        <v>0</v>
      </c>
      <c r="K440" s="19" t="s">
        <v>0</v>
      </c>
      <c r="L440" s="19" t="s">
        <v>0</v>
      </c>
      <c r="M440" s="4" t="s">
        <v>81</v>
      </c>
      <c r="N440" s="11">
        <f>IFERROR(VLOOKUP(M440,ShipShapeEnum!$H:$I,2,FALSE),"-")</f>
        <v>1</v>
      </c>
      <c r="O440" s="11" t="s">
        <v>2688</v>
      </c>
      <c r="P440" s="30"/>
      <c r="Q440" s="11" t="str">
        <f>IFERROR(INDEX(SailPattern!$A:$A,MATCH(P440,SailPattern!$B:$B,0)),"-")</f>
        <v>-</v>
      </c>
      <c r="R440" s="30"/>
      <c r="S440" s="11" t="str">
        <f>IFERROR(INDEX(SailCrest!$A:$A,MATCH(R440,SailCrest!$B:$B,0)),"-")</f>
        <v>-</v>
      </c>
      <c r="T440" s="19" t="s">
        <v>0</v>
      </c>
      <c r="U440" s="19" t="s">
        <v>0</v>
      </c>
      <c r="V440" s="19" t="s">
        <v>0</v>
      </c>
      <c r="W440" s="19" t="s">
        <v>0</v>
      </c>
      <c r="X440" s="19" t="s">
        <v>0</v>
      </c>
      <c r="Y440" s="19" t="s">
        <v>0</v>
      </c>
      <c r="Z440" s="19" t="s">
        <v>0</v>
      </c>
      <c r="AA440" s="19" t="s">
        <v>0</v>
      </c>
    </row>
    <row r="441" spans="1:27" ht="15">
      <c r="A441" s="10">
        <f t="shared" si="15"/>
        <v>46100093</v>
      </c>
      <c r="B441" s="40" t="s">
        <v>1748</v>
      </c>
      <c r="C441" s="4" t="s">
        <v>63</v>
      </c>
      <c r="D441" s="11">
        <f>IFERROR(VLOOKUP(C441,ShipShapeEnum!$E:$F,2,FALSE),"-")</f>
        <v>2</v>
      </c>
      <c r="E441" s="19" t="s">
        <v>1620</v>
      </c>
      <c r="F441" s="4" t="s">
        <v>65</v>
      </c>
      <c r="G441" s="11">
        <f>IFERROR(VLOOKUP(F441,ShipShapeEnum!$B:$C,2,FALSE),"-")</f>
        <v>2</v>
      </c>
      <c r="H441" s="19" t="s">
        <v>459</v>
      </c>
      <c r="I441" s="19" t="s">
        <v>0</v>
      </c>
      <c r="J441" s="19" t="s">
        <v>0</v>
      </c>
      <c r="K441" s="19" t="s">
        <v>0</v>
      </c>
      <c r="L441" s="19" t="s">
        <v>0</v>
      </c>
      <c r="M441" s="4" t="s">
        <v>81</v>
      </c>
      <c r="N441" s="11">
        <f>IFERROR(VLOOKUP(M441,ShipShapeEnum!$H:$I,2,FALSE),"-")</f>
        <v>1</v>
      </c>
      <c r="O441" s="11" t="s">
        <v>2688</v>
      </c>
      <c r="P441" s="30"/>
      <c r="Q441" s="11" t="str">
        <f>IFERROR(INDEX(SailPattern!$A:$A,MATCH(P441,SailPattern!$B:$B,0)),"-")</f>
        <v>-</v>
      </c>
      <c r="R441" s="30"/>
      <c r="S441" s="11" t="str">
        <f>IFERROR(INDEX(SailCrest!$A:$A,MATCH(R441,SailCrest!$B:$B,0)),"-")</f>
        <v>-</v>
      </c>
      <c r="T441" s="19" t="s">
        <v>0</v>
      </c>
      <c r="U441" s="19" t="s">
        <v>0</v>
      </c>
      <c r="V441" s="19" t="s">
        <v>0</v>
      </c>
      <c r="W441" s="19" t="s">
        <v>0</v>
      </c>
      <c r="X441" s="19" t="s">
        <v>0</v>
      </c>
      <c r="Y441" s="19" t="s">
        <v>0</v>
      </c>
      <c r="Z441" s="19" t="s">
        <v>0</v>
      </c>
      <c r="AA441" s="19" t="s">
        <v>0</v>
      </c>
    </row>
    <row r="442" spans="1:27" ht="15">
      <c r="A442" s="10">
        <f t="shared" si="15"/>
        <v>46100094</v>
      </c>
      <c r="B442" s="40" t="s">
        <v>1749</v>
      </c>
      <c r="C442" s="4" t="s">
        <v>63</v>
      </c>
      <c r="D442" s="11">
        <f>IFERROR(VLOOKUP(C442,ShipShapeEnum!$E:$F,2,FALSE),"-")</f>
        <v>2</v>
      </c>
      <c r="E442" s="19" t="s">
        <v>1629</v>
      </c>
      <c r="F442" s="4" t="s">
        <v>65</v>
      </c>
      <c r="G442" s="11">
        <f>IFERROR(VLOOKUP(F442,ShipShapeEnum!$B:$C,2,FALSE),"-")</f>
        <v>2</v>
      </c>
      <c r="H442" s="19" t="s">
        <v>459</v>
      </c>
      <c r="I442" s="19" t="s">
        <v>0</v>
      </c>
      <c r="J442" s="19" t="s">
        <v>0</v>
      </c>
      <c r="K442" s="19" t="s">
        <v>0</v>
      </c>
      <c r="L442" s="19" t="s">
        <v>0</v>
      </c>
      <c r="M442" s="4" t="s">
        <v>81</v>
      </c>
      <c r="N442" s="11">
        <f>IFERROR(VLOOKUP(M442,ShipShapeEnum!$H:$I,2,FALSE),"-")</f>
        <v>1</v>
      </c>
      <c r="O442" s="11" t="s">
        <v>2688</v>
      </c>
      <c r="P442" s="30"/>
      <c r="Q442" s="11" t="str">
        <f>IFERROR(INDEX(SailPattern!$A:$A,MATCH(P442,SailPattern!$B:$B,0)),"-")</f>
        <v>-</v>
      </c>
      <c r="R442" s="30"/>
      <c r="S442" s="11" t="str">
        <f>IFERROR(INDEX(SailCrest!$A:$A,MATCH(R442,SailCrest!$B:$B,0)),"-")</f>
        <v>-</v>
      </c>
      <c r="T442" s="19" t="s">
        <v>0</v>
      </c>
      <c r="U442" s="19" t="s">
        <v>0</v>
      </c>
      <c r="V442" s="19" t="s">
        <v>0</v>
      </c>
      <c r="W442" s="19" t="s">
        <v>0</v>
      </c>
      <c r="X442" s="19" t="s">
        <v>0</v>
      </c>
      <c r="Y442" s="19" t="s">
        <v>0</v>
      </c>
      <c r="Z442" s="19" t="s">
        <v>0</v>
      </c>
      <c r="AA442" s="19" t="s">
        <v>0</v>
      </c>
    </row>
    <row r="443" spans="1:27" ht="15">
      <c r="A443" s="10">
        <f t="shared" si="15"/>
        <v>46100095</v>
      </c>
      <c r="B443" s="40" t="s">
        <v>1750</v>
      </c>
      <c r="C443" s="4" t="s">
        <v>63</v>
      </c>
      <c r="D443" s="11">
        <f>IFERROR(VLOOKUP(C443,ShipShapeEnum!$E:$F,2,FALSE),"-")</f>
        <v>2</v>
      </c>
      <c r="E443" s="19" t="s">
        <v>1630</v>
      </c>
      <c r="F443" s="4" t="s">
        <v>65</v>
      </c>
      <c r="G443" s="11">
        <f>IFERROR(VLOOKUP(F443,ShipShapeEnum!$B:$C,2,FALSE),"-")</f>
        <v>2</v>
      </c>
      <c r="H443" s="19" t="s">
        <v>459</v>
      </c>
      <c r="I443" s="19" t="s">
        <v>0</v>
      </c>
      <c r="J443" s="19" t="s">
        <v>0</v>
      </c>
      <c r="K443" s="19" t="s">
        <v>0</v>
      </c>
      <c r="L443" s="19" t="s">
        <v>0</v>
      </c>
      <c r="M443" s="4" t="s">
        <v>81</v>
      </c>
      <c r="N443" s="11">
        <f>IFERROR(VLOOKUP(M443,ShipShapeEnum!$H:$I,2,FALSE),"-")</f>
        <v>1</v>
      </c>
      <c r="O443" s="11" t="s">
        <v>2688</v>
      </c>
      <c r="P443" s="30"/>
      <c r="Q443" s="11" t="str">
        <f>IFERROR(INDEX(SailPattern!$A:$A,MATCH(P443,SailPattern!$B:$B,0)),"-")</f>
        <v>-</v>
      </c>
      <c r="R443" s="30"/>
      <c r="S443" s="11" t="str">
        <f>IFERROR(INDEX(SailCrest!$A:$A,MATCH(R443,SailCrest!$B:$B,0)),"-")</f>
        <v>-</v>
      </c>
      <c r="T443" s="19" t="s">
        <v>0</v>
      </c>
      <c r="U443" s="19" t="s">
        <v>0</v>
      </c>
      <c r="V443" s="19" t="s">
        <v>0</v>
      </c>
      <c r="W443" s="19" t="s">
        <v>0</v>
      </c>
      <c r="X443" s="19" t="s">
        <v>0</v>
      </c>
      <c r="Y443" s="19" t="s">
        <v>0</v>
      </c>
      <c r="Z443" s="19" t="s">
        <v>0</v>
      </c>
      <c r="AA443" s="19" t="s">
        <v>0</v>
      </c>
    </row>
    <row r="444" spans="1:27" ht="15">
      <c r="A444" s="10">
        <f t="shared" si="15"/>
        <v>46100096</v>
      </c>
      <c r="B444" s="40" t="s">
        <v>1751</v>
      </c>
      <c r="C444" s="4" t="s">
        <v>63</v>
      </c>
      <c r="D444" s="11">
        <f>IFERROR(VLOOKUP(C444,ShipShapeEnum!$E:$F,2,FALSE),"-")</f>
        <v>2</v>
      </c>
      <c r="E444" s="19" t="s">
        <v>1635</v>
      </c>
      <c r="F444" s="4" t="s">
        <v>65</v>
      </c>
      <c r="G444" s="11">
        <f>IFERROR(VLOOKUP(F444,ShipShapeEnum!$B:$C,2,FALSE),"-")</f>
        <v>2</v>
      </c>
      <c r="H444" s="19" t="s">
        <v>459</v>
      </c>
      <c r="I444" s="19" t="s">
        <v>0</v>
      </c>
      <c r="J444" s="19" t="s">
        <v>0</v>
      </c>
      <c r="K444" s="19" t="s">
        <v>0</v>
      </c>
      <c r="L444" s="19" t="s">
        <v>0</v>
      </c>
      <c r="M444" s="4" t="s">
        <v>81</v>
      </c>
      <c r="N444" s="11">
        <f>IFERROR(VLOOKUP(M444,ShipShapeEnum!$H:$I,2,FALSE),"-")</f>
        <v>1</v>
      </c>
      <c r="O444" s="11" t="s">
        <v>2688</v>
      </c>
      <c r="P444" s="30"/>
      <c r="Q444" s="11" t="str">
        <f>IFERROR(INDEX(SailPattern!$A:$A,MATCH(P444,SailPattern!$B:$B,0)),"-")</f>
        <v>-</v>
      </c>
      <c r="R444" s="30"/>
      <c r="S444" s="11" t="str">
        <f>IFERROR(INDEX(SailCrest!$A:$A,MATCH(R444,SailCrest!$B:$B,0)),"-")</f>
        <v>-</v>
      </c>
      <c r="T444" s="19" t="s">
        <v>0</v>
      </c>
      <c r="U444" s="19" t="s">
        <v>0</v>
      </c>
      <c r="V444" s="19" t="s">
        <v>0</v>
      </c>
      <c r="W444" s="19" t="s">
        <v>0</v>
      </c>
      <c r="X444" s="19" t="s">
        <v>0</v>
      </c>
      <c r="Y444" s="19" t="s">
        <v>0</v>
      </c>
      <c r="Z444" s="19" t="s">
        <v>0</v>
      </c>
      <c r="AA444" s="19" t="s">
        <v>0</v>
      </c>
    </row>
    <row r="445" spans="1:27" ht="15">
      <c r="A445" s="10">
        <f t="shared" si="15"/>
        <v>46100097</v>
      </c>
      <c r="B445" s="40" t="s">
        <v>1752</v>
      </c>
      <c r="C445" s="4" t="s">
        <v>63</v>
      </c>
      <c r="D445" s="11">
        <f>IFERROR(VLOOKUP(C445,ShipShapeEnum!$E:$F,2,FALSE),"-")</f>
        <v>2</v>
      </c>
      <c r="E445" s="19" t="s">
        <v>1636</v>
      </c>
      <c r="F445" s="4" t="s">
        <v>65</v>
      </c>
      <c r="G445" s="11">
        <f>IFERROR(VLOOKUP(F445,ShipShapeEnum!$B:$C,2,FALSE),"-")</f>
        <v>2</v>
      </c>
      <c r="H445" s="19" t="s">
        <v>459</v>
      </c>
      <c r="I445" s="19" t="s">
        <v>0</v>
      </c>
      <c r="J445" s="19" t="s">
        <v>0</v>
      </c>
      <c r="K445" s="19" t="s">
        <v>0</v>
      </c>
      <c r="L445" s="19" t="s">
        <v>0</v>
      </c>
      <c r="M445" s="4" t="s">
        <v>81</v>
      </c>
      <c r="N445" s="11">
        <f>IFERROR(VLOOKUP(M445,ShipShapeEnum!$H:$I,2,FALSE),"-")</f>
        <v>1</v>
      </c>
      <c r="O445" s="11" t="s">
        <v>2688</v>
      </c>
      <c r="P445" s="30"/>
      <c r="Q445" s="11" t="str">
        <f>IFERROR(INDEX(SailPattern!$A:$A,MATCH(P445,SailPattern!$B:$B,0)),"-")</f>
        <v>-</v>
      </c>
      <c r="R445" s="30"/>
      <c r="S445" s="11" t="str">
        <f>IFERROR(INDEX(SailCrest!$A:$A,MATCH(R445,SailCrest!$B:$B,0)),"-")</f>
        <v>-</v>
      </c>
      <c r="T445" s="19" t="s">
        <v>0</v>
      </c>
      <c r="U445" s="19" t="s">
        <v>0</v>
      </c>
      <c r="V445" s="19" t="s">
        <v>0</v>
      </c>
      <c r="W445" s="19" t="s">
        <v>0</v>
      </c>
      <c r="X445" s="19" t="s">
        <v>0</v>
      </c>
      <c r="Y445" s="19" t="s">
        <v>0</v>
      </c>
      <c r="Z445" s="19" t="s">
        <v>0</v>
      </c>
      <c r="AA445" s="19" t="s">
        <v>0</v>
      </c>
    </row>
    <row r="446" spans="1:27" ht="15">
      <c r="A446" s="10">
        <f t="shared" si="15"/>
        <v>46100098</v>
      </c>
      <c r="B446" s="40" t="s">
        <v>1753</v>
      </c>
      <c r="C446" s="4" t="s">
        <v>63</v>
      </c>
      <c r="D446" s="11">
        <f>IFERROR(VLOOKUP(C446,ShipShapeEnum!$E:$F,2,FALSE),"-")</f>
        <v>2</v>
      </c>
      <c r="E446" s="19" t="s">
        <v>1634</v>
      </c>
      <c r="F446" s="4" t="s">
        <v>65</v>
      </c>
      <c r="G446" s="11">
        <f>IFERROR(VLOOKUP(F446,ShipShapeEnum!$B:$C,2,FALSE),"-")</f>
        <v>2</v>
      </c>
      <c r="H446" s="19" t="s">
        <v>460</v>
      </c>
      <c r="I446" s="19" t="s">
        <v>0</v>
      </c>
      <c r="J446" s="19" t="s">
        <v>0</v>
      </c>
      <c r="K446" s="19" t="s">
        <v>0</v>
      </c>
      <c r="L446" s="19" t="s">
        <v>0</v>
      </c>
      <c r="M446" s="4" t="s">
        <v>81</v>
      </c>
      <c r="N446" s="11">
        <f>IFERROR(VLOOKUP(M446,ShipShapeEnum!$H:$I,2,FALSE),"-")</f>
        <v>1</v>
      </c>
      <c r="O446" s="11" t="s">
        <v>2688</v>
      </c>
      <c r="P446" s="30"/>
      <c r="Q446" s="11" t="str">
        <f>IFERROR(INDEX(SailPattern!$A:$A,MATCH(P446,SailPattern!$B:$B,0)),"-")</f>
        <v>-</v>
      </c>
      <c r="R446" s="30"/>
      <c r="S446" s="11" t="str">
        <f>IFERROR(INDEX(SailCrest!$A:$A,MATCH(R446,SailCrest!$B:$B,0)),"-")</f>
        <v>-</v>
      </c>
      <c r="T446" s="19" t="s">
        <v>0</v>
      </c>
      <c r="U446" s="19" t="s">
        <v>0</v>
      </c>
      <c r="V446" s="19" t="s">
        <v>0</v>
      </c>
      <c r="W446" s="19" t="s">
        <v>0</v>
      </c>
      <c r="X446" s="19" t="s">
        <v>0</v>
      </c>
      <c r="Y446" s="19" t="s">
        <v>0</v>
      </c>
      <c r="Z446" s="19" t="s">
        <v>0</v>
      </c>
      <c r="AA446" s="19" t="s">
        <v>0</v>
      </c>
    </row>
    <row r="447" spans="1:27" ht="15">
      <c r="A447" s="10">
        <f>A446+1</f>
        <v>46100099</v>
      </c>
      <c r="B447" s="40" t="s">
        <v>1754</v>
      </c>
      <c r="C447" s="4" t="s">
        <v>63</v>
      </c>
      <c r="D447" s="11">
        <f>IFERROR(VLOOKUP(C447,ShipShapeEnum!$E:$F,2,FALSE),"-")</f>
        <v>2</v>
      </c>
      <c r="E447" s="19" t="s">
        <v>1631</v>
      </c>
      <c r="F447" s="4" t="s">
        <v>65</v>
      </c>
      <c r="G447" s="11">
        <f>IFERROR(VLOOKUP(F447,ShipShapeEnum!$B:$C,2,FALSE),"-")</f>
        <v>2</v>
      </c>
      <c r="H447" s="19" t="s">
        <v>459</v>
      </c>
      <c r="I447" s="19" t="s">
        <v>0</v>
      </c>
      <c r="J447" s="19" t="s">
        <v>0</v>
      </c>
      <c r="K447" s="19" t="s">
        <v>0</v>
      </c>
      <c r="L447" s="19" t="s">
        <v>0</v>
      </c>
      <c r="M447" s="4" t="s">
        <v>81</v>
      </c>
      <c r="N447" s="11">
        <f>IFERROR(VLOOKUP(M447,ShipShapeEnum!$H:$I,2,FALSE),"-")</f>
        <v>1</v>
      </c>
      <c r="O447" s="11" t="s">
        <v>2688</v>
      </c>
      <c r="P447" s="30"/>
      <c r="Q447" s="11" t="str">
        <f>IFERROR(INDEX(SailPattern!$A:$A,MATCH(P447,SailPattern!$B:$B,0)),"-")</f>
        <v>-</v>
      </c>
      <c r="R447" s="30"/>
      <c r="S447" s="11" t="str">
        <f>IFERROR(INDEX(SailCrest!$A:$A,MATCH(R447,SailCrest!$B:$B,0)),"-")</f>
        <v>-</v>
      </c>
      <c r="T447" s="19" t="s">
        <v>0</v>
      </c>
      <c r="U447" s="19" t="s">
        <v>0</v>
      </c>
      <c r="V447" s="19" t="s">
        <v>0</v>
      </c>
      <c r="W447" s="19" t="s">
        <v>0</v>
      </c>
      <c r="X447" s="19" t="s">
        <v>0</v>
      </c>
      <c r="Y447" s="19" t="s">
        <v>0</v>
      </c>
      <c r="Z447" s="19" t="s">
        <v>0</v>
      </c>
      <c r="AA447" s="19" t="s">
        <v>0</v>
      </c>
    </row>
    <row r="448" spans="1:27" ht="15">
      <c r="A448" s="10">
        <f t="shared" si="15"/>
        <v>46100100</v>
      </c>
      <c r="B448" s="40" t="s">
        <v>1755</v>
      </c>
      <c r="C448" s="4" t="s">
        <v>63</v>
      </c>
      <c r="D448" s="11">
        <f>IFERROR(VLOOKUP(C448,ShipShapeEnum!$E:$F,2,FALSE),"-")</f>
        <v>2</v>
      </c>
      <c r="E448" s="19" t="s">
        <v>1632</v>
      </c>
      <c r="F448" s="4" t="s">
        <v>65</v>
      </c>
      <c r="G448" s="11">
        <f>IFERROR(VLOOKUP(F448,ShipShapeEnum!$B:$C,2,FALSE),"-")</f>
        <v>2</v>
      </c>
      <c r="H448" s="19" t="s">
        <v>459</v>
      </c>
      <c r="I448" s="19" t="s">
        <v>0</v>
      </c>
      <c r="J448" s="19" t="s">
        <v>0</v>
      </c>
      <c r="K448" s="19" t="s">
        <v>0</v>
      </c>
      <c r="L448" s="19" t="s">
        <v>0</v>
      </c>
      <c r="M448" s="4" t="s">
        <v>81</v>
      </c>
      <c r="N448" s="11">
        <f>IFERROR(VLOOKUP(M448,ShipShapeEnum!$H:$I,2,FALSE),"-")</f>
        <v>1</v>
      </c>
      <c r="O448" s="11" t="s">
        <v>2688</v>
      </c>
      <c r="P448" s="30"/>
      <c r="Q448" s="11" t="str">
        <f>IFERROR(INDEX(SailPattern!$A:$A,MATCH(P448,SailPattern!$B:$B,0)),"-")</f>
        <v>-</v>
      </c>
      <c r="R448" s="30"/>
      <c r="S448" s="11" t="str">
        <f>IFERROR(INDEX(SailCrest!$A:$A,MATCH(R448,SailCrest!$B:$B,0)),"-")</f>
        <v>-</v>
      </c>
      <c r="T448" s="19" t="s">
        <v>0</v>
      </c>
      <c r="U448" s="19" t="s">
        <v>0</v>
      </c>
      <c r="V448" s="19" t="s">
        <v>0</v>
      </c>
      <c r="W448" s="19" t="s">
        <v>0</v>
      </c>
      <c r="X448" s="19" t="s">
        <v>0</v>
      </c>
      <c r="Y448" s="19" t="s">
        <v>0</v>
      </c>
      <c r="Z448" s="19" t="s">
        <v>0</v>
      </c>
      <c r="AA448" s="19" t="s">
        <v>0</v>
      </c>
    </row>
    <row r="449" spans="1:27" ht="15">
      <c r="A449" s="10">
        <f t="shared" si="15"/>
        <v>46100101</v>
      </c>
      <c r="B449" s="40" t="s">
        <v>1756</v>
      </c>
      <c r="C449" s="4" t="s">
        <v>63</v>
      </c>
      <c r="D449" s="11">
        <f>IFERROR(VLOOKUP(C449,ShipShapeEnum!$E:$F,2,FALSE),"-")</f>
        <v>2</v>
      </c>
      <c r="E449" s="19" t="s">
        <v>1633</v>
      </c>
      <c r="F449" s="4" t="s">
        <v>65</v>
      </c>
      <c r="G449" s="11">
        <f>IFERROR(VLOOKUP(F449,ShipShapeEnum!$B:$C,2,FALSE),"-")</f>
        <v>2</v>
      </c>
      <c r="H449" s="19" t="s">
        <v>459</v>
      </c>
      <c r="I449" s="19" t="s">
        <v>0</v>
      </c>
      <c r="J449" s="19" t="s">
        <v>0</v>
      </c>
      <c r="K449" s="19" t="s">
        <v>0</v>
      </c>
      <c r="L449" s="19" t="s">
        <v>0</v>
      </c>
      <c r="M449" s="4" t="s">
        <v>81</v>
      </c>
      <c r="N449" s="11">
        <f>IFERROR(VLOOKUP(M449,ShipShapeEnum!$H:$I,2,FALSE),"-")</f>
        <v>1</v>
      </c>
      <c r="O449" s="11" t="s">
        <v>2688</v>
      </c>
      <c r="P449" s="30"/>
      <c r="Q449" s="11" t="str">
        <f>IFERROR(INDEX(SailPattern!$A:$A,MATCH(P449,SailPattern!$B:$B,0)),"-")</f>
        <v>-</v>
      </c>
      <c r="R449" s="30"/>
      <c r="S449" s="11" t="str">
        <f>IFERROR(INDEX(SailCrest!$A:$A,MATCH(R449,SailCrest!$B:$B,0)),"-")</f>
        <v>-</v>
      </c>
      <c r="T449" s="19" t="s">
        <v>0</v>
      </c>
      <c r="U449" s="19" t="s">
        <v>0</v>
      </c>
      <c r="V449" s="19" t="s">
        <v>0</v>
      </c>
      <c r="W449" s="19" t="s">
        <v>0</v>
      </c>
      <c r="X449" s="19" t="s">
        <v>0</v>
      </c>
      <c r="Y449" s="19" t="s">
        <v>0</v>
      </c>
      <c r="Z449" s="19" t="s">
        <v>0</v>
      </c>
      <c r="AA449" s="19" t="s">
        <v>0</v>
      </c>
    </row>
    <row r="450" spans="1:27" ht="15">
      <c r="A450" s="10">
        <f t="shared" si="15"/>
        <v>46100102</v>
      </c>
      <c r="B450" s="40" t="s">
        <v>1757</v>
      </c>
      <c r="C450" s="4" t="s">
        <v>63</v>
      </c>
      <c r="D450" s="11">
        <f>IFERROR(VLOOKUP(C450,ShipShapeEnum!$E:$F,2,FALSE),"-")</f>
        <v>2</v>
      </c>
      <c r="E450" s="19" t="s">
        <v>1657</v>
      </c>
      <c r="F450" s="4" t="s">
        <v>65</v>
      </c>
      <c r="G450" s="11">
        <f>IFERROR(VLOOKUP(F450,ShipShapeEnum!$B:$C,2,FALSE),"-")</f>
        <v>2</v>
      </c>
      <c r="H450" s="19" t="s">
        <v>1658</v>
      </c>
      <c r="I450" s="19" t="s">
        <v>0</v>
      </c>
      <c r="J450" s="19" t="s">
        <v>0</v>
      </c>
      <c r="K450" s="19" t="s">
        <v>0</v>
      </c>
      <c r="L450" s="19" t="s">
        <v>0</v>
      </c>
      <c r="M450" s="4" t="s">
        <v>81</v>
      </c>
      <c r="N450" s="11">
        <f>IFERROR(VLOOKUP(M450,ShipShapeEnum!$H:$I,2,FALSE),"-")</f>
        <v>1</v>
      </c>
      <c r="O450" s="11" t="s">
        <v>2688</v>
      </c>
      <c r="P450" s="30"/>
      <c r="Q450" s="11" t="str">
        <f>IFERROR(INDEX(SailPattern!$A:$A,MATCH(P450,SailPattern!$B:$B,0)),"-")</f>
        <v>-</v>
      </c>
      <c r="R450" s="30"/>
      <c r="S450" s="11" t="str">
        <f>IFERROR(INDEX(SailCrest!$A:$A,MATCH(R450,SailCrest!$B:$B,0)),"-")</f>
        <v>-</v>
      </c>
      <c r="T450" s="19" t="s">
        <v>0</v>
      </c>
      <c r="U450" s="19" t="s">
        <v>0</v>
      </c>
      <c r="V450" s="19" t="s">
        <v>0</v>
      </c>
      <c r="W450" s="19" t="s">
        <v>0</v>
      </c>
      <c r="X450" s="19" t="s">
        <v>0</v>
      </c>
      <c r="Y450" s="19" t="s">
        <v>0</v>
      </c>
      <c r="Z450" s="19" t="s">
        <v>0</v>
      </c>
      <c r="AA450" s="19" t="s">
        <v>0</v>
      </c>
    </row>
    <row r="451" spans="1:27" ht="15">
      <c r="A451" s="10">
        <f t="shared" si="15"/>
        <v>46100103</v>
      </c>
      <c r="B451" s="40" t="s">
        <v>2044</v>
      </c>
      <c r="C451" s="4" t="s">
        <v>63</v>
      </c>
      <c r="D451" s="11">
        <f>IFERROR(VLOOKUP(C451,ShipShapeEnum!$E:$F,2,FALSE),"-")</f>
        <v>2</v>
      </c>
      <c r="E451" s="19" t="s">
        <v>2071</v>
      </c>
      <c r="F451" s="4" t="s">
        <v>65</v>
      </c>
      <c r="G451" s="11">
        <f>IFERROR(VLOOKUP(F451,ShipShapeEnum!$B:$C,2,FALSE),"-")</f>
        <v>2</v>
      </c>
      <c r="H451" s="19" t="s">
        <v>459</v>
      </c>
      <c r="I451" s="19" t="s">
        <v>0</v>
      </c>
      <c r="J451" s="19" t="s">
        <v>0</v>
      </c>
      <c r="K451" s="19" t="s">
        <v>0</v>
      </c>
      <c r="L451" s="19" t="s">
        <v>0</v>
      </c>
      <c r="M451" s="4" t="s">
        <v>81</v>
      </c>
      <c r="N451" s="11">
        <f>IFERROR(VLOOKUP(M451,ShipShapeEnum!$H:$I,2,FALSE),"-")</f>
        <v>1</v>
      </c>
      <c r="O451" s="11" t="s">
        <v>2688</v>
      </c>
      <c r="P451" s="30"/>
      <c r="Q451" s="11" t="str">
        <f>IFERROR(INDEX(SailPattern!$A:$A,MATCH(P451,SailPattern!$B:$B,0)),"-")</f>
        <v>-</v>
      </c>
      <c r="R451" s="30"/>
      <c r="S451" s="11" t="str">
        <f>IFERROR(INDEX(SailCrest!$A:$A,MATCH(R451,SailCrest!$B:$B,0)),"-")</f>
        <v>-</v>
      </c>
      <c r="T451" s="19" t="s">
        <v>0</v>
      </c>
      <c r="U451" s="19" t="s">
        <v>0</v>
      </c>
      <c r="V451" s="19" t="s">
        <v>0</v>
      </c>
      <c r="W451" s="19" t="s">
        <v>0</v>
      </c>
      <c r="X451" s="19" t="s">
        <v>0</v>
      </c>
      <c r="Y451" s="19" t="s">
        <v>0</v>
      </c>
      <c r="Z451" s="19" t="s">
        <v>0</v>
      </c>
      <c r="AA451" s="19" t="s">
        <v>0</v>
      </c>
    </row>
    <row r="452" spans="1:27" ht="15">
      <c r="A452" s="10">
        <f t="shared" si="15"/>
        <v>46100104</v>
      </c>
      <c r="B452" s="40" t="s">
        <v>2045</v>
      </c>
      <c r="C452" s="4" t="s">
        <v>63</v>
      </c>
      <c r="D452" s="11">
        <f>IFERROR(VLOOKUP(C452,ShipShapeEnum!$E:$F,2,FALSE),"-")</f>
        <v>2</v>
      </c>
      <c r="E452" s="19" t="s">
        <v>2072</v>
      </c>
      <c r="F452" s="4" t="s">
        <v>65</v>
      </c>
      <c r="G452" s="11">
        <f>IFERROR(VLOOKUP(F452,ShipShapeEnum!$B:$C,2,FALSE),"-")</f>
        <v>2</v>
      </c>
      <c r="H452" s="19" t="s">
        <v>459</v>
      </c>
      <c r="I452" s="19" t="s">
        <v>0</v>
      </c>
      <c r="J452" s="19" t="s">
        <v>0</v>
      </c>
      <c r="K452" s="19" t="s">
        <v>0</v>
      </c>
      <c r="L452" s="19" t="s">
        <v>0</v>
      </c>
      <c r="M452" s="4" t="s">
        <v>81</v>
      </c>
      <c r="N452" s="11">
        <f>IFERROR(VLOOKUP(M452,ShipShapeEnum!$H:$I,2,FALSE),"-")</f>
        <v>1</v>
      </c>
      <c r="O452" s="11" t="s">
        <v>2688</v>
      </c>
      <c r="P452" s="30"/>
      <c r="Q452" s="11" t="str">
        <f>IFERROR(INDEX(SailPattern!$A:$A,MATCH(P452,SailPattern!$B:$B,0)),"-")</f>
        <v>-</v>
      </c>
      <c r="R452" s="30"/>
      <c r="S452" s="11" t="str">
        <f>IFERROR(INDEX(SailCrest!$A:$A,MATCH(R452,SailCrest!$B:$B,0)),"-")</f>
        <v>-</v>
      </c>
      <c r="T452" s="19" t="s">
        <v>0</v>
      </c>
      <c r="U452" s="19" t="s">
        <v>0</v>
      </c>
      <c r="V452" s="19" t="s">
        <v>0</v>
      </c>
      <c r="W452" s="19" t="s">
        <v>0</v>
      </c>
      <c r="X452" s="19" t="s">
        <v>0</v>
      </c>
      <c r="Y452" s="19" t="s">
        <v>0</v>
      </c>
      <c r="Z452" s="19" t="s">
        <v>0</v>
      </c>
      <c r="AA452" s="19" t="s">
        <v>0</v>
      </c>
    </row>
    <row r="453" spans="1:27" ht="15">
      <c r="A453" s="10">
        <f t="shared" si="15"/>
        <v>46100105</v>
      </c>
      <c r="B453" s="40" t="s">
        <v>2046</v>
      </c>
      <c r="C453" s="4" t="s">
        <v>63</v>
      </c>
      <c r="D453" s="11">
        <f>IFERROR(VLOOKUP(C453,ShipShapeEnum!$E:$F,2,FALSE),"-")</f>
        <v>2</v>
      </c>
      <c r="E453" s="60" t="s">
        <v>2073</v>
      </c>
      <c r="F453" s="4" t="s">
        <v>65</v>
      </c>
      <c r="G453" s="11">
        <f>IFERROR(VLOOKUP(F453,ShipShapeEnum!$B:$C,2,FALSE),"-")</f>
        <v>2</v>
      </c>
      <c r="H453" s="19" t="s">
        <v>459</v>
      </c>
      <c r="I453" s="19" t="s">
        <v>0</v>
      </c>
      <c r="J453" s="19" t="s">
        <v>0</v>
      </c>
      <c r="K453" s="19" t="s">
        <v>0</v>
      </c>
      <c r="L453" s="19" t="s">
        <v>0</v>
      </c>
      <c r="M453" s="4" t="s">
        <v>81</v>
      </c>
      <c r="N453" s="11">
        <f>IFERROR(VLOOKUP(M453,ShipShapeEnum!$H:$I,2,FALSE),"-")</f>
        <v>1</v>
      </c>
      <c r="O453" s="11" t="s">
        <v>2688</v>
      </c>
      <c r="P453" s="30"/>
      <c r="Q453" s="11" t="str">
        <f>IFERROR(INDEX(SailPattern!$A:$A,MATCH(P453,SailPattern!$B:$B,0)),"-")</f>
        <v>-</v>
      </c>
      <c r="R453" s="30"/>
      <c r="S453" s="11" t="str">
        <f>IFERROR(INDEX(SailCrest!$A:$A,MATCH(R453,SailCrest!$B:$B,0)),"-")</f>
        <v>-</v>
      </c>
      <c r="T453" s="19" t="s">
        <v>0</v>
      </c>
      <c r="U453" s="19" t="s">
        <v>0</v>
      </c>
      <c r="V453" s="19" t="s">
        <v>0</v>
      </c>
      <c r="W453" s="19" t="s">
        <v>0</v>
      </c>
      <c r="X453" s="19" t="s">
        <v>0</v>
      </c>
      <c r="Y453" s="19" t="s">
        <v>0</v>
      </c>
      <c r="Z453" s="19" t="s">
        <v>0</v>
      </c>
      <c r="AA453" s="19" t="s">
        <v>0</v>
      </c>
    </row>
    <row r="454" spans="1:27" ht="15">
      <c r="A454" s="10">
        <f t="shared" si="15"/>
        <v>46100106</v>
      </c>
      <c r="B454" s="40" t="s">
        <v>2047</v>
      </c>
      <c r="C454" s="4" t="s">
        <v>63</v>
      </c>
      <c r="D454" s="11">
        <f>IFERROR(VLOOKUP(C454,ShipShapeEnum!$E:$F,2,FALSE),"-")</f>
        <v>2</v>
      </c>
      <c r="E454" s="19" t="s">
        <v>2074</v>
      </c>
      <c r="F454" s="4" t="s">
        <v>65</v>
      </c>
      <c r="G454" s="11">
        <f>IFERROR(VLOOKUP(F454,ShipShapeEnum!$B:$C,2,FALSE),"-")</f>
        <v>2</v>
      </c>
      <c r="H454" s="19" t="s">
        <v>459</v>
      </c>
      <c r="I454" s="19" t="s">
        <v>0</v>
      </c>
      <c r="J454" s="19" t="s">
        <v>0</v>
      </c>
      <c r="K454" s="19" t="s">
        <v>0</v>
      </c>
      <c r="L454" s="19" t="s">
        <v>0</v>
      </c>
      <c r="M454" s="4" t="s">
        <v>81</v>
      </c>
      <c r="N454" s="11">
        <f>IFERROR(VLOOKUP(M454,ShipShapeEnum!$H:$I,2,FALSE),"-")</f>
        <v>1</v>
      </c>
      <c r="O454" s="11" t="s">
        <v>2688</v>
      </c>
      <c r="P454" s="30"/>
      <c r="Q454" s="11" t="str">
        <f>IFERROR(INDEX(SailPattern!$A:$A,MATCH(P454,SailPattern!$B:$B,0)),"-")</f>
        <v>-</v>
      </c>
      <c r="R454" s="30"/>
      <c r="S454" s="11" t="str">
        <f>IFERROR(INDEX(SailCrest!$A:$A,MATCH(R454,SailCrest!$B:$B,0)),"-")</f>
        <v>-</v>
      </c>
      <c r="T454" s="19" t="s">
        <v>0</v>
      </c>
      <c r="U454" s="19" t="s">
        <v>0</v>
      </c>
      <c r="V454" s="19" t="s">
        <v>0</v>
      </c>
      <c r="W454" s="19" t="s">
        <v>0</v>
      </c>
      <c r="X454" s="19" t="s">
        <v>0</v>
      </c>
      <c r="Y454" s="19" t="s">
        <v>0</v>
      </c>
      <c r="Z454" s="19" t="s">
        <v>0</v>
      </c>
      <c r="AA454" s="19" t="s">
        <v>0</v>
      </c>
    </row>
    <row r="455" spans="1:27" ht="15">
      <c r="A455" s="10">
        <f t="shared" si="15"/>
        <v>46100107</v>
      </c>
      <c r="B455" s="40" t="s">
        <v>2048</v>
      </c>
      <c r="C455" s="4" t="s">
        <v>63</v>
      </c>
      <c r="D455" s="11">
        <f>IFERROR(VLOOKUP(C455,ShipShapeEnum!$E:$F,2,FALSE),"-")</f>
        <v>2</v>
      </c>
      <c r="E455" s="19" t="s">
        <v>2075</v>
      </c>
      <c r="F455" s="4" t="s">
        <v>65</v>
      </c>
      <c r="G455" s="11">
        <f>IFERROR(VLOOKUP(F455,ShipShapeEnum!$B:$C,2,FALSE),"-")</f>
        <v>2</v>
      </c>
      <c r="H455" s="19" t="s">
        <v>459</v>
      </c>
      <c r="I455" s="19" t="s">
        <v>0</v>
      </c>
      <c r="J455" s="19" t="s">
        <v>0</v>
      </c>
      <c r="K455" s="19" t="s">
        <v>0</v>
      </c>
      <c r="L455" s="19" t="s">
        <v>0</v>
      </c>
      <c r="M455" s="4" t="s">
        <v>81</v>
      </c>
      <c r="N455" s="11">
        <f>IFERROR(VLOOKUP(M455,ShipShapeEnum!$H:$I,2,FALSE),"-")</f>
        <v>1</v>
      </c>
      <c r="O455" s="11" t="s">
        <v>2688</v>
      </c>
      <c r="P455" s="30"/>
      <c r="Q455" s="11" t="str">
        <f>IFERROR(INDEX(SailPattern!$A:$A,MATCH(P455,SailPattern!$B:$B,0)),"-")</f>
        <v>-</v>
      </c>
      <c r="R455" s="30"/>
      <c r="S455" s="11" t="str">
        <f>IFERROR(INDEX(SailCrest!$A:$A,MATCH(R455,SailCrest!$B:$B,0)),"-")</f>
        <v>-</v>
      </c>
      <c r="T455" s="19" t="s">
        <v>0</v>
      </c>
      <c r="U455" s="19" t="s">
        <v>0</v>
      </c>
      <c r="V455" s="19" t="s">
        <v>0</v>
      </c>
      <c r="W455" s="19" t="s">
        <v>0</v>
      </c>
      <c r="X455" s="19" t="s">
        <v>0</v>
      </c>
      <c r="Y455" s="19" t="s">
        <v>0</v>
      </c>
      <c r="Z455" s="19" t="s">
        <v>0</v>
      </c>
      <c r="AA455" s="19" t="s">
        <v>0</v>
      </c>
    </row>
    <row r="456" spans="1:27" ht="15">
      <c r="A456" s="10">
        <f t="shared" si="15"/>
        <v>46100108</v>
      </c>
      <c r="B456" s="40" t="s">
        <v>2049</v>
      </c>
      <c r="C456" s="4" t="s">
        <v>63</v>
      </c>
      <c r="D456" s="11">
        <f>IFERROR(VLOOKUP(C456,ShipShapeEnum!$E:$F,2,FALSE),"-")</f>
        <v>2</v>
      </c>
      <c r="E456" s="19" t="s">
        <v>2076</v>
      </c>
      <c r="F456" s="4" t="s">
        <v>65</v>
      </c>
      <c r="G456" s="11">
        <f>IFERROR(VLOOKUP(F456,ShipShapeEnum!$B:$C,2,FALSE),"-")</f>
        <v>2</v>
      </c>
      <c r="H456" s="19" t="s">
        <v>459</v>
      </c>
      <c r="I456" s="19" t="s">
        <v>0</v>
      </c>
      <c r="J456" s="19" t="s">
        <v>0</v>
      </c>
      <c r="K456" s="19" t="s">
        <v>0</v>
      </c>
      <c r="L456" s="19" t="s">
        <v>0</v>
      </c>
      <c r="M456" s="4" t="s">
        <v>81</v>
      </c>
      <c r="N456" s="11">
        <f>IFERROR(VLOOKUP(M456,ShipShapeEnum!$H:$I,2,FALSE),"-")</f>
        <v>1</v>
      </c>
      <c r="O456" s="11" t="s">
        <v>2688</v>
      </c>
      <c r="P456" s="30"/>
      <c r="Q456" s="11" t="str">
        <f>IFERROR(INDEX(SailPattern!$A:$A,MATCH(P456,SailPattern!$B:$B,0)),"-")</f>
        <v>-</v>
      </c>
      <c r="R456" s="30"/>
      <c r="S456" s="11" t="str">
        <f>IFERROR(INDEX(SailCrest!$A:$A,MATCH(R456,SailCrest!$B:$B,0)),"-")</f>
        <v>-</v>
      </c>
      <c r="T456" s="19" t="s">
        <v>0</v>
      </c>
      <c r="U456" s="19" t="s">
        <v>0</v>
      </c>
      <c r="V456" s="19" t="s">
        <v>0</v>
      </c>
      <c r="W456" s="19" t="s">
        <v>0</v>
      </c>
      <c r="X456" s="19" t="s">
        <v>0</v>
      </c>
      <c r="Y456" s="19" t="s">
        <v>0</v>
      </c>
      <c r="Z456" s="19" t="s">
        <v>0</v>
      </c>
      <c r="AA456" s="19" t="s">
        <v>0</v>
      </c>
    </row>
    <row r="457" spans="1:27" ht="15">
      <c r="A457" s="10">
        <f t="shared" si="15"/>
        <v>46100109</v>
      </c>
      <c r="B457" s="40" t="s">
        <v>2050</v>
      </c>
      <c r="C457" s="4" t="s">
        <v>63</v>
      </c>
      <c r="D457" s="11">
        <f>IFERROR(VLOOKUP(C457,ShipShapeEnum!$E:$F,2,FALSE),"-")</f>
        <v>2</v>
      </c>
      <c r="E457" s="19" t="s">
        <v>2077</v>
      </c>
      <c r="F457" s="4" t="s">
        <v>65</v>
      </c>
      <c r="G457" s="11">
        <f>IFERROR(VLOOKUP(F457,ShipShapeEnum!$B:$C,2,FALSE),"-")</f>
        <v>2</v>
      </c>
      <c r="H457" s="19" t="s">
        <v>459</v>
      </c>
      <c r="I457" s="19" t="s">
        <v>0</v>
      </c>
      <c r="J457" s="19" t="s">
        <v>0</v>
      </c>
      <c r="K457" s="19" t="s">
        <v>0</v>
      </c>
      <c r="L457" s="19" t="s">
        <v>0</v>
      </c>
      <c r="M457" s="4" t="s">
        <v>81</v>
      </c>
      <c r="N457" s="11">
        <f>IFERROR(VLOOKUP(M457,ShipShapeEnum!$H:$I,2,FALSE),"-")</f>
        <v>1</v>
      </c>
      <c r="O457" s="11" t="s">
        <v>2688</v>
      </c>
      <c r="P457" s="30"/>
      <c r="Q457" s="11" t="str">
        <f>IFERROR(INDEX(SailPattern!$A:$A,MATCH(P457,SailPattern!$B:$B,0)),"-")</f>
        <v>-</v>
      </c>
      <c r="R457" s="30"/>
      <c r="S457" s="11" t="str">
        <f>IFERROR(INDEX(SailCrest!$A:$A,MATCH(R457,SailCrest!$B:$B,0)),"-")</f>
        <v>-</v>
      </c>
      <c r="T457" s="19" t="s">
        <v>0</v>
      </c>
      <c r="U457" s="19" t="s">
        <v>0</v>
      </c>
      <c r="V457" s="19" t="s">
        <v>0</v>
      </c>
      <c r="W457" s="19" t="s">
        <v>0</v>
      </c>
      <c r="X457" s="19" t="s">
        <v>0</v>
      </c>
      <c r="Y457" s="19" t="s">
        <v>0</v>
      </c>
      <c r="Z457" s="19" t="s">
        <v>0</v>
      </c>
      <c r="AA457" s="19" t="s">
        <v>0</v>
      </c>
    </row>
    <row r="458" spans="1:27" ht="15">
      <c r="A458" s="10">
        <f t="shared" si="15"/>
        <v>46100110</v>
      </c>
      <c r="B458" s="40" t="s">
        <v>2051</v>
      </c>
      <c r="C458" s="4" t="s">
        <v>63</v>
      </c>
      <c r="D458" s="11">
        <f>IFERROR(VLOOKUP(C458,ShipShapeEnum!$E:$F,2,FALSE),"-")</f>
        <v>2</v>
      </c>
      <c r="E458" s="19" t="s">
        <v>2078</v>
      </c>
      <c r="F458" s="4" t="s">
        <v>65</v>
      </c>
      <c r="G458" s="11">
        <f>IFERROR(VLOOKUP(F458,ShipShapeEnum!$B:$C,2,FALSE),"-")</f>
        <v>2</v>
      </c>
      <c r="H458" s="19" t="s">
        <v>459</v>
      </c>
      <c r="I458" s="19" t="s">
        <v>0</v>
      </c>
      <c r="J458" s="19" t="s">
        <v>0</v>
      </c>
      <c r="K458" s="19" t="s">
        <v>0</v>
      </c>
      <c r="L458" s="19" t="s">
        <v>0</v>
      </c>
      <c r="M458" s="4" t="s">
        <v>81</v>
      </c>
      <c r="N458" s="11">
        <f>IFERROR(VLOOKUP(M458,ShipShapeEnum!$H:$I,2,FALSE),"-")</f>
        <v>1</v>
      </c>
      <c r="O458" s="11" t="s">
        <v>2688</v>
      </c>
      <c r="P458" s="30"/>
      <c r="Q458" s="11" t="str">
        <f>IFERROR(INDEX(SailPattern!$A:$A,MATCH(P458,SailPattern!$B:$B,0)),"-")</f>
        <v>-</v>
      </c>
      <c r="R458" s="30"/>
      <c r="S458" s="11" t="str">
        <f>IFERROR(INDEX(SailCrest!$A:$A,MATCH(R458,SailCrest!$B:$B,0)),"-")</f>
        <v>-</v>
      </c>
      <c r="T458" s="19" t="s">
        <v>0</v>
      </c>
      <c r="U458" s="19" t="s">
        <v>0</v>
      </c>
      <c r="V458" s="19" t="s">
        <v>0</v>
      </c>
      <c r="W458" s="19" t="s">
        <v>0</v>
      </c>
      <c r="X458" s="19" t="s">
        <v>0</v>
      </c>
      <c r="Y458" s="19" t="s">
        <v>0</v>
      </c>
      <c r="Z458" s="19" t="s">
        <v>0</v>
      </c>
      <c r="AA458" s="19" t="s">
        <v>0</v>
      </c>
    </row>
    <row r="459" spans="1:27" ht="15">
      <c r="A459" s="10">
        <f t="shared" si="15"/>
        <v>46100111</v>
      </c>
      <c r="B459" s="40" t="s">
        <v>2052</v>
      </c>
      <c r="C459" s="4" t="s">
        <v>63</v>
      </c>
      <c r="D459" s="11">
        <f>IFERROR(VLOOKUP(C459,ShipShapeEnum!$E:$F,2,FALSE),"-")</f>
        <v>2</v>
      </c>
      <c r="E459" s="19" t="s">
        <v>2079</v>
      </c>
      <c r="F459" s="4" t="s">
        <v>65</v>
      </c>
      <c r="G459" s="11">
        <f>IFERROR(VLOOKUP(F459,ShipShapeEnum!$B:$C,2,FALSE),"-")</f>
        <v>2</v>
      </c>
      <c r="H459" s="19" t="s">
        <v>459</v>
      </c>
      <c r="I459" s="19" t="s">
        <v>0</v>
      </c>
      <c r="J459" s="19" t="s">
        <v>0</v>
      </c>
      <c r="K459" s="19" t="s">
        <v>0</v>
      </c>
      <c r="L459" s="19" t="s">
        <v>0</v>
      </c>
      <c r="M459" s="4" t="s">
        <v>81</v>
      </c>
      <c r="N459" s="11">
        <f>IFERROR(VLOOKUP(M459,ShipShapeEnum!$H:$I,2,FALSE),"-")</f>
        <v>1</v>
      </c>
      <c r="O459" s="11" t="s">
        <v>2688</v>
      </c>
      <c r="P459" s="30"/>
      <c r="Q459" s="11" t="str">
        <f>IFERROR(INDEX(SailPattern!$A:$A,MATCH(P459,SailPattern!$B:$B,0)),"-")</f>
        <v>-</v>
      </c>
      <c r="R459" s="30"/>
      <c r="S459" s="11" t="str">
        <f>IFERROR(INDEX(SailCrest!$A:$A,MATCH(R459,SailCrest!$B:$B,0)),"-")</f>
        <v>-</v>
      </c>
      <c r="T459" s="19" t="s">
        <v>0</v>
      </c>
      <c r="U459" s="19" t="s">
        <v>0</v>
      </c>
      <c r="V459" s="19" t="s">
        <v>0</v>
      </c>
      <c r="W459" s="19" t="s">
        <v>0</v>
      </c>
      <c r="X459" s="19" t="s">
        <v>0</v>
      </c>
      <c r="Y459" s="19" t="s">
        <v>0</v>
      </c>
      <c r="Z459" s="19" t="s">
        <v>0</v>
      </c>
      <c r="AA459" s="19" t="s">
        <v>0</v>
      </c>
    </row>
    <row r="460" spans="1:27" ht="15">
      <c r="A460" s="10">
        <f t="shared" si="15"/>
        <v>46100112</v>
      </c>
      <c r="B460" s="40" t="s">
        <v>2053</v>
      </c>
      <c r="C460" s="4" t="s">
        <v>63</v>
      </c>
      <c r="D460" s="11">
        <f>IFERROR(VLOOKUP(C460,ShipShapeEnum!$E:$F,2,FALSE),"-")</f>
        <v>2</v>
      </c>
      <c r="E460" s="19" t="s">
        <v>2080</v>
      </c>
      <c r="F460" s="4" t="s">
        <v>65</v>
      </c>
      <c r="G460" s="11">
        <f>IFERROR(VLOOKUP(F460,ShipShapeEnum!$B:$C,2,FALSE),"-")</f>
        <v>2</v>
      </c>
      <c r="H460" s="19" t="s">
        <v>459</v>
      </c>
      <c r="I460" s="19" t="s">
        <v>0</v>
      </c>
      <c r="J460" s="19" t="s">
        <v>0</v>
      </c>
      <c r="K460" s="19" t="s">
        <v>0</v>
      </c>
      <c r="L460" s="19" t="s">
        <v>0</v>
      </c>
      <c r="M460" s="4" t="s">
        <v>81</v>
      </c>
      <c r="N460" s="11">
        <f>IFERROR(VLOOKUP(M460,ShipShapeEnum!$H:$I,2,FALSE),"-")</f>
        <v>1</v>
      </c>
      <c r="O460" s="11" t="s">
        <v>2688</v>
      </c>
      <c r="P460" s="30"/>
      <c r="Q460" s="11" t="str">
        <f>IFERROR(INDEX(SailPattern!$A:$A,MATCH(P460,SailPattern!$B:$B,0)),"-")</f>
        <v>-</v>
      </c>
      <c r="R460" s="30"/>
      <c r="S460" s="11" t="str">
        <f>IFERROR(INDEX(SailCrest!$A:$A,MATCH(R460,SailCrest!$B:$B,0)),"-")</f>
        <v>-</v>
      </c>
      <c r="T460" s="19" t="s">
        <v>0</v>
      </c>
      <c r="U460" s="19" t="s">
        <v>0</v>
      </c>
      <c r="V460" s="19" t="s">
        <v>0</v>
      </c>
      <c r="W460" s="19" t="s">
        <v>0</v>
      </c>
      <c r="X460" s="19" t="s">
        <v>0</v>
      </c>
      <c r="Y460" s="19" t="s">
        <v>0</v>
      </c>
      <c r="Z460" s="19" t="s">
        <v>0</v>
      </c>
      <c r="AA460" s="19" t="s">
        <v>0</v>
      </c>
    </row>
    <row r="461" spans="1:27" ht="15">
      <c r="A461" s="10">
        <f t="shared" si="15"/>
        <v>46100113</v>
      </c>
      <c r="B461" s="40" t="s">
        <v>2054</v>
      </c>
      <c r="C461" s="4" t="s">
        <v>63</v>
      </c>
      <c r="D461" s="11">
        <f>IFERROR(VLOOKUP(C461,ShipShapeEnum!$E:$F,2,FALSE),"-")</f>
        <v>2</v>
      </c>
      <c r="E461" s="19" t="s">
        <v>2081</v>
      </c>
      <c r="F461" s="4" t="s">
        <v>65</v>
      </c>
      <c r="G461" s="11">
        <f>IFERROR(VLOOKUP(F461,ShipShapeEnum!$B:$C,2,FALSE),"-")</f>
        <v>2</v>
      </c>
      <c r="H461" s="19" t="s">
        <v>459</v>
      </c>
      <c r="I461" s="19" t="s">
        <v>0</v>
      </c>
      <c r="J461" s="19" t="s">
        <v>0</v>
      </c>
      <c r="K461" s="19" t="s">
        <v>0</v>
      </c>
      <c r="L461" s="19" t="s">
        <v>0</v>
      </c>
      <c r="M461" s="4" t="s">
        <v>81</v>
      </c>
      <c r="N461" s="11">
        <f>IFERROR(VLOOKUP(M461,ShipShapeEnum!$H:$I,2,FALSE),"-")</f>
        <v>1</v>
      </c>
      <c r="O461" s="11" t="s">
        <v>2688</v>
      </c>
      <c r="P461" s="30"/>
      <c r="Q461" s="11" t="str">
        <f>IFERROR(INDEX(SailPattern!$A:$A,MATCH(P461,SailPattern!$B:$B,0)),"-")</f>
        <v>-</v>
      </c>
      <c r="R461" s="30"/>
      <c r="S461" s="11" t="str">
        <f>IFERROR(INDEX(SailCrest!$A:$A,MATCH(R461,SailCrest!$B:$B,0)),"-")</f>
        <v>-</v>
      </c>
      <c r="T461" s="19" t="s">
        <v>0</v>
      </c>
      <c r="U461" s="19" t="s">
        <v>0</v>
      </c>
      <c r="V461" s="19" t="s">
        <v>0</v>
      </c>
      <c r="W461" s="19" t="s">
        <v>0</v>
      </c>
      <c r="X461" s="19" t="s">
        <v>0</v>
      </c>
      <c r="Y461" s="19" t="s">
        <v>0</v>
      </c>
      <c r="Z461" s="19" t="s">
        <v>0</v>
      </c>
      <c r="AA461" s="19" t="s">
        <v>0</v>
      </c>
    </row>
    <row r="462" spans="1:27" ht="15">
      <c r="A462" s="10">
        <f t="shared" si="15"/>
        <v>46100114</v>
      </c>
      <c r="B462" s="40" t="s">
        <v>2055</v>
      </c>
      <c r="C462" s="4" t="s">
        <v>63</v>
      </c>
      <c r="D462" s="11">
        <f>IFERROR(VLOOKUP(C462,ShipShapeEnum!$E:$F,2,FALSE),"-")</f>
        <v>2</v>
      </c>
      <c r="E462" s="19" t="s">
        <v>2082</v>
      </c>
      <c r="F462" s="4" t="s">
        <v>65</v>
      </c>
      <c r="G462" s="11">
        <f>IFERROR(VLOOKUP(F462,ShipShapeEnum!$B:$C,2,FALSE),"-")</f>
        <v>2</v>
      </c>
      <c r="H462" s="19" t="s">
        <v>459</v>
      </c>
      <c r="I462" s="19" t="s">
        <v>0</v>
      </c>
      <c r="J462" s="19" t="s">
        <v>0</v>
      </c>
      <c r="K462" s="19" t="s">
        <v>0</v>
      </c>
      <c r="L462" s="19" t="s">
        <v>0</v>
      </c>
      <c r="M462" s="4" t="s">
        <v>81</v>
      </c>
      <c r="N462" s="11">
        <f>IFERROR(VLOOKUP(M462,ShipShapeEnum!$H:$I,2,FALSE),"-")</f>
        <v>1</v>
      </c>
      <c r="O462" s="11" t="s">
        <v>2688</v>
      </c>
      <c r="P462" s="30"/>
      <c r="Q462" s="11" t="str">
        <f>IFERROR(INDEX(SailPattern!$A:$A,MATCH(P462,SailPattern!$B:$B,0)),"-")</f>
        <v>-</v>
      </c>
      <c r="R462" s="30"/>
      <c r="S462" s="11" t="str">
        <f>IFERROR(INDEX(SailCrest!$A:$A,MATCH(R462,SailCrest!$B:$B,0)),"-")</f>
        <v>-</v>
      </c>
      <c r="T462" s="19" t="s">
        <v>0</v>
      </c>
      <c r="U462" s="19" t="s">
        <v>0</v>
      </c>
      <c r="V462" s="19" t="s">
        <v>0</v>
      </c>
      <c r="W462" s="19" t="s">
        <v>0</v>
      </c>
      <c r="X462" s="19" t="s">
        <v>0</v>
      </c>
      <c r="Y462" s="19" t="s">
        <v>0</v>
      </c>
      <c r="Z462" s="19" t="s">
        <v>0</v>
      </c>
      <c r="AA462" s="19" t="s">
        <v>0</v>
      </c>
    </row>
    <row r="463" spans="1:27" ht="15">
      <c r="A463" s="10">
        <f t="shared" si="15"/>
        <v>46100115</v>
      </c>
      <c r="B463" s="40" t="s">
        <v>2056</v>
      </c>
      <c r="C463" s="4" t="s">
        <v>63</v>
      </c>
      <c r="D463" s="11">
        <f>IFERROR(VLOOKUP(C463,ShipShapeEnum!$E:$F,2,FALSE),"-")</f>
        <v>2</v>
      </c>
      <c r="E463" s="19" t="s">
        <v>2083</v>
      </c>
      <c r="F463" s="4" t="s">
        <v>65</v>
      </c>
      <c r="G463" s="11">
        <f>IFERROR(VLOOKUP(F463,ShipShapeEnum!$B:$C,2,FALSE),"-")</f>
        <v>2</v>
      </c>
      <c r="H463" s="19" t="s">
        <v>459</v>
      </c>
      <c r="I463" s="19" t="s">
        <v>0</v>
      </c>
      <c r="J463" s="19" t="s">
        <v>0</v>
      </c>
      <c r="K463" s="19" t="s">
        <v>0</v>
      </c>
      <c r="L463" s="19" t="s">
        <v>0</v>
      </c>
      <c r="M463" s="4" t="s">
        <v>81</v>
      </c>
      <c r="N463" s="11">
        <f>IFERROR(VLOOKUP(M463,ShipShapeEnum!$H:$I,2,FALSE),"-")</f>
        <v>1</v>
      </c>
      <c r="O463" s="11" t="s">
        <v>2688</v>
      </c>
      <c r="P463" s="30"/>
      <c r="Q463" s="11" t="str">
        <f>IFERROR(INDEX(SailPattern!$A:$A,MATCH(P463,SailPattern!$B:$B,0)),"-")</f>
        <v>-</v>
      </c>
      <c r="R463" s="30"/>
      <c r="S463" s="11" t="str">
        <f>IFERROR(INDEX(SailCrest!$A:$A,MATCH(R463,SailCrest!$B:$B,0)),"-")</f>
        <v>-</v>
      </c>
      <c r="T463" s="19" t="s">
        <v>0</v>
      </c>
      <c r="U463" s="19" t="s">
        <v>0</v>
      </c>
      <c r="V463" s="19" t="s">
        <v>0</v>
      </c>
      <c r="W463" s="19" t="s">
        <v>0</v>
      </c>
      <c r="X463" s="19" t="s">
        <v>0</v>
      </c>
      <c r="Y463" s="19" t="s">
        <v>0</v>
      </c>
      <c r="Z463" s="19" t="s">
        <v>0</v>
      </c>
      <c r="AA463" s="19" t="s">
        <v>0</v>
      </c>
    </row>
    <row r="464" spans="1:27" ht="15">
      <c r="A464" s="10">
        <f t="shared" si="15"/>
        <v>46100116</v>
      </c>
      <c r="B464" s="40" t="s">
        <v>2057</v>
      </c>
      <c r="C464" s="4" t="s">
        <v>63</v>
      </c>
      <c r="D464" s="11">
        <f>IFERROR(VLOOKUP(C464,ShipShapeEnum!$E:$F,2,FALSE),"-")</f>
        <v>2</v>
      </c>
      <c r="E464" s="19" t="s">
        <v>2084</v>
      </c>
      <c r="F464" s="4" t="s">
        <v>65</v>
      </c>
      <c r="G464" s="11">
        <f>IFERROR(VLOOKUP(F464,ShipShapeEnum!$B:$C,2,FALSE),"-")</f>
        <v>2</v>
      </c>
      <c r="H464" s="19" t="s">
        <v>459</v>
      </c>
      <c r="I464" s="19" t="s">
        <v>0</v>
      </c>
      <c r="J464" s="19" t="s">
        <v>0</v>
      </c>
      <c r="K464" s="19" t="s">
        <v>0</v>
      </c>
      <c r="L464" s="19" t="s">
        <v>0</v>
      </c>
      <c r="M464" s="4" t="s">
        <v>81</v>
      </c>
      <c r="N464" s="11">
        <f>IFERROR(VLOOKUP(M464,ShipShapeEnum!$H:$I,2,FALSE),"-")</f>
        <v>1</v>
      </c>
      <c r="O464" s="11" t="s">
        <v>2688</v>
      </c>
      <c r="P464" s="30"/>
      <c r="Q464" s="11" t="str">
        <f>IFERROR(INDEX(SailPattern!$A:$A,MATCH(P464,SailPattern!$B:$B,0)),"-")</f>
        <v>-</v>
      </c>
      <c r="R464" s="30"/>
      <c r="S464" s="11" t="str">
        <f>IFERROR(INDEX(SailCrest!$A:$A,MATCH(R464,SailCrest!$B:$B,0)),"-")</f>
        <v>-</v>
      </c>
      <c r="T464" s="19" t="s">
        <v>0</v>
      </c>
      <c r="U464" s="19" t="s">
        <v>0</v>
      </c>
      <c r="V464" s="19" t="s">
        <v>0</v>
      </c>
      <c r="W464" s="19" t="s">
        <v>0</v>
      </c>
      <c r="X464" s="19" t="s">
        <v>0</v>
      </c>
      <c r="Y464" s="19" t="s">
        <v>0</v>
      </c>
      <c r="Z464" s="19" t="s">
        <v>0</v>
      </c>
      <c r="AA464" s="19" t="s">
        <v>0</v>
      </c>
    </row>
    <row r="465" spans="1:27" ht="15">
      <c r="A465" s="10">
        <f t="shared" si="15"/>
        <v>46100117</v>
      </c>
      <c r="B465" s="40" t="s">
        <v>2058</v>
      </c>
      <c r="C465" s="4" t="s">
        <v>63</v>
      </c>
      <c r="D465" s="11">
        <f>IFERROR(VLOOKUP(C465,ShipShapeEnum!$E:$F,2,FALSE),"-")</f>
        <v>2</v>
      </c>
      <c r="E465" s="19" t="s">
        <v>2085</v>
      </c>
      <c r="F465" s="4" t="s">
        <v>65</v>
      </c>
      <c r="G465" s="11">
        <f>IFERROR(VLOOKUP(F465,ShipShapeEnum!$B:$C,2,FALSE),"-")</f>
        <v>2</v>
      </c>
      <c r="H465" s="19" t="s">
        <v>460</v>
      </c>
      <c r="I465" s="19" t="s">
        <v>0</v>
      </c>
      <c r="J465" s="19" t="s">
        <v>0</v>
      </c>
      <c r="K465" s="19" t="s">
        <v>0</v>
      </c>
      <c r="L465" s="19" t="s">
        <v>0</v>
      </c>
      <c r="M465" s="4" t="s">
        <v>81</v>
      </c>
      <c r="N465" s="11">
        <f>IFERROR(VLOOKUP(M465,ShipShapeEnum!$H:$I,2,FALSE),"-")</f>
        <v>1</v>
      </c>
      <c r="O465" s="11" t="s">
        <v>2688</v>
      </c>
      <c r="P465" s="30"/>
      <c r="Q465" s="11" t="str">
        <f>IFERROR(INDEX(SailPattern!$A:$A,MATCH(P465,SailPattern!$B:$B,0)),"-")</f>
        <v>-</v>
      </c>
      <c r="R465" s="30"/>
      <c r="S465" s="11" t="str">
        <f>IFERROR(INDEX(SailCrest!$A:$A,MATCH(R465,SailCrest!$B:$B,0)),"-")</f>
        <v>-</v>
      </c>
      <c r="T465" s="19" t="s">
        <v>0</v>
      </c>
      <c r="U465" s="19" t="s">
        <v>0</v>
      </c>
      <c r="V465" s="19" t="s">
        <v>0</v>
      </c>
      <c r="W465" s="19" t="s">
        <v>0</v>
      </c>
      <c r="X465" s="19" t="s">
        <v>0</v>
      </c>
      <c r="Y465" s="19" t="s">
        <v>0</v>
      </c>
      <c r="Z465" s="19" t="s">
        <v>0</v>
      </c>
      <c r="AA465" s="19" t="s">
        <v>0</v>
      </c>
    </row>
    <row r="466" spans="1:27" ht="15">
      <c r="A466" s="10">
        <f t="shared" si="15"/>
        <v>46100118</v>
      </c>
      <c r="B466" s="40" t="s">
        <v>2059</v>
      </c>
      <c r="C466" s="4" t="s">
        <v>63</v>
      </c>
      <c r="D466" s="11">
        <f>IFERROR(VLOOKUP(C466,ShipShapeEnum!$E:$F,2,FALSE),"-")</f>
        <v>2</v>
      </c>
      <c r="E466" s="19" t="s">
        <v>2086</v>
      </c>
      <c r="F466" s="4" t="s">
        <v>65</v>
      </c>
      <c r="G466" s="11">
        <f>IFERROR(VLOOKUP(F466,ShipShapeEnum!$B:$C,2,FALSE),"-")</f>
        <v>2</v>
      </c>
      <c r="H466" s="19" t="s">
        <v>459</v>
      </c>
      <c r="I466" s="19" t="s">
        <v>0</v>
      </c>
      <c r="J466" s="19" t="s">
        <v>0</v>
      </c>
      <c r="K466" s="19" t="s">
        <v>0</v>
      </c>
      <c r="L466" s="19" t="s">
        <v>0</v>
      </c>
      <c r="M466" s="4" t="s">
        <v>81</v>
      </c>
      <c r="N466" s="11">
        <f>IFERROR(VLOOKUP(M466,ShipShapeEnum!$H:$I,2,FALSE),"-")</f>
        <v>1</v>
      </c>
      <c r="O466" s="11" t="s">
        <v>2688</v>
      </c>
      <c r="P466" s="30"/>
      <c r="Q466" s="11" t="str">
        <f>IFERROR(INDEX(SailPattern!$A:$A,MATCH(P466,SailPattern!$B:$B,0)),"-")</f>
        <v>-</v>
      </c>
      <c r="R466" s="30"/>
      <c r="S466" s="11" t="str">
        <f>IFERROR(INDEX(SailCrest!$A:$A,MATCH(R466,SailCrest!$B:$B,0)),"-")</f>
        <v>-</v>
      </c>
      <c r="T466" s="19" t="s">
        <v>0</v>
      </c>
      <c r="U466" s="19" t="s">
        <v>0</v>
      </c>
      <c r="V466" s="19" t="s">
        <v>0</v>
      </c>
      <c r="W466" s="19" t="s">
        <v>0</v>
      </c>
      <c r="X466" s="19" t="s">
        <v>0</v>
      </c>
      <c r="Y466" s="19" t="s">
        <v>0</v>
      </c>
      <c r="Z466" s="19" t="s">
        <v>0</v>
      </c>
      <c r="AA466" s="19" t="s">
        <v>0</v>
      </c>
    </row>
    <row r="467" spans="1:27" ht="15">
      <c r="A467" s="10">
        <f t="shared" si="15"/>
        <v>46100119</v>
      </c>
      <c r="B467" s="40" t="s">
        <v>2060</v>
      </c>
      <c r="C467" s="4" t="s">
        <v>63</v>
      </c>
      <c r="D467" s="11">
        <f>IFERROR(VLOOKUP(C467,ShipShapeEnum!$E:$F,2,FALSE),"-")</f>
        <v>2</v>
      </c>
      <c r="E467" s="19" t="s">
        <v>2087</v>
      </c>
      <c r="F467" s="4" t="s">
        <v>65</v>
      </c>
      <c r="G467" s="11">
        <f>IFERROR(VLOOKUP(F467,ShipShapeEnum!$B:$C,2,FALSE),"-")</f>
        <v>2</v>
      </c>
      <c r="H467" s="19" t="s">
        <v>459</v>
      </c>
      <c r="I467" s="19" t="s">
        <v>0</v>
      </c>
      <c r="J467" s="19" t="s">
        <v>0</v>
      </c>
      <c r="K467" s="19" t="s">
        <v>0</v>
      </c>
      <c r="L467" s="19" t="s">
        <v>0</v>
      </c>
      <c r="M467" s="4" t="s">
        <v>81</v>
      </c>
      <c r="N467" s="11">
        <f>IFERROR(VLOOKUP(M467,ShipShapeEnum!$H:$I,2,FALSE),"-")</f>
        <v>1</v>
      </c>
      <c r="O467" s="11" t="s">
        <v>2688</v>
      </c>
      <c r="P467" s="30"/>
      <c r="Q467" s="11" t="str">
        <f>IFERROR(INDEX(SailPattern!$A:$A,MATCH(P467,SailPattern!$B:$B,0)),"-")</f>
        <v>-</v>
      </c>
      <c r="R467" s="30"/>
      <c r="S467" s="11" t="str">
        <f>IFERROR(INDEX(SailCrest!$A:$A,MATCH(R467,SailCrest!$B:$B,0)),"-")</f>
        <v>-</v>
      </c>
      <c r="T467" s="19" t="s">
        <v>0</v>
      </c>
      <c r="U467" s="19" t="s">
        <v>0</v>
      </c>
      <c r="V467" s="19" t="s">
        <v>0</v>
      </c>
      <c r="W467" s="19" t="s">
        <v>0</v>
      </c>
      <c r="X467" s="19" t="s">
        <v>0</v>
      </c>
      <c r="Y467" s="19" t="s">
        <v>0</v>
      </c>
      <c r="Z467" s="19" t="s">
        <v>0</v>
      </c>
      <c r="AA467" s="19" t="s">
        <v>0</v>
      </c>
    </row>
    <row r="468" spans="1:27" ht="15">
      <c r="A468" s="10">
        <f t="shared" si="15"/>
        <v>46100120</v>
      </c>
      <c r="B468" s="40" t="s">
        <v>2061</v>
      </c>
      <c r="C468" s="4" t="s">
        <v>63</v>
      </c>
      <c r="D468" s="11">
        <f>IFERROR(VLOOKUP(C468,ShipShapeEnum!$E:$F,2,FALSE),"-")</f>
        <v>2</v>
      </c>
      <c r="E468" s="19" t="s">
        <v>2088</v>
      </c>
      <c r="F468" s="4" t="s">
        <v>65</v>
      </c>
      <c r="G468" s="11">
        <f>IFERROR(VLOOKUP(F468,ShipShapeEnum!$B:$C,2,FALSE),"-")</f>
        <v>2</v>
      </c>
      <c r="H468" s="19" t="s">
        <v>459</v>
      </c>
      <c r="I468" s="19" t="s">
        <v>0</v>
      </c>
      <c r="J468" s="19" t="s">
        <v>0</v>
      </c>
      <c r="K468" s="19" t="s">
        <v>0</v>
      </c>
      <c r="L468" s="19" t="s">
        <v>0</v>
      </c>
      <c r="M468" s="4" t="s">
        <v>81</v>
      </c>
      <c r="N468" s="11">
        <f>IFERROR(VLOOKUP(M468,ShipShapeEnum!$H:$I,2,FALSE),"-")</f>
        <v>1</v>
      </c>
      <c r="O468" s="11" t="s">
        <v>2688</v>
      </c>
      <c r="P468" s="30"/>
      <c r="Q468" s="11" t="str">
        <f>IFERROR(INDEX(SailPattern!$A:$A,MATCH(P468,SailPattern!$B:$B,0)),"-")</f>
        <v>-</v>
      </c>
      <c r="R468" s="30"/>
      <c r="S468" s="11" t="str">
        <f>IFERROR(INDEX(SailCrest!$A:$A,MATCH(R468,SailCrest!$B:$B,0)),"-")</f>
        <v>-</v>
      </c>
      <c r="T468" s="19" t="s">
        <v>0</v>
      </c>
      <c r="U468" s="19" t="s">
        <v>0</v>
      </c>
      <c r="V468" s="19" t="s">
        <v>0</v>
      </c>
      <c r="W468" s="19" t="s">
        <v>0</v>
      </c>
      <c r="X468" s="19" t="s">
        <v>0</v>
      </c>
      <c r="Y468" s="19" t="s">
        <v>0</v>
      </c>
      <c r="Z468" s="19" t="s">
        <v>0</v>
      </c>
      <c r="AA468" s="19" t="s">
        <v>0</v>
      </c>
    </row>
    <row r="469" spans="1:27" ht="15">
      <c r="A469" s="10">
        <f t="shared" si="15"/>
        <v>46100121</v>
      </c>
      <c r="B469" s="40" t="s">
        <v>2062</v>
      </c>
      <c r="C469" s="4" t="s">
        <v>63</v>
      </c>
      <c r="D469" s="11">
        <f>IFERROR(VLOOKUP(C469,ShipShapeEnum!$E:$F,2,FALSE),"-")</f>
        <v>2</v>
      </c>
      <c r="E469" s="19" t="s">
        <v>2089</v>
      </c>
      <c r="F469" s="4" t="s">
        <v>65</v>
      </c>
      <c r="G469" s="11">
        <f>IFERROR(VLOOKUP(F469,ShipShapeEnum!$B:$C,2,FALSE),"-")</f>
        <v>2</v>
      </c>
      <c r="H469" s="19" t="s">
        <v>459</v>
      </c>
      <c r="I469" s="19" t="s">
        <v>0</v>
      </c>
      <c r="J469" s="19" t="s">
        <v>0</v>
      </c>
      <c r="K469" s="19" t="s">
        <v>0</v>
      </c>
      <c r="L469" s="19" t="s">
        <v>0</v>
      </c>
      <c r="M469" s="4" t="s">
        <v>81</v>
      </c>
      <c r="N469" s="11">
        <f>IFERROR(VLOOKUP(M469,ShipShapeEnum!$H:$I,2,FALSE),"-")</f>
        <v>1</v>
      </c>
      <c r="O469" s="11" t="s">
        <v>2688</v>
      </c>
      <c r="P469" s="30"/>
      <c r="Q469" s="11" t="str">
        <f>IFERROR(INDEX(SailPattern!$A:$A,MATCH(P469,SailPattern!$B:$B,0)),"-")</f>
        <v>-</v>
      </c>
      <c r="R469" s="30"/>
      <c r="S469" s="11" t="str">
        <f>IFERROR(INDEX(SailCrest!$A:$A,MATCH(R469,SailCrest!$B:$B,0)),"-")</f>
        <v>-</v>
      </c>
      <c r="T469" s="19" t="s">
        <v>0</v>
      </c>
      <c r="U469" s="19" t="s">
        <v>0</v>
      </c>
      <c r="V469" s="19" t="s">
        <v>0</v>
      </c>
      <c r="W469" s="19" t="s">
        <v>0</v>
      </c>
      <c r="X469" s="19" t="s">
        <v>0</v>
      </c>
      <c r="Y469" s="19" t="s">
        <v>0</v>
      </c>
      <c r="Z469" s="19" t="s">
        <v>0</v>
      </c>
      <c r="AA469" s="19" t="s">
        <v>0</v>
      </c>
    </row>
    <row r="470" spans="1:27" ht="15">
      <c r="A470" s="10">
        <f t="shared" si="15"/>
        <v>46100122</v>
      </c>
      <c r="B470" s="40" t="s">
        <v>2063</v>
      </c>
      <c r="C470" s="4" t="s">
        <v>63</v>
      </c>
      <c r="D470" s="11">
        <f>IFERROR(VLOOKUP(C470,ShipShapeEnum!$E:$F,2,FALSE),"-")</f>
        <v>2</v>
      </c>
      <c r="E470" s="19" t="s">
        <v>2090</v>
      </c>
      <c r="F470" s="4" t="s">
        <v>65</v>
      </c>
      <c r="G470" s="11">
        <f>IFERROR(VLOOKUP(F470,ShipShapeEnum!$B:$C,2,FALSE),"-")</f>
        <v>2</v>
      </c>
      <c r="H470" s="19" t="s">
        <v>459</v>
      </c>
      <c r="I470" s="19" t="s">
        <v>0</v>
      </c>
      <c r="J470" s="19" t="s">
        <v>0</v>
      </c>
      <c r="K470" s="19" t="s">
        <v>0</v>
      </c>
      <c r="L470" s="19" t="s">
        <v>0</v>
      </c>
      <c r="M470" s="4" t="s">
        <v>81</v>
      </c>
      <c r="N470" s="11">
        <f>IFERROR(VLOOKUP(M470,ShipShapeEnum!$H:$I,2,FALSE),"-")</f>
        <v>1</v>
      </c>
      <c r="O470" s="11" t="s">
        <v>2688</v>
      </c>
      <c r="P470" s="30"/>
      <c r="Q470" s="11" t="str">
        <f>IFERROR(INDEX(SailPattern!$A:$A,MATCH(P470,SailPattern!$B:$B,0)),"-")</f>
        <v>-</v>
      </c>
      <c r="R470" s="30"/>
      <c r="S470" s="11" t="str">
        <f>IFERROR(INDEX(SailCrest!$A:$A,MATCH(R470,SailCrest!$B:$B,0)),"-")</f>
        <v>-</v>
      </c>
      <c r="T470" s="19" t="s">
        <v>0</v>
      </c>
      <c r="U470" s="19" t="s">
        <v>0</v>
      </c>
      <c r="V470" s="19" t="s">
        <v>0</v>
      </c>
      <c r="W470" s="19" t="s">
        <v>0</v>
      </c>
      <c r="X470" s="19" t="s">
        <v>0</v>
      </c>
      <c r="Y470" s="19" t="s">
        <v>0</v>
      </c>
      <c r="Z470" s="19" t="s">
        <v>0</v>
      </c>
      <c r="AA470" s="19" t="s">
        <v>0</v>
      </c>
    </row>
    <row r="471" spans="1:27" ht="15">
      <c r="A471" s="10">
        <f t="shared" si="15"/>
        <v>46100123</v>
      </c>
      <c r="B471" s="40" t="s">
        <v>2064</v>
      </c>
      <c r="C471" s="4" t="s">
        <v>63</v>
      </c>
      <c r="D471" s="11">
        <f>IFERROR(VLOOKUP(C471,ShipShapeEnum!$E:$F,2,FALSE),"-")</f>
        <v>2</v>
      </c>
      <c r="E471" s="19" t="s">
        <v>2091</v>
      </c>
      <c r="F471" s="4" t="s">
        <v>65</v>
      </c>
      <c r="G471" s="11">
        <f>IFERROR(VLOOKUP(F471,ShipShapeEnum!$B:$C,2,FALSE),"-")</f>
        <v>2</v>
      </c>
      <c r="H471" s="19" t="s">
        <v>459</v>
      </c>
      <c r="I471" s="19" t="s">
        <v>0</v>
      </c>
      <c r="J471" s="19" t="s">
        <v>0</v>
      </c>
      <c r="K471" s="19" t="s">
        <v>0</v>
      </c>
      <c r="L471" s="19" t="s">
        <v>0</v>
      </c>
      <c r="M471" s="4" t="s">
        <v>81</v>
      </c>
      <c r="N471" s="11">
        <f>IFERROR(VLOOKUP(M471,ShipShapeEnum!$H:$I,2,FALSE),"-")</f>
        <v>1</v>
      </c>
      <c r="O471" s="11" t="s">
        <v>2688</v>
      </c>
      <c r="P471" s="30"/>
      <c r="Q471" s="11" t="str">
        <f>IFERROR(INDEX(SailPattern!$A:$A,MATCH(P471,SailPattern!$B:$B,0)),"-")</f>
        <v>-</v>
      </c>
      <c r="R471" s="30"/>
      <c r="S471" s="11" t="str">
        <f>IFERROR(INDEX(SailCrest!$A:$A,MATCH(R471,SailCrest!$B:$B,0)),"-")</f>
        <v>-</v>
      </c>
      <c r="T471" s="19" t="s">
        <v>0</v>
      </c>
      <c r="U471" s="19" t="s">
        <v>0</v>
      </c>
      <c r="V471" s="19" t="s">
        <v>0</v>
      </c>
      <c r="W471" s="19" t="s">
        <v>0</v>
      </c>
      <c r="X471" s="19" t="s">
        <v>0</v>
      </c>
      <c r="Y471" s="19" t="s">
        <v>0</v>
      </c>
      <c r="Z471" s="19" t="s">
        <v>0</v>
      </c>
      <c r="AA471" s="19" t="s">
        <v>0</v>
      </c>
    </row>
    <row r="472" spans="1:27" ht="15">
      <c r="A472" s="10">
        <f t="shared" si="15"/>
        <v>46100124</v>
      </c>
      <c r="B472" s="40" t="s">
        <v>2065</v>
      </c>
      <c r="C472" s="4" t="s">
        <v>63</v>
      </c>
      <c r="D472" s="11">
        <f>IFERROR(VLOOKUP(C472,ShipShapeEnum!$E:$F,2,FALSE),"-")</f>
        <v>2</v>
      </c>
      <c r="E472" s="19" t="s">
        <v>2092</v>
      </c>
      <c r="F472" s="4" t="s">
        <v>65</v>
      </c>
      <c r="G472" s="11">
        <f>IFERROR(VLOOKUP(F472,ShipShapeEnum!$B:$C,2,FALSE),"-")</f>
        <v>2</v>
      </c>
      <c r="H472" s="19" t="s">
        <v>459</v>
      </c>
      <c r="I472" s="19" t="s">
        <v>0</v>
      </c>
      <c r="J472" s="19" t="s">
        <v>0</v>
      </c>
      <c r="K472" s="19" t="s">
        <v>0</v>
      </c>
      <c r="L472" s="19" t="s">
        <v>0</v>
      </c>
      <c r="M472" s="4" t="s">
        <v>81</v>
      </c>
      <c r="N472" s="11">
        <f>IFERROR(VLOOKUP(M472,ShipShapeEnum!$H:$I,2,FALSE),"-")</f>
        <v>1</v>
      </c>
      <c r="O472" s="11" t="s">
        <v>2688</v>
      </c>
      <c r="P472" s="30"/>
      <c r="Q472" s="11" t="str">
        <f>IFERROR(INDEX(SailPattern!$A:$A,MATCH(P472,SailPattern!$B:$B,0)),"-")</f>
        <v>-</v>
      </c>
      <c r="R472" s="30"/>
      <c r="S472" s="11" t="str">
        <f>IFERROR(INDEX(SailCrest!$A:$A,MATCH(R472,SailCrest!$B:$B,0)),"-")</f>
        <v>-</v>
      </c>
      <c r="T472" s="19" t="s">
        <v>0</v>
      </c>
      <c r="U472" s="19" t="s">
        <v>0</v>
      </c>
      <c r="V472" s="19" t="s">
        <v>0</v>
      </c>
      <c r="W472" s="19" t="s">
        <v>0</v>
      </c>
      <c r="X472" s="19" t="s">
        <v>0</v>
      </c>
      <c r="Y472" s="19" t="s">
        <v>0</v>
      </c>
      <c r="Z472" s="19" t="s">
        <v>0</v>
      </c>
      <c r="AA472" s="19" t="s">
        <v>0</v>
      </c>
    </row>
    <row r="473" spans="1:27" ht="15">
      <c r="A473" s="10">
        <f t="shared" ref="A473:A531" si="16">A472+1</f>
        <v>46100125</v>
      </c>
      <c r="B473" s="40" t="s">
        <v>2066</v>
      </c>
      <c r="C473" s="4" t="s">
        <v>63</v>
      </c>
      <c r="D473" s="11">
        <f>IFERROR(VLOOKUP(C473,ShipShapeEnum!$E:$F,2,FALSE),"-")</f>
        <v>2</v>
      </c>
      <c r="E473" s="19" t="s">
        <v>2093</v>
      </c>
      <c r="F473" s="4" t="s">
        <v>65</v>
      </c>
      <c r="G473" s="11">
        <f>IFERROR(VLOOKUP(F473,ShipShapeEnum!$B:$C,2,FALSE),"-")</f>
        <v>2</v>
      </c>
      <c r="H473" s="19" t="s">
        <v>460</v>
      </c>
      <c r="I473" s="19" t="s">
        <v>0</v>
      </c>
      <c r="J473" s="19" t="s">
        <v>0</v>
      </c>
      <c r="K473" s="19" t="s">
        <v>0</v>
      </c>
      <c r="L473" s="19" t="s">
        <v>0</v>
      </c>
      <c r="M473" s="4" t="s">
        <v>81</v>
      </c>
      <c r="N473" s="11">
        <f>IFERROR(VLOOKUP(M473,ShipShapeEnum!$H:$I,2,FALSE),"-")</f>
        <v>1</v>
      </c>
      <c r="O473" s="11" t="s">
        <v>2688</v>
      </c>
      <c r="P473" s="30"/>
      <c r="Q473" s="11" t="str">
        <f>IFERROR(INDEX(SailPattern!$A:$A,MATCH(P473,SailPattern!$B:$B,0)),"-")</f>
        <v>-</v>
      </c>
      <c r="R473" s="30"/>
      <c r="S473" s="11" t="str">
        <f>IFERROR(INDEX(SailCrest!$A:$A,MATCH(R473,SailCrest!$B:$B,0)),"-")</f>
        <v>-</v>
      </c>
      <c r="T473" s="19" t="s">
        <v>0</v>
      </c>
      <c r="U473" s="19" t="s">
        <v>0</v>
      </c>
      <c r="V473" s="19" t="s">
        <v>0</v>
      </c>
      <c r="W473" s="19" t="s">
        <v>0</v>
      </c>
      <c r="X473" s="19" t="s">
        <v>0</v>
      </c>
      <c r="Y473" s="19" t="s">
        <v>0</v>
      </c>
      <c r="Z473" s="19" t="s">
        <v>0</v>
      </c>
      <c r="AA473" s="19" t="s">
        <v>0</v>
      </c>
    </row>
    <row r="474" spans="1:27" ht="15">
      <c r="A474" s="10">
        <f t="shared" si="16"/>
        <v>46100126</v>
      </c>
      <c r="B474" s="40" t="s">
        <v>2067</v>
      </c>
      <c r="C474" s="4" t="s">
        <v>63</v>
      </c>
      <c r="D474" s="11">
        <f>IFERROR(VLOOKUP(C474,ShipShapeEnum!$E:$F,2,FALSE),"-")</f>
        <v>2</v>
      </c>
      <c r="E474" s="19" t="s">
        <v>2094</v>
      </c>
      <c r="F474" s="4" t="s">
        <v>65</v>
      </c>
      <c r="G474" s="11">
        <f>IFERROR(VLOOKUP(F474,ShipShapeEnum!$B:$C,2,FALSE),"-")</f>
        <v>2</v>
      </c>
      <c r="H474" s="19" t="s">
        <v>459</v>
      </c>
      <c r="I474" s="19" t="s">
        <v>0</v>
      </c>
      <c r="J474" s="19" t="s">
        <v>0</v>
      </c>
      <c r="K474" s="19" t="s">
        <v>0</v>
      </c>
      <c r="L474" s="19" t="s">
        <v>0</v>
      </c>
      <c r="M474" s="4" t="s">
        <v>81</v>
      </c>
      <c r="N474" s="11">
        <f>IFERROR(VLOOKUP(M474,ShipShapeEnum!$H:$I,2,FALSE),"-")</f>
        <v>1</v>
      </c>
      <c r="O474" s="11" t="s">
        <v>2688</v>
      </c>
      <c r="P474" s="30"/>
      <c r="Q474" s="11" t="str">
        <f>IFERROR(INDEX(SailPattern!$A:$A,MATCH(P474,SailPattern!$B:$B,0)),"-")</f>
        <v>-</v>
      </c>
      <c r="R474" s="30"/>
      <c r="S474" s="11" t="str">
        <f>IFERROR(INDEX(SailCrest!$A:$A,MATCH(R474,SailCrest!$B:$B,0)),"-")</f>
        <v>-</v>
      </c>
      <c r="T474" s="19" t="s">
        <v>0</v>
      </c>
      <c r="U474" s="19" t="s">
        <v>0</v>
      </c>
      <c r="V474" s="19" t="s">
        <v>0</v>
      </c>
      <c r="W474" s="19" t="s">
        <v>0</v>
      </c>
      <c r="X474" s="19" t="s">
        <v>0</v>
      </c>
      <c r="Y474" s="19" t="s">
        <v>0</v>
      </c>
      <c r="Z474" s="19" t="s">
        <v>0</v>
      </c>
      <c r="AA474" s="19" t="s">
        <v>0</v>
      </c>
    </row>
    <row r="475" spans="1:27" ht="15">
      <c r="A475" s="10">
        <f t="shared" si="16"/>
        <v>46100127</v>
      </c>
      <c r="B475" s="40" t="s">
        <v>2068</v>
      </c>
      <c r="C475" s="4" t="s">
        <v>63</v>
      </c>
      <c r="D475" s="11">
        <f>IFERROR(VLOOKUP(C475,ShipShapeEnum!$E:$F,2,FALSE),"-")</f>
        <v>2</v>
      </c>
      <c r="E475" s="19" t="s">
        <v>2095</v>
      </c>
      <c r="F475" s="4" t="s">
        <v>65</v>
      </c>
      <c r="G475" s="11">
        <f>IFERROR(VLOOKUP(F475,ShipShapeEnum!$B:$C,2,FALSE),"-")</f>
        <v>2</v>
      </c>
      <c r="H475" s="19" t="s">
        <v>459</v>
      </c>
      <c r="I475" s="19" t="s">
        <v>0</v>
      </c>
      <c r="J475" s="19" t="s">
        <v>0</v>
      </c>
      <c r="K475" s="19" t="s">
        <v>0</v>
      </c>
      <c r="L475" s="19" t="s">
        <v>0</v>
      </c>
      <c r="M475" s="4" t="s">
        <v>81</v>
      </c>
      <c r="N475" s="11">
        <f>IFERROR(VLOOKUP(M475,ShipShapeEnum!$H:$I,2,FALSE),"-")</f>
        <v>1</v>
      </c>
      <c r="O475" s="11" t="s">
        <v>2688</v>
      </c>
      <c r="P475" s="30"/>
      <c r="Q475" s="11" t="str">
        <f>IFERROR(INDEX(SailPattern!$A:$A,MATCH(P475,SailPattern!$B:$B,0)),"-")</f>
        <v>-</v>
      </c>
      <c r="R475" s="30"/>
      <c r="S475" s="11" t="str">
        <f>IFERROR(INDEX(SailCrest!$A:$A,MATCH(R475,SailCrest!$B:$B,0)),"-")</f>
        <v>-</v>
      </c>
      <c r="T475" s="19" t="s">
        <v>0</v>
      </c>
      <c r="U475" s="19" t="s">
        <v>0</v>
      </c>
      <c r="V475" s="19" t="s">
        <v>0</v>
      </c>
      <c r="W475" s="19" t="s">
        <v>0</v>
      </c>
      <c r="X475" s="19" t="s">
        <v>0</v>
      </c>
      <c r="Y475" s="19" t="s">
        <v>0</v>
      </c>
      <c r="Z475" s="19" t="s">
        <v>0</v>
      </c>
      <c r="AA475" s="19" t="s">
        <v>0</v>
      </c>
    </row>
    <row r="476" spans="1:27" ht="15">
      <c r="A476" s="10">
        <f t="shared" si="16"/>
        <v>46100128</v>
      </c>
      <c r="B476" s="40" t="s">
        <v>2069</v>
      </c>
      <c r="C476" s="4" t="s">
        <v>63</v>
      </c>
      <c r="D476" s="11">
        <f>IFERROR(VLOOKUP(C476,ShipShapeEnum!$E:$F,2,FALSE),"-")</f>
        <v>2</v>
      </c>
      <c r="E476" s="19" t="s">
        <v>2096</v>
      </c>
      <c r="F476" s="4" t="s">
        <v>65</v>
      </c>
      <c r="G476" s="11">
        <f>IFERROR(VLOOKUP(F476,ShipShapeEnum!$B:$C,2,FALSE),"-")</f>
        <v>2</v>
      </c>
      <c r="H476" s="19" t="s">
        <v>460</v>
      </c>
      <c r="I476" s="19" t="s">
        <v>0</v>
      </c>
      <c r="J476" s="19" t="s">
        <v>0</v>
      </c>
      <c r="K476" s="19" t="s">
        <v>0</v>
      </c>
      <c r="L476" s="19" t="s">
        <v>0</v>
      </c>
      <c r="M476" s="4" t="s">
        <v>81</v>
      </c>
      <c r="N476" s="11">
        <f>IFERROR(VLOOKUP(M476,ShipShapeEnum!$H:$I,2,FALSE),"-")</f>
        <v>1</v>
      </c>
      <c r="O476" s="11" t="s">
        <v>2688</v>
      </c>
      <c r="P476" s="30"/>
      <c r="Q476" s="11" t="str">
        <f>IFERROR(INDEX(SailPattern!$A:$A,MATCH(P476,SailPattern!$B:$B,0)),"-")</f>
        <v>-</v>
      </c>
      <c r="R476" s="30"/>
      <c r="S476" s="11" t="str">
        <f>IFERROR(INDEX(SailCrest!$A:$A,MATCH(R476,SailCrest!$B:$B,0)),"-")</f>
        <v>-</v>
      </c>
      <c r="T476" s="19" t="s">
        <v>0</v>
      </c>
      <c r="U476" s="19" t="s">
        <v>0</v>
      </c>
      <c r="V476" s="19" t="s">
        <v>0</v>
      </c>
      <c r="W476" s="19" t="s">
        <v>0</v>
      </c>
      <c r="X476" s="19" t="s">
        <v>0</v>
      </c>
      <c r="Y476" s="19" t="s">
        <v>0</v>
      </c>
      <c r="Z476" s="19" t="s">
        <v>0</v>
      </c>
      <c r="AA476" s="19" t="s">
        <v>0</v>
      </c>
    </row>
    <row r="477" spans="1:27" ht="15">
      <c r="A477" s="10">
        <f t="shared" si="16"/>
        <v>46100129</v>
      </c>
      <c r="B477" s="40" t="s">
        <v>2070</v>
      </c>
      <c r="C477" s="4" t="s">
        <v>63</v>
      </c>
      <c r="D477" s="11">
        <f>IFERROR(VLOOKUP(C477,ShipShapeEnum!$E:$F,2,FALSE),"-")</f>
        <v>2</v>
      </c>
      <c r="E477" s="19" t="s">
        <v>2097</v>
      </c>
      <c r="F477" s="4" t="s">
        <v>65</v>
      </c>
      <c r="G477" s="11">
        <f>IFERROR(VLOOKUP(F477,ShipShapeEnum!$B:$C,2,FALSE),"-")</f>
        <v>2</v>
      </c>
      <c r="H477" s="19" t="s">
        <v>459</v>
      </c>
      <c r="I477" s="19" t="s">
        <v>0</v>
      </c>
      <c r="J477" s="19" t="s">
        <v>0</v>
      </c>
      <c r="K477" s="19" t="s">
        <v>0</v>
      </c>
      <c r="L477" s="19" t="s">
        <v>0</v>
      </c>
      <c r="M477" s="4" t="s">
        <v>81</v>
      </c>
      <c r="N477" s="11">
        <f>IFERROR(VLOOKUP(M477,ShipShapeEnum!$H:$I,2,FALSE),"-")</f>
        <v>1</v>
      </c>
      <c r="O477" s="11" t="s">
        <v>2688</v>
      </c>
      <c r="P477" s="30"/>
      <c r="Q477" s="11" t="str">
        <f>IFERROR(INDEX(SailPattern!$A:$A,MATCH(P477,SailPattern!$B:$B,0)),"-")</f>
        <v>-</v>
      </c>
      <c r="R477" s="30"/>
      <c r="S477" s="11" t="str">
        <f>IFERROR(INDEX(SailCrest!$A:$A,MATCH(R477,SailCrest!$B:$B,0)),"-")</f>
        <v>-</v>
      </c>
      <c r="T477" s="19" t="s">
        <v>0</v>
      </c>
      <c r="U477" s="19" t="s">
        <v>0</v>
      </c>
      <c r="V477" s="19" t="s">
        <v>0</v>
      </c>
      <c r="W477" s="19" t="s">
        <v>0</v>
      </c>
      <c r="X477" s="19" t="s">
        <v>0</v>
      </c>
      <c r="Y477" s="19" t="s">
        <v>0</v>
      </c>
      <c r="Z477" s="19" t="s">
        <v>0</v>
      </c>
      <c r="AA477" s="19" t="s">
        <v>0</v>
      </c>
    </row>
    <row r="478" spans="1:27" ht="15">
      <c r="A478" s="10">
        <f t="shared" si="16"/>
        <v>46100130</v>
      </c>
      <c r="B478" s="40" t="s">
        <v>2151</v>
      </c>
      <c r="C478" s="4" t="s">
        <v>63</v>
      </c>
      <c r="D478" s="11">
        <f>IFERROR(VLOOKUP(C478,ShipShapeEnum!$E:$F,2,FALSE),"-")</f>
        <v>2</v>
      </c>
      <c r="E478" s="19" t="s">
        <v>2158</v>
      </c>
      <c r="F478" s="4" t="s">
        <v>65</v>
      </c>
      <c r="G478" s="11">
        <f>IFERROR(VLOOKUP(F478,ShipShapeEnum!$B:$C,2,FALSE),"-")</f>
        <v>2</v>
      </c>
      <c r="H478" s="19" t="s">
        <v>459</v>
      </c>
      <c r="I478" s="19" t="s">
        <v>0</v>
      </c>
      <c r="J478" s="19" t="s">
        <v>0</v>
      </c>
      <c r="K478" s="19" t="s">
        <v>0</v>
      </c>
      <c r="L478" s="19" t="s">
        <v>0</v>
      </c>
      <c r="M478" s="4" t="s">
        <v>81</v>
      </c>
      <c r="N478" s="11">
        <f>IFERROR(VLOOKUP(M478,ShipShapeEnum!$H:$I,2,FALSE),"-")</f>
        <v>1</v>
      </c>
      <c r="O478" s="11" t="s">
        <v>2688</v>
      </c>
      <c r="P478" s="30"/>
      <c r="Q478" s="11" t="str">
        <f>IFERROR(INDEX(SailPattern!$A:$A,MATCH(P478,SailPattern!$B:$B,0)),"-")</f>
        <v>-</v>
      </c>
      <c r="R478" s="30"/>
      <c r="S478" s="11" t="str">
        <f>IFERROR(INDEX(SailCrest!$A:$A,MATCH(R478,SailCrest!$B:$B,0)),"-")</f>
        <v>-</v>
      </c>
      <c r="T478" s="19" t="s">
        <v>0</v>
      </c>
      <c r="U478" s="19" t="s">
        <v>0</v>
      </c>
      <c r="V478" s="19" t="s">
        <v>0</v>
      </c>
      <c r="W478" s="19" t="s">
        <v>0</v>
      </c>
      <c r="X478" s="19" t="s">
        <v>0</v>
      </c>
      <c r="Y478" s="19" t="s">
        <v>0</v>
      </c>
      <c r="Z478" s="19" t="s">
        <v>0</v>
      </c>
      <c r="AA478" s="19" t="s">
        <v>0</v>
      </c>
    </row>
    <row r="479" spans="1:27" ht="15">
      <c r="A479" s="10">
        <f t="shared" si="16"/>
        <v>46100131</v>
      </c>
      <c r="B479" s="40" t="s">
        <v>2152</v>
      </c>
      <c r="C479" s="4" t="s">
        <v>63</v>
      </c>
      <c r="D479" s="11">
        <f>IFERROR(VLOOKUP(C479,ShipShapeEnum!$E:$F,2,FALSE),"-")</f>
        <v>2</v>
      </c>
      <c r="E479" s="19" t="s">
        <v>2159</v>
      </c>
      <c r="F479" s="4" t="s">
        <v>65</v>
      </c>
      <c r="G479" s="11">
        <f>IFERROR(VLOOKUP(F479,ShipShapeEnum!$B:$C,2,FALSE),"-")</f>
        <v>2</v>
      </c>
      <c r="H479" s="19" t="s">
        <v>459</v>
      </c>
      <c r="I479" s="19" t="s">
        <v>0</v>
      </c>
      <c r="J479" s="19" t="s">
        <v>0</v>
      </c>
      <c r="K479" s="19" t="s">
        <v>0</v>
      </c>
      <c r="L479" s="19" t="s">
        <v>0</v>
      </c>
      <c r="M479" s="4" t="s">
        <v>81</v>
      </c>
      <c r="N479" s="11">
        <f>IFERROR(VLOOKUP(M479,ShipShapeEnum!$H:$I,2,FALSE),"-")</f>
        <v>1</v>
      </c>
      <c r="O479" s="11" t="s">
        <v>2688</v>
      </c>
      <c r="P479" s="30"/>
      <c r="Q479" s="11" t="str">
        <f>IFERROR(INDEX(SailPattern!$A:$A,MATCH(P479,SailPattern!$B:$B,0)),"-")</f>
        <v>-</v>
      </c>
      <c r="R479" s="30"/>
      <c r="S479" s="11" t="str">
        <f>IFERROR(INDEX(SailCrest!$A:$A,MATCH(R479,SailCrest!$B:$B,0)),"-")</f>
        <v>-</v>
      </c>
      <c r="T479" s="19" t="s">
        <v>0</v>
      </c>
      <c r="U479" s="19" t="s">
        <v>0</v>
      </c>
      <c r="V479" s="19" t="s">
        <v>0</v>
      </c>
      <c r="W479" s="19" t="s">
        <v>0</v>
      </c>
      <c r="X479" s="19" t="s">
        <v>0</v>
      </c>
      <c r="Y479" s="19" t="s">
        <v>0</v>
      </c>
      <c r="Z479" s="19" t="s">
        <v>0</v>
      </c>
      <c r="AA479" s="19" t="s">
        <v>0</v>
      </c>
    </row>
    <row r="480" spans="1:27" ht="15">
      <c r="A480" s="10">
        <f t="shared" si="16"/>
        <v>46100132</v>
      </c>
      <c r="B480" s="40" t="s">
        <v>2153</v>
      </c>
      <c r="C480" s="4" t="s">
        <v>63</v>
      </c>
      <c r="D480" s="11">
        <f>IFERROR(VLOOKUP(C480,ShipShapeEnum!$E:$F,2,FALSE),"-")</f>
        <v>2</v>
      </c>
      <c r="E480" s="19" t="s">
        <v>2160</v>
      </c>
      <c r="F480" s="4" t="s">
        <v>65</v>
      </c>
      <c r="G480" s="11">
        <f>IFERROR(VLOOKUP(F480,ShipShapeEnum!$B:$C,2,FALSE),"-")</f>
        <v>2</v>
      </c>
      <c r="H480" s="19" t="s">
        <v>459</v>
      </c>
      <c r="I480" s="19" t="s">
        <v>0</v>
      </c>
      <c r="J480" s="19" t="s">
        <v>0</v>
      </c>
      <c r="K480" s="19" t="s">
        <v>0</v>
      </c>
      <c r="L480" s="19" t="s">
        <v>0</v>
      </c>
      <c r="M480" s="4" t="s">
        <v>81</v>
      </c>
      <c r="N480" s="11">
        <f>IFERROR(VLOOKUP(M480,ShipShapeEnum!$H:$I,2,FALSE),"-")</f>
        <v>1</v>
      </c>
      <c r="O480" s="11" t="s">
        <v>2688</v>
      </c>
      <c r="P480" s="30"/>
      <c r="Q480" s="11" t="str">
        <f>IFERROR(INDEX(SailPattern!$A:$A,MATCH(P480,SailPattern!$B:$B,0)),"-")</f>
        <v>-</v>
      </c>
      <c r="R480" s="30"/>
      <c r="S480" s="11" t="str">
        <f>IFERROR(INDEX(SailCrest!$A:$A,MATCH(R480,SailCrest!$B:$B,0)),"-")</f>
        <v>-</v>
      </c>
      <c r="T480" s="19" t="s">
        <v>0</v>
      </c>
      <c r="U480" s="19" t="s">
        <v>0</v>
      </c>
      <c r="V480" s="19" t="s">
        <v>0</v>
      </c>
      <c r="W480" s="19" t="s">
        <v>0</v>
      </c>
      <c r="X480" s="19" t="s">
        <v>0</v>
      </c>
      <c r="Y480" s="19" t="s">
        <v>0</v>
      </c>
      <c r="Z480" s="19" t="s">
        <v>0</v>
      </c>
      <c r="AA480" s="19" t="s">
        <v>0</v>
      </c>
    </row>
    <row r="481" spans="1:27" ht="15">
      <c r="A481" s="10">
        <f t="shared" si="16"/>
        <v>46100133</v>
      </c>
      <c r="B481" s="40" t="s">
        <v>2154</v>
      </c>
      <c r="C481" s="4" t="s">
        <v>63</v>
      </c>
      <c r="D481" s="11">
        <f>IFERROR(VLOOKUP(C481,ShipShapeEnum!$E:$F,2,FALSE),"-")</f>
        <v>2</v>
      </c>
      <c r="E481" s="19" t="s">
        <v>2161</v>
      </c>
      <c r="F481" s="4" t="s">
        <v>65</v>
      </c>
      <c r="G481" s="11">
        <f>IFERROR(VLOOKUP(F481,ShipShapeEnum!$B:$C,2,FALSE),"-")</f>
        <v>2</v>
      </c>
      <c r="H481" s="19" t="s">
        <v>459</v>
      </c>
      <c r="I481" s="19" t="s">
        <v>0</v>
      </c>
      <c r="J481" s="19" t="s">
        <v>0</v>
      </c>
      <c r="K481" s="19" t="s">
        <v>0</v>
      </c>
      <c r="L481" s="19" t="s">
        <v>0</v>
      </c>
      <c r="M481" s="4" t="s">
        <v>81</v>
      </c>
      <c r="N481" s="11">
        <f>IFERROR(VLOOKUP(M481,ShipShapeEnum!$H:$I,2,FALSE),"-")</f>
        <v>1</v>
      </c>
      <c r="O481" s="11" t="s">
        <v>2688</v>
      </c>
      <c r="P481" s="30"/>
      <c r="Q481" s="11" t="str">
        <f>IFERROR(INDEX(SailPattern!$A:$A,MATCH(P481,SailPattern!$B:$B,0)),"-")</f>
        <v>-</v>
      </c>
      <c r="R481" s="30"/>
      <c r="S481" s="11" t="str">
        <f>IFERROR(INDEX(SailCrest!$A:$A,MATCH(R481,SailCrest!$B:$B,0)),"-")</f>
        <v>-</v>
      </c>
      <c r="T481" s="19" t="s">
        <v>0</v>
      </c>
      <c r="U481" s="19" t="s">
        <v>0</v>
      </c>
      <c r="V481" s="19" t="s">
        <v>0</v>
      </c>
      <c r="W481" s="19" t="s">
        <v>0</v>
      </c>
      <c r="X481" s="19" t="s">
        <v>0</v>
      </c>
      <c r="Y481" s="19" t="s">
        <v>0</v>
      </c>
      <c r="Z481" s="19" t="s">
        <v>0</v>
      </c>
      <c r="AA481" s="19" t="s">
        <v>0</v>
      </c>
    </row>
    <row r="482" spans="1:27" ht="15">
      <c r="A482" s="10">
        <f t="shared" si="16"/>
        <v>46100134</v>
      </c>
      <c r="B482" s="40" t="s">
        <v>2155</v>
      </c>
      <c r="C482" s="4" t="s">
        <v>63</v>
      </c>
      <c r="D482" s="11">
        <f>IFERROR(VLOOKUP(C482,ShipShapeEnum!$E:$F,2,FALSE),"-")</f>
        <v>2</v>
      </c>
      <c r="E482" s="19" t="s">
        <v>2162</v>
      </c>
      <c r="F482" s="4" t="s">
        <v>65</v>
      </c>
      <c r="G482" s="11">
        <f>IFERROR(VLOOKUP(F482,ShipShapeEnum!$B:$C,2,FALSE),"-")</f>
        <v>2</v>
      </c>
      <c r="H482" s="19" t="s">
        <v>459</v>
      </c>
      <c r="I482" s="19" t="s">
        <v>0</v>
      </c>
      <c r="J482" s="19" t="s">
        <v>0</v>
      </c>
      <c r="K482" s="19" t="s">
        <v>0</v>
      </c>
      <c r="L482" s="19" t="s">
        <v>0</v>
      </c>
      <c r="M482" s="4" t="s">
        <v>81</v>
      </c>
      <c r="N482" s="11">
        <f>IFERROR(VLOOKUP(M482,ShipShapeEnum!$H:$I,2,FALSE),"-")</f>
        <v>1</v>
      </c>
      <c r="O482" s="11" t="s">
        <v>2688</v>
      </c>
      <c r="P482" s="30"/>
      <c r="Q482" s="11" t="str">
        <f>IFERROR(INDEX(SailPattern!$A:$A,MATCH(P482,SailPattern!$B:$B,0)),"-")</f>
        <v>-</v>
      </c>
      <c r="R482" s="30"/>
      <c r="S482" s="11" t="str">
        <f>IFERROR(INDEX(SailCrest!$A:$A,MATCH(R482,SailCrest!$B:$B,0)),"-")</f>
        <v>-</v>
      </c>
      <c r="T482" s="19" t="s">
        <v>0</v>
      </c>
      <c r="U482" s="19" t="s">
        <v>0</v>
      </c>
      <c r="V482" s="19" t="s">
        <v>0</v>
      </c>
      <c r="W482" s="19" t="s">
        <v>0</v>
      </c>
      <c r="X482" s="19" t="s">
        <v>0</v>
      </c>
      <c r="Y482" s="19" t="s">
        <v>0</v>
      </c>
      <c r="Z482" s="19" t="s">
        <v>0</v>
      </c>
      <c r="AA482" s="19" t="s">
        <v>0</v>
      </c>
    </row>
    <row r="483" spans="1:27" ht="15">
      <c r="A483" s="10">
        <f t="shared" si="16"/>
        <v>46100135</v>
      </c>
      <c r="B483" s="40" t="s">
        <v>2156</v>
      </c>
      <c r="C483" s="4" t="s">
        <v>63</v>
      </c>
      <c r="D483" s="11">
        <v>2</v>
      </c>
      <c r="E483" s="19" t="s">
        <v>2163</v>
      </c>
      <c r="F483" s="4" t="s">
        <v>65</v>
      </c>
      <c r="G483" s="11">
        <f>IFERROR(VLOOKUP(F483,ShipShapeEnum!$B:$C,2,FALSE),"-")</f>
        <v>2</v>
      </c>
      <c r="H483" s="19" t="s">
        <v>460</v>
      </c>
      <c r="I483" s="19" t="s">
        <v>0</v>
      </c>
      <c r="J483" s="19" t="s">
        <v>0</v>
      </c>
      <c r="K483" s="19" t="s">
        <v>0</v>
      </c>
      <c r="L483" s="19" t="s">
        <v>0</v>
      </c>
      <c r="M483" s="4" t="s">
        <v>81</v>
      </c>
      <c r="N483" s="11">
        <f>IFERROR(VLOOKUP(M483,ShipShapeEnum!$H:$I,2,FALSE),"-")</f>
        <v>1</v>
      </c>
      <c r="O483" s="11" t="s">
        <v>2688</v>
      </c>
      <c r="P483" s="30"/>
      <c r="Q483" s="11" t="str">
        <f>IFERROR(INDEX(SailPattern!$A:$A,MATCH(P483,SailPattern!$B:$B,0)),"-")</f>
        <v>-</v>
      </c>
      <c r="R483" s="30"/>
      <c r="S483" s="11" t="str">
        <f>IFERROR(INDEX(SailCrest!$A:$A,MATCH(R483,SailCrest!$B:$B,0)),"-")</f>
        <v>-</v>
      </c>
      <c r="T483" s="19" t="s">
        <v>0</v>
      </c>
      <c r="U483" s="19" t="s">
        <v>0</v>
      </c>
      <c r="V483" s="19" t="s">
        <v>0</v>
      </c>
      <c r="W483" s="19" t="s">
        <v>0</v>
      </c>
      <c r="X483" s="19" t="s">
        <v>0</v>
      </c>
      <c r="Y483" s="19" t="s">
        <v>0</v>
      </c>
      <c r="Z483" s="19" t="s">
        <v>0</v>
      </c>
      <c r="AA483" s="19" t="s">
        <v>0</v>
      </c>
    </row>
    <row r="484" spans="1:27" ht="15">
      <c r="A484" s="10">
        <f t="shared" si="16"/>
        <v>46100136</v>
      </c>
      <c r="B484" s="40" t="s">
        <v>2157</v>
      </c>
      <c r="C484" s="4" t="s">
        <v>63</v>
      </c>
      <c r="D484" s="11">
        <f>IFERROR(VLOOKUP(C484,ShipShapeEnum!$E:$F,2,FALSE),"-")</f>
        <v>2</v>
      </c>
      <c r="E484" s="19" t="s">
        <v>2164</v>
      </c>
      <c r="F484" s="4" t="s">
        <v>65</v>
      </c>
      <c r="G484" s="11">
        <f>IFERROR(VLOOKUP(F484,ShipShapeEnum!$B:$C,2,FALSE),"-")</f>
        <v>2</v>
      </c>
      <c r="H484" s="19" t="s">
        <v>459</v>
      </c>
      <c r="I484" s="19" t="s">
        <v>0</v>
      </c>
      <c r="J484" s="19" t="s">
        <v>0</v>
      </c>
      <c r="K484" s="19" t="s">
        <v>0</v>
      </c>
      <c r="L484" s="19" t="s">
        <v>0</v>
      </c>
      <c r="M484" s="4" t="s">
        <v>81</v>
      </c>
      <c r="N484" s="11">
        <f>IFERROR(VLOOKUP(M484,ShipShapeEnum!$H:$I,2,FALSE),"-")</f>
        <v>1</v>
      </c>
      <c r="O484" s="11" t="s">
        <v>2688</v>
      </c>
      <c r="P484" s="30"/>
      <c r="Q484" s="11" t="str">
        <f>IFERROR(INDEX(SailPattern!$A:$A,MATCH(P484,SailPattern!$B:$B,0)),"-")</f>
        <v>-</v>
      </c>
      <c r="R484" s="30"/>
      <c r="S484" s="11" t="str">
        <f>IFERROR(INDEX(SailCrest!$A:$A,MATCH(R484,SailCrest!$B:$B,0)),"-")</f>
        <v>-</v>
      </c>
      <c r="T484" s="19" t="s">
        <v>0</v>
      </c>
      <c r="U484" s="19" t="s">
        <v>0</v>
      </c>
      <c r="V484" s="19" t="s">
        <v>0</v>
      </c>
      <c r="W484" s="19" t="s">
        <v>0</v>
      </c>
      <c r="X484" s="19" t="s">
        <v>0</v>
      </c>
      <c r="Y484" s="19" t="s">
        <v>0</v>
      </c>
      <c r="Z484" s="19" t="s">
        <v>0</v>
      </c>
      <c r="AA484" s="19" t="s">
        <v>0</v>
      </c>
    </row>
    <row r="485" spans="1:27" ht="15">
      <c r="A485" s="10">
        <f t="shared" si="16"/>
        <v>46100137</v>
      </c>
      <c r="B485" s="40" t="s">
        <v>2319</v>
      </c>
      <c r="C485" s="4" t="s">
        <v>63</v>
      </c>
      <c r="D485" s="11">
        <f>IFERROR(VLOOKUP(C485,ShipShapeEnum!$E:$F,2,FALSE),"-")</f>
        <v>2</v>
      </c>
      <c r="E485" s="19" t="s">
        <v>2165</v>
      </c>
      <c r="F485" s="4" t="s">
        <v>65</v>
      </c>
      <c r="G485" s="11">
        <f>IFERROR(VLOOKUP(F485,ShipShapeEnum!$B:$C,2,FALSE),"-")</f>
        <v>2</v>
      </c>
      <c r="H485" s="19" t="s">
        <v>459</v>
      </c>
      <c r="I485" s="19" t="s">
        <v>0</v>
      </c>
      <c r="J485" s="19" t="s">
        <v>0</v>
      </c>
      <c r="K485" s="19" t="s">
        <v>0</v>
      </c>
      <c r="L485" s="19" t="s">
        <v>0</v>
      </c>
      <c r="M485" s="4" t="s">
        <v>81</v>
      </c>
      <c r="N485" s="11">
        <f>IFERROR(VLOOKUP(M485,ShipShapeEnum!$H:$I,2,FALSE),"-")</f>
        <v>1</v>
      </c>
      <c r="O485" s="11" t="s">
        <v>2688</v>
      </c>
      <c r="P485" s="30"/>
      <c r="Q485" s="11" t="str">
        <f>IFERROR(INDEX(SailPattern!$A:$A,MATCH(P485,SailPattern!$B:$B,0)),"-")</f>
        <v>-</v>
      </c>
      <c r="R485" s="30"/>
      <c r="S485" s="11" t="str">
        <f>IFERROR(INDEX(SailCrest!$A:$A,MATCH(R485,SailCrest!$B:$B,0)),"-")</f>
        <v>-</v>
      </c>
      <c r="T485" s="19" t="s">
        <v>0</v>
      </c>
      <c r="U485" s="19" t="s">
        <v>0</v>
      </c>
      <c r="V485" s="19" t="s">
        <v>0</v>
      </c>
      <c r="W485" s="19" t="s">
        <v>0</v>
      </c>
      <c r="X485" s="19" t="s">
        <v>0</v>
      </c>
      <c r="Y485" s="19" t="s">
        <v>0</v>
      </c>
      <c r="Z485" s="19" t="s">
        <v>0</v>
      </c>
      <c r="AA485" s="19" t="s">
        <v>0</v>
      </c>
    </row>
    <row r="486" spans="1:27" ht="15">
      <c r="A486" s="10">
        <f t="shared" si="16"/>
        <v>46100138</v>
      </c>
      <c r="B486" s="40" t="s">
        <v>2321</v>
      </c>
      <c r="C486" s="4" t="s">
        <v>63</v>
      </c>
      <c r="D486" s="11">
        <f>IFERROR(VLOOKUP(C486,ShipShapeEnum!$E:$F,2,FALSE),"-")</f>
        <v>2</v>
      </c>
      <c r="E486" s="19" t="s">
        <v>2166</v>
      </c>
      <c r="F486" s="4" t="s">
        <v>65</v>
      </c>
      <c r="G486" s="11">
        <f>IFERROR(VLOOKUP(F486,ShipShapeEnum!$B:$C,2,FALSE),"-")</f>
        <v>2</v>
      </c>
      <c r="H486" s="19" t="s">
        <v>460</v>
      </c>
      <c r="I486" s="19" t="s">
        <v>0</v>
      </c>
      <c r="J486" s="19" t="s">
        <v>0</v>
      </c>
      <c r="K486" s="19" t="s">
        <v>0</v>
      </c>
      <c r="L486" s="19" t="s">
        <v>0</v>
      </c>
      <c r="M486" s="4" t="s">
        <v>81</v>
      </c>
      <c r="N486" s="11">
        <f>IFERROR(VLOOKUP(M486,ShipShapeEnum!$H:$I,2,FALSE),"-")</f>
        <v>1</v>
      </c>
      <c r="O486" s="11" t="s">
        <v>2688</v>
      </c>
      <c r="P486" s="30"/>
      <c r="Q486" s="11" t="str">
        <f>IFERROR(INDEX(SailPattern!$A:$A,MATCH(P486,SailPattern!$B:$B,0)),"-")</f>
        <v>-</v>
      </c>
      <c r="R486" s="30"/>
      <c r="S486" s="11" t="str">
        <f>IFERROR(INDEX(SailCrest!$A:$A,MATCH(R486,SailCrest!$B:$B,0)),"-")</f>
        <v>-</v>
      </c>
      <c r="T486" s="19" t="s">
        <v>0</v>
      </c>
      <c r="U486" s="19" t="s">
        <v>0</v>
      </c>
      <c r="V486" s="19" t="s">
        <v>0</v>
      </c>
      <c r="W486" s="19" t="s">
        <v>0</v>
      </c>
      <c r="X486" s="19" t="s">
        <v>0</v>
      </c>
      <c r="Y486" s="19" t="s">
        <v>0</v>
      </c>
      <c r="Z486" s="19" t="s">
        <v>0</v>
      </c>
      <c r="AA486" s="19" t="s">
        <v>0</v>
      </c>
    </row>
    <row r="487" spans="1:27" ht="15">
      <c r="A487" s="10">
        <f t="shared" si="16"/>
        <v>46100139</v>
      </c>
      <c r="B487" s="40" t="s">
        <v>2320</v>
      </c>
      <c r="C487" s="4" t="s">
        <v>63</v>
      </c>
      <c r="D487" s="11">
        <f>IFERROR(VLOOKUP(C487,ShipShapeEnum!$E:$F,2,FALSE),"-")</f>
        <v>2</v>
      </c>
      <c r="E487" s="19" t="s">
        <v>2170</v>
      </c>
      <c r="F487" s="4" t="s">
        <v>65</v>
      </c>
      <c r="G487" s="11">
        <f>IFERROR(VLOOKUP(F487,ShipShapeEnum!$B:$C,2,FALSE),"-")</f>
        <v>2</v>
      </c>
      <c r="H487" s="19" t="s">
        <v>459</v>
      </c>
      <c r="I487" s="19" t="s">
        <v>0</v>
      </c>
      <c r="J487" s="19" t="s">
        <v>0</v>
      </c>
      <c r="K487" s="19" t="s">
        <v>0</v>
      </c>
      <c r="L487" s="19" t="s">
        <v>0</v>
      </c>
      <c r="M487" s="4" t="s">
        <v>81</v>
      </c>
      <c r="N487" s="11">
        <f>IFERROR(VLOOKUP(M487,ShipShapeEnum!$H:$I,2,FALSE),"-")</f>
        <v>1</v>
      </c>
      <c r="O487" s="11" t="s">
        <v>2688</v>
      </c>
      <c r="P487" s="30"/>
      <c r="Q487" s="11" t="str">
        <f>IFERROR(INDEX(SailPattern!$A:$A,MATCH(P487,SailPattern!$B:$B,0)),"-")</f>
        <v>-</v>
      </c>
      <c r="R487" s="30"/>
      <c r="S487" s="11" t="str">
        <f>IFERROR(INDEX(SailCrest!$A:$A,MATCH(R487,SailCrest!$B:$B,0)),"-")</f>
        <v>-</v>
      </c>
      <c r="T487" s="19" t="s">
        <v>0</v>
      </c>
      <c r="U487" s="19" t="s">
        <v>0</v>
      </c>
      <c r="V487" s="19" t="s">
        <v>0</v>
      </c>
      <c r="W487" s="19" t="s">
        <v>0</v>
      </c>
      <c r="X487" s="19" t="s">
        <v>0</v>
      </c>
      <c r="Y487" s="19" t="s">
        <v>0</v>
      </c>
      <c r="Z487" s="19" t="s">
        <v>0</v>
      </c>
      <c r="AA487" s="19" t="s">
        <v>0</v>
      </c>
    </row>
    <row r="488" spans="1:27" ht="15">
      <c r="A488" s="10">
        <f t="shared" si="16"/>
        <v>46100140</v>
      </c>
      <c r="B488" s="40" t="s">
        <v>2167</v>
      </c>
      <c r="C488" s="4" t="s">
        <v>63</v>
      </c>
      <c r="D488" s="11">
        <f>IFERROR(VLOOKUP(C488,ShipShapeEnum!$E:$F,2,FALSE),"-")</f>
        <v>2</v>
      </c>
      <c r="E488" s="19" t="s">
        <v>2171</v>
      </c>
      <c r="F488" s="4" t="s">
        <v>65</v>
      </c>
      <c r="G488" s="11">
        <f>IFERROR(VLOOKUP(F488,ShipShapeEnum!$B:$C,2,FALSE),"-")</f>
        <v>2</v>
      </c>
      <c r="H488" s="19" t="s">
        <v>459</v>
      </c>
      <c r="I488" s="19" t="s">
        <v>0</v>
      </c>
      <c r="J488" s="19" t="s">
        <v>0</v>
      </c>
      <c r="K488" s="19" t="s">
        <v>0</v>
      </c>
      <c r="L488" s="19" t="s">
        <v>0</v>
      </c>
      <c r="M488" s="4" t="s">
        <v>81</v>
      </c>
      <c r="N488" s="11">
        <f>IFERROR(VLOOKUP(M488,ShipShapeEnum!$H:$I,2,FALSE),"-")</f>
        <v>1</v>
      </c>
      <c r="O488" s="11" t="s">
        <v>2688</v>
      </c>
      <c r="P488" s="30"/>
      <c r="Q488" s="11" t="str">
        <f>IFERROR(INDEX(SailPattern!$A:$A,MATCH(P488,SailPattern!$B:$B,0)),"-")</f>
        <v>-</v>
      </c>
      <c r="R488" s="30"/>
      <c r="S488" s="11" t="str">
        <f>IFERROR(INDEX(SailCrest!$A:$A,MATCH(R488,SailCrest!$B:$B,0)),"-")</f>
        <v>-</v>
      </c>
      <c r="T488" s="19" t="s">
        <v>0</v>
      </c>
      <c r="U488" s="19" t="s">
        <v>0</v>
      </c>
      <c r="V488" s="19" t="s">
        <v>0</v>
      </c>
      <c r="W488" s="19" t="s">
        <v>0</v>
      </c>
      <c r="X488" s="19" t="s">
        <v>0</v>
      </c>
      <c r="Y488" s="19" t="s">
        <v>0</v>
      </c>
      <c r="Z488" s="19" t="s">
        <v>0</v>
      </c>
      <c r="AA488" s="19" t="s">
        <v>0</v>
      </c>
    </row>
    <row r="489" spans="1:27" ht="15">
      <c r="A489" s="10">
        <f t="shared" si="16"/>
        <v>46100141</v>
      </c>
      <c r="B489" s="40" t="s">
        <v>2168</v>
      </c>
      <c r="C489" s="4" t="s">
        <v>63</v>
      </c>
      <c r="D489" s="11">
        <f>IFERROR(VLOOKUP(C489,ShipShapeEnum!$E:$F,2,FALSE),"-")</f>
        <v>2</v>
      </c>
      <c r="E489" s="19" t="s">
        <v>2172</v>
      </c>
      <c r="F489" s="4" t="s">
        <v>65</v>
      </c>
      <c r="G489" s="11">
        <f>IFERROR(VLOOKUP(F489,ShipShapeEnum!$B:$C,2,FALSE),"-")</f>
        <v>2</v>
      </c>
      <c r="H489" s="19" t="s">
        <v>459</v>
      </c>
      <c r="I489" s="19" t="s">
        <v>0</v>
      </c>
      <c r="J489" s="19" t="s">
        <v>0</v>
      </c>
      <c r="K489" s="19" t="s">
        <v>0</v>
      </c>
      <c r="L489" s="19" t="s">
        <v>0</v>
      </c>
      <c r="M489" s="4" t="s">
        <v>81</v>
      </c>
      <c r="N489" s="11">
        <f>IFERROR(VLOOKUP(M489,ShipShapeEnum!$H:$I,2,FALSE),"-")</f>
        <v>1</v>
      </c>
      <c r="O489" s="11" t="s">
        <v>2688</v>
      </c>
      <c r="P489" s="30"/>
      <c r="Q489" s="11" t="str">
        <f>IFERROR(INDEX(SailPattern!$A:$A,MATCH(P489,SailPattern!$B:$B,0)),"-")</f>
        <v>-</v>
      </c>
      <c r="R489" s="30"/>
      <c r="S489" s="11" t="str">
        <f>IFERROR(INDEX(SailCrest!$A:$A,MATCH(R489,SailCrest!$B:$B,0)),"-")</f>
        <v>-</v>
      </c>
      <c r="T489" s="19" t="s">
        <v>0</v>
      </c>
      <c r="U489" s="19" t="s">
        <v>0</v>
      </c>
      <c r="V489" s="19" t="s">
        <v>0</v>
      </c>
      <c r="W489" s="19" t="s">
        <v>0</v>
      </c>
      <c r="X489" s="19" t="s">
        <v>0</v>
      </c>
      <c r="Y489" s="19" t="s">
        <v>0</v>
      </c>
      <c r="Z489" s="19" t="s">
        <v>0</v>
      </c>
      <c r="AA489" s="19" t="s">
        <v>0</v>
      </c>
    </row>
    <row r="490" spans="1:27" ht="15">
      <c r="A490" s="10">
        <f t="shared" si="16"/>
        <v>46100142</v>
      </c>
      <c r="B490" s="40" t="s">
        <v>2169</v>
      </c>
      <c r="C490" s="4" t="s">
        <v>63</v>
      </c>
      <c r="D490" s="11">
        <f>IFERROR(VLOOKUP(C490,ShipShapeEnum!$E:$F,2,FALSE),"-")</f>
        <v>2</v>
      </c>
      <c r="E490" s="19" t="s">
        <v>2173</v>
      </c>
      <c r="F490" s="4" t="s">
        <v>65</v>
      </c>
      <c r="G490" s="11">
        <f>IFERROR(VLOOKUP(F490,ShipShapeEnum!$B:$C,2,FALSE),"-")</f>
        <v>2</v>
      </c>
      <c r="H490" s="19" t="s">
        <v>459</v>
      </c>
      <c r="I490" s="19" t="s">
        <v>0</v>
      </c>
      <c r="J490" s="19" t="s">
        <v>0</v>
      </c>
      <c r="K490" s="19" t="s">
        <v>0</v>
      </c>
      <c r="L490" s="19" t="s">
        <v>0</v>
      </c>
      <c r="M490" s="4" t="s">
        <v>81</v>
      </c>
      <c r="N490" s="11">
        <f>IFERROR(VLOOKUP(M490,ShipShapeEnum!$H:$I,2,FALSE),"-")</f>
        <v>1</v>
      </c>
      <c r="O490" s="11" t="s">
        <v>2688</v>
      </c>
      <c r="P490" s="30"/>
      <c r="Q490" s="11" t="str">
        <f>IFERROR(INDEX(SailPattern!$A:$A,MATCH(P490,SailPattern!$B:$B,0)),"-")</f>
        <v>-</v>
      </c>
      <c r="R490" s="30"/>
      <c r="S490" s="11" t="str">
        <f>IFERROR(INDEX(SailCrest!$A:$A,MATCH(R490,SailCrest!$B:$B,0)),"-")</f>
        <v>-</v>
      </c>
      <c r="T490" s="19" t="s">
        <v>0</v>
      </c>
      <c r="U490" s="19" t="s">
        <v>0</v>
      </c>
      <c r="V490" s="19" t="s">
        <v>0</v>
      </c>
      <c r="W490" s="19" t="s">
        <v>0</v>
      </c>
      <c r="X490" s="19" t="s">
        <v>0</v>
      </c>
      <c r="Y490" s="19" t="s">
        <v>0</v>
      </c>
      <c r="Z490" s="19" t="s">
        <v>0</v>
      </c>
      <c r="AA490" s="19" t="s">
        <v>0</v>
      </c>
    </row>
    <row r="491" spans="1:27" ht="15">
      <c r="A491" s="10">
        <f t="shared" si="16"/>
        <v>46100143</v>
      </c>
      <c r="B491" s="40" t="s">
        <v>2314</v>
      </c>
      <c r="C491" s="4" t="s">
        <v>63</v>
      </c>
      <c r="D491" s="11">
        <f>IFERROR(VLOOKUP(C491,ShipShapeEnum!$E:$F,2,FALSE),"-")</f>
        <v>2</v>
      </c>
      <c r="E491" s="19" t="s">
        <v>2316</v>
      </c>
      <c r="F491" s="4" t="s">
        <v>65</v>
      </c>
      <c r="G491" s="11">
        <f>IFERROR(VLOOKUP(F491,ShipShapeEnum!$B:$C,2,FALSE),"-")</f>
        <v>2</v>
      </c>
      <c r="H491" s="19" t="s">
        <v>459</v>
      </c>
      <c r="I491" s="19" t="s">
        <v>0</v>
      </c>
      <c r="J491" s="19" t="s">
        <v>0</v>
      </c>
      <c r="K491" s="19" t="s">
        <v>0</v>
      </c>
      <c r="L491" s="19" t="s">
        <v>0</v>
      </c>
      <c r="M491" s="4" t="s">
        <v>81</v>
      </c>
      <c r="N491" s="11">
        <f>IFERROR(VLOOKUP(M491,ShipShapeEnum!$H:$I,2,FALSE),"-")</f>
        <v>1</v>
      </c>
      <c r="O491" s="11" t="s">
        <v>2688</v>
      </c>
      <c r="P491" s="30"/>
      <c r="Q491" s="11" t="str">
        <f>IFERROR(INDEX(SailPattern!$A:$A,MATCH(P491,SailPattern!$B:$B,0)),"-")</f>
        <v>-</v>
      </c>
      <c r="R491" s="30"/>
      <c r="S491" s="11" t="str">
        <f>IFERROR(INDEX(SailCrest!$A:$A,MATCH(R491,SailCrest!$B:$B,0)),"-")</f>
        <v>-</v>
      </c>
      <c r="T491" s="19" t="s">
        <v>0</v>
      </c>
      <c r="U491" s="19" t="s">
        <v>0</v>
      </c>
      <c r="V491" s="19" t="s">
        <v>0</v>
      </c>
      <c r="W491" s="19" t="s">
        <v>0</v>
      </c>
      <c r="X491" s="19" t="s">
        <v>0</v>
      </c>
      <c r="Y491" s="19" t="s">
        <v>0</v>
      </c>
      <c r="Z491" s="19" t="s">
        <v>0</v>
      </c>
      <c r="AA491" s="19" t="s">
        <v>0</v>
      </c>
    </row>
    <row r="492" spans="1:27" ht="15">
      <c r="A492" s="10">
        <f t="shared" si="16"/>
        <v>46100144</v>
      </c>
      <c r="B492" s="40" t="s">
        <v>2315</v>
      </c>
      <c r="C492" s="4" t="s">
        <v>63</v>
      </c>
      <c r="D492" s="11">
        <f>IFERROR(VLOOKUP(C492,ShipShapeEnum!$E:$F,2,FALSE),"-")</f>
        <v>2</v>
      </c>
      <c r="E492" s="19" t="s">
        <v>2317</v>
      </c>
      <c r="F492" s="4" t="s">
        <v>65</v>
      </c>
      <c r="G492" s="11">
        <f>IFERROR(VLOOKUP(F492,ShipShapeEnum!$B:$C,2,FALSE),"-")</f>
        <v>2</v>
      </c>
      <c r="H492" s="19" t="s">
        <v>459</v>
      </c>
      <c r="I492" s="19" t="s">
        <v>0</v>
      </c>
      <c r="J492" s="19" t="s">
        <v>0</v>
      </c>
      <c r="K492" s="19" t="s">
        <v>0</v>
      </c>
      <c r="L492" s="19" t="s">
        <v>0</v>
      </c>
      <c r="M492" s="4" t="s">
        <v>81</v>
      </c>
      <c r="N492" s="11">
        <f>IFERROR(VLOOKUP(M492,ShipShapeEnum!$H:$I,2,FALSE),"-")</f>
        <v>1</v>
      </c>
      <c r="O492" s="11" t="s">
        <v>2688</v>
      </c>
      <c r="P492" s="30"/>
      <c r="Q492" s="11" t="str">
        <f>IFERROR(INDEX(SailPattern!$A:$A,MATCH(P492,SailPattern!$B:$B,0)),"-")</f>
        <v>-</v>
      </c>
      <c r="R492" s="30"/>
      <c r="S492" s="11" t="str">
        <f>IFERROR(INDEX(SailCrest!$A:$A,MATCH(R492,SailCrest!$B:$B,0)),"-")</f>
        <v>-</v>
      </c>
      <c r="T492" s="19" t="s">
        <v>0</v>
      </c>
      <c r="U492" s="19" t="s">
        <v>0</v>
      </c>
      <c r="V492" s="19" t="s">
        <v>0</v>
      </c>
      <c r="W492" s="19" t="s">
        <v>0</v>
      </c>
      <c r="X492" s="19" t="s">
        <v>0</v>
      </c>
      <c r="Y492" s="19" t="s">
        <v>0</v>
      </c>
      <c r="Z492" s="19" t="s">
        <v>0</v>
      </c>
      <c r="AA492" s="19" t="s">
        <v>0</v>
      </c>
    </row>
    <row r="493" spans="1:27" ht="15">
      <c r="A493" s="10">
        <f t="shared" si="16"/>
        <v>46100145</v>
      </c>
      <c r="B493" s="40" t="s">
        <v>2648</v>
      </c>
      <c r="C493" s="4" t="s">
        <v>63</v>
      </c>
      <c r="D493" s="11">
        <f>IFERROR(VLOOKUP(C493,ShipShapeEnum!$E:$F,2,FALSE),"-")</f>
        <v>2</v>
      </c>
      <c r="E493" s="19" t="s">
        <v>2649</v>
      </c>
      <c r="F493" s="4" t="s">
        <v>65</v>
      </c>
      <c r="G493" s="11">
        <f>IFERROR(VLOOKUP(F493,ShipShapeEnum!$B:$C,2,FALSE),"-")</f>
        <v>2</v>
      </c>
      <c r="H493" s="19" t="s">
        <v>460</v>
      </c>
      <c r="I493" s="19" t="s">
        <v>0</v>
      </c>
      <c r="J493" s="19" t="s">
        <v>0</v>
      </c>
      <c r="K493" s="19" t="s">
        <v>0</v>
      </c>
      <c r="L493" s="19" t="s">
        <v>0</v>
      </c>
      <c r="M493" s="4" t="s">
        <v>81</v>
      </c>
      <c r="N493" s="11">
        <f>IFERROR(VLOOKUP(M493,ShipShapeEnum!$H:$I,2,FALSE),"-")</f>
        <v>1</v>
      </c>
      <c r="O493" s="11" t="s">
        <v>2688</v>
      </c>
      <c r="P493" s="30"/>
      <c r="Q493" s="11" t="str">
        <f>IFERROR(INDEX(SailPattern!$A:$A,MATCH(P493,SailPattern!$B:$B,0)),"-")</f>
        <v>-</v>
      </c>
      <c r="R493" s="30"/>
      <c r="S493" s="11" t="str">
        <f>IFERROR(INDEX(SailCrest!$A:$A,MATCH(R493,SailCrest!$B:$B,0)),"-")</f>
        <v>-</v>
      </c>
      <c r="T493" s="19" t="s">
        <v>0</v>
      </c>
      <c r="U493" s="19" t="s">
        <v>0</v>
      </c>
      <c r="V493" s="19" t="s">
        <v>0</v>
      </c>
      <c r="W493" s="19" t="s">
        <v>0</v>
      </c>
      <c r="X493" s="19" t="s">
        <v>0</v>
      </c>
      <c r="Y493" s="19" t="s">
        <v>0</v>
      </c>
      <c r="Z493" s="19" t="s">
        <v>0</v>
      </c>
      <c r="AA493" s="19" t="s">
        <v>0</v>
      </c>
    </row>
    <row r="494" spans="1:27" ht="15">
      <c r="A494" s="10">
        <f t="shared" si="16"/>
        <v>46100146</v>
      </c>
      <c r="B494" s="40" t="s">
        <v>2659</v>
      </c>
      <c r="C494" s="4" t="s">
        <v>63</v>
      </c>
      <c r="D494" s="11">
        <f>IFERROR(VLOOKUP(C494,ShipShapeEnum!$E:$F,2,FALSE),"-")</f>
        <v>2</v>
      </c>
      <c r="E494" s="19" t="s">
        <v>2663</v>
      </c>
      <c r="F494" s="4" t="s">
        <v>65</v>
      </c>
      <c r="G494" s="11">
        <f>IFERROR(VLOOKUP(F494,ShipShapeEnum!$B:$C,2,FALSE),"-")</f>
        <v>2</v>
      </c>
      <c r="H494" s="19" t="s">
        <v>459</v>
      </c>
      <c r="I494" s="19" t="s">
        <v>0</v>
      </c>
      <c r="J494" s="19" t="s">
        <v>0</v>
      </c>
      <c r="K494" s="19" t="s">
        <v>0</v>
      </c>
      <c r="L494" s="19" t="s">
        <v>0</v>
      </c>
      <c r="M494" s="4" t="s">
        <v>81</v>
      </c>
      <c r="N494" s="11">
        <f>IFERROR(VLOOKUP(M494,ShipShapeEnum!$H:$I,2,FALSE),"-")</f>
        <v>1</v>
      </c>
      <c r="O494" s="11" t="s">
        <v>2688</v>
      </c>
      <c r="P494" s="30"/>
      <c r="Q494" s="11" t="str">
        <f>IFERROR(INDEX(SailPattern!$A:$A,MATCH(P494,SailPattern!$B:$B,0)),"-")</f>
        <v>-</v>
      </c>
      <c r="R494" s="30"/>
      <c r="S494" s="11" t="str">
        <f>IFERROR(INDEX(SailCrest!$A:$A,MATCH(R494,SailCrest!$B:$B,0)),"-")</f>
        <v>-</v>
      </c>
      <c r="T494" s="19" t="s">
        <v>0</v>
      </c>
      <c r="U494" s="19" t="s">
        <v>0</v>
      </c>
      <c r="V494" s="19" t="s">
        <v>0</v>
      </c>
      <c r="W494" s="19" t="s">
        <v>0</v>
      </c>
      <c r="X494" s="19" t="s">
        <v>0</v>
      </c>
      <c r="Y494" s="19" t="s">
        <v>0</v>
      </c>
      <c r="Z494" s="19" t="s">
        <v>0</v>
      </c>
      <c r="AA494" s="19" t="s">
        <v>0</v>
      </c>
    </row>
    <row r="495" spans="1:27" ht="15">
      <c r="A495" s="10">
        <f t="shared" si="16"/>
        <v>46100147</v>
      </c>
      <c r="B495" s="40" t="s">
        <v>2660</v>
      </c>
      <c r="C495" s="4" t="s">
        <v>63</v>
      </c>
      <c r="D495" s="11">
        <f>IFERROR(VLOOKUP(C495,ShipShapeEnum!$E:$F,2,FALSE),"-")</f>
        <v>2</v>
      </c>
      <c r="E495" s="19" t="s">
        <v>2664</v>
      </c>
      <c r="F495" s="4" t="s">
        <v>65</v>
      </c>
      <c r="G495" s="11">
        <f>IFERROR(VLOOKUP(F495,ShipShapeEnum!$B:$C,2,FALSE),"-")</f>
        <v>2</v>
      </c>
      <c r="H495" s="19" t="s">
        <v>459</v>
      </c>
      <c r="I495" s="19" t="s">
        <v>0</v>
      </c>
      <c r="J495" s="19" t="s">
        <v>0</v>
      </c>
      <c r="K495" s="19" t="s">
        <v>0</v>
      </c>
      <c r="L495" s="19" t="s">
        <v>0</v>
      </c>
      <c r="M495" s="4" t="s">
        <v>81</v>
      </c>
      <c r="N495" s="11">
        <f>IFERROR(VLOOKUP(M495,ShipShapeEnum!$H:$I,2,FALSE),"-")</f>
        <v>1</v>
      </c>
      <c r="O495" s="11" t="s">
        <v>2688</v>
      </c>
      <c r="P495" s="30"/>
      <c r="Q495" s="11" t="str">
        <f>IFERROR(INDEX(SailPattern!$A:$A,MATCH(P495,SailPattern!$B:$B,0)),"-")</f>
        <v>-</v>
      </c>
      <c r="R495" s="30"/>
      <c r="S495" s="11" t="str">
        <f>IFERROR(INDEX(SailCrest!$A:$A,MATCH(R495,SailCrest!$B:$B,0)),"-")</f>
        <v>-</v>
      </c>
      <c r="T495" s="19" t="s">
        <v>0</v>
      </c>
      <c r="U495" s="19" t="s">
        <v>0</v>
      </c>
      <c r="V495" s="19" t="s">
        <v>0</v>
      </c>
      <c r="W495" s="19" t="s">
        <v>0</v>
      </c>
      <c r="X495" s="19" t="s">
        <v>0</v>
      </c>
      <c r="Y495" s="19" t="s">
        <v>0</v>
      </c>
      <c r="Z495" s="19" t="s">
        <v>0</v>
      </c>
      <c r="AA495" s="19" t="s">
        <v>0</v>
      </c>
    </row>
    <row r="496" spans="1:27" ht="15">
      <c r="A496" s="10">
        <f t="shared" si="16"/>
        <v>46100148</v>
      </c>
      <c r="B496" s="40" t="s">
        <v>2661</v>
      </c>
      <c r="C496" s="4" t="s">
        <v>63</v>
      </c>
      <c r="D496" s="11">
        <f>IFERROR(VLOOKUP(C496,ShipShapeEnum!$E:$F,2,FALSE),"-")</f>
        <v>2</v>
      </c>
      <c r="E496" s="19" t="s">
        <v>2665</v>
      </c>
      <c r="F496" s="4" t="s">
        <v>65</v>
      </c>
      <c r="G496" s="11">
        <f>IFERROR(VLOOKUP(F496,ShipShapeEnum!$B:$C,2,FALSE),"-")</f>
        <v>2</v>
      </c>
      <c r="H496" s="19" t="s">
        <v>459</v>
      </c>
      <c r="I496" s="19" t="s">
        <v>0</v>
      </c>
      <c r="J496" s="19" t="s">
        <v>0</v>
      </c>
      <c r="K496" s="19" t="s">
        <v>0</v>
      </c>
      <c r="L496" s="19" t="s">
        <v>0</v>
      </c>
      <c r="M496" s="4" t="s">
        <v>81</v>
      </c>
      <c r="N496" s="11">
        <f>IFERROR(VLOOKUP(M496,ShipShapeEnum!$H:$I,2,FALSE),"-")</f>
        <v>1</v>
      </c>
      <c r="O496" s="11" t="s">
        <v>2688</v>
      </c>
      <c r="P496" s="30"/>
      <c r="Q496" s="11" t="str">
        <f>IFERROR(INDEX(SailPattern!$A:$A,MATCH(P496,SailPattern!$B:$B,0)),"-")</f>
        <v>-</v>
      </c>
      <c r="R496" s="30"/>
      <c r="S496" s="11" t="str">
        <f>IFERROR(INDEX(SailCrest!$A:$A,MATCH(R496,SailCrest!$B:$B,0)),"-")</f>
        <v>-</v>
      </c>
      <c r="T496" s="19" t="s">
        <v>0</v>
      </c>
      <c r="U496" s="19" t="s">
        <v>0</v>
      </c>
      <c r="V496" s="19" t="s">
        <v>0</v>
      </c>
      <c r="W496" s="19" t="s">
        <v>0</v>
      </c>
      <c r="X496" s="19" t="s">
        <v>0</v>
      </c>
      <c r="Y496" s="19" t="s">
        <v>0</v>
      </c>
      <c r="Z496" s="19" t="s">
        <v>0</v>
      </c>
      <c r="AA496" s="19" t="s">
        <v>0</v>
      </c>
    </row>
    <row r="497" spans="1:27" ht="15">
      <c r="A497" s="10">
        <f t="shared" si="16"/>
        <v>46100149</v>
      </c>
      <c r="B497" s="40" t="s">
        <v>2662</v>
      </c>
      <c r="C497" s="4" t="s">
        <v>63</v>
      </c>
      <c r="D497" s="11">
        <f>IFERROR(VLOOKUP(C497,ShipShapeEnum!$E:$F,2,FALSE),"-")</f>
        <v>2</v>
      </c>
      <c r="E497" s="19" t="s">
        <v>2666</v>
      </c>
      <c r="F497" s="4" t="s">
        <v>65</v>
      </c>
      <c r="G497" s="11">
        <f>IFERROR(VLOOKUP(F497,ShipShapeEnum!$B:$C,2,FALSE),"-")</f>
        <v>2</v>
      </c>
      <c r="H497" s="19" t="s">
        <v>459</v>
      </c>
      <c r="I497" s="19" t="s">
        <v>0</v>
      </c>
      <c r="J497" s="19" t="s">
        <v>0</v>
      </c>
      <c r="K497" s="19" t="s">
        <v>0</v>
      </c>
      <c r="L497" s="19" t="s">
        <v>0</v>
      </c>
      <c r="M497" s="4" t="s">
        <v>81</v>
      </c>
      <c r="N497" s="11">
        <f>IFERROR(VLOOKUP(M497,ShipShapeEnum!$H:$I,2,FALSE),"-")</f>
        <v>1</v>
      </c>
      <c r="O497" s="11" t="s">
        <v>2688</v>
      </c>
      <c r="P497" s="30"/>
      <c r="Q497" s="11" t="str">
        <f>IFERROR(INDEX(SailPattern!$A:$A,MATCH(P497,SailPattern!$B:$B,0)),"-")</f>
        <v>-</v>
      </c>
      <c r="R497" s="30"/>
      <c r="S497" s="11" t="str">
        <f>IFERROR(INDEX(SailCrest!$A:$A,MATCH(R497,SailCrest!$B:$B,0)),"-")</f>
        <v>-</v>
      </c>
      <c r="T497" s="19" t="s">
        <v>0</v>
      </c>
      <c r="U497" s="19" t="s">
        <v>0</v>
      </c>
      <c r="V497" s="19" t="s">
        <v>0</v>
      </c>
      <c r="W497" s="19" t="s">
        <v>0</v>
      </c>
      <c r="X497" s="19" t="s">
        <v>0</v>
      </c>
      <c r="Y497" s="19" t="s">
        <v>0</v>
      </c>
      <c r="Z497" s="19" t="s">
        <v>0</v>
      </c>
      <c r="AA497" s="19" t="s">
        <v>0</v>
      </c>
    </row>
    <row r="498" spans="1:27" ht="15">
      <c r="A498" s="10">
        <f t="shared" si="16"/>
        <v>46100150</v>
      </c>
      <c r="B498" s="40" t="s">
        <v>2673</v>
      </c>
      <c r="C498" s="4" t="s">
        <v>63</v>
      </c>
      <c r="D498" s="11">
        <f>IFERROR(VLOOKUP(C498,ShipShapeEnum!$E:$F,2,FALSE),"-")</f>
        <v>2</v>
      </c>
      <c r="E498" s="19" t="s">
        <v>2676</v>
      </c>
      <c r="F498" s="4" t="s">
        <v>65</v>
      </c>
      <c r="G498" s="11">
        <f>IFERROR(VLOOKUP(F498,ShipShapeEnum!$B:$C,2,FALSE),"-")</f>
        <v>2</v>
      </c>
      <c r="H498" s="19" t="s">
        <v>459</v>
      </c>
      <c r="I498" s="19" t="s">
        <v>0</v>
      </c>
      <c r="J498" s="19" t="s">
        <v>0</v>
      </c>
      <c r="K498" s="19" t="s">
        <v>0</v>
      </c>
      <c r="L498" s="19" t="s">
        <v>0</v>
      </c>
      <c r="M498" s="4" t="s">
        <v>81</v>
      </c>
      <c r="N498" s="11">
        <f>IFERROR(VLOOKUP(M498,ShipShapeEnum!$H:$I,2,FALSE),"-")</f>
        <v>1</v>
      </c>
      <c r="O498" s="11" t="s">
        <v>2688</v>
      </c>
      <c r="P498" s="30"/>
      <c r="Q498" s="11" t="str">
        <f>IFERROR(INDEX(SailPattern!$A:$A,MATCH(P498,SailPattern!$B:$B,0)),"-")</f>
        <v>-</v>
      </c>
      <c r="R498" s="30"/>
      <c r="S498" s="11" t="str">
        <f>IFERROR(INDEX(SailCrest!$A:$A,MATCH(R498,SailCrest!$B:$B,0)),"-")</f>
        <v>-</v>
      </c>
      <c r="T498" s="19" t="s">
        <v>0</v>
      </c>
      <c r="U498" s="19" t="s">
        <v>0</v>
      </c>
      <c r="V498" s="19" t="s">
        <v>0</v>
      </c>
      <c r="W498" s="19" t="s">
        <v>0</v>
      </c>
      <c r="X498" s="19" t="s">
        <v>0</v>
      </c>
      <c r="Y498" s="19" t="s">
        <v>0</v>
      </c>
      <c r="Z498" s="19" t="s">
        <v>0</v>
      </c>
      <c r="AA498" s="19" t="s">
        <v>0</v>
      </c>
    </row>
    <row r="499" spans="1:27" ht="15">
      <c r="A499" s="10">
        <f t="shared" si="16"/>
        <v>46100151</v>
      </c>
      <c r="B499" s="40" t="s">
        <v>2674</v>
      </c>
      <c r="C499" s="4" t="s">
        <v>63</v>
      </c>
      <c r="D499" s="11">
        <f>IFERROR(VLOOKUP(C499,ShipShapeEnum!$E:$F,2,FALSE),"-")</f>
        <v>2</v>
      </c>
      <c r="E499" s="19" t="s">
        <v>2677</v>
      </c>
      <c r="F499" s="4" t="s">
        <v>65</v>
      </c>
      <c r="G499" s="11">
        <f>IFERROR(VLOOKUP(F499,ShipShapeEnum!$B:$C,2,FALSE),"-")</f>
        <v>2</v>
      </c>
      <c r="H499" s="19" t="s">
        <v>459</v>
      </c>
      <c r="I499" s="19" t="s">
        <v>0</v>
      </c>
      <c r="J499" s="19" t="s">
        <v>0</v>
      </c>
      <c r="K499" s="19" t="s">
        <v>0</v>
      </c>
      <c r="L499" s="19" t="s">
        <v>0</v>
      </c>
      <c r="M499" s="4" t="s">
        <v>81</v>
      </c>
      <c r="N499" s="11">
        <f>IFERROR(VLOOKUP(M499,ShipShapeEnum!$H:$I,2,FALSE),"-")</f>
        <v>1</v>
      </c>
      <c r="O499" s="11" t="s">
        <v>2688</v>
      </c>
      <c r="P499" s="30"/>
      <c r="Q499" s="11" t="str">
        <f>IFERROR(INDEX(SailPattern!$A:$A,MATCH(P499,SailPattern!$B:$B,0)),"-")</f>
        <v>-</v>
      </c>
      <c r="R499" s="30"/>
      <c r="S499" s="11" t="str">
        <f>IFERROR(INDEX(SailCrest!$A:$A,MATCH(R499,SailCrest!$B:$B,0)),"-")</f>
        <v>-</v>
      </c>
      <c r="T499" s="19" t="s">
        <v>0</v>
      </c>
      <c r="U499" s="19" t="s">
        <v>0</v>
      </c>
      <c r="V499" s="19" t="s">
        <v>0</v>
      </c>
      <c r="W499" s="19" t="s">
        <v>0</v>
      </c>
      <c r="X499" s="19" t="s">
        <v>0</v>
      </c>
      <c r="Y499" s="19" t="s">
        <v>0</v>
      </c>
      <c r="Z499" s="19" t="s">
        <v>0</v>
      </c>
      <c r="AA499" s="19" t="s">
        <v>0</v>
      </c>
    </row>
    <row r="500" spans="1:27" ht="15">
      <c r="A500" s="10">
        <f t="shared" si="16"/>
        <v>46100152</v>
      </c>
      <c r="B500" s="40" t="s">
        <v>2675</v>
      </c>
      <c r="C500" s="4" t="s">
        <v>63</v>
      </c>
      <c r="D500" s="11">
        <f>IFERROR(VLOOKUP(C500,ShipShapeEnum!$E:$F,2,FALSE),"-")</f>
        <v>2</v>
      </c>
      <c r="E500" s="19" t="s">
        <v>2678</v>
      </c>
      <c r="F500" s="4" t="s">
        <v>65</v>
      </c>
      <c r="G500" s="11">
        <f>IFERROR(VLOOKUP(F500,ShipShapeEnum!$B:$C,2,FALSE),"-")</f>
        <v>2</v>
      </c>
      <c r="H500" s="19" t="s">
        <v>459</v>
      </c>
      <c r="I500" s="19" t="s">
        <v>0</v>
      </c>
      <c r="J500" s="19" t="s">
        <v>0</v>
      </c>
      <c r="K500" s="19" t="s">
        <v>0</v>
      </c>
      <c r="L500" s="19" t="s">
        <v>0</v>
      </c>
      <c r="M500" s="4" t="s">
        <v>81</v>
      </c>
      <c r="N500" s="11">
        <f>IFERROR(VLOOKUP(M500,ShipShapeEnum!$H:$I,2,FALSE),"-")</f>
        <v>1</v>
      </c>
      <c r="O500" s="11" t="s">
        <v>2688</v>
      </c>
      <c r="P500" s="30"/>
      <c r="Q500" s="11" t="str">
        <f>IFERROR(INDEX(SailPattern!$A:$A,MATCH(P500,SailPattern!$B:$B,0)),"-")</f>
        <v>-</v>
      </c>
      <c r="R500" s="30"/>
      <c r="S500" s="11" t="str">
        <f>IFERROR(INDEX(SailCrest!$A:$A,MATCH(R500,SailCrest!$B:$B,0)),"-")</f>
        <v>-</v>
      </c>
      <c r="T500" s="19" t="s">
        <v>0</v>
      </c>
      <c r="U500" s="19" t="s">
        <v>0</v>
      </c>
      <c r="V500" s="19" t="s">
        <v>0</v>
      </c>
      <c r="W500" s="19" t="s">
        <v>0</v>
      </c>
      <c r="X500" s="19" t="s">
        <v>0</v>
      </c>
      <c r="Y500" s="19" t="s">
        <v>0</v>
      </c>
      <c r="Z500" s="19" t="s">
        <v>0</v>
      </c>
      <c r="AA500" s="19" t="s">
        <v>0</v>
      </c>
    </row>
    <row r="501" spans="1:27" ht="15">
      <c r="A501" s="10">
        <f t="shared" si="16"/>
        <v>46100153</v>
      </c>
      <c r="B501" s="40" t="s">
        <v>2709</v>
      </c>
      <c r="C501" s="4" t="s">
        <v>63</v>
      </c>
      <c r="D501" s="11">
        <f>IFERROR(VLOOKUP(C501,ShipShapeEnum!$E:$F,2,FALSE),"-")</f>
        <v>2</v>
      </c>
      <c r="E501" s="19" t="s">
        <v>2710</v>
      </c>
      <c r="F501" s="4" t="s">
        <v>65</v>
      </c>
      <c r="G501" s="11">
        <f>IFERROR(VLOOKUP(F501,ShipShapeEnum!$B:$C,2,FALSE),"-")</f>
        <v>2</v>
      </c>
      <c r="H501" s="19" t="s">
        <v>459</v>
      </c>
      <c r="I501" s="19" t="s">
        <v>0</v>
      </c>
      <c r="J501" s="19" t="s">
        <v>0</v>
      </c>
      <c r="K501" s="19" t="s">
        <v>0</v>
      </c>
      <c r="L501" s="19" t="s">
        <v>0</v>
      </c>
      <c r="M501" s="4" t="s">
        <v>81</v>
      </c>
      <c r="N501" s="11">
        <f>IFERROR(VLOOKUP(M501,ShipShapeEnum!$H:$I,2,FALSE),"-")</f>
        <v>1</v>
      </c>
      <c r="O501" s="11" t="s">
        <v>0</v>
      </c>
      <c r="P501" s="30"/>
      <c r="Q501" s="11" t="str">
        <f>IFERROR(INDEX(SailPattern!$A:$A,MATCH(P501,SailPattern!$B:$B,0)),"-")</f>
        <v>-</v>
      </c>
      <c r="R501" s="30"/>
      <c r="S501" s="11" t="str">
        <f>IFERROR(INDEX(SailCrest!$A:$A,MATCH(R501,SailCrest!$B:$B,0)),"-")</f>
        <v>-</v>
      </c>
      <c r="T501" s="19" t="s">
        <v>0</v>
      </c>
      <c r="U501" s="19" t="s">
        <v>0</v>
      </c>
      <c r="V501" s="19" t="s">
        <v>0</v>
      </c>
      <c r="W501" s="19" t="s">
        <v>0</v>
      </c>
      <c r="X501" s="19" t="s">
        <v>0</v>
      </c>
      <c r="Y501" s="19" t="s">
        <v>0</v>
      </c>
      <c r="Z501" s="19" t="s">
        <v>0</v>
      </c>
      <c r="AA501" s="19" t="s">
        <v>0</v>
      </c>
    </row>
    <row r="502" spans="1:27" ht="15">
      <c r="A502" s="10">
        <f t="shared" si="16"/>
        <v>46100154</v>
      </c>
      <c r="B502" s="40" t="s">
        <v>2768</v>
      </c>
      <c r="C502" s="4" t="s">
        <v>63</v>
      </c>
      <c r="D502" s="11">
        <f>IFERROR(VLOOKUP(C502,ShipShapeEnum!$E:$F,2,FALSE),"-")</f>
        <v>2</v>
      </c>
      <c r="E502" s="19" t="s">
        <v>2767</v>
      </c>
      <c r="F502" s="4" t="s">
        <v>65</v>
      </c>
      <c r="G502" s="11">
        <f>IFERROR(VLOOKUP(F502,ShipShapeEnum!$B:$C,2,FALSE),"-")</f>
        <v>2</v>
      </c>
      <c r="H502" s="19" t="s">
        <v>460</v>
      </c>
      <c r="I502" s="19" t="s">
        <v>0</v>
      </c>
      <c r="J502" s="19" t="s">
        <v>0</v>
      </c>
      <c r="K502" s="19" t="s">
        <v>0</v>
      </c>
      <c r="L502" s="19" t="s">
        <v>0</v>
      </c>
      <c r="M502" s="4" t="s">
        <v>81</v>
      </c>
      <c r="N502" s="11">
        <f>IFERROR(VLOOKUP(M502,ShipShapeEnum!$H:$I,2,FALSE),"-")</f>
        <v>1</v>
      </c>
      <c r="O502" s="11" t="s">
        <v>0</v>
      </c>
      <c r="P502" s="30"/>
      <c r="Q502" s="11" t="str">
        <f>IFERROR(INDEX(SailPattern!$A:$A,MATCH(P502,SailPattern!$B:$B,0)),"-")</f>
        <v>-</v>
      </c>
      <c r="R502" s="30"/>
      <c r="S502" s="11" t="str">
        <f>IFERROR(INDEX(SailCrest!$A:$A,MATCH(R502,SailCrest!$B:$B,0)),"-")</f>
        <v>-</v>
      </c>
      <c r="T502" s="19" t="s">
        <v>0</v>
      </c>
      <c r="U502" s="19" t="s">
        <v>0</v>
      </c>
      <c r="V502" s="19" t="s">
        <v>0</v>
      </c>
      <c r="W502" s="19" t="s">
        <v>0</v>
      </c>
      <c r="X502" s="19" t="s">
        <v>0</v>
      </c>
      <c r="Y502" s="19" t="s">
        <v>0</v>
      </c>
      <c r="Z502" s="19" t="s">
        <v>0</v>
      </c>
      <c r="AA502" s="19" t="s">
        <v>0</v>
      </c>
    </row>
    <row r="503" spans="1:27" ht="15">
      <c r="A503" s="10">
        <f t="shared" si="16"/>
        <v>46100155</v>
      </c>
      <c r="B503" s="40" t="s">
        <v>2827</v>
      </c>
      <c r="C503" s="4" t="s">
        <v>63</v>
      </c>
      <c r="D503" s="11">
        <f>IFERROR(VLOOKUP(C503,ShipShapeEnum!$E:$F,2,FALSE),"-")</f>
        <v>2</v>
      </c>
      <c r="E503" s="19" t="s">
        <v>2828</v>
      </c>
      <c r="F503" s="4" t="s">
        <v>65</v>
      </c>
      <c r="G503" s="11">
        <f>IFERROR(VLOOKUP(F503,ShipShapeEnum!$B:$C,2,FALSE),"-")</f>
        <v>2</v>
      </c>
      <c r="H503" s="19" t="s">
        <v>460</v>
      </c>
      <c r="I503" s="19" t="s">
        <v>0</v>
      </c>
      <c r="J503" s="19" t="s">
        <v>0</v>
      </c>
      <c r="K503" s="19" t="s">
        <v>0</v>
      </c>
      <c r="L503" s="19" t="s">
        <v>0</v>
      </c>
      <c r="M503" s="4" t="s">
        <v>81</v>
      </c>
      <c r="N503" s="11">
        <f>IFERROR(VLOOKUP(M503,ShipShapeEnum!$H:$I,2,FALSE),"-")</f>
        <v>1</v>
      </c>
      <c r="O503" s="11" t="s">
        <v>0</v>
      </c>
      <c r="P503" s="30"/>
      <c r="Q503" s="11" t="str">
        <f>IFERROR(INDEX(SailPattern!$A:$A,MATCH(P503,SailPattern!$B:$B,0)),"-")</f>
        <v>-</v>
      </c>
      <c r="R503" s="30"/>
      <c r="S503" s="11" t="str">
        <f>IFERROR(INDEX(SailCrest!$A:$A,MATCH(R503,SailCrest!$B:$B,0)),"-")</f>
        <v>-</v>
      </c>
      <c r="T503" s="19" t="s">
        <v>0</v>
      </c>
      <c r="U503" s="19" t="s">
        <v>0</v>
      </c>
      <c r="V503" s="19" t="s">
        <v>0</v>
      </c>
      <c r="W503" s="19" t="s">
        <v>0</v>
      </c>
      <c r="X503" s="19" t="s">
        <v>0</v>
      </c>
      <c r="Y503" s="19" t="s">
        <v>0</v>
      </c>
      <c r="Z503" s="19" t="s">
        <v>0</v>
      </c>
      <c r="AA503" s="19" t="s">
        <v>0</v>
      </c>
    </row>
    <row r="504" spans="1:27" ht="15">
      <c r="A504" s="10">
        <f t="shared" si="16"/>
        <v>46100156</v>
      </c>
      <c r="B504" s="40" t="s">
        <v>2930</v>
      </c>
      <c r="C504" s="4" t="s">
        <v>63</v>
      </c>
      <c r="D504" s="11">
        <f>IFERROR(VLOOKUP(C504,ShipShapeEnum!$E:$F,2,FALSE),"-")</f>
        <v>2</v>
      </c>
      <c r="E504" s="19" t="s">
        <v>2929</v>
      </c>
      <c r="F504" s="4" t="s">
        <v>65</v>
      </c>
      <c r="G504" s="11">
        <f>IFERROR(VLOOKUP(F504,ShipShapeEnum!$B:$C,2,FALSE),"-")</f>
        <v>2</v>
      </c>
      <c r="H504" s="19" t="s">
        <v>2920</v>
      </c>
      <c r="I504" s="19" t="s">
        <v>0</v>
      </c>
      <c r="J504" s="19" t="s">
        <v>0</v>
      </c>
      <c r="K504" s="19" t="s">
        <v>0</v>
      </c>
      <c r="L504" s="19" t="s">
        <v>0</v>
      </c>
      <c r="M504" s="4" t="s">
        <v>81</v>
      </c>
      <c r="N504" s="11">
        <f>IFERROR(VLOOKUP(M504,ShipShapeEnum!$H:$I,2,FALSE),"-")</f>
        <v>1</v>
      </c>
      <c r="O504" s="11" t="s">
        <v>0</v>
      </c>
      <c r="P504" s="30"/>
      <c r="Q504" s="11" t="str">
        <f>IFERROR(INDEX(SailPattern!$A:$A,MATCH(P504,SailPattern!$B:$B,0)),"-")</f>
        <v>-</v>
      </c>
      <c r="R504" s="30"/>
      <c r="S504" s="11" t="str">
        <f>IFERROR(INDEX(SailCrest!$A:$A,MATCH(R504,SailCrest!$B:$B,0)),"-")</f>
        <v>-</v>
      </c>
      <c r="T504" s="19" t="s">
        <v>0</v>
      </c>
      <c r="U504" s="19" t="s">
        <v>0</v>
      </c>
      <c r="V504" s="19" t="s">
        <v>0</v>
      </c>
      <c r="W504" s="19" t="s">
        <v>0</v>
      </c>
      <c r="X504" s="19" t="s">
        <v>0</v>
      </c>
      <c r="Y504" s="19" t="s">
        <v>0</v>
      </c>
      <c r="Z504" s="19" t="s">
        <v>0</v>
      </c>
      <c r="AA504" s="19" t="s">
        <v>0</v>
      </c>
    </row>
    <row r="505" spans="1:27" ht="15">
      <c r="A505" s="10">
        <f t="shared" si="16"/>
        <v>46100157</v>
      </c>
      <c r="B505" s="40" t="s">
        <v>2924</v>
      </c>
      <c r="C505" s="4" t="s">
        <v>63</v>
      </c>
      <c r="D505" s="11">
        <f>IFERROR(VLOOKUP(C505,ShipShapeEnum!$E:$F,2,FALSE),"-")</f>
        <v>2</v>
      </c>
      <c r="E505" s="19" t="s">
        <v>2944</v>
      </c>
      <c r="F505" s="4" t="s">
        <v>65</v>
      </c>
      <c r="G505" s="11">
        <f>IFERROR(VLOOKUP(F505,ShipShapeEnum!$B:$C,2,FALSE),"-")</f>
        <v>2</v>
      </c>
      <c r="H505" s="19" t="s">
        <v>459</v>
      </c>
      <c r="I505" s="19" t="s">
        <v>0</v>
      </c>
      <c r="J505" s="19" t="s">
        <v>0</v>
      </c>
      <c r="K505" s="19" t="s">
        <v>0</v>
      </c>
      <c r="L505" s="19" t="s">
        <v>0</v>
      </c>
      <c r="M505" s="4" t="s">
        <v>81</v>
      </c>
      <c r="N505" s="11">
        <f>IFERROR(VLOOKUP(M505,ShipShapeEnum!$H:$I,2,FALSE),"-")</f>
        <v>1</v>
      </c>
      <c r="O505" s="11" t="s">
        <v>0</v>
      </c>
      <c r="P505" s="30"/>
      <c r="Q505" s="11" t="str">
        <f>IFERROR(INDEX(SailPattern!$A:$A,MATCH(P505,SailPattern!$B:$B,0)),"-")</f>
        <v>-</v>
      </c>
      <c r="R505" s="30"/>
      <c r="S505" s="11" t="str">
        <f>IFERROR(INDEX(SailCrest!$A:$A,MATCH(R505,SailCrest!$B:$B,0)),"-")</f>
        <v>-</v>
      </c>
      <c r="T505" s="19" t="s">
        <v>0</v>
      </c>
      <c r="U505" s="19" t="s">
        <v>0</v>
      </c>
      <c r="V505" s="19" t="s">
        <v>0</v>
      </c>
      <c r="W505" s="19" t="s">
        <v>0</v>
      </c>
      <c r="X505" s="19" t="s">
        <v>0</v>
      </c>
      <c r="Y505" s="19" t="s">
        <v>0</v>
      </c>
      <c r="Z505" s="19" t="s">
        <v>0</v>
      </c>
      <c r="AA505" s="19" t="s">
        <v>0</v>
      </c>
    </row>
    <row r="506" spans="1:27" ht="15">
      <c r="A506" s="10">
        <f t="shared" si="16"/>
        <v>46100158</v>
      </c>
      <c r="B506" s="40" t="s">
        <v>2974</v>
      </c>
      <c r="C506" s="4" t="s">
        <v>63</v>
      </c>
      <c r="D506" s="11">
        <f>IFERROR(VLOOKUP(C506,ShipShapeEnum!$E:$F,2,FALSE),"-")</f>
        <v>2</v>
      </c>
      <c r="E506" s="19" t="s">
        <v>2975</v>
      </c>
      <c r="F506" s="4" t="s">
        <v>65</v>
      </c>
      <c r="G506" s="11">
        <f>IFERROR(VLOOKUP(F506,ShipShapeEnum!$B:$C,2,FALSE),"-")</f>
        <v>2</v>
      </c>
      <c r="H506" s="19" t="s">
        <v>459</v>
      </c>
      <c r="I506" s="19" t="s">
        <v>0</v>
      </c>
      <c r="J506" s="19" t="s">
        <v>0</v>
      </c>
      <c r="K506" s="19" t="s">
        <v>0</v>
      </c>
      <c r="L506" s="19" t="s">
        <v>0</v>
      </c>
      <c r="M506" s="4" t="s">
        <v>81</v>
      </c>
      <c r="N506" s="11">
        <f>IFERROR(VLOOKUP(M506,ShipShapeEnum!$H:$I,2,FALSE),"-")</f>
        <v>1</v>
      </c>
      <c r="O506" s="11" t="s">
        <v>0</v>
      </c>
      <c r="P506" s="30"/>
      <c r="Q506" s="11" t="str">
        <f>IFERROR(INDEX(SailPattern!$A:$A,MATCH(P506,SailPattern!$B:$B,0)),"-")</f>
        <v>-</v>
      </c>
      <c r="R506" s="30"/>
      <c r="S506" s="11" t="str">
        <f>IFERROR(INDEX(SailCrest!$A:$A,MATCH(R506,SailCrest!$B:$B,0)),"-")</f>
        <v>-</v>
      </c>
      <c r="T506" s="19" t="s">
        <v>0</v>
      </c>
      <c r="U506" s="19" t="s">
        <v>0</v>
      </c>
      <c r="V506" s="19" t="s">
        <v>0</v>
      </c>
      <c r="W506" s="19" t="s">
        <v>0</v>
      </c>
      <c r="X506" s="19" t="s">
        <v>0</v>
      </c>
      <c r="Y506" s="19" t="s">
        <v>0</v>
      </c>
      <c r="Z506" s="19" t="s">
        <v>0</v>
      </c>
      <c r="AA506" s="19" t="s">
        <v>0</v>
      </c>
    </row>
    <row r="507" spans="1:27" ht="15">
      <c r="A507" s="10">
        <f t="shared" si="16"/>
        <v>46100159</v>
      </c>
      <c r="B507" s="40" t="s">
        <v>3031</v>
      </c>
      <c r="C507" s="4" t="s">
        <v>63</v>
      </c>
      <c r="D507" s="11">
        <f>IFERROR(VLOOKUP(C507,ShipShapeEnum!$E:$F,2,FALSE),"-")</f>
        <v>2</v>
      </c>
      <c r="E507" s="19" t="s">
        <v>3032</v>
      </c>
      <c r="F507" s="4" t="s">
        <v>65</v>
      </c>
      <c r="G507" s="11">
        <f>IFERROR(VLOOKUP(F507,ShipShapeEnum!$B:$C,2,FALSE),"-")</f>
        <v>2</v>
      </c>
      <c r="H507" s="19" t="s">
        <v>459</v>
      </c>
      <c r="I507" s="19" t="s">
        <v>0</v>
      </c>
      <c r="J507" s="19" t="s">
        <v>0</v>
      </c>
      <c r="K507" s="19" t="s">
        <v>0</v>
      </c>
      <c r="L507" s="19" t="s">
        <v>0</v>
      </c>
      <c r="M507" s="4" t="s">
        <v>81</v>
      </c>
      <c r="N507" s="11">
        <f>IFERROR(VLOOKUP(M507,ShipShapeEnum!$H:$I,2,FALSE),"-")</f>
        <v>1</v>
      </c>
      <c r="O507" s="11" t="s">
        <v>0</v>
      </c>
      <c r="P507" s="30"/>
      <c r="Q507" s="11" t="str">
        <f>IFERROR(INDEX(SailPattern!$A:$A,MATCH(P507,SailPattern!$B:$B,0)),"-")</f>
        <v>-</v>
      </c>
      <c r="R507" s="30"/>
      <c r="S507" s="11" t="str">
        <f>IFERROR(INDEX(SailCrest!$A:$A,MATCH(R507,SailCrest!$B:$B,0)),"-")</f>
        <v>-</v>
      </c>
      <c r="T507" s="19" t="s">
        <v>0</v>
      </c>
      <c r="U507" s="19" t="s">
        <v>0</v>
      </c>
      <c r="V507" s="19" t="s">
        <v>0</v>
      </c>
      <c r="W507" s="19" t="s">
        <v>0</v>
      </c>
      <c r="X507" s="19" t="s">
        <v>0</v>
      </c>
      <c r="Y507" s="19" t="s">
        <v>0</v>
      </c>
      <c r="Z507" s="19" t="s">
        <v>0</v>
      </c>
      <c r="AA507" s="19" t="s">
        <v>0</v>
      </c>
    </row>
    <row r="508" spans="1:27" ht="15">
      <c r="A508" s="10">
        <f t="shared" si="16"/>
        <v>46100160</v>
      </c>
      <c r="B508" s="40" t="s">
        <v>3071</v>
      </c>
      <c r="C508" s="4" t="s">
        <v>63</v>
      </c>
      <c r="D508" s="11">
        <f>IFERROR(VLOOKUP(C508,ShipShapeEnum!$E:$F,2,FALSE),"-")</f>
        <v>2</v>
      </c>
      <c r="E508" s="19" t="s">
        <v>3068</v>
      </c>
      <c r="F508" s="4" t="s">
        <v>65</v>
      </c>
      <c r="G508" s="11">
        <f>IFERROR(VLOOKUP(F508,ShipShapeEnum!$B:$C,2,FALSE),"-")</f>
        <v>2</v>
      </c>
      <c r="H508" s="19" t="s">
        <v>459</v>
      </c>
      <c r="I508" s="19" t="s">
        <v>0</v>
      </c>
      <c r="J508" s="19" t="s">
        <v>0</v>
      </c>
      <c r="K508" s="19" t="s">
        <v>0</v>
      </c>
      <c r="L508" s="19" t="s">
        <v>0</v>
      </c>
      <c r="M508" s="4" t="s">
        <v>81</v>
      </c>
      <c r="N508" s="11">
        <f>IFERROR(VLOOKUP(M508,ShipShapeEnum!$H:$I,2,FALSE),"-")</f>
        <v>1</v>
      </c>
      <c r="O508" s="11" t="s">
        <v>0</v>
      </c>
      <c r="P508" s="30"/>
      <c r="Q508" s="11" t="str">
        <f>IFERROR(INDEX(SailPattern!$A:$A,MATCH(P508,SailPattern!$B:$B,0)),"-")</f>
        <v>-</v>
      </c>
      <c r="R508" s="30"/>
      <c r="S508" s="11" t="str">
        <f>IFERROR(INDEX(SailCrest!$A:$A,MATCH(R508,SailCrest!$B:$B,0)),"-")</f>
        <v>-</v>
      </c>
      <c r="T508" s="19" t="s">
        <v>0</v>
      </c>
      <c r="U508" s="19" t="s">
        <v>0</v>
      </c>
      <c r="V508" s="19" t="s">
        <v>0</v>
      </c>
      <c r="W508" s="19" t="s">
        <v>0</v>
      </c>
      <c r="X508" s="19" t="s">
        <v>0</v>
      </c>
      <c r="Y508" s="19" t="s">
        <v>0</v>
      </c>
      <c r="Z508" s="19" t="s">
        <v>0</v>
      </c>
      <c r="AA508" s="19" t="s">
        <v>0</v>
      </c>
    </row>
    <row r="509" spans="1:27" ht="15">
      <c r="A509" s="10">
        <f t="shared" si="16"/>
        <v>46100161</v>
      </c>
      <c r="B509" s="40" t="s">
        <v>3070</v>
      </c>
      <c r="C509" s="4" t="s">
        <v>63</v>
      </c>
      <c r="D509" s="11">
        <f>IFERROR(VLOOKUP(C509,ShipShapeEnum!$E:$F,2,FALSE),"-")</f>
        <v>2</v>
      </c>
      <c r="E509" s="19" t="s">
        <v>3069</v>
      </c>
      <c r="F509" s="4" t="s">
        <v>65</v>
      </c>
      <c r="G509" s="11">
        <f>IFERROR(VLOOKUP(F509,ShipShapeEnum!$B:$C,2,FALSE),"-")</f>
        <v>2</v>
      </c>
      <c r="H509" s="19" t="s">
        <v>459</v>
      </c>
      <c r="I509" s="19" t="s">
        <v>0</v>
      </c>
      <c r="J509" s="19" t="s">
        <v>0</v>
      </c>
      <c r="K509" s="19" t="s">
        <v>0</v>
      </c>
      <c r="L509" s="19" t="s">
        <v>0</v>
      </c>
      <c r="M509" s="4" t="s">
        <v>81</v>
      </c>
      <c r="N509" s="11">
        <f>IFERROR(VLOOKUP(M509,ShipShapeEnum!$H:$I,2,FALSE),"-")</f>
        <v>1</v>
      </c>
      <c r="O509" s="11" t="s">
        <v>0</v>
      </c>
      <c r="P509" s="30"/>
      <c r="Q509" s="11" t="str">
        <f>IFERROR(INDEX(SailPattern!$A:$A,MATCH(P509,SailPattern!$B:$B,0)),"-")</f>
        <v>-</v>
      </c>
      <c r="R509" s="30"/>
      <c r="S509" s="11" t="str">
        <f>IFERROR(INDEX(SailCrest!$A:$A,MATCH(R509,SailCrest!$B:$B,0)),"-")</f>
        <v>-</v>
      </c>
      <c r="T509" s="19" t="s">
        <v>0</v>
      </c>
      <c r="U509" s="19" t="s">
        <v>0</v>
      </c>
      <c r="V509" s="19" t="s">
        <v>0</v>
      </c>
      <c r="W509" s="19" t="s">
        <v>0</v>
      </c>
      <c r="X509" s="19" t="s">
        <v>0</v>
      </c>
      <c r="Y509" s="19" t="s">
        <v>0</v>
      </c>
      <c r="Z509" s="19" t="s">
        <v>0</v>
      </c>
      <c r="AA509" s="19" t="s">
        <v>0</v>
      </c>
    </row>
    <row r="510" spans="1:27" ht="15">
      <c r="A510" s="10">
        <f t="shared" si="16"/>
        <v>46100162</v>
      </c>
      <c r="B510" s="40" t="s">
        <v>3096</v>
      </c>
      <c r="C510" s="4" t="s">
        <v>63</v>
      </c>
      <c r="D510" s="11">
        <f>IFERROR(VLOOKUP(C510,ShipShapeEnum!$E:$F,2,FALSE),"-")</f>
        <v>2</v>
      </c>
      <c r="E510" s="19" t="s">
        <v>3094</v>
      </c>
      <c r="F510" s="4" t="s">
        <v>65</v>
      </c>
      <c r="G510" s="11">
        <f>IFERROR(VLOOKUP(F510,ShipShapeEnum!$B:$C,2,FALSE),"-")</f>
        <v>2</v>
      </c>
      <c r="H510" s="19" t="s">
        <v>459</v>
      </c>
      <c r="I510" s="19" t="s">
        <v>0</v>
      </c>
      <c r="J510" s="19" t="s">
        <v>0</v>
      </c>
      <c r="K510" s="19" t="s">
        <v>0</v>
      </c>
      <c r="L510" s="19" t="s">
        <v>0</v>
      </c>
      <c r="M510" s="4" t="s">
        <v>81</v>
      </c>
      <c r="N510" s="11">
        <f>IFERROR(VLOOKUP(M510,ShipShapeEnum!$H:$I,2,FALSE),"-")</f>
        <v>1</v>
      </c>
      <c r="O510" s="11" t="s">
        <v>0</v>
      </c>
      <c r="P510" s="30"/>
      <c r="Q510" s="11" t="str">
        <f>IFERROR(INDEX(SailPattern!$A:$A,MATCH(P510,SailPattern!$B:$B,0)),"-")</f>
        <v>-</v>
      </c>
      <c r="R510" s="30"/>
      <c r="S510" s="11" t="str">
        <f>IFERROR(INDEX(SailCrest!$A:$A,MATCH(R510,SailCrest!$B:$B,0)),"-")</f>
        <v>-</v>
      </c>
      <c r="T510" s="19" t="s">
        <v>0</v>
      </c>
      <c r="U510" s="19" t="s">
        <v>0</v>
      </c>
      <c r="V510" s="19" t="s">
        <v>0</v>
      </c>
      <c r="W510" s="19" t="s">
        <v>0</v>
      </c>
      <c r="X510" s="19" t="s">
        <v>0</v>
      </c>
      <c r="Y510" s="19" t="s">
        <v>0</v>
      </c>
      <c r="Z510" s="19" t="s">
        <v>0</v>
      </c>
      <c r="AA510" s="19" t="s">
        <v>0</v>
      </c>
    </row>
    <row r="511" spans="1:27" ht="15">
      <c r="A511" s="10">
        <f>A510+1</f>
        <v>46100163</v>
      </c>
      <c r="B511" s="40" t="s">
        <v>3097</v>
      </c>
      <c r="C511" s="4" t="s">
        <v>63</v>
      </c>
      <c r="D511" s="11">
        <f>IFERROR(VLOOKUP(C511,ShipShapeEnum!$E:$F,2,FALSE),"-")</f>
        <v>2</v>
      </c>
      <c r="E511" s="19" t="s">
        <v>3095</v>
      </c>
      <c r="F511" s="4" t="s">
        <v>65</v>
      </c>
      <c r="G511" s="11">
        <f>IFERROR(VLOOKUP(F511,ShipShapeEnum!$B:$C,2,FALSE),"-")</f>
        <v>2</v>
      </c>
      <c r="H511" s="19" t="s">
        <v>459</v>
      </c>
      <c r="I511" s="19" t="s">
        <v>0</v>
      </c>
      <c r="J511" s="19" t="s">
        <v>0</v>
      </c>
      <c r="K511" s="19" t="s">
        <v>0</v>
      </c>
      <c r="L511" s="19" t="s">
        <v>0</v>
      </c>
      <c r="M511" s="4" t="s">
        <v>81</v>
      </c>
      <c r="N511" s="11">
        <f>IFERROR(VLOOKUP(M511,ShipShapeEnum!$H:$I,2,FALSE),"-")</f>
        <v>1</v>
      </c>
      <c r="O511" s="11" t="s">
        <v>0</v>
      </c>
      <c r="P511" s="30"/>
      <c r="Q511" s="11" t="str">
        <f>IFERROR(INDEX(SailPattern!$A:$A,MATCH(P511,SailPattern!$B:$B,0)),"-")</f>
        <v>-</v>
      </c>
      <c r="R511" s="30"/>
      <c r="S511" s="11" t="str">
        <f>IFERROR(INDEX(SailCrest!$A:$A,MATCH(R511,SailCrest!$B:$B,0)),"-")</f>
        <v>-</v>
      </c>
      <c r="T511" s="19" t="s">
        <v>0</v>
      </c>
      <c r="U511" s="19" t="s">
        <v>0</v>
      </c>
      <c r="V511" s="19" t="s">
        <v>0</v>
      </c>
      <c r="W511" s="19" t="s">
        <v>0</v>
      </c>
      <c r="X511" s="19" t="s">
        <v>0</v>
      </c>
      <c r="Y511" s="19" t="s">
        <v>0</v>
      </c>
      <c r="Z511" s="19" t="s">
        <v>0</v>
      </c>
      <c r="AA511" s="19" t="s">
        <v>0</v>
      </c>
    </row>
    <row r="512" spans="1:27" ht="15">
      <c r="A512" s="10">
        <f t="shared" si="16"/>
        <v>46100164</v>
      </c>
      <c r="B512" s="40" t="s">
        <v>3174</v>
      </c>
      <c r="C512" s="4" t="s">
        <v>63</v>
      </c>
      <c r="D512" s="11">
        <f>IFERROR(VLOOKUP(C512,ShipShapeEnum!$E:$F,2,FALSE),"-")</f>
        <v>2</v>
      </c>
      <c r="E512" s="19" t="s">
        <v>3176</v>
      </c>
      <c r="F512" s="4" t="s">
        <v>65</v>
      </c>
      <c r="G512" s="11">
        <f>IFERROR(VLOOKUP(F512,ShipShapeEnum!$B:$C,2,FALSE),"-")</f>
        <v>2</v>
      </c>
      <c r="H512" s="19" t="s">
        <v>459</v>
      </c>
      <c r="I512" s="19" t="s">
        <v>0</v>
      </c>
      <c r="J512" s="19" t="s">
        <v>0</v>
      </c>
      <c r="K512" s="19" t="s">
        <v>0</v>
      </c>
      <c r="L512" s="19" t="s">
        <v>0</v>
      </c>
      <c r="M512" s="4" t="s">
        <v>81</v>
      </c>
      <c r="N512" s="11">
        <f>IFERROR(VLOOKUP(M512,ShipShapeEnum!$H:$I,2,FALSE),"-")</f>
        <v>1</v>
      </c>
      <c r="O512" s="11" t="s">
        <v>0</v>
      </c>
      <c r="P512" s="30"/>
      <c r="Q512" s="11" t="str">
        <f>IFERROR(INDEX(SailPattern!$A:$A,MATCH(P512,SailPattern!$B:$B,0)),"-")</f>
        <v>-</v>
      </c>
      <c r="R512" s="30"/>
      <c r="S512" s="11" t="str">
        <f>IFERROR(INDEX(SailCrest!$A:$A,MATCH(R512,SailCrest!$B:$B,0)),"-")</f>
        <v>-</v>
      </c>
      <c r="T512" s="19" t="s">
        <v>0</v>
      </c>
      <c r="U512" s="19" t="s">
        <v>0</v>
      </c>
      <c r="V512" s="19" t="s">
        <v>0</v>
      </c>
      <c r="W512" s="19" t="s">
        <v>0</v>
      </c>
      <c r="X512" s="19" t="s">
        <v>0</v>
      </c>
      <c r="Y512" s="19" t="s">
        <v>0</v>
      </c>
      <c r="Z512" s="19" t="s">
        <v>0</v>
      </c>
      <c r="AA512" s="19" t="s">
        <v>0</v>
      </c>
    </row>
    <row r="513" spans="1:27" ht="15">
      <c r="A513" s="10">
        <f t="shared" si="16"/>
        <v>46100165</v>
      </c>
      <c r="B513" s="40" t="s">
        <v>3175</v>
      </c>
      <c r="C513" s="4" t="s">
        <v>63</v>
      </c>
      <c r="D513" s="11">
        <f>IFERROR(VLOOKUP(C513,ShipShapeEnum!$E:$F,2,FALSE),"-")</f>
        <v>2</v>
      </c>
      <c r="E513" s="19" t="s">
        <v>3177</v>
      </c>
      <c r="F513" s="4" t="s">
        <v>65</v>
      </c>
      <c r="G513" s="11">
        <f>IFERROR(VLOOKUP(F513,ShipShapeEnum!$B:$C,2,FALSE),"-")</f>
        <v>2</v>
      </c>
      <c r="H513" s="19" t="s">
        <v>459</v>
      </c>
      <c r="I513" s="19" t="s">
        <v>0</v>
      </c>
      <c r="J513" s="19" t="s">
        <v>0</v>
      </c>
      <c r="K513" s="19" t="s">
        <v>0</v>
      </c>
      <c r="L513" s="19" t="s">
        <v>0</v>
      </c>
      <c r="M513" s="4" t="s">
        <v>81</v>
      </c>
      <c r="N513" s="11">
        <f>IFERROR(VLOOKUP(M513,ShipShapeEnum!$H:$I,2,FALSE),"-")</f>
        <v>1</v>
      </c>
      <c r="O513" s="11" t="s">
        <v>0</v>
      </c>
      <c r="P513" s="30"/>
      <c r="Q513" s="11" t="str">
        <f>IFERROR(INDEX(SailPattern!$A:$A,MATCH(P513,SailPattern!$B:$B,0)),"-")</f>
        <v>-</v>
      </c>
      <c r="R513" s="30"/>
      <c r="S513" s="11" t="str">
        <f>IFERROR(INDEX(SailCrest!$A:$A,MATCH(R513,SailCrest!$B:$B,0)),"-")</f>
        <v>-</v>
      </c>
      <c r="T513" s="19" t="s">
        <v>0</v>
      </c>
      <c r="U513" s="19" t="s">
        <v>0</v>
      </c>
      <c r="V513" s="19" t="s">
        <v>0</v>
      </c>
      <c r="W513" s="19" t="s">
        <v>0</v>
      </c>
      <c r="X513" s="19" t="s">
        <v>0</v>
      </c>
      <c r="Y513" s="19" t="s">
        <v>0</v>
      </c>
      <c r="Z513" s="19" t="s">
        <v>0</v>
      </c>
      <c r="AA513" s="19" t="s">
        <v>0</v>
      </c>
    </row>
    <row r="514" spans="1:27" ht="15">
      <c r="A514" s="10">
        <f t="shared" si="16"/>
        <v>46100166</v>
      </c>
      <c r="B514" s="40" t="s">
        <v>3250</v>
      </c>
      <c r="C514" s="4" t="s">
        <v>63</v>
      </c>
      <c r="D514" s="11">
        <f>IFERROR(VLOOKUP(C514,ShipShapeEnum!$E:$F,2,FALSE),"-")</f>
        <v>2</v>
      </c>
      <c r="E514" s="19" t="s">
        <v>3251</v>
      </c>
      <c r="F514" s="4" t="s">
        <v>65</v>
      </c>
      <c r="G514" s="11">
        <f>IFERROR(VLOOKUP(F514,ShipShapeEnum!$B:$C,2,FALSE),"-")</f>
        <v>2</v>
      </c>
      <c r="H514" s="19" t="s">
        <v>459</v>
      </c>
      <c r="I514" s="19" t="s">
        <v>0</v>
      </c>
      <c r="J514" s="19" t="s">
        <v>0</v>
      </c>
      <c r="K514" s="19" t="s">
        <v>0</v>
      </c>
      <c r="L514" s="19" t="s">
        <v>0</v>
      </c>
      <c r="M514" s="4" t="s">
        <v>81</v>
      </c>
      <c r="N514" s="11">
        <f>IFERROR(VLOOKUP(M514,ShipShapeEnum!$H:$I,2,FALSE),"-")</f>
        <v>1</v>
      </c>
      <c r="O514" s="11" t="s">
        <v>0</v>
      </c>
      <c r="P514" s="30"/>
      <c r="Q514" s="11" t="str">
        <f>IFERROR(INDEX(SailPattern!$A:$A,MATCH(P514,SailPattern!$B:$B,0)),"-")</f>
        <v>-</v>
      </c>
      <c r="R514" s="30"/>
      <c r="S514" s="11" t="str">
        <f>IFERROR(INDEX(SailCrest!$A:$A,MATCH(R514,SailCrest!$B:$B,0)),"-")</f>
        <v>-</v>
      </c>
      <c r="T514" s="19" t="s">
        <v>0</v>
      </c>
      <c r="U514" s="19" t="s">
        <v>0</v>
      </c>
      <c r="V514" s="19" t="s">
        <v>0</v>
      </c>
      <c r="W514" s="19" t="s">
        <v>0</v>
      </c>
      <c r="X514" s="19" t="s">
        <v>0</v>
      </c>
      <c r="Y514" s="19" t="s">
        <v>0</v>
      </c>
      <c r="Z514" s="19" t="s">
        <v>0</v>
      </c>
      <c r="AA514" s="19" t="s">
        <v>0</v>
      </c>
    </row>
    <row r="515" spans="1:27" ht="15">
      <c r="A515" s="10">
        <f t="shared" si="16"/>
        <v>46100167</v>
      </c>
      <c r="B515" s="40" t="s">
        <v>3254</v>
      </c>
      <c r="C515" s="4" t="s">
        <v>63</v>
      </c>
      <c r="D515" s="11">
        <f>IFERROR(VLOOKUP(C515,ShipShapeEnum!$E:$F,2,FALSE),"-")</f>
        <v>2</v>
      </c>
      <c r="E515" s="19" t="s">
        <v>3259</v>
      </c>
      <c r="F515" s="4" t="s">
        <v>65</v>
      </c>
      <c r="G515" s="11">
        <f>IFERROR(VLOOKUP(F515,ShipShapeEnum!$B:$C,2,FALSE),"-")</f>
        <v>2</v>
      </c>
      <c r="H515" s="19" t="s">
        <v>459</v>
      </c>
      <c r="I515" s="19" t="s">
        <v>0</v>
      </c>
      <c r="J515" s="19" t="s">
        <v>0</v>
      </c>
      <c r="K515" s="19" t="s">
        <v>0</v>
      </c>
      <c r="L515" s="19" t="s">
        <v>0</v>
      </c>
      <c r="M515" s="4" t="s">
        <v>81</v>
      </c>
      <c r="N515" s="11">
        <f>IFERROR(VLOOKUP(M515,ShipShapeEnum!$H:$I,2,FALSE),"-")</f>
        <v>1</v>
      </c>
      <c r="O515" s="11" t="s">
        <v>0</v>
      </c>
      <c r="P515" s="30"/>
      <c r="Q515" s="11" t="str">
        <f>IFERROR(INDEX(SailPattern!$A:$A,MATCH(P515,SailPattern!$B:$B,0)),"-")</f>
        <v>-</v>
      </c>
      <c r="R515" s="30"/>
      <c r="S515" s="11" t="str">
        <f>IFERROR(INDEX(SailCrest!$A:$A,MATCH(R515,SailCrest!$B:$B,0)),"-")</f>
        <v>-</v>
      </c>
      <c r="T515" s="19" t="s">
        <v>0</v>
      </c>
      <c r="U515" s="19" t="s">
        <v>0</v>
      </c>
      <c r="V515" s="19" t="s">
        <v>0</v>
      </c>
      <c r="W515" s="19" t="s">
        <v>0</v>
      </c>
      <c r="X515" s="19" t="s">
        <v>0</v>
      </c>
      <c r="Y515" s="19" t="s">
        <v>0</v>
      </c>
      <c r="Z515" s="19" t="s">
        <v>0</v>
      </c>
      <c r="AA515" s="19" t="s">
        <v>0</v>
      </c>
    </row>
    <row r="516" spans="1:27" ht="15">
      <c r="A516" s="10">
        <f t="shared" si="16"/>
        <v>46100168</v>
      </c>
      <c r="B516" s="40" t="s">
        <v>3255</v>
      </c>
      <c r="C516" s="4" t="s">
        <v>63</v>
      </c>
      <c r="D516" s="11">
        <f>IFERROR(VLOOKUP(C516,ShipShapeEnum!$E:$F,2,FALSE),"-")</f>
        <v>2</v>
      </c>
      <c r="E516" s="19" t="s">
        <v>3261</v>
      </c>
      <c r="F516" s="4" t="s">
        <v>65</v>
      </c>
      <c r="G516" s="11">
        <f>IFERROR(VLOOKUP(F516,ShipShapeEnum!$B:$C,2,FALSE),"-")</f>
        <v>2</v>
      </c>
      <c r="H516" s="19" t="s">
        <v>459</v>
      </c>
      <c r="I516" s="19" t="s">
        <v>0</v>
      </c>
      <c r="J516" s="19" t="s">
        <v>0</v>
      </c>
      <c r="K516" s="19" t="s">
        <v>0</v>
      </c>
      <c r="L516" s="19" t="s">
        <v>0</v>
      </c>
      <c r="M516" s="4" t="s">
        <v>81</v>
      </c>
      <c r="N516" s="11">
        <f>IFERROR(VLOOKUP(M516,ShipShapeEnum!$H:$I,2,FALSE),"-")</f>
        <v>1</v>
      </c>
      <c r="O516" s="11" t="s">
        <v>0</v>
      </c>
      <c r="P516" s="30"/>
      <c r="Q516" s="11" t="str">
        <f>IFERROR(INDEX(SailPattern!$A:$A,MATCH(P516,SailPattern!$B:$B,0)),"-")</f>
        <v>-</v>
      </c>
      <c r="R516" s="30"/>
      <c r="S516" s="11" t="str">
        <f>IFERROR(INDEX(SailCrest!$A:$A,MATCH(R516,SailCrest!$B:$B,0)),"-")</f>
        <v>-</v>
      </c>
      <c r="T516" s="19" t="s">
        <v>0</v>
      </c>
      <c r="U516" s="19" t="s">
        <v>0</v>
      </c>
      <c r="V516" s="19" t="s">
        <v>0</v>
      </c>
      <c r="W516" s="19" t="s">
        <v>0</v>
      </c>
      <c r="X516" s="19" t="s">
        <v>0</v>
      </c>
      <c r="Y516" s="19" t="s">
        <v>0</v>
      </c>
      <c r="Z516" s="19" t="s">
        <v>0</v>
      </c>
      <c r="AA516" s="19" t="s">
        <v>0</v>
      </c>
    </row>
    <row r="517" spans="1:27" ht="15">
      <c r="A517" s="10">
        <f t="shared" si="16"/>
        <v>46100169</v>
      </c>
      <c r="B517" s="40" t="s">
        <v>3272</v>
      </c>
      <c r="C517" s="4" t="s">
        <v>63</v>
      </c>
      <c r="D517" s="11">
        <f>IFERROR(VLOOKUP(C517,ShipShapeEnum!$E:$F,2,FALSE),"-")</f>
        <v>2</v>
      </c>
      <c r="E517" s="19" t="s">
        <v>3273</v>
      </c>
      <c r="F517" s="4" t="s">
        <v>65</v>
      </c>
      <c r="G517" s="11">
        <f>IFERROR(VLOOKUP(F517,ShipShapeEnum!$B:$C,2,FALSE),"-")</f>
        <v>2</v>
      </c>
      <c r="H517" s="19" t="s">
        <v>459</v>
      </c>
      <c r="I517" s="19" t="s">
        <v>0</v>
      </c>
      <c r="J517" s="19" t="s">
        <v>0</v>
      </c>
      <c r="K517" s="19" t="s">
        <v>0</v>
      </c>
      <c r="L517" s="19" t="s">
        <v>0</v>
      </c>
      <c r="M517" s="4" t="s">
        <v>81</v>
      </c>
      <c r="N517" s="11">
        <f>IFERROR(VLOOKUP(M517,ShipShapeEnum!$H:$I,2,FALSE),"-")</f>
        <v>1</v>
      </c>
      <c r="O517" s="11" t="s">
        <v>0</v>
      </c>
      <c r="P517" s="30"/>
      <c r="Q517" s="11" t="str">
        <f>IFERROR(INDEX(SailPattern!$A:$A,MATCH(P517,SailPattern!$B:$B,0)),"-")</f>
        <v>-</v>
      </c>
      <c r="R517" s="30"/>
      <c r="S517" s="11" t="str">
        <f>IFERROR(INDEX(SailCrest!$A:$A,MATCH(R517,SailCrest!$B:$B,0)),"-")</f>
        <v>-</v>
      </c>
      <c r="T517" s="19" t="s">
        <v>0</v>
      </c>
      <c r="U517" s="19" t="s">
        <v>0</v>
      </c>
      <c r="V517" s="19" t="s">
        <v>0</v>
      </c>
      <c r="W517" s="19" t="s">
        <v>0</v>
      </c>
      <c r="X517" s="19" t="s">
        <v>0</v>
      </c>
      <c r="Y517" s="19" t="s">
        <v>0</v>
      </c>
      <c r="Z517" s="19" t="s">
        <v>0</v>
      </c>
      <c r="AA517" s="19" t="s">
        <v>0</v>
      </c>
    </row>
    <row r="518" spans="1:27" ht="15">
      <c r="A518" s="10">
        <f t="shared" si="16"/>
        <v>46100170</v>
      </c>
      <c r="B518" s="40" t="s">
        <v>3315</v>
      </c>
      <c r="C518" s="4" t="s">
        <v>63</v>
      </c>
      <c r="D518" s="11">
        <f>IFERROR(VLOOKUP(C518,ShipShapeEnum!$E:$F,2,FALSE),"-")</f>
        <v>2</v>
      </c>
      <c r="E518" s="19" t="s">
        <v>3316</v>
      </c>
      <c r="F518" s="4" t="s">
        <v>65</v>
      </c>
      <c r="G518" s="11">
        <f>IFERROR(VLOOKUP(F518,ShipShapeEnum!$B:$C,2,FALSE),"-")</f>
        <v>2</v>
      </c>
      <c r="H518" s="19" t="s">
        <v>459</v>
      </c>
      <c r="I518" s="19" t="s">
        <v>0</v>
      </c>
      <c r="J518" s="19" t="s">
        <v>0</v>
      </c>
      <c r="K518" s="19" t="s">
        <v>0</v>
      </c>
      <c r="L518" s="19" t="s">
        <v>0</v>
      </c>
      <c r="M518" s="4" t="s">
        <v>81</v>
      </c>
      <c r="N518" s="11">
        <f>IFERROR(VLOOKUP(M518,ShipShapeEnum!$H:$I,2,FALSE),"-")</f>
        <v>1</v>
      </c>
      <c r="O518" s="11" t="s">
        <v>0</v>
      </c>
      <c r="P518" s="30"/>
      <c r="Q518" s="11" t="str">
        <f>IFERROR(INDEX(SailPattern!$A:$A,MATCH(P518,SailPattern!$B:$B,0)),"-")</f>
        <v>-</v>
      </c>
      <c r="R518" s="30"/>
      <c r="S518" s="11" t="str">
        <f>IFERROR(INDEX(SailCrest!$A:$A,MATCH(R518,SailCrest!$B:$B,0)),"-")</f>
        <v>-</v>
      </c>
      <c r="T518" s="19" t="s">
        <v>0</v>
      </c>
      <c r="U518" s="19" t="s">
        <v>0</v>
      </c>
      <c r="V518" s="19" t="s">
        <v>0</v>
      </c>
      <c r="W518" s="19" t="s">
        <v>0</v>
      </c>
      <c r="X518" s="19" t="s">
        <v>0</v>
      </c>
      <c r="Y518" s="19" t="s">
        <v>0</v>
      </c>
      <c r="Z518" s="19" t="s">
        <v>0</v>
      </c>
      <c r="AA518" s="19" t="s">
        <v>0</v>
      </c>
    </row>
    <row r="519" spans="1:27" ht="15">
      <c r="A519" s="10">
        <f t="shared" si="16"/>
        <v>46100171</v>
      </c>
      <c r="B519" s="40" t="s">
        <v>3330</v>
      </c>
      <c r="C519" s="4" t="s">
        <v>63</v>
      </c>
      <c r="D519" s="11">
        <f>IFERROR(VLOOKUP(C519,ShipShapeEnum!$E:$F,2,FALSE),"-")</f>
        <v>2</v>
      </c>
      <c r="E519" s="19" t="s">
        <v>3329</v>
      </c>
      <c r="F519" s="4" t="s">
        <v>65</v>
      </c>
      <c r="G519" s="11">
        <f>IFERROR(VLOOKUP(F519,ShipShapeEnum!$B:$C,2,FALSE),"-")</f>
        <v>2</v>
      </c>
      <c r="H519" s="19" t="s">
        <v>459</v>
      </c>
      <c r="I519" s="19" t="s">
        <v>0</v>
      </c>
      <c r="J519" s="19" t="s">
        <v>0</v>
      </c>
      <c r="K519" s="19" t="s">
        <v>0</v>
      </c>
      <c r="L519" s="19" t="s">
        <v>0</v>
      </c>
      <c r="M519" s="4" t="s">
        <v>81</v>
      </c>
      <c r="N519" s="11">
        <f>IFERROR(VLOOKUP(M519,ShipShapeEnum!$H:$I,2,FALSE),"-")</f>
        <v>1</v>
      </c>
      <c r="O519" s="11" t="s">
        <v>0</v>
      </c>
      <c r="P519" s="30"/>
      <c r="Q519" s="11" t="str">
        <f>IFERROR(INDEX(SailPattern!$A:$A,MATCH(P519,SailPattern!$B:$B,0)),"-")</f>
        <v>-</v>
      </c>
      <c r="R519" s="30"/>
      <c r="S519" s="11" t="str">
        <f>IFERROR(INDEX(SailCrest!$A:$A,MATCH(R519,SailCrest!$B:$B,0)),"-")</f>
        <v>-</v>
      </c>
      <c r="T519" s="19" t="s">
        <v>0</v>
      </c>
      <c r="U519" s="19" t="s">
        <v>0</v>
      </c>
      <c r="V519" s="19" t="s">
        <v>0</v>
      </c>
      <c r="W519" s="19" t="s">
        <v>0</v>
      </c>
      <c r="X519" s="19" t="s">
        <v>0</v>
      </c>
      <c r="Y519" s="19" t="s">
        <v>0</v>
      </c>
      <c r="Z519" s="19" t="s">
        <v>0</v>
      </c>
      <c r="AA519" s="19" t="s">
        <v>0</v>
      </c>
    </row>
    <row r="520" spans="1:27" ht="15">
      <c r="A520" s="10">
        <f t="shared" si="16"/>
        <v>46100172</v>
      </c>
      <c r="B520" s="40" t="s">
        <v>3344</v>
      </c>
      <c r="C520" s="4" t="s">
        <v>63</v>
      </c>
      <c r="D520" s="11">
        <f>IFERROR(VLOOKUP(C520,ShipShapeEnum!$E:$F,2,FALSE),"-")</f>
        <v>2</v>
      </c>
      <c r="E520" s="19" t="s">
        <v>3343</v>
      </c>
      <c r="F520" s="4" t="s">
        <v>65</v>
      </c>
      <c r="G520" s="11">
        <f>IFERROR(VLOOKUP(F520,ShipShapeEnum!$B:$C,2,FALSE),"-")</f>
        <v>2</v>
      </c>
      <c r="H520" s="19" t="s">
        <v>459</v>
      </c>
      <c r="I520" s="19" t="s">
        <v>0</v>
      </c>
      <c r="J520" s="19" t="s">
        <v>0</v>
      </c>
      <c r="K520" s="19" t="s">
        <v>0</v>
      </c>
      <c r="L520" s="19" t="s">
        <v>0</v>
      </c>
      <c r="M520" s="4" t="s">
        <v>81</v>
      </c>
      <c r="N520" s="11">
        <f>IFERROR(VLOOKUP(M520,ShipShapeEnum!$H:$I,2,FALSE),"-")</f>
        <v>1</v>
      </c>
      <c r="O520" s="11" t="s">
        <v>0</v>
      </c>
      <c r="P520" s="30"/>
      <c r="Q520" s="11" t="str">
        <f>IFERROR(INDEX(SailPattern!$A:$A,MATCH(P520,SailPattern!$B:$B,0)),"-")</f>
        <v>-</v>
      </c>
      <c r="R520" s="30"/>
      <c r="S520" s="11" t="str">
        <f>IFERROR(INDEX(SailCrest!$A:$A,MATCH(R520,SailCrest!$B:$B,0)),"-")</f>
        <v>-</v>
      </c>
      <c r="T520" s="19" t="s">
        <v>0</v>
      </c>
      <c r="U520" s="19" t="s">
        <v>0</v>
      </c>
      <c r="V520" s="19" t="s">
        <v>0</v>
      </c>
      <c r="W520" s="19" t="s">
        <v>0</v>
      </c>
      <c r="X520" s="19" t="s">
        <v>0</v>
      </c>
      <c r="Y520" s="19" t="s">
        <v>0</v>
      </c>
      <c r="Z520" s="19" t="s">
        <v>0</v>
      </c>
      <c r="AA520" s="19" t="s">
        <v>0</v>
      </c>
    </row>
    <row r="521" spans="1:27" ht="15">
      <c r="A521" s="10">
        <f t="shared" si="16"/>
        <v>46100173</v>
      </c>
      <c r="B521" s="40" t="s">
        <v>3404</v>
      </c>
      <c r="C521" s="4" t="s">
        <v>63</v>
      </c>
      <c r="D521" s="11">
        <f>IFERROR(VLOOKUP(C521,ShipShapeEnum!$E:$F,2,FALSE),"-")</f>
        <v>2</v>
      </c>
      <c r="E521" s="19" t="s">
        <v>3406</v>
      </c>
      <c r="F521" s="4" t="s">
        <v>65</v>
      </c>
      <c r="G521" s="11">
        <f>IFERROR(VLOOKUP(F521,ShipShapeEnum!$B:$C,2,FALSE),"-")</f>
        <v>2</v>
      </c>
      <c r="H521" s="19" t="s">
        <v>459</v>
      </c>
      <c r="I521" s="19" t="s">
        <v>0</v>
      </c>
      <c r="J521" s="19" t="s">
        <v>0</v>
      </c>
      <c r="K521" s="19" t="s">
        <v>0</v>
      </c>
      <c r="L521" s="19" t="s">
        <v>0</v>
      </c>
      <c r="M521" s="4" t="s">
        <v>81</v>
      </c>
      <c r="N521" s="11">
        <f>IFERROR(VLOOKUP(M521,ShipShapeEnum!$H:$I,2,FALSE),"-")</f>
        <v>1</v>
      </c>
      <c r="O521" s="11" t="s">
        <v>0</v>
      </c>
      <c r="P521" s="30"/>
      <c r="Q521" s="11" t="str">
        <f>IFERROR(INDEX(SailPattern!$A:$A,MATCH(P521,SailPattern!$B:$B,0)),"-")</f>
        <v>-</v>
      </c>
      <c r="R521" s="30"/>
      <c r="S521" s="11" t="str">
        <f>IFERROR(INDEX(SailCrest!$A:$A,MATCH(R521,SailCrest!$B:$B,0)),"-")</f>
        <v>-</v>
      </c>
      <c r="T521" s="19" t="s">
        <v>0</v>
      </c>
      <c r="U521" s="19" t="s">
        <v>0</v>
      </c>
      <c r="V521" s="19" t="s">
        <v>0</v>
      </c>
      <c r="W521" s="19" t="s">
        <v>0</v>
      </c>
      <c r="X521" s="19" t="s">
        <v>0</v>
      </c>
      <c r="Y521" s="19" t="s">
        <v>0</v>
      </c>
      <c r="Z521" s="19" t="s">
        <v>0</v>
      </c>
      <c r="AA521" s="19" t="s">
        <v>0</v>
      </c>
    </row>
    <row r="522" spans="1:27" ht="15">
      <c r="A522" s="10">
        <f t="shared" si="16"/>
        <v>46100174</v>
      </c>
      <c r="B522" s="40" t="s">
        <v>3405</v>
      </c>
      <c r="C522" s="4" t="s">
        <v>63</v>
      </c>
      <c r="D522" s="11">
        <f>IFERROR(VLOOKUP(C522,ShipShapeEnum!$E:$F,2,FALSE),"-")</f>
        <v>2</v>
      </c>
      <c r="E522" s="19" t="s">
        <v>3407</v>
      </c>
      <c r="F522" s="4" t="s">
        <v>65</v>
      </c>
      <c r="G522" s="11">
        <f>IFERROR(VLOOKUP(F522,ShipShapeEnum!$B:$C,2,FALSE),"-")</f>
        <v>2</v>
      </c>
      <c r="H522" s="19" t="s">
        <v>459</v>
      </c>
      <c r="I522" s="19" t="s">
        <v>0</v>
      </c>
      <c r="J522" s="19" t="s">
        <v>0</v>
      </c>
      <c r="K522" s="19" t="s">
        <v>0</v>
      </c>
      <c r="L522" s="19" t="s">
        <v>0</v>
      </c>
      <c r="M522" s="4" t="s">
        <v>81</v>
      </c>
      <c r="N522" s="11">
        <f>IFERROR(VLOOKUP(M522,ShipShapeEnum!$H:$I,2,FALSE),"-")</f>
        <v>1</v>
      </c>
      <c r="O522" s="11" t="s">
        <v>0</v>
      </c>
      <c r="P522" s="30"/>
      <c r="Q522" s="11" t="str">
        <f>IFERROR(INDEX(SailPattern!$A:$A,MATCH(P522,SailPattern!$B:$B,0)),"-")</f>
        <v>-</v>
      </c>
      <c r="R522" s="30"/>
      <c r="S522" s="11" t="str">
        <f>IFERROR(INDEX(SailCrest!$A:$A,MATCH(R522,SailCrest!$B:$B,0)),"-")</f>
        <v>-</v>
      </c>
      <c r="T522" s="19" t="s">
        <v>0</v>
      </c>
      <c r="U522" s="19" t="s">
        <v>0</v>
      </c>
      <c r="V522" s="19" t="s">
        <v>0</v>
      </c>
      <c r="W522" s="19" t="s">
        <v>0</v>
      </c>
      <c r="X522" s="19" t="s">
        <v>0</v>
      </c>
      <c r="Y522" s="19" t="s">
        <v>0</v>
      </c>
      <c r="Z522" s="19" t="s">
        <v>0</v>
      </c>
      <c r="AA522" s="19" t="s">
        <v>0</v>
      </c>
    </row>
    <row r="523" spans="1:27" ht="15">
      <c r="A523" s="10">
        <f t="shared" si="16"/>
        <v>46100175</v>
      </c>
      <c r="B523" s="40" t="s">
        <v>3486</v>
      </c>
      <c r="C523" s="4" t="s">
        <v>63</v>
      </c>
      <c r="D523" s="11">
        <f>IFERROR(VLOOKUP(C523,ShipShapeEnum!$E:$F,2,FALSE),"-")</f>
        <v>2</v>
      </c>
      <c r="E523" s="19" t="s">
        <v>3487</v>
      </c>
      <c r="F523" s="4" t="s">
        <v>65</v>
      </c>
      <c r="G523" s="11">
        <f>IFERROR(VLOOKUP(F523,ShipShapeEnum!$B:$C,2,FALSE),"-")</f>
        <v>2</v>
      </c>
      <c r="H523" s="19" t="s">
        <v>459</v>
      </c>
      <c r="I523" s="19" t="s">
        <v>0</v>
      </c>
      <c r="J523" s="19" t="s">
        <v>0</v>
      </c>
      <c r="K523" s="19" t="s">
        <v>0</v>
      </c>
      <c r="L523" s="19" t="s">
        <v>0</v>
      </c>
      <c r="M523" s="4" t="s">
        <v>81</v>
      </c>
      <c r="N523" s="11">
        <f>IFERROR(VLOOKUP(M523,ShipShapeEnum!$H:$I,2,FALSE),"-")</f>
        <v>1</v>
      </c>
      <c r="O523" s="11" t="s">
        <v>0</v>
      </c>
      <c r="P523" s="30"/>
      <c r="Q523" s="11" t="str">
        <f>IFERROR(INDEX(SailPattern!$A:$A,MATCH(P523,SailPattern!$B:$B,0)),"-")</f>
        <v>-</v>
      </c>
      <c r="R523" s="30"/>
      <c r="S523" s="11" t="str">
        <f>IFERROR(INDEX(SailCrest!$A:$A,MATCH(R523,SailCrest!$B:$B,0)),"-")</f>
        <v>-</v>
      </c>
      <c r="T523" s="19" t="s">
        <v>0</v>
      </c>
      <c r="U523" s="19" t="s">
        <v>0</v>
      </c>
      <c r="V523" s="19" t="s">
        <v>0</v>
      </c>
      <c r="W523" s="19" t="s">
        <v>0</v>
      </c>
      <c r="X523" s="19" t="s">
        <v>0</v>
      </c>
      <c r="Y523" s="19" t="s">
        <v>0</v>
      </c>
      <c r="Z523" s="19" t="s">
        <v>0</v>
      </c>
      <c r="AA523" s="19" t="s">
        <v>0</v>
      </c>
    </row>
    <row r="524" spans="1:27" ht="15">
      <c r="A524" s="10">
        <f t="shared" si="16"/>
        <v>46100176</v>
      </c>
      <c r="B524" s="40" t="s">
        <v>3559</v>
      </c>
      <c r="C524" s="4" t="s">
        <v>63</v>
      </c>
      <c r="D524" s="11">
        <f>IFERROR(VLOOKUP(C524,ShipShapeEnum!$E:$F,2,FALSE),"-")</f>
        <v>2</v>
      </c>
      <c r="E524" s="19" t="s">
        <v>3561</v>
      </c>
      <c r="F524" s="4" t="s">
        <v>65</v>
      </c>
      <c r="G524" s="11">
        <f>IFERROR(VLOOKUP(F524,ShipShapeEnum!$B:$C,2,FALSE),"-")</f>
        <v>2</v>
      </c>
      <c r="H524" s="19" t="s">
        <v>459</v>
      </c>
      <c r="I524" s="19" t="s">
        <v>0</v>
      </c>
      <c r="J524" s="19" t="s">
        <v>0</v>
      </c>
      <c r="K524" s="19" t="s">
        <v>0</v>
      </c>
      <c r="L524" s="19" t="s">
        <v>0</v>
      </c>
      <c r="M524" s="4" t="s">
        <v>81</v>
      </c>
      <c r="N524" s="11">
        <f>IFERROR(VLOOKUP(M524,ShipShapeEnum!$H:$I,2,FALSE),"-")</f>
        <v>1</v>
      </c>
      <c r="O524" s="11" t="s">
        <v>0</v>
      </c>
      <c r="P524" s="30"/>
      <c r="Q524" s="11" t="str">
        <f>IFERROR(INDEX(SailPattern!$A:$A,MATCH(P524,SailPattern!$B:$B,0)),"-")</f>
        <v>-</v>
      </c>
      <c r="R524" s="30"/>
      <c r="S524" s="11" t="str">
        <f>IFERROR(INDEX(SailCrest!$A:$A,MATCH(R524,SailCrest!$B:$B,0)),"-")</f>
        <v>-</v>
      </c>
      <c r="T524" s="19" t="s">
        <v>0</v>
      </c>
      <c r="U524" s="19" t="s">
        <v>0</v>
      </c>
      <c r="V524" s="19" t="s">
        <v>0</v>
      </c>
      <c r="W524" s="19" t="s">
        <v>0</v>
      </c>
      <c r="X524" s="19" t="s">
        <v>0</v>
      </c>
      <c r="Y524" s="19" t="s">
        <v>0</v>
      </c>
      <c r="Z524" s="19" t="s">
        <v>0</v>
      </c>
      <c r="AA524" s="19" t="s">
        <v>0</v>
      </c>
    </row>
    <row r="525" spans="1:27" ht="15">
      <c r="A525" s="10">
        <f t="shared" si="16"/>
        <v>46100177</v>
      </c>
      <c r="B525" s="40" t="s">
        <v>3560</v>
      </c>
      <c r="C525" s="4" t="s">
        <v>63</v>
      </c>
      <c r="D525" s="11">
        <f>IFERROR(VLOOKUP(C525,ShipShapeEnum!$E:$F,2,FALSE),"-")</f>
        <v>2</v>
      </c>
      <c r="E525" s="19" t="s">
        <v>3562</v>
      </c>
      <c r="F525" s="4" t="s">
        <v>65</v>
      </c>
      <c r="G525" s="11">
        <f>IFERROR(VLOOKUP(F525,ShipShapeEnum!$B:$C,2,FALSE),"-")</f>
        <v>2</v>
      </c>
      <c r="H525" s="19" t="s">
        <v>459</v>
      </c>
      <c r="I525" s="19" t="s">
        <v>0</v>
      </c>
      <c r="J525" s="19" t="s">
        <v>0</v>
      </c>
      <c r="K525" s="19" t="s">
        <v>0</v>
      </c>
      <c r="L525" s="19" t="s">
        <v>0</v>
      </c>
      <c r="M525" s="4" t="s">
        <v>81</v>
      </c>
      <c r="N525" s="11">
        <f>IFERROR(VLOOKUP(M525,ShipShapeEnum!$H:$I,2,FALSE),"-")</f>
        <v>1</v>
      </c>
      <c r="O525" s="11" t="s">
        <v>0</v>
      </c>
      <c r="P525" s="30"/>
      <c r="Q525" s="11" t="str">
        <f>IFERROR(INDEX(SailPattern!$A:$A,MATCH(P525,SailPattern!$B:$B,0)),"-")</f>
        <v>-</v>
      </c>
      <c r="R525" s="30"/>
      <c r="S525" s="11" t="str">
        <f>IFERROR(INDEX(SailCrest!$A:$A,MATCH(R525,SailCrest!$B:$B,0)),"-")</f>
        <v>-</v>
      </c>
      <c r="T525" s="19" t="s">
        <v>0</v>
      </c>
      <c r="U525" s="19" t="s">
        <v>0</v>
      </c>
      <c r="V525" s="19" t="s">
        <v>0</v>
      </c>
      <c r="W525" s="19" t="s">
        <v>0</v>
      </c>
      <c r="X525" s="19" t="s">
        <v>0</v>
      </c>
      <c r="Y525" s="19" t="s">
        <v>0</v>
      </c>
      <c r="Z525" s="19" t="s">
        <v>0</v>
      </c>
      <c r="AA525" s="19" t="s">
        <v>0</v>
      </c>
    </row>
    <row r="526" spans="1:27" ht="15">
      <c r="A526" s="10">
        <f t="shared" si="16"/>
        <v>46100178</v>
      </c>
      <c r="B526" s="40" t="s">
        <v>3657</v>
      </c>
      <c r="C526" s="4" t="s">
        <v>63</v>
      </c>
      <c r="D526" s="11">
        <f>IFERROR(VLOOKUP(C526,ShipShapeEnum!$E:$F,2,FALSE),"-")</f>
        <v>2</v>
      </c>
      <c r="E526" s="19" t="s">
        <v>3656</v>
      </c>
      <c r="F526" s="4" t="s">
        <v>65</v>
      </c>
      <c r="G526" s="11">
        <f>IFERROR(VLOOKUP(F526,ShipShapeEnum!$B:$C,2,FALSE),"-")</f>
        <v>2</v>
      </c>
      <c r="H526" s="19" t="s">
        <v>459</v>
      </c>
      <c r="I526" s="19" t="s">
        <v>0</v>
      </c>
      <c r="J526" s="19" t="s">
        <v>0</v>
      </c>
      <c r="K526" s="19" t="s">
        <v>0</v>
      </c>
      <c r="L526" s="19" t="s">
        <v>0</v>
      </c>
      <c r="M526" s="4" t="s">
        <v>81</v>
      </c>
      <c r="N526" s="11">
        <f>IFERROR(VLOOKUP(M526,ShipShapeEnum!$H:$I,2,FALSE),"-")</f>
        <v>1</v>
      </c>
      <c r="O526" s="11" t="s">
        <v>0</v>
      </c>
      <c r="P526" s="30"/>
      <c r="Q526" s="11" t="str">
        <f>IFERROR(INDEX(SailPattern!$A:$A,MATCH(P526,SailPattern!$B:$B,0)),"-")</f>
        <v>-</v>
      </c>
      <c r="R526" s="30"/>
      <c r="S526" s="11" t="str">
        <f>IFERROR(INDEX(SailCrest!$A:$A,MATCH(R526,SailCrest!$B:$B,0)),"-")</f>
        <v>-</v>
      </c>
      <c r="T526" s="19" t="s">
        <v>0</v>
      </c>
      <c r="U526" s="19" t="s">
        <v>0</v>
      </c>
      <c r="V526" s="19" t="s">
        <v>0</v>
      </c>
      <c r="W526" s="19" t="s">
        <v>0</v>
      </c>
      <c r="X526" s="19" t="s">
        <v>0</v>
      </c>
      <c r="Y526" s="19" t="s">
        <v>0</v>
      </c>
      <c r="Z526" s="19" t="s">
        <v>0</v>
      </c>
      <c r="AA526" s="19" t="s">
        <v>0</v>
      </c>
    </row>
    <row r="527" spans="1:27" ht="15">
      <c r="A527" s="10">
        <f t="shared" si="16"/>
        <v>46100179</v>
      </c>
      <c r="B527" s="40" t="s">
        <v>3717</v>
      </c>
      <c r="C527" s="4" t="s">
        <v>63</v>
      </c>
      <c r="D527" s="11">
        <f>IFERROR(VLOOKUP(C527,ShipShapeEnum!$E:$F,2,FALSE),"-")</f>
        <v>2</v>
      </c>
      <c r="E527" s="19" t="s">
        <v>3718</v>
      </c>
      <c r="F527" s="4" t="s">
        <v>65</v>
      </c>
      <c r="G527" s="11">
        <f>IFERROR(VLOOKUP(F527,ShipShapeEnum!$B:$C,2,FALSE),"-")</f>
        <v>2</v>
      </c>
      <c r="H527" s="19" t="s">
        <v>459</v>
      </c>
      <c r="I527" s="19" t="s">
        <v>0</v>
      </c>
      <c r="J527" s="19" t="s">
        <v>0</v>
      </c>
      <c r="K527" s="19" t="s">
        <v>0</v>
      </c>
      <c r="L527" s="19" t="s">
        <v>0</v>
      </c>
      <c r="M527" s="4" t="s">
        <v>81</v>
      </c>
      <c r="N527" s="11">
        <f>IFERROR(VLOOKUP(M527,ShipShapeEnum!$H:$I,2,FALSE),"-")</f>
        <v>1</v>
      </c>
      <c r="O527" s="11" t="s">
        <v>0</v>
      </c>
      <c r="P527" s="30"/>
      <c r="Q527" s="11" t="str">
        <f>IFERROR(INDEX(SailPattern!$A:$A,MATCH(P527,SailPattern!$B:$B,0)),"-")</f>
        <v>-</v>
      </c>
      <c r="R527" s="30"/>
      <c r="S527" s="11" t="str">
        <f>IFERROR(INDEX(SailCrest!$A:$A,MATCH(R527,SailCrest!$B:$B,0)),"-")</f>
        <v>-</v>
      </c>
      <c r="T527" s="19" t="s">
        <v>0</v>
      </c>
      <c r="U527" s="19" t="s">
        <v>0</v>
      </c>
      <c r="V527" s="19" t="s">
        <v>0</v>
      </c>
      <c r="W527" s="19" t="s">
        <v>0</v>
      </c>
      <c r="X527" s="19" t="s">
        <v>0</v>
      </c>
      <c r="Y527" s="19" t="s">
        <v>0</v>
      </c>
      <c r="Z527" s="19" t="s">
        <v>0</v>
      </c>
      <c r="AA527" s="19" t="s">
        <v>0</v>
      </c>
    </row>
    <row r="528" spans="1:27" ht="15">
      <c r="A528" s="10">
        <f t="shared" si="16"/>
        <v>46100180</v>
      </c>
      <c r="B528" s="40" t="s">
        <v>3753</v>
      </c>
      <c r="C528" s="4" t="s">
        <v>63</v>
      </c>
      <c r="D528" s="11">
        <f>IFERROR(VLOOKUP(C528,ShipShapeEnum!$E:$F,2,FALSE),"-")</f>
        <v>2</v>
      </c>
      <c r="E528" s="19" t="s">
        <v>3754</v>
      </c>
      <c r="F528" s="4" t="s">
        <v>65</v>
      </c>
      <c r="G528" s="11">
        <f>IFERROR(VLOOKUP(F528,ShipShapeEnum!$B:$C,2,FALSE),"-")</f>
        <v>2</v>
      </c>
      <c r="H528" s="19" t="s">
        <v>3755</v>
      </c>
      <c r="I528" s="19" t="s">
        <v>0</v>
      </c>
      <c r="J528" s="19" t="s">
        <v>0</v>
      </c>
      <c r="K528" s="19" t="s">
        <v>0</v>
      </c>
      <c r="L528" s="19" t="s">
        <v>0</v>
      </c>
      <c r="M528" s="4" t="s">
        <v>81</v>
      </c>
      <c r="N528" s="11">
        <f>IFERROR(VLOOKUP(M528,ShipShapeEnum!$H:$I,2,FALSE),"-")</f>
        <v>1</v>
      </c>
      <c r="O528" s="11" t="s">
        <v>0</v>
      </c>
      <c r="P528" s="30"/>
      <c r="Q528" s="11" t="str">
        <f>IFERROR(INDEX(SailPattern!$A:$A,MATCH(P528,SailPattern!$B:$B,0)),"-")</f>
        <v>-</v>
      </c>
      <c r="R528" s="30"/>
      <c r="S528" s="11" t="str">
        <f>IFERROR(INDEX(SailCrest!$A:$A,MATCH(R528,SailCrest!$B:$B,0)),"-")</f>
        <v>-</v>
      </c>
      <c r="T528" s="19" t="s">
        <v>0</v>
      </c>
      <c r="U528" s="19" t="s">
        <v>0</v>
      </c>
      <c r="V528" s="19" t="s">
        <v>0</v>
      </c>
      <c r="W528" s="19" t="s">
        <v>0</v>
      </c>
      <c r="X528" s="19" t="s">
        <v>0</v>
      </c>
      <c r="Y528" s="19" t="s">
        <v>0</v>
      </c>
      <c r="Z528" s="19" t="s">
        <v>0</v>
      </c>
      <c r="AA528" s="19" t="s">
        <v>0</v>
      </c>
    </row>
    <row r="529" spans="1:27" ht="15">
      <c r="A529" s="10">
        <f t="shared" si="16"/>
        <v>46100181</v>
      </c>
      <c r="B529" s="40" t="s">
        <v>3847</v>
      </c>
      <c r="C529" s="4" t="s">
        <v>63</v>
      </c>
      <c r="D529" s="11">
        <f>IFERROR(VLOOKUP(C529,ShipShapeEnum!$E:$F,2,FALSE),"-")</f>
        <v>2</v>
      </c>
      <c r="E529" s="19" t="s">
        <v>3848</v>
      </c>
      <c r="F529" s="4" t="s">
        <v>65</v>
      </c>
      <c r="G529" s="11">
        <f>IFERROR(VLOOKUP(F529,ShipShapeEnum!$B:$C,2,FALSE),"-")</f>
        <v>2</v>
      </c>
      <c r="H529" s="19" t="s">
        <v>459</v>
      </c>
      <c r="I529" s="19" t="s">
        <v>0</v>
      </c>
      <c r="J529" s="19" t="s">
        <v>0</v>
      </c>
      <c r="K529" s="19" t="s">
        <v>0</v>
      </c>
      <c r="L529" s="19" t="s">
        <v>0</v>
      </c>
      <c r="M529" s="4" t="s">
        <v>81</v>
      </c>
      <c r="N529" s="11">
        <f>IFERROR(VLOOKUP(M529,ShipShapeEnum!$H:$I,2,FALSE),"-")</f>
        <v>1</v>
      </c>
      <c r="O529" s="11" t="s">
        <v>0</v>
      </c>
      <c r="P529" s="30"/>
      <c r="Q529" s="11" t="str">
        <f>IFERROR(INDEX(SailPattern!$A:$A,MATCH(P529,SailPattern!$B:$B,0)),"-")</f>
        <v>-</v>
      </c>
      <c r="R529" s="30"/>
      <c r="S529" s="11" t="str">
        <f>IFERROR(INDEX(SailCrest!$A:$A,MATCH(R529,SailCrest!$B:$B,0)),"-")</f>
        <v>-</v>
      </c>
      <c r="T529" s="19" t="s">
        <v>0</v>
      </c>
      <c r="U529" s="19" t="s">
        <v>0</v>
      </c>
      <c r="V529" s="19" t="s">
        <v>0</v>
      </c>
      <c r="W529" s="19" t="s">
        <v>0</v>
      </c>
      <c r="X529" s="19" t="s">
        <v>0</v>
      </c>
      <c r="Y529" s="19" t="s">
        <v>0</v>
      </c>
      <c r="Z529" s="19" t="s">
        <v>0</v>
      </c>
      <c r="AA529" s="19" t="s">
        <v>0</v>
      </c>
    </row>
    <row r="530" spans="1:27" ht="15">
      <c r="A530" s="10">
        <f t="shared" si="16"/>
        <v>46100182</v>
      </c>
      <c r="B530" s="40" t="s">
        <v>3917</v>
      </c>
      <c r="C530" s="4" t="s">
        <v>63</v>
      </c>
      <c r="D530" s="11">
        <f>IFERROR(VLOOKUP(C530,ShipShapeEnum!$E:$F,2,FALSE),"-")</f>
        <v>2</v>
      </c>
      <c r="E530" s="19" t="s">
        <v>3918</v>
      </c>
      <c r="F530" s="4" t="s">
        <v>65</v>
      </c>
      <c r="G530" s="11">
        <f>IFERROR(VLOOKUP(F530,ShipShapeEnum!$B:$C,2,FALSE),"-")</f>
        <v>2</v>
      </c>
      <c r="H530" s="19" t="s">
        <v>459</v>
      </c>
      <c r="I530" s="19" t="s">
        <v>0</v>
      </c>
      <c r="J530" s="19" t="s">
        <v>0</v>
      </c>
      <c r="K530" s="19" t="s">
        <v>0</v>
      </c>
      <c r="L530" s="19" t="s">
        <v>0</v>
      </c>
      <c r="M530" s="4" t="s">
        <v>81</v>
      </c>
      <c r="N530" s="11">
        <f>IFERROR(VLOOKUP(M530,ShipShapeEnum!$H:$I,2,FALSE),"-")</f>
        <v>1</v>
      </c>
      <c r="O530" s="11" t="s">
        <v>0</v>
      </c>
      <c r="P530" s="30"/>
      <c r="Q530" s="11" t="str">
        <f>IFERROR(INDEX(SailPattern!$A:$A,MATCH(P530,SailPattern!$B:$B,0)),"-")</f>
        <v>-</v>
      </c>
      <c r="R530" s="30"/>
      <c r="S530" s="11" t="str">
        <f>IFERROR(INDEX(SailCrest!$A:$A,MATCH(R530,SailCrest!$B:$B,0)),"-")</f>
        <v>-</v>
      </c>
      <c r="T530" s="19" t="s">
        <v>0</v>
      </c>
      <c r="U530" s="19" t="s">
        <v>0</v>
      </c>
      <c r="V530" s="19" t="s">
        <v>0</v>
      </c>
      <c r="W530" s="19" t="s">
        <v>0</v>
      </c>
      <c r="X530" s="19" t="s">
        <v>0</v>
      </c>
      <c r="Y530" s="19" t="s">
        <v>0</v>
      </c>
      <c r="Z530" s="19" t="s">
        <v>0</v>
      </c>
      <c r="AA530" s="19" t="s">
        <v>0</v>
      </c>
    </row>
    <row r="531" spans="1:27" ht="15">
      <c r="A531" s="10">
        <f t="shared" si="16"/>
        <v>46100183</v>
      </c>
      <c r="B531" s="40" t="s">
        <v>3935</v>
      </c>
      <c r="C531" s="4" t="s">
        <v>63</v>
      </c>
      <c r="D531" s="11">
        <f>IFERROR(VLOOKUP(C531,ShipShapeEnum!$E:$F,2,FALSE),"-")</f>
        <v>2</v>
      </c>
      <c r="E531" s="19" t="s">
        <v>3936</v>
      </c>
      <c r="F531" s="4" t="s">
        <v>65</v>
      </c>
      <c r="G531" s="11">
        <f>IFERROR(VLOOKUP(F531,ShipShapeEnum!$B:$C,2,FALSE),"-")</f>
        <v>2</v>
      </c>
      <c r="H531" s="19" t="s">
        <v>459</v>
      </c>
      <c r="I531" s="19" t="s">
        <v>0</v>
      </c>
      <c r="J531" s="19" t="s">
        <v>0</v>
      </c>
      <c r="K531" s="19" t="s">
        <v>0</v>
      </c>
      <c r="L531" s="19" t="s">
        <v>0</v>
      </c>
      <c r="M531" s="4" t="s">
        <v>81</v>
      </c>
      <c r="N531" s="11">
        <f>IFERROR(VLOOKUP(M531,ShipShapeEnum!$H:$I,2,FALSE),"-")</f>
        <v>1</v>
      </c>
      <c r="O531" s="11" t="s">
        <v>0</v>
      </c>
      <c r="P531" s="30"/>
      <c r="Q531" s="11" t="str">
        <f>IFERROR(INDEX(SailPattern!$A:$A,MATCH(P531,SailPattern!$B:$B,0)),"-")</f>
        <v>-</v>
      </c>
      <c r="R531" s="30"/>
      <c r="S531" s="11" t="str">
        <f>IFERROR(INDEX(SailCrest!$A:$A,MATCH(R531,SailCrest!$B:$B,0)),"-")</f>
        <v>-</v>
      </c>
      <c r="T531" s="19" t="s">
        <v>0</v>
      </c>
      <c r="U531" s="19" t="s">
        <v>0</v>
      </c>
      <c r="V531" s="19" t="s">
        <v>0</v>
      </c>
      <c r="W531" s="19" t="s">
        <v>0</v>
      </c>
      <c r="X531" s="19" t="s">
        <v>0</v>
      </c>
      <c r="Y531" s="19" t="s">
        <v>0</v>
      </c>
      <c r="Z531" s="19" t="s">
        <v>0</v>
      </c>
      <c r="AA531" s="19" t="s">
        <v>0</v>
      </c>
    </row>
    <row r="532" spans="1:27" ht="15">
      <c r="A532" s="10">
        <v>46200001</v>
      </c>
      <c r="B532" s="41" t="s">
        <v>322</v>
      </c>
      <c r="C532" s="4" t="s">
        <v>99</v>
      </c>
      <c r="D532" s="11">
        <f>IFERROR(VLOOKUP(C532,ShipShapeEnum!$E:$F,2,FALSE),"-")</f>
        <v>3</v>
      </c>
      <c r="E532" s="19" t="s">
        <v>131</v>
      </c>
      <c r="F532" s="4" t="s">
        <v>65</v>
      </c>
      <c r="G532" s="11">
        <f>IFERROR(VLOOKUP(F532,ShipShapeEnum!$B:$C,2,FALSE),"-")</f>
        <v>2</v>
      </c>
      <c r="H532" s="19" t="s">
        <v>0</v>
      </c>
      <c r="I532" s="19" t="s">
        <v>89</v>
      </c>
      <c r="J532" s="19" t="s">
        <v>89</v>
      </c>
      <c r="K532" s="19" t="s">
        <v>89</v>
      </c>
      <c r="L532" s="19" t="s">
        <v>89</v>
      </c>
      <c r="M532" s="4" t="s">
        <v>81</v>
      </c>
      <c r="N532" s="11">
        <f>IFERROR(VLOOKUP(M532,ShipShapeEnum!$H:$I,2,FALSE),"-")</f>
        <v>1</v>
      </c>
      <c r="O532" s="11" t="s">
        <v>2688</v>
      </c>
      <c r="P532" s="30"/>
      <c r="Q532" s="11" t="str">
        <f>IFERROR(INDEX(SailPattern!$A:$A,MATCH(P532,SailPattern!$B:$B,0)),"-")</f>
        <v>-</v>
      </c>
      <c r="R532" s="30"/>
      <c r="S532" s="11" t="str">
        <f>IFERROR(INDEX(SailCrest!$A:$A,MATCH(R532,SailCrest!$B:$B,0)),"-")</f>
        <v>-</v>
      </c>
      <c r="T532" s="19" t="s">
        <v>0</v>
      </c>
      <c r="U532" s="19" t="s">
        <v>0</v>
      </c>
      <c r="V532" s="19" t="s">
        <v>0</v>
      </c>
      <c r="W532" s="19" t="s">
        <v>86</v>
      </c>
      <c r="X532" s="19" t="s">
        <v>78</v>
      </c>
      <c r="Y532" s="19" t="s">
        <v>90</v>
      </c>
      <c r="Z532" s="19" t="s">
        <v>78</v>
      </c>
      <c r="AA532" s="19" t="s">
        <v>78</v>
      </c>
    </row>
    <row r="533" spans="1:27" ht="15">
      <c r="A533" s="10">
        <f>A532+1</f>
        <v>46200002</v>
      </c>
      <c r="B533" s="41" t="s">
        <v>1758</v>
      </c>
      <c r="C533" s="4" t="s">
        <v>99</v>
      </c>
      <c r="D533" s="11">
        <f>IFERROR(VLOOKUP(C533,ShipShapeEnum!$E:$F,2,FALSE),"-")</f>
        <v>3</v>
      </c>
      <c r="E533" s="19" t="s">
        <v>277</v>
      </c>
      <c r="F533" s="4" t="s">
        <v>65</v>
      </c>
      <c r="G533" s="11">
        <v>2</v>
      </c>
      <c r="H533" s="19" t="s">
        <v>0</v>
      </c>
      <c r="I533" s="19" t="s">
        <v>0</v>
      </c>
      <c r="J533" s="19" t="s">
        <v>0</v>
      </c>
      <c r="K533" s="19" t="s">
        <v>0</v>
      </c>
      <c r="L533" s="19" t="s">
        <v>0</v>
      </c>
      <c r="M533" s="4" t="s">
        <v>81</v>
      </c>
      <c r="N533" s="11">
        <f>IFERROR(VLOOKUP(M533,ShipShapeEnum!$H:$I,2,FALSE),"-")</f>
        <v>1</v>
      </c>
      <c r="O533" s="11" t="s">
        <v>2688</v>
      </c>
      <c r="P533" s="30"/>
      <c r="Q533" s="11" t="str">
        <f>IFERROR(INDEX(SailPattern!$A:$A,MATCH(P533,SailPattern!$B:$B,0)),"-")</f>
        <v>-</v>
      </c>
      <c r="R533" s="30"/>
      <c r="S533" s="11" t="str">
        <f>IFERROR(INDEX(SailCrest!$A:$A,MATCH(R533,SailCrest!$B:$B,0)),"-")</f>
        <v>-</v>
      </c>
      <c r="T533" s="19" t="s">
        <v>0</v>
      </c>
      <c r="U533" s="19" t="s">
        <v>0</v>
      </c>
      <c r="V533" s="19" t="s">
        <v>0</v>
      </c>
      <c r="W533" s="19" t="s">
        <v>0</v>
      </c>
      <c r="X533" s="19" t="s">
        <v>0</v>
      </c>
      <c r="Y533" s="19" t="s">
        <v>0</v>
      </c>
      <c r="Z533" s="19" t="s">
        <v>0</v>
      </c>
      <c r="AA533" s="19" t="s">
        <v>0</v>
      </c>
    </row>
    <row r="534" spans="1:27" ht="15">
      <c r="A534" s="10">
        <f t="shared" ref="A534:A598" si="17">A533+1</f>
        <v>46200003</v>
      </c>
      <c r="B534" s="41" t="s">
        <v>370</v>
      </c>
      <c r="C534" s="4" t="s">
        <v>99</v>
      </c>
      <c r="D534" s="11">
        <f>IFERROR(VLOOKUP(C534,ShipShapeEnum!$E:$F,2,FALSE),"-")</f>
        <v>3</v>
      </c>
      <c r="E534" s="19" t="s">
        <v>277</v>
      </c>
      <c r="F534" s="4" t="s">
        <v>65</v>
      </c>
      <c r="G534" s="11">
        <f>IFERROR(VLOOKUP(F534,ShipShapeEnum!$B:$C,2,FALSE),"-")</f>
        <v>2</v>
      </c>
      <c r="H534" s="19" t="s">
        <v>0</v>
      </c>
      <c r="I534" s="19" t="s">
        <v>0</v>
      </c>
      <c r="J534" s="19" t="s">
        <v>0</v>
      </c>
      <c r="K534" s="19" t="s">
        <v>0</v>
      </c>
      <c r="L534" s="19" t="s">
        <v>0</v>
      </c>
      <c r="M534" s="4" t="s">
        <v>81</v>
      </c>
      <c r="N534" s="11">
        <f>IFERROR(VLOOKUP(M534,ShipShapeEnum!$H:$I,2,FALSE),"-")</f>
        <v>1</v>
      </c>
      <c r="O534" s="11" t="s">
        <v>2688</v>
      </c>
      <c r="P534" s="30"/>
      <c r="Q534" s="11" t="str">
        <f>IFERROR(INDEX(SailPattern!$A:$A,MATCH(P534,SailPattern!$B:$B,0)),"-")</f>
        <v>-</v>
      </c>
      <c r="R534" s="30"/>
      <c r="S534" s="11" t="str">
        <f>IFERROR(INDEX(SailCrest!$A:$A,MATCH(R534,SailCrest!$B:$B,0)),"-")</f>
        <v>-</v>
      </c>
      <c r="T534" s="19" t="s">
        <v>0</v>
      </c>
      <c r="U534" s="19" t="s">
        <v>0</v>
      </c>
      <c r="V534" s="19" t="s">
        <v>0</v>
      </c>
      <c r="W534" s="19" t="s">
        <v>0</v>
      </c>
      <c r="X534" s="19" t="s">
        <v>0</v>
      </c>
      <c r="Y534" s="19" t="s">
        <v>0</v>
      </c>
      <c r="Z534" s="19" t="s">
        <v>0</v>
      </c>
      <c r="AA534" s="19" t="s">
        <v>0</v>
      </c>
    </row>
    <row r="535" spans="1:27" ht="15">
      <c r="A535" s="10">
        <f t="shared" si="17"/>
        <v>46200004</v>
      </c>
      <c r="B535" s="41" t="s">
        <v>509</v>
      </c>
      <c r="C535" s="4" t="s">
        <v>99</v>
      </c>
      <c r="D535" s="11">
        <f>IFERROR(VLOOKUP(C535,ShipShapeEnum!$E:$F,2,FALSE),"-")</f>
        <v>3</v>
      </c>
      <c r="E535" s="19" t="s">
        <v>2115</v>
      </c>
      <c r="F535" s="4" t="s">
        <v>65</v>
      </c>
      <c r="G535" s="11">
        <f>IFERROR(VLOOKUP(F535,ShipShapeEnum!$B:$C,2,FALSE),"-")</f>
        <v>2</v>
      </c>
      <c r="H535" s="19" t="s">
        <v>0</v>
      </c>
      <c r="I535" s="19" t="s">
        <v>0</v>
      </c>
      <c r="J535" s="19" t="s">
        <v>0</v>
      </c>
      <c r="K535" s="19" t="s">
        <v>0</v>
      </c>
      <c r="L535" s="19" t="s">
        <v>0</v>
      </c>
      <c r="M535" s="4" t="s">
        <v>81</v>
      </c>
      <c r="N535" s="11">
        <f>IFERROR(VLOOKUP(M535,ShipShapeEnum!$H:$I,2,FALSE),"-")</f>
        <v>1</v>
      </c>
      <c r="O535" s="11" t="s">
        <v>2688</v>
      </c>
      <c r="P535" s="30"/>
      <c r="Q535" s="11" t="str">
        <f>IFERROR(INDEX(SailPattern!$A:$A,MATCH(P535,SailPattern!$B:$B,0)),"-")</f>
        <v>-</v>
      </c>
      <c r="R535" s="30"/>
      <c r="S535" s="11" t="str">
        <f>IFERROR(INDEX(SailCrest!$A:$A,MATCH(R535,SailCrest!$B:$B,0)),"-")</f>
        <v>-</v>
      </c>
      <c r="T535" s="19" t="s">
        <v>0</v>
      </c>
      <c r="U535" s="19" t="s">
        <v>0</v>
      </c>
      <c r="V535" s="19" t="s">
        <v>0</v>
      </c>
      <c r="W535" s="19" t="s">
        <v>0</v>
      </c>
      <c r="X535" s="19" t="s">
        <v>0</v>
      </c>
      <c r="Y535" s="19" t="s">
        <v>0</v>
      </c>
      <c r="Z535" s="19" t="s">
        <v>0</v>
      </c>
      <c r="AA535" s="19" t="s">
        <v>0</v>
      </c>
    </row>
    <row r="536" spans="1:27" ht="15">
      <c r="A536" s="10">
        <f t="shared" si="17"/>
        <v>46200005</v>
      </c>
      <c r="B536" s="41" t="s">
        <v>369</v>
      </c>
      <c r="C536" s="4" t="s">
        <v>99</v>
      </c>
      <c r="D536" s="11">
        <f>IFERROR(VLOOKUP(C536,ShipShapeEnum!$E:$F,2,FALSE),"-")</f>
        <v>3</v>
      </c>
      <c r="E536" s="19" t="s">
        <v>324</v>
      </c>
      <c r="F536" s="4" t="s">
        <v>65</v>
      </c>
      <c r="G536" s="11">
        <f>IFERROR(VLOOKUP(F536,ShipShapeEnum!$B:$C,2,FALSE),"-")</f>
        <v>2</v>
      </c>
      <c r="H536" s="19" t="s">
        <v>0</v>
      </c>
      <c r="I536" s="19" t="s">
        <v>0</v>
      </c>
      <c r="J536" s="19" t="s">
        <v>0</v>
      </c>
      <c r="K536" s="19" t="s">
        <v>0</v>
      </c>
      <c r="L536" s="19" t="s">
        <v>0</v>
      </c>
      <c r="M536" s="4" t="s">
        <v>81</v>
      </c>
      <c r="N536" s="11">
        <f>IFERROR(VLOOKUP(M536,ShipShapeEnum!$H:$I,2,FALSE),"-")</f>
        <v>1</v>
      </c>
      <c r="O536" s="11" t="s">
        <v>2688</v>
      </c>
      <c r="P536" s="30"/>
      <c r="Q536" s="11" t="str">
        <f>IFERROR(INDEX(SailPattern!$A:$A,MATCH(P536,SailPattern!$B:$B,0)),"-")</f>
        <v>-</v>
      </c>
      <c r="R536" s="30"/>
      <c r="S536" s="11" t="str">
        <f>IFERROR(INDEX(SailCrest!$A:$A,MATCH(R536,SailCrest!$B:$B,0)),"-")</f>
        <v>-</v>
      </c>
      <c r="T536" s="19" t="s">
        <v>0</v>
      </c>
      <c r="U536" s="19" t="s">
        <v>0</v>
      </c>
      <c r="V536" s="19" t="s">
        <v>0</v>
      </c>
      <c r="W536" s="19" t="s">
        <v>0</v>
      </c>
      <c r="X536" s="19" t="s">
        <v>0</v>
      </c>
      <c r="Y536" s="19" t="s">
        <v>0</v>
      </c>
      <c r="Z536" s="19" t="s">
        <v>0</v>
      </c>
      <c r="AA536" s="19" t="s">
        <v>0</v>
      </c>
    </row>
    <row r="537" spans="1:27" ht="15">
      <c r="A537" s="10">
        <f t="shared" si="17"/>
        <v>46200006</v>
      </c>
      <c r="B537" s="41" t="s">
        <v>510</v>
      </c>
      <c r="C537" s="4" t="s">
        <v>99</v>
      </c>
      <c r="D537" s="11">
        <f>IFERROR(VLOOKUP(C537,ShipShapeEnum!$E:$F,2,FALSE),"-")</f>
        <v>3</v>
      </c>
      <c r="E537" s="19" t="s">
        <v>325</v>
      </c>
      <c r="F537" s="4" t="s">
        <v>65</v>
      </c>
      <c r="G537" s="11">
        <f>IFERROR(VLOOKUP(F537,ShipShapeEnum!$B:$C,2,FALSE),"-")</f>
        <v>2</v>
      </c>
      <c r="H537" s="19" t="s">
        <v>0</v>
      </c>
      <c r="I537" s="19" t="s">
        <v>0</v>
      </c>
      <c r="J537" s="19" t="s">
        <v>0</v>
      </c>
      <c r="K537" s="19" t="s">
        <v>0</v>
      </c>
      <c r="L537" s="19" t="s">
        <v>0</v>
      </c>
      <c r="M537" s="4" t="s">
        <v>81</v>
      </c>
      <c r="N537" s="11">
        <f>IFERROR(VLOOKUP(M537,ShipShapeEnum!$H:$I,2,FALSE),"-")</f>
        <v>1</v>
      </c>
      <c r="O537" s="11" t="s">
        <v>2688</v>
      </c>
      <c r="P537" s="30"/>
      <c r="Q537" s="11" t="str">
        <f>IFERROR(INDEX(SailPattern!$A:$A,MATCH(P537,SailPattern!$B:$B,0)),"-")</f>
        <v>-</v>
      </c>
      <c r="R537" s="30"/>
      <c r="S537" s="11" t="str">
        <f>IFERROR(INDEX(SailCrest!$A:$A,MATCH(R537,SailCrest!$B:$B,0)),"-")</f>
        <v>-</v>
      </c>
      <c r="T537" s="19" t="s">
        <v>0</v>
      </c>
      <c r="U537" s="19" t="s">
        <v>0</v>
      </c>
      <c r="V537" s="19" t="s">
        <v>0</v>
      </c>
      <c r="W537" s="19" t="s">
        <v>0</v>
      </c>
      <c r="X537" s="19" t="s">
        <v>0</v>
      </c>
      <c r="Y537" s="19" t="s">
        <v>0</v>
      </c>
      <c r="Z537" s="19" t="s">
        <v>0</v>
      </c>
      <c r="AA537" s="19" t="s">
        <v>0</v>
      </c>
    </row>
    <row r="538" spans="1:27" ht="15">
      <c r="A538" s="10">
        <f t="shared" si="17"/>
        <v>46200007</v>
      </c>
      <c r="B538" s="41" t="s">
        <v>368</v>
      </c>
      <c r="C538" s="4" t="s">
        <v>99</v>
      </c>
      <c r="D538" s="11">
        <f>IFERROR(VLOOKUP(C538,ShipShapeEnum!$E:$F,2,FALSE),"-")</f>
        <v>3</v>
      </c>
      <c r="E538" s="19" t="s">
        <v>326</v>
      </c>
      <c r="F538" s="4" t="s">
        <v>65</v>
      </c>
      <c r="G538" s="11">
        <f>IFERROR(VLOOKUP(F538,ShipShapeEnum!$B:$C,2,FALSE),"-")</f>
        <v>2</v>
      </c>
      <c r="H538" s="19" t="s">
        <v>0</v>
      </c>
      <c r="I538" s="19" t="s">
        <v>0</v>
      </c>
      <c r="J538" s="19" t="s">
        <v>0</v>
      </c>
      <c r="K538" s="19" t="s">
        <v>0</v>
      </c>
      <c r="L538" s="19" t="s">
        <v>0</v>
      </c>
      <c r="M538" s="4" t="s">
        <v>81</v>
      </c>
      <c r="N538" s="11">
        <f>IFERROR(VLOOKUP(M538,ShipShapeEnum!$H:$I,2,FALSE),"-")</f>
        <v>1</v>
      </c>
      <c r="O538" s="11" t="s">
        <v>2688</v>
      </c>
      <c r="P538" s="30"/>
      <c r="Q538" s="11" t="str">
        <f>IFERROR(INDEX(SailPattern!$A:$A,MATCH(P538,SailPattern!$B:$B,0)),"-")</f>
        <v>-</v>
      </c>
      <c r="R538" s="30"/>
      <c r="S538" s="11" t="str">
        <f>IFERROR(INDEX(SailCrest!$A:$A,MATCH(R538,SailCrest!$B:$B,0)),"-")</f>
        <v>-</v>
      </c>
      <c r="T538" s="19" t="s">
        <v>0</v>
      </c>
      <c r="U538" s="19" t="s">
        <v>0</v>
      </c>
      <c r="V538" s="19" t="s">
        <v>0</v>
      </c>
      <c r="W538" s="19" t="s">
        <v>0</v>
      </c>
      <c r="X538" s="19" t="s">
        <v>0</v>
      </c>
      <c r="Y538" s="19" t="s">
        <v>0</v>
      </c>
      <c r="Z538" s="19" t="s">
        <v>0</v>
      </c>
      <c r="AA538" s="19" t="s">
        <v>0</v>
      </c>
    </row>
    <row r="539" spans="1:27" ht="15">
      <c r="A539" s="10">
        <f t="shared" si="17"/>
        <v>46200008</v>
      </c>
      <c r="B539" s="41" t="s">
        <v>511</v>
      </c>
      <c r="C539" s="4" t="s">
        <v>99</v>
      </c>
      <c r="D539" s="11">
        <f>IFERROR(VLOOKUP(C539,ShipShapeEnum!$E:$F,2,FALSE),"-")</f>
        <v>3</v>
      </c>
      <c r="E539" s="19" t="s">
        <v>327</v>
      </c>
      <c r="F539" s="4" t="s">
        <v>65</v>
      </c>
      <c r="G539" s="11">
        <f>IFERROR(VLOOKUP(F539,ShipShapeEnum!$B:$C,2,FALSE),"-")</f>
        <v>2</v>
      </c>
      <c r="H539" s="19" t="s">
        <v>0</v>
      </c>
      <c r="I539" s="19" t="s">
        <v>0</v>
      </c>
      <c r="J539" s="19" t="s">
        <v>0</v>
      </c>
      <c r="K539" s="19" t="s">
        <v>0</v>
      </c>
      <c r="L539" s="19" t="s">
        <v>0</v>
      </c>
      <c r="M539" s="4" t="s">
        <v>81</v>
      </c>
      <c r="N539" s="11">
        <f>IFERROR(VLOOKUP(M539,ShipShapeEnum!$H:$I,2,FALSE),"-")</f>
        <v>1</v>
      </c>
      <c r="O539" s="11" t="s">
        <v>2688</v>
      </c>
      <c r="P539" s="30"/>
      <c r="Q539" s="11" t="str">
        <f>IFERROR(INDEX(SailPattern!$A:$A,MATCH(P539,SailPattern!$B:$B,0)),"-")</f>
        <v>-</v>
      </c>
      <c r="R539" s="30"/>
      <c r="S539" s="11" t="str">
        <f>IFERROR(INDEX(SailCrest!$A:$A,MATCH(R539,SailCrest!$B:$B,0)),"-")</f>
        <v>-</v>
      </c>
      <c r="T539" s="19" t="s">
        <v>0</v>
      </c>
      <c r="U539" s="19" t="s">
        <v>0</v>
      </c>
      <c r="V539" s="19" t="s">
        <v>0</v>
      </c>
      <c r="W539" s="19" t="s">
        <v>0</v>
      </c>
      <c r="X539" s="19" t="s">
        <v>0</v>
      </c>
      <c r="Y539" s="19" t="s">
        <v>0</v>
      </c>
      <c r="Z539" s="19" t="s">
        <v>0</v>
      </c>
      <c r="AA539" s="19" t="s">
        <v>0</v>
      </c>
    </row>
    <row r="540" spans="1:27" ht="15">
      <c r="A540" s="10">
        <f t="shared" si="17"/>
        <v>46200009</v>
      </c>
      <c r="B540" s="41" t="s">
        <v>1759</v>
      </c>
      <c r="C540" s="4" t="s">
        <v>99</v>
      </c>
      <c r="D540" s="11">
        <f>IFERROR(VLOOKUP(C540,ShipShapeEnum!$E:$F,2,FALSE),"-")</f>
        <v>3</v>
      </c>
      <c r="E540" s="19" t="s">
        <v>328</v>
      </c>
      <c r="F540" s="4" t="s">
        <v>65</v>
      </c>
      <c r="G540" s="11">
        <f>IFERROR(VLOOKUP(F540,ShipShapeEnum!$B:$C,2,FALSE),"-")</f>
        <v>2</v>
      </c>
      <c r="H540" s="19" t="s">
        <v>0</v>
      </c>
      <c r="I540" s="19" t="s">
        <v>0</v>
      </c>
      <c r="J540" s="19" t="s">
        <v>0</v>
      </c>
      <c r="K540" s="19" t="s">
        <v>0</v>
      </c>
      <c r="L540" s="19" t="s">
        <v>0</v>
      </c>
      <c r="M540" s="4" t="s">
        <v>81</v>
      </c>
      <c r="N540" s="11">
        <f>IFERROR(VLOOKUP(M540,ShipShapeEnum!$H:$I,2,FALSE),"-")</f>
        <v>1</v>
      </c>
      <c r="O540" s="11" t="s">
        <v>2688</v>
      </c>
      <c r="P540" s="30"/>
      <c r="Q540" s="11" t="str">
        <f>IFERROR(INDEX(SailPattern!$A:$A,MATCH(P540,SailPattern!$B:$B,0)),"-")</f>
        <v>-</v>
      </c>
      <c r="R540" s="30"/>
      <c r="S540" s="11" t="str">
        <f>IFERROR(INDEX(SailCrest!$A:$A,MATCH(R540,SailCrest!$B:$B,0)),"-")</f>
        <v>-</v>
      </c>
      <c r="T540" s="19" t="s">
        <v>0</v>
      </c>
      <c r="U540" s="19" t="s">
        <v>0</v>
      </c>
      <c r="V540" s="19" t="s">
        <v>0</v>
      </c>
      <c r="W540" s="19" t="s">
        <v>0</v>
      </c>
      <c r="X540" s="19" t="s">
        <v>0</v>
      </c>
      <c r="Y540" s="19" t="s">
        <v>0</v>
      </c>
      <c r="Z540" s="19" t="s">
        <v>0</v>
      </c>
      <c r="AA540" s="19" t="s">
        <v>0</v>
      </c>
    </row>
    <row r="541" spans="1:27" ht="15">
      <c r="A541" s="10">
        <f t="shared" si="17"/>
        <v>46200010</v>
      </c>
      <c r="B541" s="41" t="s">
        <v>367</v>
      </c>
      <c r="C541" s="4" t="s">
        <v>99</v>
      </c>
      <c r="D541" s="11">
        <f>IFERROR(VLOOKUP(C541,ShipShapeEnum!$E:$F,2,FALSE),"-")</f>
        <v>3</v>
      </c>
      <c r="E541" s="19" t="s">
        <v>329</v>
      </c>
      <c r="F541" s="4" t="s">
        <v>65</v>
      </c>
      <c r="G541" s="11">
        <f>IFERROR(VLOOKUP(F541,ShipShapeEnum!$B:$C,2,FALSE),"-")</f>
        <v>2</v>
      </c>
      <c r="H541" s="19" t="s">
        <v>0</v>
      </c>
      <c r="I541" s="19" t="s">
        <v>0</v>
      </c>
      <c r="J541" s="19" t="s">
        <v>0</v>
      </c>
      <c r="K541" s="19" t="s">
        <v>0</v>
      </c>
      <c r="L541" s="19" t="s">
        <v>0</v>
      </c>
      <c r="M541" s="4" t="s">
        <v>81</v>
      </c>
      <c r="N541" s="11">
        <f>IFERROR(VLOOKUP(M541,ShipShapeEnum!$H:$I,2,FALSE),"-")</f>
        <v>1</v>
      </c>
      <c r="O541" s="11" t="s">
        <v>2688</v>
      </c>
      <c r="P541" s="30"/>
      <c r="Q541" s="11" t="str">
        <f>IFERROR(INDEX(SailPattern!$A:$A,MATCH(P541,SailPattern!$B:$B,0)),"-")</f>
        <v>-</v>
      </c>
      <c r="R541" s="30"/>
      <c r="S541" s="11" t="str">
        <f>IFERROR(INDEX(SailCrest!$A:$A,MATCH(R541,SailCrest!$B:$B,0)),"-")</f>
        <v>-</v>
      </c>
      <c r="T541" s="19" t="s">
        <v>0</v>
      </c>
      <c r="U541" s="19" t="s">
        <v>0</v>
      </c>
      <c r="V541" s="19" t="s">
        <v>0</v>
      </c>
      <c r="W541" s="19" t="s">
        <v>0</v>
      </c>
      <c r="X541" s="19" t="s">
        <v>0</v>
      </c>
      <c r="Y541" s="19" t="s">
        <v>0</v>
      </c>
      <c r="Z541" s="19" t="s">
        <v>0</v>
      </c>
      <c r="AA541" s="19" t="s">
        <v>0</v>
      </c>
    </row>
    <row r="542" spans="1:27" ht="15">
      <c r="A542" s="10">
        <f t="shared" si="17"/>
        <v>46200011</v>
      </c>
      <c r="B542" s="41" t="s">
        <v>1760</v>
      </c>
      <c r="C542" s="4" t="s">
        <v>99</v>
      </c>
      <c r="D542" s="11">
        <f>IFERROR(VLOOKUP(C542,ShipShapeEnum!$E:$F,2,FALSE),"-")</f>
        <v>3</v>
      </c>
      <c r="E542" s="19" t="s">
        <v>330</v>
      </c>
      <c r="F542" s="4" t="s">
        <v>65</v>
      </c>
      <c r="G542" s="11">
        <f>IFERROR(VLOOKUP(F542,ShipShapeEnum!$B:$C,2,FALSE),"-")</f>
        <v>2</v>
      </c>
      <c r="H542" s="19" t="s">
        <v>0</v>
      </c>
      <c r="I542" s="19" t="s">
        <v>0</v>
      </c>
      <c r="J542" s="19" t="s">
        <v>0</v>
      </c>
      <c r="K542" s="19" t="s">
        <v>0</v>
      </c>
      <c r="L542" s="19" t="s">
        <v>0</v>
      </c>
      <c r="M542" s="4" t="s">
        <v>81</v>
      </c>
      <c r="N542" s="11">
        <f>IFERROR(VLOOKUP(M542,ShipShapeEnum!$H:$I,2,FALSE),"-")</f>
        <v>1</v>
      </c>
      <c r="O542" s="11" t="s">
        <v>2688</v>
      </c>
      <c r="P542" s="30"/>
      <c r="Q542" s="11" t="str">
        <f>IFERROR(INDEX(SailPattern!$A:$A,MATCH(P542,SailPattern!$B:$B,0)),"-")</f>
        <v>-</v>
      </c>
      <c r="R542" s="30"/>
      <c r="S542" s="11" t="str">
        <f>IFERROR(INDEX(SailCrest!$A:$A,MATCH(R542,SailCrest!$B:$B,0)),"-")</f>
        <v>-</v>
      </c>
      <c r="T542" s="19" t="s">
        <v>0</v>
      </c>
      <c r="U542" s="19" t="s">
        <v>0</v>
      </c>
      <c r="V542" s="19" t="s">
        <v>0</v>
      </c>
      <c r="W542" s="19" t="s">
        <v>0</v>
      </c>
      <c r="X542" s="19" t="s">
        <v>0</v>
      </c>
      <c r="Y542" s="19" t="s">
        <v>0</v>
      </c>
      <c r="Z542" s="19" t="s">
        <v>0</v>
      </c>
      <c r="AA542" s="19" t="s">
        <v>0</v>
      </c>
    </row>
    <row r="543" spans="1:27" ht="15">
      <c r="A543" s="10">
        <f t="shared" si="17"/>
        <v>46200012</v>
      </c>
      <c r="B543" s="41" t="s">
        <v>513</v>
      </c>
      <c r="C543" s="4" t="s">
        <v>99</v>
      </c>
      <c r="D543" s="11">
        <f>IFERROR(VLOOKUP(C543,ShipShapeEnum!$E:$F,2,FALSE),"-")</f>
        <v>3</v>
      </c>
      <c r="E543" s="19" t="s">
        <v>331</v>
      </c>
      <c r="F543" s="4" t="s">
        <v>65</v>
      </c>
      <c r="G543" s="11">
        <f>IFERROR(VLOOKUP(F543,ShipShapeEnum!$B:$C,2,FALSE),"-")</f>
        <v>2</v>
      </c>
      <c r="H543" s="19" t="s">
        <v>0</v>
      </c>
      <c r="I543" s="19" t="s">
        <v>0</v>
      </c>
      <c r="J543" s="19" t="s">
        <v>0</v>
      </c>
      <c r="K543" s="19" t="s">
        <v>0</v>
      </c>
      <c r="L543" s="19" t="s">
        <v>0</v>
      </c>
      <c r="M543" s="4" t="s">
        <v>81</v>
      </c>
      <c r="N543" s="11">
        <f>IFERROR(VLOOKUP(M543,ShipShapeEnum!$H:$I,2,FALSE),"-")</f>
        <v>1</v>
      </c>
      <c r="O543" s="11" t="s">
        <v>2688</v>
      </c>
      <c r="P543" s="30"/>
      <c r="Q543" s="11" t="str">
        <f>IFERROR(INDEX(SailPattern!$A:$A,MATCH(P543,SailPattern!$B:$B,0)),"-")</f>
        <v>-</v>
      </c>
      <c r="R543" s="30"/>
      <c r="S543" s="11" t="str">
        <f>IFERROR(INDEX(SailCrest!$A:$A,MATCH(R543,SailCrest!$B:$B,0)),"-")</f>
        <v>-</v>
      </c>
      <c r="T543" s="19" t="s">
        <v>0</v>
      </c>
      <c r="U543" s="19" t="s">
        <v>0</v>
      </c>
      <c r="V543" s="19" t="s">
        <v>0</v>
      </c>
      <c r="W543" s="19" t="s">
        <v>0</v>
      </c>
      <c r="X543" s="19" t="s">
        <v>0</v>
      </c>
      <c r="Y543" s="19" t="s">
        <v>0</v>
      </c>
      <c r="Z543" s="19" t="s">
        <v>0</v>
      </c>
      <c r="AA543" s="19" t="s">
        <v>0</v>
      </c>
    </row>
    <row r="544" spans="1:27" ht="15">
      <c r="A544" s="10">
        <f t="shared" si="17"/>
        <v>46200013</v>
      </c>
      <c r="B544" s="41" t="s">
        <v>514</v>
      </c>
      <c r="C544" s="4" t="s">
        <v>99</v>
      </c>
      <c r="D544" s="11">
        <f>IFERROR(VLOOKUP(C544,ShipShapeEnum!$E:$F,2,FALSE),"-")</f>
        <v>3</v>
      </c>
      <c r="E544" s="19" t="s">
        <v>351</v>
      </c>
      <c r="F544" s="4" t="s">
        <v>65</v>
      </c>
      <c r="G544" s="11">
        <f>IFERROR(VLOOKUP(F544,ShipShapeEnum!$B:$C,2,FALSE),"-")</f>
        <v>2</v>
      </c>
      <c r="H544" s="19" t="s">
        <v>0</v>
      </c>
      <c r="I544" s="19" t="s">
        <v>0</v>
      </c>
      <c r="J544" s="19" t="s">
        <v>0</v>
      </c>
      <c r="K544" s="19" t="s">
        <v>0</v>
      </c>
      <c r="L544" s="19" t="s">
        <v>0</v>
      </c>
      <c r="M544" s="4" t="s">
        <v>81</v>
      </c>
      <c r="N544" s="11">
        <f>IFERROR(VLOOKUP(M544,ShipShapeEnum!$H:$I,2,FALSE),"-")</f>
        <v>1</v>
      </c>
      <c r="O544" s="11" t="s">
        <v>2688</v>
      </c>
      <c r="P544" s="30"/>
      <c r="Q544" s="11" t="str">
        <f>IFERROR(INDEX(SailPattern!$A:$A,MATCH(P544,SailPattern!$B:$B,0)),"-")</f>
        <v>-</v>
      </c>
      <c r="R544" s="30"/>
      <c r="S544" s="11" t="str">
        <f>IFERROR(INDEX(SailCrest!$A:$A,MATCH(R544,SailCrest!$B:$B,0)),"-")</f>
        <v>-</v>
      </c>
      <c r="T544" s="19" t="s">
        <v>0</v>
      </c>
      <c r="U544" s="19" t="s">
        <v>0</v>
      </c>
      <c r="V544" s="19" t="s">
        <v>0</v>
      </c>
      <c r="W544" s="19" t="s">
        <v>0</v>
      </c>
      <c r="X544" s="19" t="s">
        <v>0</v>
      </c>
      <c r="Y544" s="19" t="s">
        <v>0</v>
      </c>
      <c r="Z544" s="19" t="s">
        <v>0</v>
      </c>
      <c r="AA544" s="19" t="s">
        <v>0</v>
      </c>
    </row>
    <row r="545" spans="1:27" ht="15">
      <c r="A545" s="10">
        <f t="shared" si="17"/>
        <v>46200014</v>
      </c>
      <c r="B545" s="41" t="s">
        <v>515</v>
      </c>
      <c r="C545" s="4" t="s">
        <v>99</v>
      </c>
      <c r="D545" s="11">
        <f>IFERROR(VLOOKUP(C545,ShipShapeEnum!$E:$F,2,FALSE),"-")</f>
        <v>3</v>
      </c>
      <c r="E545" s="19" t="s">
        <v>332</v>
      </c>
      <c r="F545" s="4" t="s">
        <v>65</v>
      </c>
      <c r="G545" s="11">
        <f>IFERROR(VLOOKUP(F545,ShipShapeEnum!$B:$C,2,FALSE),"-")</f>
        <v>2</v>
      </c>
      <c r="H545" s="19" t="s">
        <v>0</v>
      </c>
      <c r="I545" s="19" t="s">
        <v>0</v>
      </c>
      <c r="J545" s="19" t="s">
        <v>0</v>
      </c>
      <c r="K545" s="19" t="s">
        <v>0</v>
      </c>
      <c r="L545" s="19" t="s">
        <v>0</v>
      </c>
      <c r="M545" s="4" t="s">
        <v>81</v>
      </c>
      <c r="N545" s="11">
        <f>IFERROR(VLOOKUP(M545,ShipShapeEnum!$H:$I,2,FALSE),"-")</f>
        <v>1</v>
      </c>
      <c r="O545" s="11" t="s">
        <v>2688</v>
      </c>
      <c r="P545" s="30"/>
      <c r="Q545" s="11" t="str">
        <f>IFERROR(INDEX(SailPattern!$A:$A,MATCH(P545,SailPattern!$B:$B,0)),"-")</f>
        <v>-</v>
      </c>
      <c r="R545" s="30"/>
      <c r="S545" s="11" t="str">
        <f>IFERROR(INDEX(SailCrest!$A:$A,MATCH(R545,SailCrest!$B:$B,0)),"-")</f>
        <v>-</v>
      </c>
      <c r="T545" s="19" t="s">
        <v>0</v>
      </c>
      <c r="U545" s="19" t="s">
        <v>0</v>
      </c>
      <c r="V545" s="19" t="s">
        <v>0</v>
      </c>
      <c r="W545" s="19" t="s">
        <v>0</v>
      </c>
      <c r="X545" s="19" t="s">
        <v>0</v>
      </c>
      <c r="Y545" s="19" t="s">
        <v>0</v>
      </c>
      <c r="Z545" s="19" t="s">
        <v>0</v>
      </c>
      <c r="AA545" s="19" t="s">
        <v>0</v>
      </c>
    </row>
    <row r="546" spans="1:27" ht="15">
      <c r="A546" s="10">
        <f t="shared" si="17"/>
        <v>46200015</v>
      </c>
      <c r="B546" s="41" t="s">
        <v>1761</v>
      </c>
      <c r="C546" s="4" t="s">
        <v>99</v>
      </c>
      <c r="D546" s="11">
        <f>IFERROR(VLOOKUP(C546,ShipShapeEnum!$E:$F,2,FALSE),"-")</f>
        <v>3</v>
      </c>
      <c r="E546" s="19" t="s">
        <v>333</v>
      </c>
      <c r="F546" s="4" t="s">
        <v>65</v>
      </c>
      <c r="G546" s="11">
        <f>IFERROR(VLOOKUP(F546,ShipShapeEnum!$B:$C,2,FALSE),"-")</f>
        <v>2</v>
      </c>
      <c r="H546" s="19" t="s">
        <v>0</v>
      </c>
      <c r="I546" s="19" t="s">
        <v>0</v>
      </c>
      <c r="J546" s="19" t="s">
        <v>0</v>
      </c>
      <c r="K546" s="19" t="s">
        <v>0</v>
      </c>
      <c r="L546" s="19" t="s">
        <v>0</v>
      </c>
      <c r="M546" s="4" t="s">
        <v>81</v>
      </c>
      <c r="N546" s="11">
        <f>IFERROR(VLOOKUP(M546,ShipShapeEnum!$H:$I,2,FALSE),"-")</f>
        <v>1</v>
      </c>
      <c r="O546" s="11" t="s">
        <v>2688</v>
      </c>
      <c r="P546" s="30"/>
      <c r="Q546" s="11" t="str">
        <f>IFERROR(INDEX(SailPattern!$A:$A,MATCH(P546,SailPattern!$B:$B,0)),"-")</f>
        <v>-</v>
      </c>
      <c r="R546" s="30"/>
      <c r="S546" s="11" t="str">
        <f>IFERROR(INDEX(SailCrest!$A:$A,MATCH(R546,SailCrest!$B:$B,0)),"-")</f>
        <v>-</v>
      </c>
      <c r="T546" s="19" t="s">
        <v>0</v>
      </c>
      <c r="U546" s="19" t="s">
        <v>0</v>
      </c>
      <c r="V546" s="19" t="s">
        <v>0</v>
      </c>
      <c r="W546" s="19" t="s">
        <v>0</v>
      </c>
      <c r="X546" s="19" t="s">
        <v>0</v>
      </c>
      <c r="Y546" s="19" t="s">
        <v>0</v>
      </c>
      <c r="Z546" s="19" t="s">
        <v>0</v>
      </c>
      <c r="AA546" s="19" t="s">
        <v>0</v>
      </c>
    </row>
    <row r="547" spans="1:27" ht="15">
      <c r="A547" s="10">
        <f t="shared" si="17"/>
        <v>46200016</v>
      </c>
      <c r="B547" s="41" t="s">
        <v>1762</v>
      </c>
      <c r="C547" s="4" t="s">
        <v>99</v>
      </c>
      <c r="D547" s="11">
        <f>IFERROR(VLOOKUP(C547,ShipShapeEnum!$E:$F,2,FALSE),"-")</f>
        <v>3</v>
      </c>
      <c r="E547" s="19" t="s">
        <v>334</v>
      </c>
      <c r="F547" s="4" t="s">
        <v>65</v>
      </c>
      <c r="G547" s="11">
        <f>IFERROR(VLOOKUP(F547,ShipShapeEnum!$B:$C,2,FALSE),"-")</f>
        <v>2</v>
      </c>
      <c r="H547" s="19" t="s">
        <v>0</v>
      </c>
      <c r="I547" s="19" t="s">
        <v>0</v>
      </c>
      <c r="J547" s="19" t="s">
        <v>0</v>
      </c>
      <c r="K547" s="19" t="s">
        <v>0</v>
      </c>
      <c r="L547" s="19" t="s">
        <v>0</v>
      </c>
      <c r="M547" s="4" t="s">
        <v>81</v>
      </c>
      <c r="N547" s="11">
        <f>IFERROR(VLOOKUP(M547,ShipShapeEnum!$H:$I,2,FALSE),"-")</f>
        <v>1</v>
      </c>
      <c r="O547" s="11" t="s">
        <v>2688</v>
      </c>
      <c r="P547" s="30"/>
      <c r="Q547" s="11" t="str">
        <f>IFERROR(INDEX(SailPattern!$A:$A,MATCH(P547,SailPattern!$B:$B,0)),"-")</f>
        <v>-</v>
      </c>
      <c r="R547" s="30"/>
      <c r="S547" s="11" t="str">
        <f>IFERROR(INDEX(SailCrest!$A:$A,MATCH(R547,SailCrest!$B:$B,0)),"-")</f>
        <v>-</v>
      </c>
      <c r="T547" s="19" t="s">
        <v>0</v>
      </c>
      <c r="U547" s="19" t="s">
        <v>0</v>
      </c>
      <c r="V547" s="19" t="s">
        <v>0</v>
      </c>
      <c r="W547" s="19" t="s">
        <v>0</v>
      </c>
      <c r="X547" s="19" t="s">
        <v>0</v>
      </c>
      <c r="Y547" s="19" t="s">
        <v>0</v>
      </c>
      <c r="Z547" s="19" t="s">
        <v>0</v>
      </c>
      <c r="AA547" s="19" t="s">
        <v>0</v>
      </c>
    </row>
    <row r="548" spans="1:27" ht="15">
      <c r="A548" s="10">
        <f t="shared" si="17"/>
        <v>46200017</v>
      </c>
      <c r="B548" s="41" t="s">
        <v>2639</v>
      </c>
      <c r="C548" s="4" t="s">
        <v>99</v>
      </c>
      <c r="D548" s="11">
        <f>IFERROR(VLOOKUP(C548,ShipShapeEnum!$E:$F,2,FALSE),"-")</f>
        <v>3</v>
      </c>
      <c r="E548" s="19" t="s">
        <v>335</v>
      </c>
      <c r="F548" s="4" t="s">
        <v>65</v>
      </c>
      <c r="G548" s="11">
        <f>IFERROR(VLOOKUP(F548,ShipShapeEnum!$B:$C,2,FALSE),"-")</f>
        <v>2</v>
      </c>
      <c r="H548" s="19" t="s">
        <v>0</v>
      </c>
      <c r="I548" s="19" t="s">
        <v>0</v>
      </c>
      <c r="J548" s="19" t="s">
        <v>0</v>
      </c>
      <c r="K548" s="19" t="s">
        <v>0</v>
      </c>
      <c r="L548" s="19" t="s">
        <v>0</v>
      </c>
      <c r="M548" s="4" t="s">
        <v>81</v>
      </c>
      <c r="N548" s="11">
        <f>IFERROR(VLOOKUP(M548,ShipShapeEnum!$H:$I,2,FALSE),"-")</f>
        <v>1</v>
      </c>
      <c r="O548" s="11" t="s">
        <v>2688</v>
      </c>
      <c r="P548" s="30"/>
      <c r="Q548" s="11" t="str">
        <f>IFERROR(INDEX(SailPattern!$A:$A,MATCH(P548,SailPattern!$B:$B,0)),"-")</f>
        <v>-</v>
      </c>
      <c r="R548" s="30"/>
      <c r="S548" s="11" t="str">
        <f>IFERROR(INDEX(SailCrest!$A:$A,MATCH(R548,SailCrest!$B:$B,0)),"-")</f>
        <v>-</v>
      </c>
      <c r="T548" s="19" t="s">
        <v>0</v>
      </c>
      <c r="U548" s="19" t="s">
        <v>0</v>
      </c>
      <c r="V548" s="19" t="s">
        <v>0</v>
      </c>
      <c r="W548" s="19" t="s">
        <v>0</v>
      </c>
      <c r="X548" s="19" t="s">
        <v>0</v>
      </c>
      <c r="Y548" s="19" t="s">
        <v>0</v>
      </c>
      <c r="Z548" s="19" t="s">
        <v>0</v>
      </c>
      <c r="AA548" s="19" t="s">
        <v>0</v>
      </c>
    </row>
    <row r="549" spans="1:27" ht="15">
      <c r="A549" s="10">
        <f t="shared" si="17"/>
        <v>46200018</v>
      </c>
      <c r="B549" s="41" t="s">
        <v>1763</v>
      </c>
      <c r="C549" s="4" t="s">
        <v>99</v>
      </c>
      <c r="D549" s="11">
        <f>IFERROR(VLOOKUP(C549,ShipShapeEnum!$E:$F,2,FALSE),"-")</f>
        <v>3</v>
      </c>
      <c r="E549" s="19" t="s">
        <v>336</v>
      </c>
      <c r="F549" s="4" t="s">
        <v>65</v>
      </c>
      <c r="G549" s="11">
        <f>IFERROR(VLOOKUP(F549,ShipShapeEnum!$B:$C,2,FALSE),"-")</f>
        <v>2</v>
      </c>
      <c r="H549" s="19" t="s">
        <v>0</v>
      </c>
      <c r="I549" s="19" t="s">
        <v>0</v>
      </c>
      <c r="J549" s="19" t="s">
        <v>0</v>
      </c>
      <c r="K549" s="19" t="s">
        <v>0</v>
      </c>
      <c r="L549" s="19" t="s">
        <v>0</v>
      </c>
      <c r="M549" s="4" t="s">
        <v>81</v>
      </c>
      <c r="N549" s="11">
        <f>IFERROR(VLOOKUP(M549,ShipShapeEnum!$H:$I,2,FALSE),"-")</f>
        <v>1</v>
      </c>
      <c r="O549" s="11" t="s">
        <v>2688</v>
      </c>
      <c r="P549" s="30"/>
      <c r="Q549" s="11" t="str">
        <f>IFERROR(INDEX(SailPattern!$A:$A,MATCH(P549,SailPattern!$B:$B,0)),"-")</f>
        <v>-</v>
      </c>
      <c r="R549" s="30"/>
      <c r="S549" s="11" t="str">
        <f>IFERROR(INDEX(SailCrest!$A:$A,MATCH(R549,SailCrest!$B:$B,0)),"-")</f>
        <v>-</v>
      </c>
      <c r="T549" s="19" t="s">
        <v>0</v>
      </c>
      <c r="U549" s="19" t="s">
        <v>0</v>
      </c>
      <c r="V549" s="19" t="s">
        <v>0</v>
      </c>
      <c r="W549" s="19" t="s">
        <v>0</v>
      </c>
      <c r="X549" s="19" t="s">
        <v>0</v>
      </c>
      <c r="Y549" s="19" t="s">
        <v>0</v>
      </c>
      <c r="Z549" s="19" t="s">
        <v>0</v>
      </c>
      <c r="AA549" s="19" t="s">
        <v>0</v>
      </c>
    </row>
    <row r="550" spans="1:27" ht="15">
      <c r="A550" s="10">
        <f t="shared" si="17"/>
        <v>46200019</v>
      </c>
      <c r="B550" s="41" t="s">
        <v>1764</v>
      </c>
      <c r="C550" s="4" t="s">
        <v>99</v>
      </c>
      <c r="D550" s="11">
        <f>IFERROR(VLOOKUP(C550,ShipShapeEnum!$E:$F,2,FALSE),"-")</f>
        <v>3</v>
      </c>
      <c r="E550" s="19" t="s">
        <v>337</v>
      </c>
      <c r="F550" s="4" t="s">
        <v>65</v>
      </c>
      <c r="G550" s="11">
        <f>IFERROR(VLOOKUP(F550,ShipShapeEnum!$B:$C,2,FALSE),"-")</f>
        <v>2</v>
      </c>
      <c r="H550" s="19" t="s">
        <v>0</v>
      </c>
      <c r="I550" s="19" t="s">
        <v>0</v>
      </c>
      <c r="J550" s="19" t="s">
        <v>0</v>
      </c>
      <c r="K550" s="19" t="s">
        <v>0</v>
      </c>
      <c r="L550" s="19" t="s">
        <v>0</v>
      </c>
      <c r="M550" s="4" t="s">
        <v>81</v>
      </c>
      <c r="N550" s="11">
        <f>IFERROR(VLOOKUP(M550,ShipShapeEnum!$H:$I,2,FALSE),"-")</f>
        <v>1</v>
      </c>
      <c r="O550" s="11" t="s">
        <v>2688</v>
      </c>
      <c r="P550" s="30"/>
      <c r="Q550" s="11" t="str">
        <f>IFERROR(INDEX(SailPattern!$A:$A,MATCH(P550,SailPattern!$B:$B,0)),"-")</f>
        <v>-</v>
      </c>
      <c r="R550" s="30"/>
      <c r="S550" s="11" t="str">
        <f>IFERROR(INDEX(SailCrest!$A:$A,MATCH(R550,SailCrest!$B:$B,0)),"-")</f>
        <v>-</v>
      </c>
      <c r="T550" s="19" t="s">
        <v>0</v>
      </c>
      <c r="U550" s="19" t="s">
        <v>0</v>
      </c>
      <c r="V550" s="19" t="s">
        <v>0</v>
      </c>
      <c r="W550" s="19" t="s">
        <v>0</v>
      </c>
      <c r="X550" s="19" t="s">
        <v>0</v>
      </c>
      <c r="Y550" s="19" t="s">
        <v>0</v>
      </c>
      <c r="Z550" s="19" t="s">
        <v>0</v>
      </c>
      <c r="AA550" s="19" t="s">
        <v>0</v>
      </c>
    </row>
    <row r="551" spans="1:27" ht="15">
      <c r="A551" s="10">
        <f t="shared" si="17"/>
        <v>46200020</v>
      </c>
      <c r="B551" s="41" t="s">
        <v>1765</v>
      </c>
      <c r="C551" s="4" t="s">
        <v>99</v>
      </c>
      <c r="D551" s="11">
        <f>IFERROR(VLOOKUP(C551,ShipShapeEnum!$E:$F,2,FALSE),"-")</f>
        <v>3</v>
      </c>
      <c r="E551" s="19" t="s">
        <v>339</v>
      </c>
      <c r="F551" s="4" t="s">
        <v>65</v>
      </c>
      <c r="G551" s="11">
        <f>IFERROR(VLOOKUP(F551,ShipShapeEnum!$B:$C,2,FALSE),"-")</f>
        <v>2</v>
      </c>
      <c r="H551" s="19" t="s">
        <v>0</v>
      </c>
      <c r="I551" s="19" t="s">
        <v>0</v>
      </c>
      <c r="J551" s="19" t="s">
        <v>0</v>
      </c>
      <c r="K551" s="19" t="s">
        <v>0</v>
      </c>
      <c r="L551" s="19" t="s">
        <v>0</v>
      </c>
      <c r="M551" s="4" t="s">
        <v>81</v>
      </c>
      <c r="N551" s="11">
        <f>IFERROR(VLOOKUP(M551,ShipShapeEnum!$H:$I,2,FALSE),"-")</f>
        <v>1</v>
      </c>
      <c r="O551" s="11" t="s">
        <v>2688</v>
      </c>
      <c r="P551" s="30"/>
      <c r="Q551" s="11" t="str">
        <f>IFERROR(INDEX(SailPattern!$A:$A,MATCH(P551,SailPattern!$B:$B,0)),"-")</f>
        <v>-</v>
      </c>
      <c r="R551" s="30"/>
      <c r="S551" s="11" t="str">
        <f>IFERROR(INDEX(SailCrest!$A:$A,MATCH(R551,SailCrest!$B:$B,0)),"-")</f>
        <v>-</v>
      </c>
      <c r="T551" s="19" t="s">
        <v>0</v>
      </c>
      <c r="U551" s="19" t="s">
        <v>0</v>
      </c>
      <c r="V551" s="19" t="s">
        <v>0</v>
      </c>
      <c r="W551" s="19" t="s">
        <v>0</v>
      </c>
      <c r="X551" s="19" t="s">
        <v>0</v>
      </c>
      <c r="Y551" s="19" t="s">
        <v>0</v>
      </c>
      <c r="Z551" s="19" t="s">
        <v>0</v>
      </c>
      <c r="AA551" s="19" t="s">
        <v>0</v>
      </c>
    </row>
    <row r="552" spans="1:27" ht="15">
      <c r="A552" s="10">
        <f t="shared" si="17"/>
        <v>46200021</v>
      </c>
      <c r="B552" s="41" t="s">
        <v>1766</v>
      </c>
      <c r="C552" s="4" t="s">
        <v>99</v>
      </c>
      <c r="D552" s="11">
        <f>IFERROR(VLOOKUP(C552,ShipShapeEnum!$E:$F,2,FALSE),"-")</f>
        <v>3</v>
      </c>
      <c r="E552" s="19" t="s">
        <v>341</v>
      </c>
      <c r="F552" s="4" t="s">
        <v>65</v>
      </c>
      <c r="G552" s="11">
        <f>IFERROR(VLOOKUP(F552,ShipShapeEnum!$B:$C,2,FALSE),"-")</f>
        <v>2</v>
      </c>
      <c r="H552" s="19" t="s">
        <v>0</v>
      </c>
      <c r="I552" s="19" t="s">
        <v>0</v>
      </c>
      <c r="J552" s="19" t="s">
        <v>0</v>
      </c>
      <c r="K552" s="19" t="s">
        <v>0</v>
      </c>
      <c r="L552" s="19" t="s">
        <v>0</v>
      </c>
      <c r="M552" s="4" t="s">
        <v>81</v>
      </c>
      <c r="N552" s="11">
        <f>IFERROR(VLOOKUP(M552,ShipShapeEnum!$H:$I,2,FALSE),"-")</f>
        <v>1</v>
      </c>
      <c r="O552" s="11" t="s">
        <v>2688</v>
      </c>
      <c r="P552" s="30"/>
      <c r="Q552" s="11" t="str">
        <f>IFERROR(INDEX(SailPattern!$A:$A,MATCH(P552,SailPattern!$B:$B,0)),"-")</f>
        <v>-</v>
      </c>
      <c r="R552" s="30"/>
      <c r="S552" s="11" t="str">
        <f>IFERROR(INDEX(SailCrest!$A:$A,MATCH(R552,SailCrest!$B:$B,0)),"-")</f>
        <v>-</v>
      </c>
      <c r="T552" s="19" t="s">
        <v>0</v>
      </c>
      <c r="U552" s="19" t="s">
        <v>0</v>
      </c>
      <c r="V552" s="19" t="s">
        <v>0</v>
      </c>
      <c r="W552" s="19" t="s">
        <v>0</v>
      </c>
      <c r="X552" s="19" t="s">
        <v>0</v>
      </c>
      <c r="Y552" s="19" t="s">
        <v>0</v>
      </c>
      <c r="Z552" s="19" t="s">
        <v>0</v>
      </c>
      <c r="AA552" s="19" t="s">
        <v>0</v>
      </c>
    </row>
    <row r="553" spans="1:27" ht="15">
      <c r="A553" s="10">
        <f t="shared" si="17"/>
        <v>46200022</v>
      </c>
      <c r="B553" s="41" t="s">
        <v>1767</v>
      </c>
      <c r="C553" s="4" t="s">
        <v>99</v>
      </c>
      <c r="D553" s="11">
        <f>IFERROR(VLOOKUP(C553,ShipShapeEnum!$E:$F,2,FALSE),"-")</f>
        <v>3</v>
      </c>
      <c r="E553" s="19" t="s">
        <v>342</v>
      </c>
      <c r="F553" s="4" t="s">
        <v>65</v>
      </c>
      <c r="G553" s="11">
        <f>IFERROR(VLOOKUP(F553,ShipShapeEnum!$B:$C,2,FALSE),"-")</f>
        <v>2</v>
      </c>
      <c r="H553" s="19" t="s">
        <v>0</v>
      </c>
      <c r="I553" s="19" t="s">
        <v>0</v>
      </c>
      <c r="J553" s="19" t="s">
        <v>0</v>
      </c>
      <c r="K553" s="19" t="s">
        <v>0</v>
      </c>
      <c r="L553" s="19" t="s">
        <v>0</v>
      </c>
      <c r="M553" s="4" t="s">
        <v>81</v>
      </c>
      <c r="N553" s="11">
        <f>IFERROR(VLOOKUP(M553,ShipShapeEnum!$H:$I,2,FALSE),"-")</f>
        <v>1</v>
      </c>
      <c r="O553" s="11" t="s">
        <v>2688</v>
      </c>
      <c r="P553" s="30"/>
      <c r="Q553" s="11" t="str">
        <f>IFERROR(INDEX(SailPattern!$A:$A,MATCH(P553,SailPattern!$B:$B,0)),"-")</f>
        <v>-</v>
      </c>
      <c r="R553" s="30"/>
      <c r="S553" s="11" t="str">
        <f>IFERROR(INDEX(SailCrest!$A:$A,MATCH(R553,SailCrest!$B:$B,0)),"-")</f>
        <v>-</v>
      </c>
      <c r="T553" s="19" t="s">
        <v>0</v>
      </c>
      <c r="U553" s="19" t="s">
        <v>0</v>
      </c>
      <c r="V553" s="19" t="s">
        <v>0</v>
      </c>
      <c r="W553" s="19" t="s">
        <v>0</v>
      </c>
      <c r="X553" s="19" t="s">
        <v>0</v>
      </c>
      <c r="Y553" s="19" t="s">
        <v>0</v>
      </c>
      <c r="Z553" s="19" t="s">
        <v>0</v>
      </c>
      <c r="AA553" s="19" t="s">
        <v>0</v>
      </c>
    </row>
    <row r="554" spans="1:27" ht="15">
      <c r="A554" s="10">
        <f t="shared" si="17"/>
        <v>46200023</v>
      </c>
      <c r="B554" s="41" t="s">
        <v>1768</v>
      </c>
      <c r="C554" s="4" t="s">
        <v>99</v>
      </c>
      <c r="D554" s="11">
        <f>IFERROR(VLOOKUP(C554,ShipShapeEnum!$E:$F,2,FALSE),"-")</f>
        <v>3</v>
      </c>
      <c r="E554" s="19" t="s">
        <v>343</v>
      </c>
      <c r="F554" s="4" t="s">
        <v>65</v>
      </c>
      <c r="G554" s="11">
        <f>IFERROR(VLOOKUP(F554,ShipShapeEnum!$B:$C,2,FALSE),"-")</f>
        <v>2</v>
      </c>
      <c r="H554" s="19" t="s">
        <v>0</v>
      </c>
      <c r="I554" s="19" t="s">
        <v>0</v>
      </c>
      <c r="J554" s="19" t="s">
        <v>0</v>
      </c>
      <c r="K554" s="19" t="s">
        <v>0</v>
      </c>
      <c r="L554" s="19" t="s">
        <v>0</v>
      </c>
      <c r="M554" s="4" t="s">
        <v>81</v>
      </c>
      <c r="N554" s="11">
        <f>IFERROR(VLOOKUP(M554,ShipShapeEnum!$H:$I,2,FALSE),"-")</f>
        <v>1</v>
      </c>
      <c r="O554" s="11" t="s">
        <v>2688</v>
      </c>
      <c r="P554" s="30"/>
      <c r="Q554" s="11" t="str">
        <f>IFERROR(INDEX(SailPattern!$A:$A,MATCH(P554,SailPattern!$B:$B,0)),"-")</f>
        <v>-</v>
      </c>
      <c r="R554" s="30"/>
      <c r="S554" s="11" t="str">
        <f>IFERROR(INDEX(SailCrest!$A:$A,MATCH(R554,SailCrest!$B:$B,0)),"-")</f>
        <v>-</v>
      </c>
      <c r="T554" s="19" t="s">
        <v>0</v>
      </c>
      <c r="U554" s="19" t="s">
        <v>0</v>
      </c>
      <c r="V554" s="19" t="s">
        <v>0</v>
      </c>
      <c r="W554" s="19" t="s">
        <v>0</v>
      </c>
      <c r="X554" s="19" t="s">
        <v>0</v>
      </c>
      <c r="Y554" s="19" t="s">
        <v>0</v>
      </c>
      <c r="Z554" s="19" t="s">
        <v>0</v>
      </c>
      <c r="AA554" s="19" t="s">
        <v>0</v>
      </c>
    </row>
    <row r="555" spans="1:27" ht="15">
      <c r="A555" s="10">
        <f t="shared" si="17"/>
        <v>46200024</v>
      </c>
      <c r="B555" s="41" t="s">
        <v>1769</v>
      </c>
      <c r="C555" s="4" t="s">
        <v>99</v>
      </c>
      <c r="D555" s="11">
        <f>IFERROR(VLOOKUP(C555,ShipShapeEnum!$E:$F,2,FALSE),"-")</f>
        <v>3</v>
      </c>
      <c r="E555" s="19" t="s">
        <v>344</v>
      </c>
      <c r="F555" s="4" t="s">
        <v>65</v>
      </c>
      <c r="G555" s="11">
        <f>IFERROR(VLOOKUP(F555,ShipShapeEnum!$B:$C,2,FALSE),"-")</f>
        <v>2</v>
      </c>
      <c r="H555" s="19" t="s">
        <v>0</v>
      </c>
      <c r="I555" s="19" t="s">
        <v>0</v>
      </c>
      <c r="J555" s="19" t="s">
        <v>0</v>
      </c>
      <c r="K555" s="19" t="s">
        <v>0</v>
      </c>
      <c r="L555" s="19" t="s">
        <v>0</v>
      </c>
      <c r="M555" s="4" t="s">
        <v>81</v>
      </c>
      <c r="N555" s="11">
        <f>IFERROR(VLOOKUP(M555,ShipShapeEnum!$H:$I,2,FALSE),"-")</f>
        <v>1</v>
      </c>
      <c r="O555" s="11" t="s">
        <v>2688</v>
      </c>
      <c r="P555" s="30"/>
      <c r="Q555" s="11" t="str">
        <f>IFERROR(INDEX(SailPattern!$A:$A,MATCH(P555,SailPattern!$B:$B,0)),"-")</f>
        <v>-</v>
      </c>
      <c r="R555" s="30"/>
      <c r="S555" s="11" t="str">
        <f>IFERROR(INDEX(SailCrest!$A:$A,MATCH(R555,SailCrest!$B:$B,0)),"-")</f>
        <v>-</v>
      </c>
      <c r="T555" s="19" t="s">
        <v>0</v>
      </c>
      <c r="U555" s="19" t="s">
        <v>0</v>
      </c>
      <c r="V555" s="19" t="s">
        <v>0</v>
      </c>
      <c r="W555" s="19" t="s">
        <v>0</v>
      </c>
      <c r="X555" s="19" t="s">
        <v>0</v>
      </c>
      <c r="Y555" s="19" t="s">
        <v>0</v>
      </c>
      <c r="Z555" s="19" t="s">
        <v>0</v>
      </c>
      <c r="AA555" s="19" t="s">
        <v>0</v>
      </c>
    </row>
    <row r="556" spans="1:27" ht="15">
      <c r="A556" s="10">
        <f t="shared" si="17"/>
        <v>46200025</v>
      </c>
      <c r="B556" s="41" t="s">
        <v>1770</v>
      </c>
      <c r="C556" s="4" t="s">
        <v>99</v>
      </c>
      <c r="D556" s="11">
        <f>IFERROR(VLOOKUP(C556,ShipShapeEnum!$E:$F,2,FALSE),"-")</f>
        <v>3</v>
      </c>
      <c r="E556" s="19" t="s">
        <v>345</v>
      </c>
      <c r="F556" s="4" t="s">
        <v>65</v>
      </c>
      <c r="G556" s="11">
        <f>IFERROR(VLOOKUP(F556,ShipShapeEnum!$B:$C,2,FALSE),"-")</f>
        <v>2</v>
      </c>
      <c r="H556" s="19" t="s">
        <v>0</v>
      </c>
      <c r="I556" s="19" t="s">
        <v>0</v>
      </c>
      <c r="J556" s="19" t="s">
        <v>0</v>
      </c>
      <c r="K556" s="19" t="s">
        <v>0</v>
      </c>
      <c r="L556" s="19" t="s">
        <v>0</v>
      </c>
      <c r="M556" s="4" t="s">
        <v>81</v>
      </c>
      <c r="N556" s="11">
        <f>IFERROR(VLOOKUP(M556,ShipShapeEnum!$H:$I,2,FALSE),"-")</f>
        <v>1</v>
      </c>
      <c r="O556" s="11" t="s">
        <v>2688</v>
      </c>
      <c r="P556" s="30"/>
      <c r="Q556" s="11" t="str">
        <f>IFERROR(INDEX(SailPattern!$A:$A,MATCH(P556,SailPattern!$B:$B,0)),"-")</f>
        <v>-</v>
      </c>
      <c r="R556" s="30"/>
      <c r="S556" s="11" t="str">
        <f>IFERROR(INDEX(SailCrest!$A:$A,MATCH(R556,SailCrest!$B:$B,0)),"-")</f>
        <v>-</v>
      </c>
      <c r="T556" s="19" t="s">
        <v>0</v>
      </c>
      <c r="U556" s="19" t="s">
        <v>0</v>
      </c>
      <c r="V556" s="19" t="s">
        <v>0</v>
      </c>
      <c r="W556" s="19" t="s">
        <v>0</v>
      </c>
      <c r="X556" s="19" t="s">
        <v>0</v>
      </c>
      <c r="Y556" s="19" t="s">
        <v>0</v>
      </c>
      <c r="Z556" s="19" t="s">
        <v>0</v>
      </c>
      <c r="AA556" s="19" t="s">
        <v>0</v>
      </c>
    </row>
    <row r="557" spans="1:27" ht="15">
      <c r="A557" s="10">
        <f t="shared" si="17"/>
        <v>46200026</v>
      </c>
      <c r="B557" s="41" t="s">
        <v>1771</v>
      </c>
      <c r="C557" s="4" t="s">
        <v>99</v>
      </c>
      <c r="D557" s="11">
        <f>IFERROR(VLOOKUP(C557,ShipShapeEnum!$E:$F,2,FALSE),"-")</f>
        <v>3</v>
      </c>
      <c r="E557" s="19" t="s">
        <v>346</v>
      </c>
      <c r="F557" s="4" t="s">
        <v>65</v>
      </c>
      <c r="G557" s="11">
        <f>IFERROR(VLOOKUP(F557,ShipShapeEnum!$B:$C,2,FALSE),"-")</f>
        <v>2</v>
      </c>
      <c r="H557" s="19" t="s">
        <v>0</v>
      </c>
      <c r="I557" s="19" t="s">
        <v>0</v>
      </c>
      <c r="J557" s="19" t="s">
        <v>0</v>
      </c>
      <c r="K557" s="19" t="s">
        <v>0</v>
      </c>
      <c r="L557" s="19" t="s">
        <v>0</v>
      </c>
      <c r="M557" s="4" t="s">
        <v>81</v>
      </c>
      <c r="N557" s="11">
        <f>IFERROR(VLOOKUP(M557,ShipShapeEnum!$H:$I,2,FALSE),"-")</f>
        <v>1</v>
      </c>
      <c r="O557" s="11" t="s">
        <v>2688</v>
      </c>
      <c r="P557" s="30"/>
      <c r="Q557" s="11" t="str">
        <f>IFERROR(INDEX(SailPattern!$A:$A,MATCH(P557,SailPattern!$B:$B,0)),"-")</f>
        <v>-</v>
      </c>
      <c r="R557" s="30"/>
      <c r="S557" s="11" t="str">
        <f>IFERROR(INDEX(SailCrest!$A:$A,MATCH(R557,SailCrest!$B:$B,0)),"-")</f>
        <v>-</v>
      </c>
      <c r="T557" s="19" t="s">
        <v>0</v>
      </c>
      <c r="U557" s="19" t="s">
        <v>0</v>
      </c>
      <c r="V557" s="19" t="s">
        <v>0</v>
      </c>
      <c r="W557" s="19" t="s">
        <v>0</v>
      </c>
      <c r="X557" s="19" t="s">
        <v>0</v>
      </c>
      <c r="Y557" s="19" t="s">
        <v>0</v>
      </c>
      <c r="Z557" s="19" t="s">
        <v>0</v>
      </c>
      <c r="AA557" s="19" t="s">
        <v>0</v>
      </c>
    </row>
    <row r="558" spans="1:27" ht="15">
      <c r="A558" s="10">
        <f t="shared" si="17"/>
        <v>46200027</v>
      </c>
      <c r="B558" s="41" t="s">
        <v>1772</v>
      </c>
      <c r="C558" s="4" t="s">
        <v>99</v>
      </c>
      <c r="D558" s="11">
        <f>IFERROR(VLOOKUP(C558,ShipShapeEnum!$E:$F,2,FALSE),"-")</f>
        <v>3</v>
      </c>
      <c r="E558" s="19" t="s">
        <v>347</v>
      </c>
      <c r="F558" s="4" t="s">
        <v>65</v>
      </c>
      <c r="G558" s="11">
        <f>IFERROR(VLOOKUP(F558,ShipShapeEnum!$B:$C,2,FALSE),"-")</f>
        <v>2</v>
      </c>
      <c r="H558" s="19" t="s">
        <v>0</v>
      </c>
      <c r="I558" s="19" t="s">
        <v>0</v>
      </c>
      <c r="J558" s="19" t="s">
        <v>0</v>
      </c>
      <c r="K558" s="19" t="s">
        <v>0</v>
      </c>
      <c r="L558" s="19" t="s">
        <v>0</v>
      </c>
      <c r="M558" s="4" t="s">
        <v>81</v>
      </c>
      <c r="N558" s="11">
        <f>IFERROR(VLOOKUP(M558,ShipShapeEnum!$H:$I,2,FALSE),"-")</f>
        <v>1</v>
      </c>
      <c r="O558" s="11" t="s">
        <v>2688</v>
      </c>
      <c r="P558" s="30"/>
      <c r="Q558" s="11" t="str">
        <f>IFERROR(INDEX(SailPattern!$A:$A,MATCH(P558,SailPattern!$B:$B,0)),"-")</f>
        <v>-</v>
      </c>
      <c r="R558" s="30"/>
      <c r="S558" s="11" t="str">
        <f>IFERROR(INDEX(SailCrest!$A:$A,MATCH(R558,SailCrest!$B:$B,0)),"-")</f>
        <v>-</v>
      </c>
      <c r="T558" s="19" t="s">
        <v>0</v>
      </c>
      <c r="U558" s="19" t="s">
        <v>0</v>
      </c>
      <c r="V558" s="19" t="s">
        <v>0</v>
      </c>
      <c r="W558" s="19" t="s">
        <v>0</v>
      </c>
      <c r="X558" s="19" t="s">
        <v>0</v>
      </c>
      <c r="Y558" s="19" t="s">
        <v>0</v>
      </c>
      <c r="Z558" s="19" t="s">
        <v>0</v>
      </c>
      <c r="AA558" s="19" t="s">
        <v>0</v>
      </c>
    </row>
    <row r="559" spans="1:27" ht="15">
      <c r="A559" s="10">
        <f t="shared" si="17"/>
        <v>46200028</v>
      </c>
      <c r="B559" s="41" t="s">
        <v>1773</v>
      </c>
      <c r="C559" s="4" t="s">
        <v>99</v>
      </c>
      <c r="D559" s="11">
        <f>IFERROR(VLOOKUP(C559,ShipShapeEnum!$E:$F,2,FALSE),"-")</f>
        <v>3</v>
      </c>
      <c r="E559" s="19" t="s">
        <v>349</v>
      </c>
      <c r="F559" s="4" t="s">
        <v>65</v>
      </c>
      <c r="G559" s="11">
        <f>IFERROR(VLOOKUP(F559,ShipShapeEnum!$B:$C,2,FALSE),"-")</f>
        <v>2</v>
      </c>
      <c r="H559" s="19" t="s">
        <v>79</v>
      </c>
      <c r="I559" s="19" t="s">
        <v>0</v>
      </c>
      <c r="J559" s="19" t="s">
        <v>0</v>
      </c>
      <c r="K559" s="19" t="s">
        <v>0</v>
      </c>
      <c r="L559" s="19" t="s">
        <v>0</v>
      </c>
      <c r="M559" s="4" t="s">
        <v>81</v>
      </c>
      <c r="N559" s="11">
        <f>IFERROR(VLOOKUP(M559,ShipShapeEnum!$H:$I,2,FALSE),"-")</f>
        <v>1</v>
      </c>
      <c r="O559" s="11" t="s">
        <v>2688</v>
      </c>
      <c r="P559" s="30"/>
      <c r="Q559" s="11" t="str">
        <f>IFERROR(INDEX(SailPattern!$A:$A,MATCH(P559,SailPattern!$B:$B,0)),"-")</f>
        <v>-</v>
      </c>
      <c r="R559" s="30"/>
      <c r="S559" s="11" t="str">
        <f>IFERROR(INDEX(SailCrest!$A:$A,MATCH(R559,SailCrest!$B:$B,0)),"-")</f>
        <v>-</v>
      </c>
      <c r="T559" s="19" t="s">
        <v>0</v>
      </c>
      <c r="U559" s="19" t="s">
        <v>0</v>
      </c>
      <c r="V559" s="19" t="s">
        <v>0</v>
      </c>
      <c r="W559" s="19" t="s">
        <v>0</v>
      </c>
      <c r="X559" s="19" t="s">
        <v>0</v>
      </c>
      <c r="Y559" s="19" t="s">
        <v>0</v>
      </c>
      <c r="Z559" s="19" t="s">
        <v>0</v>
      </c>
      <c r="AA559" s="19" t="s">
        <v>0</v>
      </c>
    </row>
    <row r="560" spans="1:27" ht="15">
      <c r="A560" s="10">
        <f t="shared" si="17"/>
        <v>46200029</v>
      </c>
      <c r="B560" s="41" t="s">
        <v>1774</v>
      </c>
      <c r="C560" s="4" t="s">
        <v>99</v>
      </c>
      <c r="D560" s="11">
        <f>IFERROR(VLOOKUP(C560,ShipShapeEnum!$E:$F,2,FALSE),"-")</f>
        <v>3</v>
      </c>
      <c r="E560" s="19" t="s">
        <v>350</v>
      </c>
      <c r="F560" s="4" t="s">
        <v>65</v>
      </c>
      <c r="G560" s="11">
        <f>IFERROR(VLOOKUP(F560,ShipShapeEnum!$B:$C,2,FALSE),"-")</f>
        <v>2</v>
      </c>
      <c r="H560" s="19" t="s">
        <v>0</v>
      </c>
      <c r="I560" s="19" t="s">
        <v>0</v>
      </c>
      <c r="J560" s="19" t="s">
        <v>0</v>
      </c>
      <c r="K560" s="19" t="s">
        <v>0</v>
      </c>
      <c r="L560" s="19" t="s">
        <v>0</v>
      </c>
      <c r="M560" s="4" t="s">
        <v>81</v>
      </c>
      <c r="N560" s="11">
        <f>IFERROR(VLOOKUP(M560,ShipShapeEnum!$H:$I,2,FALSE),"-")</f>
        <v>1</v>
      </c>
      <c r="O560" s="11" t="s">
        <v>2688</v>
      </c>
      <c r="P560" s="30"/>
      <c r="Q560" s="11" t="str">
        <f>IFERROR(INDEX(SailPattern!$A:$A,MATCH(P560,SailPattern!$B:$B,0)),"-")</f>
        <v>-</v>
      </c>
      <c r="R560" s="30"/>
      <c r="S560" s="11" t="str">
        <f>IFERROR(INDEX(SailCrest!$A:$A,MATCH(R560,SailCrest!$B:$B,0)),"-")</f>
        <v>-</v>
      </c>
      <c r="T560" s="19" t="s">
        <v>0</v>
      </c>
      <c r="U560" s="19" t="s">
        <v>0</v>
      </c>
      <c r="V560" s="19" t="s">
        <v>0</v>
      </c>
      <c r="W560" s="19" t="s">
        <v>0</v>
      </c>
      <c r="X560" s="19" t="s">
        <v>0</v>
      </c>
      <c r="Y560" s="19" t="s">
        <v>0</v>
      </c>
      <c r="Z560" s="19" t="s">
        <v>0</v>
      </c>
      <c r="AA560" s="19" t="s">
        <v>0</v>
      </c>
    </row>
    <row r="561" spans="1:27" ht="15">
      <c r="A561" s="10">
        <f t="shared" si="17"/>
        <v>46200030</v>
      </c>
      <c r="B561" s="41" t="s">
        <v>1775</v>
      </c>
      <c r="C561" s="4" t="s">
        <v>99</v>
      </c>
      <c r="D561" s="11">
        <f>IFERROR(VLOOKUP(C561,ShipShapeEnum!$E:$F,2,FALSE),"-")</f>
        <v>3</v>
      </c>
      <c r="E561" s="45" t="s">
        <v>797</v>
      </c>
      <c r="F561" s="4" t="s">
        <v>65</v>
      </c>
      <c r="G561" s="11">
        <f>IFERROR(VLOOKUP(F561,ShipShapeEnum!$B:$C,2,FALSE),"-")</f>
        <v>2</v>
      </c>
      <c r="H561" s="19" t="s">
        <v>0</v>
      </c>
      <c r="I561" s="19" t="s">
        <v>0</v>
      </c>
      <c r="J561" s="19" t="s">
        <v>0</v>
      </c>
      <c r="K561" s="19" t="s">
        <v>0</v>
      </c>
      <c r="L561" s="19" t="s">
        <v>0</v>
      </c>
      <c r="M561" s="4" t="s">
        <v>81</v>
      </c>
      <c r="N561" s="11">
        <f>IFERROR(VLOOKUP(M561,ShipShapeEnum!$H:$I,2,FALSE),"-")</f>
        <v>1</v>
      </c>
      <c r="O561" s="11" t="s">
        <v>2688</v>
      </c>
      <c r="P561" s="30"/>
      <c r="Q561" s="11" t="str">
        <f>IFERROR(INDEX(SailPattern!$A:$A,MATCH(P561,SailPattern!$B:$B,0)),"-")</f>
        <v>-</v>
      </c>
      <c r="R561" s="30"/>
      <c r="S561" s="11" t="str">
        <f>IFERROR(INDEX(SailCrest!$A:$A,MATCH(R561,SailCrest!$B:$B,0)),"-")</f>
        <v>-</v>
      </c>
      <c r="T561" s="19" t="s">
        <v>0</v>
      </c>
      <c r="U561" s="19" t="s">
        <v>0</v>
      </c>
      <c r="V561" s="19" t="s">
        <v>0</v>
      </c>
      <c r="W561" s="19" t="s">
        <v>0</v>
      </c>
      <c r="X561" s="19" t="s">
        <v>0</v>
      </c>
      <c r="Y561" s="19" t="s">
        <v>0</v>
      </c>
      <c r="Z561" s="19" t="s">
        <v>0</v>
      </c>
      <c r="AA561" s="19" t="s">
        <v>0</v>
      </c>
    </row>
    <row r="562" spans="1:27" ht="15">
      <c r="A562" s="10">
        <f t="shared" si="17"/>
        <v>46200031</v>
      </c>
      <c r="B562" s="41" t="s">
        <v>1776</v>
      </c>
      <c r="C562" s="4" t="s">
        <v>99</v>
      </c>
      <c r="D562" s="11">
        <f>IFERROR(VLOOKUP(C562,ShipShapeEnum!$E:$F,2,FALSE),"-")</f>
        <v>3</v>
      </c>
      <c r="E562" s="19" t="s">
        <v>798</v>
      </c>
      <c r="F562" s="4" t="s">
        <v>65</v>
      </c>
      <c r="G562" s="11">
        <f>IFERROR(VLOOKUP(F562,ShipShapeEnum!$B:$C,2,FALSE),"-")</f>
        <v>2</v>
      </c>
      <c r="H562" s="19" t="s">
        <v>0</v>
      </c>
      <c r="I562" s="19" t="s">
        <v>0</v>
      </c>
      <c r="J562" s="19" t="s">
        <v>0</v>
      </c>
      <c r="K562" s="19" t="s">
        <v>0</v>
      </c>
      <c r="L562" s="19" t="s">
        <v>0</v>
      </c>
      <c r="M562" s="4" t="s">
        <v>81</v>
      </c>
      <c r="N562" s="11">
        <f>IFERROR(VLOOKUP(M562,ShipShapeEnum!$H:$I,2,FALSE),"-")</f>
        <v>1</v>
      </c>
      <c r="O562" s="11" t="s">
        <v>2688</v>
      </c>
      <c r="P562" s="30"/>
      <c r="Q562" s="11" t="str">
        <f>IFERROR(INDEX(SailPattern!$A:$A,MATCH(P562,SailPattern!$B:$B,0)),"-")</f>
        <v>-</v>
      </c>
      <c r="R562" s="30"/>
      <c r="S562" s="11" t="str">
        <f>IFERROR(INDEX(SailCrest!$A:$A,MATCH(R562,SailCrest!$B:$B,0)),"-")</f>
        <v>-</v>
      </c>
      <c r="T562" s="19" t="s">
        <v>0</v>
      </c>
      <c r="U562" s="19" t="s">
        <v>0</v>
      </c>
      <c r="V562" s="19" t="s">
        <v>0</v>
      </c>
      <c r="W562" s="19" t="s">
        <v>0</v>
      </c>
      <c r="X562" s="19" t="s">
        <v>0</v>
      </c>
      <c r="Y562" s="19" t="s">
        <v>0</v>
      </c>
      <c r="Z562" s="19" t="s">
        <v>0</v>
      </c>
      <c r="AA562" s="19" t="s">
        <v>0</v>
      </c>
    </row>
    <row r="563" spans="1:27" ht="15">
      <c r="A563" s="10">
        <f t="shared" si="17"/>
        <v>46200032</v>
      </c>
      <c r="B563" s="41" t="s">
        <v>1777</v>
      </c>
      <c r="C563" s="4" t="s">
        <v>99</v>
      </c>
      <c r="D563" s="11">
        <f>IFERROR(VLOOKUP(C563,ShipShapeEnum!$E:$F,2,FALSE),"-")</f>
        <v>3</v>
      </c>
      <c r="E563" s="19" t="s">
        <v>799</v>
      </c>
      <c r="F563" s="4" t="s">
        <v>65</v>
      </c>
      <c r="G563" s="11">
        <f>IFERROR(VLOOKUP(F563,ShipShapeEnum!$B:$C,2,FALSE),"-")</f>
        <v>2</v>
      </c>
      <c r="H563" s="19" t="s">
        <v>0</v>
      </c>
      <c r="I563" s="19" t="s">
        <v>0</v>
      </c>
      <c r="J563" s="19" t="s">
        <v>0</v>
      </c>
      <c r="K563" s="19" t="s">
        <v>0</v>
      </c>
      <c r="L563" s="19" t="s">
        <v>0</v>
      </c>
      <c r="M563" s="4" t="s">
        <v>81</v>
      </c>
      <c r="N563" s="11">
        <f>IFERROR(VLOOKUP(M563,ShipShapeEnum!$H:$I,2,FALSE),"-")</f>
        <v>1</v>
      </c>
      <c r="O563" s="11" t="s">
        <v>2688</v>
      </c>
      <c r="P563" s="30"/>
      <c r="Q563" s="11" t="str">
        <f>IFERROR(INDEX(SailPattern!$A:$A,MATCH(P563,SailPattern!$B:$B,0)),"-")</f>
        <v>-</v>
      </c>
      <c r="R563" s="30"/>
      <c r="S563" s="11" t="str">
        <f>IFERROR(INDEX(SailCrest!$A:$A,MATCH(R563,SailCrest!$B:$B,0)),"-")</f>
        <v>-</v>
      </c>
      <c r="T563" s="19" t="s">
        <v>0</v>
      </c>
      <c r="U563" s="19" t="s">
        <v>0</v>
      </c>
      <c r="V563" s="19" t="s">
        <v>0</v>
      </c>
      <c r="W563" s="19" t="s">
        <v>0</v>
      </c>
      <c r="X563" s="19" t="s">
        <v>0</v>
      </c>
      <c r="Y563" s="19" t="s">
        <v>0</v>
      </c>
      <c r="Z563" s="19" t="s">
        <v>0</v>
      </c>
      <c r="AA563" s="19" t="s">
        <v>0</v>
      </c>
    </row>
    <row r="564" spans="1:27" ht="15">
      <c r="A564" s="10">
        <f t="shared" si="17"/>
        <v>46200033</v>
      </c>
      <c r="B564" s="41" t="s">
        <v>1778</v>
      </c>
      <c r="C564" s="4" t="s">
        <v>99</v>
      </c>
      <c r="D564" s="11">
        <f>IFERROR(VLOOKUP(C564,ShipShapeEnum!$E:$F,2,FALSE),"-")</f>
        <v>3</v>
      </c>
      <c r="E564" s="19" t="s">
        <v>800</v>
      </c>
      <c r="F564" s="4" t="s">
        <v>65</v>
      </c>
      <c r="G564" s="11">
        <f>IFERROR(VLOOKUP(F564,ShipShapeEnum!$B:$C,2,FALSE),"-")</f>
        <v>2</v>
      </c>
      <c r="H564" s="19" t="s">
        <v>0</v>
      </c>
      <c r="I564" s="19" t="s">
        <v>0</v>
      </c>
      <c r="J564" s="19" t="s">
        <v>0</v>
      </c>
      <c r="K564" s="19" t="s">
        <v>0</v>
      </c>
      <c r="L564" s="19" t="s">
        <v>0</v>
      </c>
      <c r="M564" s="4" t="s">
        <v>81</v>
      </c>
      <c r="N564" s="11">
        <f>IFERROR(VLOOKUP(M564,ShipShapeEnum!$H:$I,2,FALSE),"-")</f>
        <v>1</v>
      </c>
      <c r="O564" s="11" t="s">
        <v>2688</v>
      </c>
      <c r="P564" s="30"/>
      <c r="Q564" s="11" t="str">
        <f>IFERROR(INDEX(SailPattern!$A:$A,MATCH(P564,SailPattern!$B:$B,0)),"-")</f>
        <v>-</v>
      </c>
      <c r="R564" s="30"/>
      <c r="S564" s="11" t="str">
        <f>IFERROR(INDEX(SailCrest!$A:$A,MATCH(R564,SailCrest!$B:$B,0)),"-")</f>
        <v>-</v>
      </c>
      <c r="T564" s="19" t="s">
        <v>0</v>
      </c>
      <c r="U564" s="19" t="s">
        <v>0</v>
      </c>
      <c r="V564" s="19" t="s">
        <v>0</v>
      </c>
      <c r="W564" s="19" t="s">
        <v>0</v>
      </c>
      <c r="X564" s="19" t="s">
        <v>0</v>
      </c>
      <c r="Y564" s="19" t="s">
        <v>0</v>
      </c>
      <c r="Z564" s="19" t="s">
        <v>0</v>
      </c>
      <c r="AA564" s="19" t="s">
        <v>0</v>
      </c>
    </row>
    <row r="565" spans="1:27" ht="15">
      <c r="A565" s="10">
        <f t="shared" si="17"/>
        <v>46200034</v>
      </c>
      <c r="B565" s="41" t="s">
        <v>1779</v>
      </c>
      <c r="C565" s="4" t="s">
        <v>99</v>
      </c>
      <c r="D565" s="11">
        <f>IFERROR(VLOOKUP(C565,ShipShapeEnum!$E:$F,2,FALSE),"-")</f>
        <v>3</v>
      </c>
      <c r="E565" s="19" t="s">
        <v>801</v>
      </c>
      <c r="F565" s="4" t="s">
        <v>65</v>
      </c>
      <c r="G565" s="11">
        <f>IFERROR(VLOOKUP(F565,ShipShapeEnum!$B:$C,2,FALSE),"-")</f>
        <v>2</v>
      </c>
      <c r="H565" s="19" t="s">
        <v>0</v>
      </c>
      <c r="I565" s="19" t="s">
        <v>0</v>
      </c>
      <c r="J565" s="19" t="s">
        <v>0</v>
      </c>
      <c r="K565" s="19" t="s">
        <v>0</v>
      </c>
      <c r="L565" s="19" t="s">
        <v>0</v>
      </c>
      <c r="M565" s="4" t="s">
        <v>81</v>
      </c>
      <c r="N565" s="11">
        <f>IFERROR(VLOOKUP(M565,ShipShapeEnum!$H:$I,2,FALSE),"-")</f>
        <v>1</v>
      </c>
      <c r="O565" s="11" t="s">
        <v>2688</v>
      </c>
      <c r="P565" s="30"/>
      <c r="Q565" s="11" t="str">
        <f>IFERROR(INDEX(SailPattern!$A:$A,MATCH(P565,SailPattern!$B:$B,0)),"-")</f>
        <v>-</v>
      </c>
      <c r="R565" s="30"/>
      <c r="S565" s="11" t="str">
        <f>IFERROR(INDEX(SailCrest!$A:$A,MATCH(R565,SailCrest!$B:$B,0)),"-")</f>
        <v>-</v>
      </c>
      <c r="T565" s="19" t="s">
        <v>0</v>
      </c>
      <c r="U565" s="19" t="s">
        <v>0</v>
      </c>
      <c r="V565" s="19" t="s">
        <v>0</v>
      </c>
      <c r="W565" s="19" t="s">
        <v>0</v>
      </c>
      <c r="X565" s="19" t="s">
        <v>0</v>
      </c>
      <c r="Y565" s="19" t="s">
        <v>0</v>
      </c>
      <c r="Z565" s="19" t="s">
        <v>0</v>
      </c>
      <c r="AA565" s="19" t="s">
        <v>0</v>
      </c>
    </row>
    <row r="566" spans="1:27" ht="15">
      <c r="A566" s="10">
        <f t="shared" si="17"/>
        <v>46200035</v>
      </c>
      <c r="B566" s="41" t="s">
        <v>1780</v>
      </c>
      <c r="C566" s="4" t="s">
        <v>99</v>
      </c>
      <c r="D566" s="11">
        <f>IFERROR(VLOOKUP(C566,ShipShapeEnum!$E:$F,2,FALSE),"-")</f>
        <v>3</v>
      </c>
      <c r="E566" s="19" t="s">
        <v>802</v>
      </c>
      <c r="F566" s="4" t="s">
        <v>65</v>
      </c>
      <c r="G566" s="11">
        <f>IFERROR(VLOOKUP(F566,ShipShapeEnum!$B:$C,2,FALSE),"-")</f>
        <v>2</v>
      </c>
      <c r="H566" s="19" t="s">
        <v>0</v>
      </c>
      <c r="I566" s="19" t="s">
        <v>0</v>
      </c>
      <c r="J566" s="19" t="s">
        <v>0</v>
      </c>
      <c r="K566" s="19" t="s">
        <v>0</v>
      </c>
      <c r="L566" s="19" t="s">
        <v>0</v>
      </c>
      <c r="M566" s="4" t="s">
        <v>81</v>
      </c>
      <c r="N566" s="11">
        <f>IFERROR(VLOOKUP(M566,ShipShapeEnum!$H:$I,2,FALSE),"-")</f>
        <v>1</v>
      </c>
      <c r="O566" s="11" t="s">
        <v>2688</v>
      </c>
      <c r="P566" s="30"/>
      <c r="Q566" s="11" t="str">
        <f>IFERROR(INDEX(SailPattern!$A:$A,MATCH(P566,SailPattern!$B:$B,0)),"-")</f>
        <v>-</v>
      </c>
      <c r="R566" s="30"/>
      <c r="S566" s="11" t="str">
        <f>IFERROR(INDEX(SailCrest!$A:$A,MATCH(R566,SailCrest!$B:$B,0)),"-")</f>
        <v>-</v>
      </c>
      <c r="T566" s="19" t="s">
        <v>0</v>
      </c>
      <c r="U566" s="19" t="s">
        <v>0</v>
      </c>
      <c r="V566" s="19" t="s">
        <v>0</v>
      </c>
      <c r="W566" s="19" t="s">
        <v>0</v>
      </c>
      <c r="X566" s="19" t="s">
        <v>0</v>
      </c>
      <c r="Y566" s="19" t="s">
        <v>0</v>
      </c>
      <c r="Z566" s="19" t="s">
        <v>0</v>
      </c>
      <c r="AA566" s="19" t="s">
        <v>0</v>
      </c>
    </row>
    <row r="567" spans="1:27" ht="15">
      <c r="A567" s="10">
        <f t="shared" si="17"/>
        <v>46200036</v>
      </c>
      <c r="B567" s="41" t="s">
        <v>1781</v>
      </c>
      <c r="C567" s="4" t="s">
        <v>99</v>
      </c>
      <c r="D567" s="11">
        <f>IFERROR(VLOOKUP(C567,ShipShapeEnum!$E:$F,2,FALSE),"-")</f>
        <v>3</v>
      </c>
      <c r="E567" s="19" t="s">
        <v>803</v>
      </c>
      <c r="F567" s="4" t="s">
        <v>65</v>
      </c>
      <c r="G567" s="11">
        <f>IFERROR(VLOOKUP(F567,ShipShapeEnum!$B:$C,2,FALSE),"-")</f>
        <v>2</v>
      </c>
      <c r="H567" s="19" t="s">
        <v>0</v>
      </c>
      <c r="I567" s="19" t="s">
        <v>0</v>
      </c>
      <c r="J567" s="19" t="s">
        <v>0</v>
      </c>
      <c r="K567" s="19" t="s">
        <v>0</v>
      </c>
      <c r="L567" s="19" t="s">
        <v>0</v>
      </c>
      <c r="M567" s="4" t="s">
        <v>81</v>
      </c>
      <c r="N567" s="11">
        <f>IFERROR(VLOOKUP(M567,ShipShapeEnum!$H:$I,2,FALSE),"-")</f>
        <v>1</v>
      </c>
      <c r="O567" s="11" t="s">
        <v>2688</v>
      </c>
      <c r="P567" s="30"/>
      <c r="Q567" s="11" t="str">
        <f>IFERROR(INDEX(SailPattern!$A:$A,MATCH(P567,SailPattern!$B:$B,0)),"-")</f>
        <v>-</v>
      </c>
      <c r="R567" s="30"/>
      <c r="S567" s="11" t="str">
        <f>IFERROR(INDEX(SailCrest!$A:$A,MATCH(R567,SailCrest!$B:$B,0)),"-")</f>
        <v>-</v>
      </c>
      <c r="T567" s="19" t="s">
        <v>0</v>
      </c>
      <c r="U567" s="19" t="s">
        <v>0</v>
      </c>
      <c r="V567" s="19" t="s">
        <v>0</v>
      </c>
      <c r="W567" s="19" t="s">
        <v>0</v>
      </c>
      <c r="X567" s="19" t="s">
        <v>0</v>
      </c>
      <c r="Y567" s="19" t="s">
        <v>0</v>
      </c>
      <c r="Z567" s="19" t="s">
        <v>0</v>
      </c>
      <c r="AA567" s="19" t="s">
        <v>0</v>
      </c>
    </row>
    <row r="568" spans="1:27" ht="15.75" customHeight="1">
      <c r="A568" s="10">
        <f t="shared" si="17"/>
        <v>46200037</v>
      </c>
      <c r="B568" s="41" t="s">
        <v>1782</v>
      </c>
      <c r="C568" s="4" t="s">
        <v>99</v>
      </c>
      <c r="D568" s="11">
        <f>IFERROR(VLOOKUP(C568,ShipShapeEnum!$E:$F,2,FALSE),"-")</f>
        <v>3</v>
      </c>
      <c r="E568" s="19" t="s">
        <v>804</v>
      </c>
      <c r="F568" s="4" t="s">
        <v>65</v>
      </c>
      <c r="G568" s="11">
        <f>IFERROR(VLOOKUP(F568,ShipShapeEnum!$B:$C,2,FALSE),"-")</f>
        <v>2</v>
      </c>
      <c r="H568" s="19" t="s">
        <v>0</v>
      </c>
      <c r="I568" s="19" t="s">
        <v>0</v>
      </c>
      <c r="J568" s="19" t="s">
        <v>0</v>
      </c>
      <c r="K568" s="19" t="s">
        <v>0</v>
      </c>
      <c r="L568" s="19" t="s">
        <v>0</v>
      </c>
      <c r="M568" s="4" t="s">
        <v>81</v>
      </c>
      <c r="N568" s="11">
        <f>IFERROR(VLOOKUP(M568,ShipShapeEnum!$H:$I,2,FALSE),"-")</f>
        <v>1</v>
      </c>
      <c r="O568" s="11" t="s">
        <v>2688</v>
      </c>
      <c r="P568" s="30"/>
      <c r="Q568" s="11" t="str">
        <f>IFERROR(INDEX(SailPattern!$A:$A,MATCH(P568,SailPattern!$B:$B,0)),"-")</f>
        <v>-</v>
      </c>
      <c r="R568" s="30"/>
      <c r="S568" s="11" t="str">
        <f>IFERROR(INDEX(SailCrest!$A:$A,MATCH(R568,SailCrest!$B:$B,0)),"-")</f>
        <v>-</v>
      </c>
      <c r="T568" s="19" t="s">
        <v>0</v>
      </c>
      <c r="U568" s="19" t="s">
        <v>0</v>
      </c>
      <c r="V568" s="19" t="s">
        <v>0</v>
      </c>
      <c r="W568" s="19" t="s">
        <v>0</v>
      </c>
      <c r="X568" s="19" t="s">
        <v>0</v>
      </c>
      <c r="Y568" s="19" t="s">
        <v>0</v>
      </c>
      <c r="Z568" s="19" t="s">
        <v>0</v>
      </c>
      <c r="AA568" s="19" t="s">
        <v>0</v>
      </c>
    </row>
    <row r="569" spans="1:27" ht="15.75" customHeight="1">
      <c r="A569" s="10">
        <f t="shared" si="17"/>
        <v>46200038</v>
      </c>
      <c r="B569" s="41" t="s">
        <v>1783</v>
      </c>
      <c r="C569" s="4" t="s">
        <v>99</v>
      </c>
      <c r="D569" s="11">
        <f>IFERROR(VLOOKUP(C569,ShipShapeEnum!$E:$F,2,FALSE),"-")</f>
        <v>3</v>
      </c>
      <c r="E569" s="19" t="s">
        <v>805</v>
      </c>
      <c r="F569" s="4" t="s">
        <v>65</v>
      </c>
      <c r="G569" s="11">
        <f>IFERROR(VLOOKUP(F569,ShipShapeEnum!$B:$C,2,FALSE),"-")</f>
        <v>2</v>
      </c>
      <c r="H569" s="19" t="s">
        <v>0</v>
      </c>
      <c r="I569" s="19" t="s">
        <v>0</v>
      </c>
      <c r="J569" s="19" t="s">
        <v>0</v>
      </c>
      <c r="K569" s="19" t="s">
        <v>0</v>
      </c>
      <c r="L569" s="19" t="s">
        <v>0</v>
      </c>
      <c r="M569" s="4" t="s">
        <v>81</v>
      </c>
      <c r="N569" s="11">
        <f>IFERROR(VLOOKUP(M569,ShipShapeEnum!$H:$I,2,FALSE),"-")</f>
        <v>1</v>
      </c>
      <c r="O569" s="11" t="s">
        <v>2688</v>
      </c>
      <c r="P569" s="30"/>
      <c r="Q569" s="11" t="str">
        <f>IFERROR(INDEX(SailPattern!$A:$A,MATCH(P569,SailPattern!$B:$B,0)),"-")</f>
        <v>-</v>
      </c>
      <c r="R569" s="30"/>
      <c r="S569" s="11" t="str">
        <f>IFERROR(INDEX(SailCrest!$A:$A,MATCH(R569,SailCrest!$B:$B,0)),"-")</f>
        <v>-</v>
      </c>
      <c r="T569" s="19" t="s">
        <v>0</v>
      </c>
      <c r="U569" s="19" t="s">
        <v>0</v>
      </c>
      <c r="V569" s="19" t="s">
        <v>0</v>
      </c>
      <c r="W569" s="19" t="s">
        <v>0</v>
      </c>
      <c r="X569" s="19" t="s">
        <v>0</v>
      </c>
      <c r="Y569" s="19" t="s">
        <v>0</v>
      </c>
      <c r="Z569" s="19" t="s">
        <v>0</v>
      </c>
      <c r="AA569" s="19" t="s">
        <v>0</v>
      </c>
    </row>
    <row r="570" spans="1:27" ht="15.75" customHeight="1">
      <c r="A570" s="10">
        <f t="shared" si="17"/>
        <v>46200039</v>
      </c>
      <c r="B570" s="41" t="s">
        <v>1784</v>
      </c>
      <c r="C570" s="4" t="s">
        <v>99</v>
      </c>
      <c r="D570" s="11">
        <f>IFERROR(VLOOKUP(C570,ShipShapeEnum!$E:$F,2,FALSE),"-")</f>
        <v>3</v>
      </c>
      <c r="E570" s="19" t="s">
        <v>806</v>
      </c>
      <c r="F570" s="4" t="s">
        <v>65</v>
      </c>
      <c r="G570" s="11">
        <f>IFERROR(VLOOKUP(F570,ShipShapeEnum!$B:$C,2,FALSE),"-")</f>
        <v>2</v>
      </c>
      <c r="H570" s="19" t="s">
        <v>0</v>
      </c>
      <c r="I570" s="19" t="s">
        <v>0</v>
      </c>
      <c r="J570" s="19" t="s">
        <v>0</v>
      </c>
      <c r="K570" s="19" t="s">
        <v>0</v>
      </c>
      <c r="L570" s="19" t="s">
        <v>0</v>
      </c>
      <c r="M570" s="4" t="s">
        <v>81</v>
      </c>
      <c r="N570" s="11">
        <f>IFERROR(VLOOKUP(M570,ShipShapeEnum!$H:$I,2,FALSE),"-")</f>
        <v>1</v>
      </c>
      <c r="O570" s="11" t="s">
        <v>2688</v>
      </c>
      <c r="P570" s="30"/>
      <c r="Q570" s="11" t="str">
        <f>IFERROR(INDEX(SailPattern!$A:$A,MATCH(P570,SailPattern!$B:$B,0)),"-")</f>
        <v>-</v>
      </c>
      <c r="R570" s="30"/>
      <c r="S570" s="11" t="str">
        <f>IFERROR(INDEX(SailCrest!$A:$A,MATCH(R570,SailCrest!$B:$B,0)),"-")</f>
        <v>-</v>
      </c>
      <c r="T570" s="19" t="s">
        <v>0</v>
      </c>
      <c r="U570" s="19" t="s">
        <v>0</v>
      </c>
      <c r="V570" s="19" t="s">
        <v>0</v>
      </c>
      <c r="W570" s="19" t="s">
        <v>0</v>
      </c>
      <c r="X570" s="19" t="s">
        <v>0</v>
      </c>
      <c r="Y570" s="19" t="s">
        <v>0</v>
      </c>
      <c r="Z570" s="19" t="s">
        <v>0</v>
      </c>
      <c r="AA570" s="19" t="s">
        <v>0</v>
      </c>
    </row>
    <row r="571" spans="1:27" ht="15.75" customHeight="1">
      <c r="A571" s="10">
        <f t="shared" si="17"/>
        <v>46200040</v>
      </c>
      <c r="B571" s="41" t="s">
        <v>1785</v>
      </c>
      <c r="C571" s="4" t="s">
        <v>99</v>
      </c>
      <c r="D571" s="11">
        <f>IFERROR(VLOOKUP(C571,ShipShapeEnum!$E:$F,2,FALSE),"-")</f>
        <v>3</v>
      </c>
      <c r="E571" s="19" t="s">
        <v>807</v>
      </c>
      <c r="F571" s="4" t="s">
        <v>65</v>
      </c>
      <c r="G571" s="11">
        <f>IFERROR(VLOOKUP(F571,ShipShapeEnum!$B:$C,2,FALSE),"-")</f>
        <v>2</v>
      </c>
      <c r="H571" s="19" t="s">
        <v>0</v>
      </c>
      <c r="I571" s="19" t="s">
        <v>0</v>
      </c>
      <c r="J571" s="19" t="s">
        <v>0</v>
      </c>
      <c r="K571" s="19" t="s">
        <v>0</v>
      </c>
      <c r="L571" s="19" t="s">
        <v>0</v>
      </c>
      <c r="M571" s="4" t="s">
        <v>81</v>
      </c>
      <c r="N571" s="11">
        <f>IFERROR(VLOOKUP(M571,ShipShapeEnum!$H:$I,2,FALSE),"-")</f>
        <v>1</v>
      </c>
      <c r="O571" s="11" t="s">
        <v>2688</v>
      </c>
      <c r="P571" s="30"/>
      <c r="Q571" s="11" t="str">
        <f>IFERROR(INDEX(SailPattern!$A:$A,MATCH(P571,SailPattern!$B:$B,0)),"-")</f>
        <v>-</v>
      </c>
      <c r="R571" s="30"/>
      <c r="S571" s="11" t="str">
        <f>IFERROR(INDEX(SailCrest!$A:$A,MATCH(R571,SailCrest!$B:$B,0)),"-")</f>
        <v>-</v>
      </c>
      <c r="T571" s="19" t="s">
        <v>0</v>
      </c>
      <c r="U571" s="19" t="s">
        <v>0</v>
      </c>
      <c r="V571" s="19" t="s">
        <v>0</v>
      </c>
      <c r="W571" s="19" t="s">
        <v>0</v>
      </c>
      <c r="X571" s="19" t="s">
        <v>0</v>
      </c>
      <c r="Y571" s="19" t="s">
        <v>0</v>
      </c>
      <c r="Z571" s="19" t="s">
        <v>0</v>
      </c>
      <c r="AA571" s="19" t="s">
        <v>0</v>
      </c>
    </row>
    <row r="572" spans="1:27" ht="15.75" customHeight="1">
      <c r="A572" s="10">
        <f t="shared" si="17"/>
        <v>46200041</v>
      </c>
      <c r="B572" s="41" t="s">
        <v>1786</v>
      </c>
      <c r="C572" s="4" t="s">
        <v>99</v>
      </c>
      <c r="D572" s="11">
        <f>IFERROR(VLOOKUP(C572,ShipShapeEnum!$E:$F,2,FALSE),"-")</f>
        <v>3</v>
      </c>
      <c r="E572" s="19" t="s">
        <v>808</v>
      </c>
      <c r="F572" s="4" t="s">
        <v>65</v>
      </c>
      <c r="G572" s="11">
        <f>IFERROR(VLOOKUP(F572,ShipShapeEnum!$B:$C,2,FALSE),"-")</f>
        <v>2</v>
      </c>
      <c r="H572" s="19" t="s">
        <v>0</v>
      </c>
      <c r="I572" s="19" t="s">
        <v>0</v>
      </c>
      <c r="J572" s="19" t="s">
        <v>0</v>
      </c>
      <c r="K572" s="19" t="s">
        <v>0</v>
      </c>
      <c r="L572" s="19" t="s">
        <v>0</v>
      </c>
      <c r="M572" s="4" t="s">
        <v>81</v>
      </c>
      <c r="N572" s="11">
        <f>IFERROR(VLOOKUP(M572,ShipShapeEnum!$H:$I,2,FALSE),"-")</f>
        <v>1</v>
      </c>
      <c r="O572" s="11" t="s">
        <v>2688</v>
      </c>
      <c r="P572" s="30"/>
      <c r="Q572" s="11" t="str">
        <f>IFERROR(INDEX(SailPattern!$A:$A,MATCH(P572,SailPattern!$B:$B,0)),"-")</f>
        <v>-</v>
      </c>
      <c r="R572" s="30"/>
      <c r="S572" s="11" t="str">
        <f>IFERROR(INDEX(SailCrest!$A:$A,MATCH(R572,SailCrest!$B:$B,0)),"-")</f>
        <v>-</v>
      </c>
      <c r="T572" s="19" t="s">
        <v>0</v>
      </c>
      <c r="U572" s="19" t="s">
        <v>0</v>
      </c>
      <c r="V572" s="19" t="s">
        <v>0</v>
      </c>
      <c r="W572" s="19" t="s">
        <v>0</v>
      </c>
      <c r="X572" s="19" t="s">
        <v>0</v>
      </c>
      <c r="Y572" s="19" t="s">
        <v>0</v>
      </c>
      <c r="Z572" s="19" t="s">
        <v>0</v>
      </c>
      <c r="AA572" s="19" t="s">
        <v>0</v>
      </c>
    </row>
    <row r="573" spans="1:27" ht="15.75" customHeight="1">
      <c r="A573" s="10">
        <f t="shared" si="17"/>
        <v>46200042</v>
      </c>
      <c r="B573" s="41" t="s">
        <v>1787</v>
      </c>
      <c r="C573" s="4" t="s">
        <v>99</v>
      </c>
      <c r="D573" s="11">
        <f>IFERROR(VLOOKUP(C573,ShipShapeEnum!$E:$F,2,FALSE),"-")</f>
        <v>3</v>
      </c>
      <c r="E573" s="19" t="s">
        <v>809</v>
      </c>
      <c r="F573" s="4" t="s">
        <v>65</v>
      </c>
      <c r="G573" s="11">
        <f>IFERROR(VLOOKUP(F573,ShipShapeEnum!$B:$C,2,FALSE),"-")</f>
        <v>2</v>
      </c>
      <c r="H573" s="19" t="s">
        <v>0</v>
      </c>
      <c r="I573" s="19" t="s">
        <v>0</v>
      </c>
      <c r="J573" s="19" t="s">
        <v>0</v>
      </c>
      <c r="K573" s="19" t="s">
        <v>0</v>
      </c>
      <c r="L573" s="19" t="s">
        <v>0</v>
      </c>
      <c r="M573" s="4" t="s">
        <v>81</v>
      </c>
      <c r="N573" s="11">
        <f>IFERROR(VLOOKUP(M573,ShipShapeEnum!$H:$I,2,FALSE),"-")</f>
        <v>1</v>
      </c>
      <c r="O573" s="11" t="s">
        <v>2688</v>
      </c>
      <c r="P573" s="30"/>
      <c r="Q573" s="11" t="str">
        <f>IFERROR(INDEX(SailPattern!$A:$A,MATCH(P573,SailPattern!$B:$B,0)),"-")</f>
        <v>-</v>
      </c>
      <c r="R573" s="30"/>
      <c r="S573" s="11" t="str">
        <f>IFERROR(INDEX(SailCrest!$A:$A,MATCH(R573,SailCrest!$B:$B,0)),"-")</f>
        <v>-</v>
      </c>
      <c r="T573" s="19" t="s">
        <v>0</v>
      </c>
      <c r="U573" s="19" t="s">
        <v>0</v>
      </c>
      <c r="V573" s="19" t="s">
        <v>0</v>
      </c>
      <c r="W573" s="19" t="s">
        <v>0</v>
      </c>
      <c r="X573" s="19" t="s">
        <v>0</v>
      </c>
      <c r="Y573" s="19" t="s">
        <v>0</v>
      </c>
      <c r="Z573" s="19" t="s">
        <v>0</v>
      </c>
      <c r="AA573" s="19" t="s">
        <v>0</v>
      </c>
    </row>
    <row r="574" spans="1:27" ht="15.75" customHeight="1">
      <c r="A574" s="10">
        <f t="shared" si="17"/>
        <v>46200043</v>
      </c>
      <c r="B574" s="41" t="s">
        <v>1788</v>
      </c>
      <c r="C574" s="4" t="s">
        <v>99</v>
      </c>
      <c r="D574" s="11">
        <f>IFERROR(VLOOKUP(C574,ShipShapeEnum!$E:$F,2,FALSE),"-")</f>
        <v>3</v>
      </c>
      <c r="E574" s="19" t="s">
        <v>810</v>
      </c>
      <c r="F574" s="4" t="s">
        <v>65</v>
      </c>
      <c r="G574" s="11">
        <f>IFERROR(VLOOKUP(F574,ShipShapeEnum!$B:$C,2,FALSE),"-")</f>
        <v>2</v>
      </c>
      <c r="H574" s="19" t="s">
        <v>0</v>
      </c>
      <c r="I574" s="19" t="s">
        <v>0</v>
      </c>
      <c r="J574" s="19" t="s">
        <v>0</v>
      </c>
      <c r="K574" s="19" t="s">
        <v>0</v>
      </c>
      <c r="L574" s="19" t="s">
        <v>0</v>
      </c>
      <c r="M574" s="4" t="s">
        <v>81</v>
      </c>
      <c r="N574" s="11">
        <f>IFERROR(VLOOKUP(M574,ShipShapeEnum!$H:$I,2,FALSE),"-")</f>
        <v>1</v>
      </c>
      <c r="O574" s="11" t="s">
        <v>2688</v>
      </c>
      <c r="P574" s="30"/>
      <c r="Q574" s="11" t="str">
        <f>IFERROR(INDEX(SailPattern!$A:$A,MATCH(P574,SailPattern!$B:$B,0)),"-")</f>
        <v>-</v>
      </c>
      <c r="R574" s="30"/>
      <c r="S574" s="11" t="str">
        <f>IFERROR(INDEX(SailCrest!$A:$A,MATCH(R574,SailCrest!$B:$B,0)),"-")</f>
        <v>-</v>
      </c>
      <c r="T574" s="19" t="s">
        <v>0</v>
      </c>
      <c r="U574" s="19" t="s">
        <v>0</v>
      </c>
      <c r="V574" s="19" t="s">
        <v>0</v>
      </c>
      <c r="W574" s="19" t="s">
        <v>0</v>
      </c>
      <c r="X574" s="19" t="s">
        <v>0</v>
      </c>
      <c r="Y574" s="19" t="s">
        <v>0</v>
      </c>
      <c r="Z574" s="19" t="s">
        <v>0</v>
      </c>
      <c r="AA574" s="19" t="s">
        <v>0</v>
      </c>
    </row>
    <row r="575" spans="1:27" ht="15.75" customHeight="1">
      <c r="A575" s="10">
        <f t="shared" si="17"/>
        <v>46200044</v>
      </c>
      <c r="B575" s="41" t="s">
        <v>1789</v>
      </c>
      <c r="C575" s="4" t="s">
        <v>99</v>
      </c>
      <c r="D575" s="11">
        <f>IFERROR(VLOOKUP(C575,ShipShapeEnum!$E:$F,2,FALSE),"-")</f>
        <v>3</v>
      </c>
      <c r="E575" s="19" t="s">
        <v>811</v>
      </c>
      <c r="F575" s="4" t="s">
        <v>65</v>
      </c>
      <c r="G575" s="11">
        <f>IFERROR(VLOOKUP(F575,ShipShapeEnum!$B:$C,2,FALSE),"-")</f>
        <v>2</v>
      </c>
      <c r="H575" s="19" t="s">
        <v>0</v>
      </c>
      <c r="I575" s="19" t="s">
        <v>0</v>
      </c>
      <c r="J575" s="19" t="s">
        <v>0</v>
      </c>
      <c r="K575" s="19" t="s">
        <v>0</v>
      </c>
      <c r="L575" s="19" t="s">
        <v>0</v>
      </c>
      <c r="M575" s="4" t="s">
        <v>81</v>
      </c>
      <c r="N575" s="11">
        <f>IFERROR(VLOOKUP(M575,ShipShapeEnum!$H:$I,2,FALSE),"-")</f>
        <v>1</v>
      </c>
      <c r="O575" s="11" t="s">
        <v>2688</v>
      </c>
      <c r="P575" s="30"/>
      <c r="Q575" s="11" t="str">
        <f>IFERROR(INDEX(SailPattern!$A:$A,MATCH(P575,SailPattern!$B:$B,0)),"-")</f>
        <v>-</v>
      </c>
      <c r="R575" s="30"/>
      <c r="S575" s="11" t="str">
        <f>IFERROR(INDEX(SailCrest!$A:$A,MATCH(R575,SailCrest!$B:$B,0)),"-")</f>
        <v>-</v>
      </c>
      <c r="T575" s="19" t="s">
        <v>0</v>
      </c>
      <c r="U575" s="19" t="s">
        <v>0</v>
      </c>
      <c r="V575" s="19" t="s">
        <v>0</v>
      </c>
      <c r="W575" s="19" t="s">
        <v>0</v>
      </c>
      <c r="X575" s="19" t="s">
        <v>0</v>
      </c>
      <c r="Y575" s="19" t="s">
        <v>0</v>
      </c>
      <c r="Z575" s="19" t="s">
        <v>0</v>
      </c>
      <c r="AA575" s="19" t="s">
        <v>0</v>
      </c>
    </row>
    <row r="576" spans="1:27" ht="15.75" customHeight="1">
      <c r="A576" s="10">
        <f t="shared" si="17"/>
        <v>46200045</v>
      </c>
      <c r="B576" s="41" t="s">
        <v>1790</v>
      </c>
      <c r="C576" s="4" t="s">
        <v>99</v>
      </c>
      <c r="D576" s="11">
        <f>IFERROR(VLOOKUP(C576,ShipShapeEnum!$E:$F,2,FALSE),"-")</f>
        <v>3</v>
      </c>
      <c r="E576" s="19" t="s">
        <v>812</v>
      </c>
      <c r="F576" s="4" t="s">
        <v>65</v>
      </c>
      <c r="G576" s="11">
        <f>IFERROR(VLOOKUP(F576,ShipShapeEnum!$B:$C,2,FALSE),"-")</f>
        <v>2</v>
      </c>
      <c r="H576" s="19" t="s">
        <v>0</v>
      </c>
      <c r="I576" s="19" t="s">
        <v>0</v>
      </c>
      <c r="J576" s="19" t="s">
        <v>0</v>
      </c>
      <c r="K576" s="19" t="s">
        <v>0</v>
      </c>
      <c r="L576" s="19" t="s">
        <v>0</v>
      </c>
      <c r="M576" s="4" t="s">
        <v>81</v>
      </c>
      <c r="N576" s="11">
        <f>IFERROR(VLOOKUP(M576,ShipShapeEnum!$H:$I,2,FALSE),"-")</f>
        <v>1</v>
      </c>
      <c r="O576" s="11" t="s">
        <v>2688</v>
      </c>
      <c r="P576" s="30"/>
      <c r="Q576" s="11" t="str">
        <f>IFERROR(INDEX(SailPattern!$A:$A,MATCH(P576,SailPattern!$B:$B,0)),"-")</f>
        <v>-</v>
      </c>
      <c r="R576" s="30"/>
      <c r="S576" s="11" t="str">
        <f>IFERROR(INDEX(SailCrest!$A:$A,MATCH(R576,SailCrest!$B:$B,0)),"-")</f>
        <v>-</v>
      </c>
      <c r="T576" s="19" t="s">
        <v>0</v>
      </c>
      <c r="U576" s="19" t="s">
        <v>0</v>
      </c>
      <c r="V576" s="19" t="s">
        <v>0</v>
      </c>
      <c r="W576" s="19" t="s">
        <v>0</v>
      </c>
      <c r="X576" s="19" t="s">
        <v>0</v>
      </c>
      <c r="Y576" s="19" t="s">
        <v>0</v>
      </c>
      <c r="Z576" s="19" t="s">
        <v>0</v>
      </c>
      <c r="AA576" s="19" t="s">
        <v>0</v>
      </c>
    </row>
    <row r="577" spans="1:27" ht="15.75" customHeight="1">
      <c r="A577" s="10">
        <f t="shared" si="17"/>
        <v>46200046</v>
      </c>
      <c r="B577" s="41" t="s">
        <v>1791</v>
      </c>
      <c r="C577" s="4" t="s">
        <v>99</v>
      </c>
      <c r="D577" s="11">
        <f>IFERROR(VLOOKUP(C577,ShipShapeEnum!$E:$F,2,FALSE),"-")</f>
        <v>3</v>
      </c>
      <c r="E577" s="19" t="s">
        <v>813</v>
      </c>
      <c r="F577" s="4" t="s">
        <v>65</v>
      </c>
      <c r="G577" s="11">
        <f>IFERROR(VLOOKUP(F577,ShipShapeEnum!$B:$C,2,FALSE),"-")</f>
        <v>2</v>
      </c>
      <c r="H577" s="19" t="s">
        <v>0</v>
      </c>
      <c r="I577" s="19" t="s">
        <v>0</v>
      </c>
      <c r="J577" s="19" t="s">
        <v>0</v>
      </c>
      <c r="K577" s="19" t="s">
        <v>0</v>
      </c>
      <c r="L577" s="19" t="s">
        <v>0</v>
      </c>
      <c r="M577" s="4" t="s">
        <v>81</v>
      </c>
      <c r="N577" s="11">
        <f>IFERROR(VLOOKUP(M577,ShipShapeEnum!$H:$I,2,FALSE),"-")</f>
        <v>1</v>
      </c>
      <c r="O577" s="11" t="s">
        <v>2688</v>
      </c>
      <c r="P577" s="30"/>
      <c r="Q577" s="11" t="str">
        <f>IFERROR(INDEX(SailPattern!$A:$A,MATCH(P577,SailPattern!$B:$B,0)),"-")</f>
        <v>-</v>
      </c>
      <c r="R577" s="30"/>
      <c r="S577" s="11" t="str">
        <f>IFERROR(INDEX(SailCrest!$A:$A,MATCH(R577,SailCrest!$B:$B,0)),"-")</f>
        <v>-</v>
      </c>
      <c r="T577" s="19" t="s">
        <v>0</v>
      </c>
      <c r="U577" s="19" t="s">
        <v>0</v>
      </c>
      <c r="V577" s="19" t="s">
        <v>0</v>
      </c>
      <c r="W577" s="19" t="s">
        <v>0</v>
      </c>
      <c r="X577" s="19" t="s">
        <v>0</v>
      </c>
      <c r="Y577" s="19" t="s">
        <v>0</v>
      </c>
      <c r="Z577" s="19" t="s">
        <v>0</v>
      </c>
      <c r="AA577" s="19" t="s">
        <v>0</v>
      </c>
    </row>
    <row r="578" spans="1:27" ht="15.75" customHeight="1">
      <c r="A578" s="10">
        <f t="shared" si="17"/>
        <v>46200047</v>
      </c>
      <c r="B578" s="41" t="s">
        <v>1792</v>
      </c>
      <c r="C578" s="4" t="s">
        <v>99</v>
      </c>
      <c r="D578" s="11">
        <f>IFERROR(VLOOKUP(C578,ShipShapeEnum!$E:$F,2,FALSE),"-")</f>
        <v>3</v>
      </c>
      <c r="E578" s="19" t="s">
        <v>814</v>
      </c>
      <c r="F578" s="4" t="s">
        <v>65</v>
      </c>
      <c r="G578" s="11">
        <f>IFERROR(VLOOKUP(F578,ShipShapeEnum!$B:$C,2,FALSE),"-")</f>
        <v>2</v>
      </c>
      <c r="H578" s="19" t="s">
        <v>0</v>
      </c>
      <c r="I578" s="19" t="s">
        <v>0</v>
      </c>
      <c r="J578" s="19" t="s">
        <v>0</v>
      </c>
      <c r="K578" s="19" t="s">
        <v>0</v>
      </c>
      <c r="L578" s="19" t="s">
        <v>0</v>
      </c>
      <c r="M578" s="4" t="s">
        <v>81</v>
      </c>
      <c r="N578" s="11">
        <f>IFERROR(VLOOKUP(M578,ShipShapeEnum!$H:$I,2,FALSE),"-")</f>
        <v>1</v>
      </c>
      <c r="O578" s="11" t="s">
        <v>2688</v>
      </c>
      <c r="P578" s="30"/>
      <c r="Q578" s="11" t="str">
        <f>IFERROR(INDEX(SailPattern!$A:$A,MATCH(P578,SailPattern!$B:$B,0)),"-")</f>
        <v>-</v>
      </c>
      <c r="R578" s="30"/>
      <c r="S578" s="11" t="str">
        <f>IFERROR(INDEX(SailCrest!$A:$A,MATCH(R578,SailCrest!$B:$B,0)),"-")</f>
        <v>-</v>
      </c>
      <c r="T578" s="19" t="s">
        <v>0</v>
      </c>
      <c r="U578" s="19" t="s">
        <v>0</v>
      </c>
      <c r="V578" s="19" t="s">
        <v>0</v>
      </c>
      <c r="W578" s="19" t="s">
        <v>0</v>
      </c>
      <c r="X578" s="19" t="s">
        <v>0</v>
      </c>
      <c r="Y578" s="19" t="s">
        <v>0</v>
      </c>
      <c r="Z578" s="19" t="s">
        <v>0</v>
      </c>
      <c r="AA578" s="19" t="s">
        <v>0</v>
      </c>
    </row>
    <row r="579" spans="1:27" ht="15.75" customHeight="1">
      <c r="A579" s="10">
        <f t="shared" si="17"/>
        <v>46200048</v>
      </c>
      <c r="B579" s="41" t="s">
        <v>1793</v>
      </c>
      <c r="C579" s="4" t="s">
        <v>99</v>
      </c>
      <c r="D579" s="11">
        <f>IFERROR(VLOOKUP(C579,ShipShapeEnum!$E:$F,2,FALSE),"-")</f>
        <v>3</v>
      </c>
      <c r="E579" s="19" t="s">
        <v>815</v>
      </c>
      <c r="F579" s="4" t="s">
        <v>65</v>
      </c>
      <c r="G579" s="11">
        <f>IFERROR(VLOOKUP(F579,ShipShapeEnum!$B:$C,2,FALSE),"-")</f>
        <v>2</v>
      </c>
      <c r="H579" s="19" t="s">
        <v>0</v>
      </c>
      <c r="I579" s="19" t="s">
        <v>0</v>
      </c>
      <c r="J579" s="19" t="s">
        <v>0</v>
      </c>
      <c r="K579" s="19" t="s">
        <v>0</v>
      </c>
      <c r="L579" s="19" t="s">
        <v>0</v>
      </c>
      <c r="M579" s="4" t="s">
        <v>81</v>
      </c>
      <c r="N579" s="11">
        <f>IFERROR(VLOOKUP(M579,ShipShapeEnum!$H:$I,2,FALSE),"-")</f>
        <v>1</v>
      </c>
      <c r="O579" s="11" t="s">
        <v>2688</v>
      </c>
      <c r="P579" s="30"/>
      <c r="Q579" s="11" t="str">
        <f>IFERROR(INDEX(SailPattern!$A:$A,MATCH(P579,SailPattern!$B:$B,0)),"-")</f>
        <v>-</v>
      </c>
      <c r="R579" s="30"/>
      <c r="S579" s="11" t="str">
        <f>IFERROR(INDEX(SailCrest!$A:$A,MATCH(R579,SailCrest!$B:$B,0)),"-")</f>
        <v>-</v>
      </c>
      <c r="T579" s="19" t="s">
        <v>0</v>
      </c>
      <c r="U579" s="19" t="s">
        <v>0</v>
      </c>
      <c r="V579" s="19" t="s">
        <v>0</v>
      </c>
      <c r="W579" s="19" t="s">
        <v>0</v>
      </c>
      <c r="X579" s="19" t="s">
        <v>0</v>
      </c>
      <c r="Y579" s="19" t="s">
        <v>0</v>
      </c>
      <c r="Z579" s="19" t="s">
        <v>0</v>
      </c>
      <c r="AA579" s="19" t="s">
        <v>0</v>
      </c>
    </row>
    <row r="580" spans="1:27" ht="15.75" customHeight="1">
      <c r="A580" s="10">
        <f t="shared" si="17"/>
        <v>46200049</v>
      </c>
      <c r="B580" s="41" t="s">
        <v>1794</v>
      </c>
      <c r="C580" s="4" t="s">
        <v>99</v>
      </c>
      <c r="D580" s="11">
        <f>IFERROR(VLOOKUP(C580,ShipShapeEnum!$E:$F,2,FALSE),"-")</f>
        <v>3</v>
      </c>
      <c r="E580" s="19" t="s">
        <v>816</v>
      </c>
      <c r="F580" s="4" t="s">
        <v>65</v>
      </c>
      <c r="G580" s="11">
        <f>IFERROR(VLOOKUP(F580,ShipShapeEnum!$B:$C,2,FALSE),"-")</f>
        <v>2</v>
      </c>
      <c r="H580" s="19" t="s">
        <v>0</v>
      </c>
      <c r="I580" s="19" t="s">
        <v>0</v>
      </c>
      <c r="J580" s="19" t="s">
        <v>0</v>
      </c>
      <c r="K580" s="19" t="s">
        <v>0</v>
      </c>
      <c r="L580" s="19" t="s">
        <v>0</v>
      </c>
      <c r="M580" s="4" t="s">
        <v>81</v>
      </c>
      <c r="N580" s="11">
        <f>IFERROR(VLOOKUP(M580,ShipShapeEnum!$H:$I,2,FALSE),"-")</f>
        <v>1</v>
      </c>
      <c r="O580" s="11" t="s">
        <v>2688</v>
      </c>
      <c r="P580" s="30"/>
      <c r="Q580" s="11" t="str">
        <f>IFERROR(INDEX(SailPattern!$A:$A,MATCH(P580,SailPattern!$B:$B,0)),"-")</f>
        <v>-</v>
      </c>
      <c r="R580" s="30"/>
      <c r="S580" s="11" t="str">
        <f>IFERROR(INDEX(SailCrest!$A:$A,MATCH(R580,SailCrest!$B:$B,0)),"-")</f>
        <v>-</v>
      </c>
      <c r="T580" s="19" t="s">
        <v>0</v>
      </c>
      <c r="U580" s="19" t="s">
        <v>0</v>
      </c>
      <c r="V580" s="19" t="s">
        <v>0</v>
      </c>
      <c r="W580" s="19" t="s">
        <v>0</v>
      </c>
      <c r="X580" s="19" t="s">
        <v>0</v>
      </c>
      <c r="Y580" s="19" t="s">
        <v>0</v>
      </c>
      <c r="Z580" s="19" t="s">
        <v>0</v>
      </c>
      <c r="AA580" s="19" t="s">
        <v>0</v>
      </c>
    </row>
    <row r="581" spans="1:27" ht="15.75" customHeight="1">
      <c r="A581" s="10">
        <f t="shared" si="17"/>
        <v>46200050</v>
      </c>
      <c r="B581" s="41" t="s">
        <v>1795</v>
      </c>
      <c r="C581" s="4" t="s">
        <v>99</v>
      </c>
      <c r="D581" s="11">
        <f>IFERROR(VLOOKUP(C581,ShipShapeEnum!$E:$F,2,FALSE),"-")</f>
        <v>3</v>
      </c>
      <c r="E581" s="19" t="s">
        <v>817</v>
      </c>
      <c r="F581" s="4" t="s">
        <v>65</v>
      </c>
      <c r="G581" s="11">
        <f>IFERROR(VLOOKUP(F581,ShipShapeEnum!$B:$C,2,FALSE),"-")</f>
        <v>2</v>
      </c>
      <c r="H581" s="19" t="s">
        <v>0</v>
      </c>
      <c r="I581" s="19" t="s">
        <v>0</v>
      </c>
      <c r="J581" s="19" t="s">
        <v>0</v>
      </c>
      <c r="K581" s="19" t="s">
        <v>0</v>
      </c>
      <c r="L581" s="19" t="s">
        <v>0</v>
      </c>
      <c r="M581" s="4" t="s">
        <v>81</v>
      </c>
      <c r="N581" s="11">
        <f>IFERROR(VLOOKUP(M581,ShipShapeEnum!$H:$I,2,FALSE),"-")</f>
        <v>1</v>
      </c>
      <c r="O581" s="11" t="s">
        <v>2688</v>
      </c>
      <c r="P581" s="30"/>
      <c r="Q581" s="11" t="str">
        <f>IFERROR(INDEX(SailPattern!$A:$A,MATCH(P581,SailPattern!$B:$B,0)),"-")</f>
        <v>-</v>
      </c>
      <c r="R581" s="30"/>
      <c r="S581" s="11" t="str">
        <f>IFERROR(INDEX(SailCrest!$A:$A,MATCH(R581,SailCrest!$B:$B,0)),"-")</f>
        <v>-</v>
      </c>
      <c r="T581" s="19" t="s">
        <v>0</v>
      </c>
      <c r="U581" s="19" t="s">
        <v>0</v>
      </c>
      <c r="V581" s="19" t="s">
        <v>0</v>
      </c>
      <c r="W581" s="19" t="s">
        <v>0</v>
      </c>
      <c r="X581" s="19" t="s">
        <v>0</v>
      </c>
      <c r="Y581" s="19" t="s">
        <v>0</v>
      </c>
      <c r="Z581" s="19" t="s">
        <v>0</v>
      </c>
      <c r="AA581" s="19" t="s">
        <v>0</v>
      </c>
    </row>
    <row r="582" spans="1:27" ht="15.75" customHeight="1">
      <c r="A582" s="10">
        <f t="shared" si="17"/>
        <v>46200051</v>
      </c>
      <c r="B582" s="41" t="s">
        <v>1796</v>
      </c>
      <c r="C582" s="4" t="s">
        <v>99</v>
      </c>
      <c r="D582" s="11">
        <f>IFERROR(VLOOKUP(C582,ShipShapeEnum!$E:$F,2,FALSE),"-")</f>
        <v>3</v>
      </c>
      <c r="E582" s="19" t="s">
        <v>818</v>
      </c>
      <c r="F582" s="4" t="s">
        <v>65</v>
      </c>
      <c r="G582" s="11">
        <f>IFERROR(VLOOKUP(F582,ShipShapeEnum!$B:$C,2,FALSE),"-")</f>
        <v>2</v>
      </c>
      <c r="H582" s="19" t="s">
        <v>0</v>
      </c>
      <c r="I582" s="19" t="s">
        <v>0</v>
      </c>
      <c r="J582" s="19" t="s">
        <v>0</v>
      </c>
      <c r="K582" s="19" t="s">
        <v>0</v>
      </c>
      <c r="L582" s="19" t="s">
        <v>0</v>
      </c>
      <c r="M582" s="4" t="s">
        <v>81</v>
      </c>
      <c r="N582" s="11">
        <f>IFERROR(VLOOKUP(M582,ShipShapeEnum!$H:$I,2,FALSE),"-")</f>
        <v>1</v>
      </c>
      <c r="O582" s="11" t="s">
        <v>2688</v>
      </c>
      <c r="P582" s="30"/>
      <c r="Q582" s="11" t="str">
        <f>IFERROR(INDEX(SailPattern!$A:$A,MATCH(P582,SailPattern!$B:$B,0)),"-")</f>
        <v>-</v>
      </c>
      <c r="R582" s="30"/>
      <c r="S582" s="11" t="str">
        <f>IFERROR(INDEX(SailCrest!$A:$A,MATCH(R582,SailCrest!$B:$B,0)),"-")</f>
        <v>-</v>
      </c>
      <c r="T582" s="19" t="s">
        <v>0</v>
      </c>
      <c r="U582" s="19" t="s">
        <v>0</v>
      </c>
      <c r="V582" s="19" t="s">
        <v>0</v>
      </c>
      <c r="W582" s="19" t="s">
        <v>0</v>
      </c>
      <c r="X582" s="19" t="s">
        <v>0</v>
      </c>
      <c r="Y582" s="19" t="s">
        <v>0</v>
      </c>
      <c r="Z582" s="19" t="s">
        <v>0</v>
      </c>
      <c r="AA582" s="19" t="s">
        <v>0</v>
      </c>
    </row>
    <row r="583" spans="1:27" ht="15.75" customHeight="1">
      <c r="A583" s="10">
        <f t="shared" si="17"/>
        <v>46200052</v>
      </c>
      <c r="B583" s="41" t="s">
        <v>1797</v>
      </c>
      <c r="C583" s="4" t="s">
        <v>99</v>
      </c>
      <c r="D583" s="11">
        <f>IFERROR(VLOOKUP(C583,ShipShapeEnum!$E:$F,2,FALSE),"-")</f>
        <v>3</v>
      </c>
      <c r="E583" s="19" t="s">
        <v>819</v>
      </c>
      <c r="F583" s="4" t="s">
        <v>65</v>
      </c>
      <c r="G583" s="11">
        <f>IFERROR(VLOOKUP(F583,ShipShapeEnum!$B:$C,2,FALSE),"-")</f>
        <v>2</v>
      </c>
      <c r="H583" s="19" t="s">
        <v>0</v>
      </c>
      <c r="I583" s="19" t="s">
        <v>0</v>
      </c>
      <c r="J583" s="19" t="s">
        <v>0</v>
      </c>
      <c r="K583" s="19" t="s">
        <v>0</v>
      </c>
      <c r="L583" s="19" t="s">
        <v>0</v>
      </c>
      <c r="M583" s="4" t="s">
        <v>81</v>
      </c>
      <c r="N583" s="11">
        <f>IFERROR(VLOOKUP(M583,ShipShapeEnum!$H:$I,2,FALSE),"-")</f>
        <v>1</v>
      </c>
      <c r="O583" s="11" t="s">
        <v>2688</v>
      </c>
      <c r="P583" s="30"/>
      <c r="Q583" s="11" t="str">
        <f>IFERROR(INDEX(SailPattern!$A:$A,MATCH(P583,SailPattern!$B:$B,0)),"-")</f>
        <v>-</v>
      </c>
      <c r="R583" s="30"/>
      <c r="S583" s="11" t="str">
        <f>IFERROR(INDEX(SailCrest!$A:$A,MATCH(R583,SailCrest!$B:$B,0)),"-")</f>
        <v>-</v>
      </c>
      <c r="T583" s="19" t="s">
        <v>0</v>
      </c>
      <c r="U583" s="19" t="s">
        <v>0</v>
      </c>
      <c r="V583" s="19" t="s">
        <v>0</v>
      </c>
      <c r="W583" s="19" t="s">
        <v>0</v>
      </c>
      <c r="X583" s="19" t="s">
        <v>0</v>
      </c>
      <c r="Y583" s="19" t="s">
        <v>0</v>
      </c>
      <c r="Z583" s="19" t="s">
        <v>0</v>
      </c>
      <c r="AA583" s="19" t="s">
        <v>0</v>
      </c>
    </row>
    <row r="584" spans="1:27" ht="15.75" customHeight="1">
      <c r="A584" s="10">
        <f t="shared" si="17"/>
        <v>46200053</v>
      </c>
      <c r="B584" s="41" t="s">
        <v>1798</v>
      </c>
      <c r="C584" s="4" t="s">
        <v>99</v>
      </c>
      <c r="D584" s="11">
        <f>IFERROR(VLOOKUP(C584,ShipShapeEnum!$E:$F,2,FALSE),"-")</f>
        <v>3</v>
      </c>
      <c r="E584" s="19" t="s">
        <v>820</v>
      </c>
      <c r="F584" s="4" t="s">
        <v>65</v>
      </c>
      <c r="G584" s="11">
        <f>IFERROR(VLOOKUP(F584,ShipShapeEnum!$B:$C,2,FALSE),"-")</f>
        <v>2</v>
      </c>
      <c r="H584" s="19" t="s">
        <v>0</v>
      </c>
      <c r="I584" s="19" t="s">
        <v>0</v>
      </c>
      <c r="J584" s="19" t="s">
        <v>0</v>
      </c>
      <c r="K584" s="19" t="s">
        <v>0</v>
      </c>
      <c r="L584" s="19" t="s">
        <v>0</v>
      </c>
      <c r="M584" s="4" t="s">
        <v>81</v>
      </c>
      <c r="N584" s="11">
        <f>IFERROR(VLOOKUP(M584,ShipShapeEnum!$H:$I,2,FALSE),"-")</f>
        <v>1</v>
      </c>
      <c r="O584" s="11" t="s">
        <v>2688</v>
      </c>
      <c r="P584" s="30"/>
      <c r="Q584" s="11" t="str">
        <f>IFERROR(INDEX(SailPattern!$A:$A,MATCH(P584,SailPattern!$B:$B,0)),"-")</f>
        <v>-</v>
      </c>
      <c r="R584" s="30"/>
      <c r="S584" s="11" t="str">
        <f>IFERROR(INDEX(SailCrest!$A:$A,MATCH(R584,SailCrest!$B:$B,0)),"-")</f>
        <v>-</v>
      </c>
      <c r="T584" s="19" t="s">
        <v>0</v>
      </c>
      <c r="U584" s="19" t="s">
        <v>0</v>
      </c>
      <c r="V584" s="19" t="s">
        <v>0</v>
      </c>
      <c r="W584" s="19" t="s">
        <v>0</v>
      </c>
      <c r="X584" s="19" t="s">
        <v>0</v>
      </c>
      <c r="Y584" s="19" t="s">
        <v>0</v>
      </c>
      <c r="Z584" s="19" t="s">
        <v>0</v>
      </c>
      <c r="AA584" s="19" t="s">
        <v>0</v>
      </c>
    </row>
    <row r="585" spans="1:27" ht="15.75" customHeight="1">
      <c r="A585" s="10">
        <f t="shared" si="17"/>
        <v>46200054</v>
      </c>
      <c r="B585" s="41" t="s">
        <v>2644</v>
      </c>
      <c r="C585" s="4" t="s">
        <v>99</v>
      </c>
      <c r="D585" s="11">
        <f>IFERROR(VLOOKUP(C585,ShipShapeEnum!$E:$F,2,FALSE),"-")</f>
        <v>3</v>
      </c>
      <c r="E585" s="19" t="s">
        <v>2645</v>
      </c>
      <c r="F585" s="4" t="s">
        <v>65</v>
      </c>
      <c r="G585" s="11">
        <f>IFERROR(VLOOKUP(F585,ShipShapeEnum!$B:$C,2,FALSE),"-")</f>
        <v>2</v>
      </c>
      <c r="H585" s="19" t="s">
        <v>0</v>
      </c>
      <c r="I585" s="19" t="s">
        <v>0</v>
      </c>
      <c r="J585" s="19" t="s">
        <v>0</v>
      </c>
      <c r="K585" s="19" t="s">
        <v>0</v>
      </c>
      <c r="L585" s="19" t="s">
        <v>0</v>
      </c>
      <c r="M585" s="4" t="s">
        <v>81</v>
      </c>
      <c r="N585" s="11">
        <f>IFERROR(VLOOKUP(M585,ShipShapeEnum!$H:$I,2,FALSE),"-")</f>
        <v>1</v>
      </c>
      <c r="O585" s="11" t="s">
        <v>2688</v>
      </c>
      <c r="P585" s="30"/>
      <c r="Q585" s="11" t="str">
        <f>IFERROR(INDEX(SailPattern!$A:$A,MATCH(P585,SailPattern!$B:$B,0)),"-")</f>
        <v>-</v>
      </c>
      <c r="R585" s="30"/>
      <c r="S585" s="11" t="str">
        <f>IFERROR(INDEX(SailCrest!$A:$A,MATCH(R585,SailCrest!$B:$B,0)),"-")</f>
        <v>-</v>
      </c>
      <c r="T585" s="19" t="s">
        <v>0</v>
      </c>
      <c r="U585" s="19" t="s">
        <v>0</v>
      </c>
      <c r="V585" s="19" t="s">
        <v>0</v>
      </c>
      <c r="W585" s="19" t="s">
        <v>0</v>
      </c>
      <c r="X585" s="19" t="s">
        <v>0</v>
      </c>
      <c r="Y585" s="19" t="s">
        <v>0</v>
      </c>
      <c r="Z585" s="19" t="s">
        <v>0</v>
      </c>
      <c r="AA585" s="19" t="s">
        <v>0</v>
      </c>
    </row>
    <row r="586" spans="1:27" ht="15.75" customHeight="1">
      <c r="A586" s="10">
        <f t="shared" si="17"/>
        <v>46200055</v>
      </c>
      <c r="B586" s="41" t="s">
        <v>2650</v>
      </c>
      <c r="C586" s="4" t="s">
        <v>99</v>
      </c>
      <c r="D586" s="11">
        <f>IFERROR(VLOOKUP(C586,ShipShapeEnum!$E:$F,2,FALSE),"-")</f>
        <v>3</v>
      </c>
      <c r="E586" s="19" t="s">
        <v>2651</v>
      </c>
      <c r="F586" s="4" t="s">
        <v>65</v>
      </c>
      <c r="G586" s="11">
        <f>IFERROR(VLOOKUP(F586,ShipShapeEnum!$B:$C,2,FALSE),"-")</f>
        <v>2</v>
      </c>
      <c r="H586" s="19" t="s">
        <v>0</v>
      </c>
      <c r="I586" s="19" t="s">
        <v>0</v>
      </c>
      <c r="J586" s="19" t="s">
        <v>0</v>
      </c>
      <c r="K586" s="19" t="s">
        <v>0</v>
      </c>
      <c r="L586" s="19" t="s">
        <v>0</v>
      </c>
      <c r="M586" s="4" t="s">
        <v>81</v>
      </c>
      <c r="N586" s="11">
        <f>IFERROR(VLOOKUP(M586,ShipShapeEnum!$H:$I,2,FALSE),"-")</f>
        <v>1</v>
      </c>
      <c r="O586" s="11" t="s">
        <v>2688</v>
      </c>
      <c r="P586" s="30"/>
      <c r="Q586" s="11" t="str">
        <f>IFERROR(INDEX(SailPattern!$A:$A,MATCH(P586,SailPattern!$B:$B,0)),"-")</f>
        <v>-</v>
      </c>
      <c r="R586" s="30"/>
      <c r="S586" s="11" t="str">
        <f>IFERROR(INDEX(SailCrest!$A:$A,MATCH(R586,SailCrest!$B:$B,0)),"-")</f>
        <v>-</v>
      </c>
      <c r="T586" s="19" t="s">
        <v>0</v>
      </c>
      <c r="U586" s="19" t="s">
        <v>0</v>
      </c>
      <c r="V586" s="19" t="s">
        <v>0</v>
      </c>
      <c r="W586" s="19" t="s">
        <v>0</v>
      </c>
      <c r="X586" s="19" t="s">
        <v>0</v>
      </c>
      <c r="Y586" s="19" t="s">
        <v>0</v>
      </c>
      <c r="Z586" s="19" t="s">
        <v>0</v>
      </c>
      <c r="AA586" s="19" t="s">
        <v>0</v>
      </c>
    </row>
    <row r="587" spans="1:27" ht="15.75" customHeight="1">
      <c r="A587" s="10">
        <f t="shared" si="17"/>
        <v>46200056</v>
      </c>
      <c r="B587" s="41" t="s">
        <v>2667</v>
      </c>
      <c r="C587" s="4" t="s">
        <v>99</v>
      </c>
      <c r="D587" s="11">
        <f>IFERROR(VLOOKUP(C587,ShipShapeEnum!$E:$F,2,FALSE),"-")</f>
        <v>3</v>
      </c>
      <c r="E587" s="19" t="s">
        <v>2669</v>
      </c>
      <c r="F587" s="4" t="s">
        <v>65</v>
      </c>
      <c r="G587" s="11">
        <f>IFERROR(VLOOKUP(F587,ShipShapeEnum!$B:$C,2,FALSE),"-")</f>
        <v>2</v>
      </c>
      <c r="H587" s="19" t="s">
        <v>0</v>
      </c>
      <c r="I587" s="19" t="s">
        <v>0</v>
      </c>
      <c r="J587" s="19" t="s">
        <v>0</v>
      </c>
      <c r="K587" s="19" t="s">
        <v>0</v>
      </c>
      <c r="L587" s="19" t="s">
        <v>0</v>
      </c>
      <c r="M587" s="4" t="s">
        <v>81</v>
      </c>
      <c r="N587" s="11">
        <f>IFERROR(VLOOKUP(M587,ShipShapeEnum!$H:$I,2,FALSE),"-")</f>
        <v>1</v>
      </c>
      <c r="O587" s="11" t="s">
        <v>2688</v>
      </c>
      <c r="P587" s="30"/>
      <c r="Q587" s="11" t="str">
        <f>IFERROR(INDEX(SailPattern!$A:$A,MATCH(P587,SailPattern!$B:$B,0)),"-")</f>
        <v>-</v>
      </c>
      <c r="R587" s="30"/>
      <c r="S587" s="11" t="str">
        <f>IFERROR(INDEX(SailCrest!$A:$A,MATCH(R587,SailCrest!$B:$B,0)),"-")</f>
        <v>-</v>
      </c>
      <c r="T587" s="19" t="s">
        <v>0</v>
      </c>
      <c r="U587" s="19" t="s">
        <v>0</v>
      </c>
      <c r="V587" s="19" t="s">
        <v>0</v>
      </c>
      <c r="W587" s="19" t="s">
        <v>0</v>
      </c>
      <c r="X587" s="19" t="s">
        <v>0</v>
      </c>
      <c r="Y587" s="19" t="s">
        <v>0</v>
      </c>
      <c r="Z587" s="19" t="s">
        <v>0</v>
      </c>
      <c r="AA587" s="19" t="s">
        <v>0</v>
      </c>
    </row>
    <row r="588" spans="1:27" ht="15.75" customHeight="1">
      <c r="A588" s="10">
        <f t="shared" si="17"/>
        <v>46200057</v>
      </c>
      <c r="B588" s="41" t="s">
        <v>2668</v>
      </c>
      <c r="C588" s="4" t="s">
        <v>99</v>
      </c>
      <c r="D588" s="11">
        <f>IFERROR(VLOOKUP(C588,ShipShapeEnum!$E:$F,2,FALSE),"-")</f>
        <v>3</v>
      </c>
      <c r="E588" s="19" t="s">
        <v>2670</v>
      </c>
      <c r="F588" s="4" t="s">
        <v>65</v>
      </c>
      <c r="G588" s="11">
        <f>IFERROR(VLOOKUP(F588,ShipShapeEnum!$B:$C,2,FALSE),"-")</f>
        <v>2</v>
      </c>
      <c r="H588" s="19" t="s">
        <v>0</v>
      </c>
      <c r="I588" s="19" t="s">
        <v>0</v>
      </c>
      <c r="J588" s="19" t="s">
        <v>0</v>
      </c>
      <c r="K588" s="19" t="s">
        <v>0</v>
      </c>
      <c r="L588" s="19" t="s">
        <v>0</v>
      </c>
      <c r="M588" s="4" t="s">
        <v>81</v>
      </c>
      <c r="N588" s="11">
        <f>IFERROR(VLOOKUP(M588,ShipShapeEnum!$H:$I,2,FALSE),"-")</f>
        <v>1</v>
      </c>
      <c r="O588" s="11" t="s">
        <v>2688</v>
      </c>
      <c r="P588" s="30"/>
      <c r="Q588" s="11" t="str">
        <f>IFERROR(INDEX(SailPattern!$A:$A,MATCH(P588,SailPattern!$B:$B,0)),"-")</f>
        <v>-</v>
      </c>
      <c r="R588" s="30"/>
      <c r="S588" s="11" t="str">
        <f>IFERROR(INDEX(SailCrest!$A:$A,MATCH(R588,SailCrest!$B:$B,0)),"-")</f>
        <v>-</v>
      </c>
      <c r="T588" s="19" t="s">
        <v>0</v>
      </c>
      <c r="U588" s="19" t="s">
        <v>0</v>
      </c>
      <c r="V588" s="19" t="s">
        <v>0</v>
      </c>
      <c r="W588" s="19" t="s">
        <v>0</v>
      </c>
      <c r="X588" s="19" t="s">
        <v>0</v>
      </c>
      <c r="Y588" s="19" t="s">
        <v>0</v>
      </c>
      <c r="Z588" s="19" t="s">
        <v>0</v>
      </c>
      <c r="AA588" s="19" t="s">
        <v>0</v>
      </c>
    </row>
    <row r="589" spans="1:27" ht="15.75" customHeight="1">
      <c r="A589" s="10">
        <f t="shared" si="17"/>
        <v>46200058</v>
      </c>
      <c r="B589" s="41" t="s">
        <v>2679</v>
      </c>
      <c r="C589" s="4" t="s">
        <v>99</v>
      </c>
      <c r="D589" s="11">
        <f>IFERROR(VLOOKUP(C589,ShipShapeEnum!$E:$F,2,FALSE),"-")</f>
        <v>3</v>
      </c>
      <c r="E589" s="19" t="s">
        <v>2682</v>
      </c>
      <c r="F589" s="4" t="s">
        <v>65</v>
      </c>
      <c r="G589" s="11">
        <f>IFERROR(VLOOKUP(F589,ShipShapeEnum!$B:$C,2,FALSE),"-")</f>
        <v>2</v>
      </c>
      <c r="H589" s="19" t="s">
        <v>0</v>
      </c>
      <c r="I589" s="19" t="s">
        <v>0</v>
      </c>
      <c r="J589" s="19" t="s">
        <v>0</v>
      </c>
      <c r="K589" s="19" t="s">
        <v>0</v>
      </c>
      <c r="L589" s="19" t="s">
        <v>0</v>
      </c>
      <c r="M589" s="4" t="s">
        <v>81</v>
      </c>
      <c r="N589" s="11">
        <f>IFERROR(VLOOKUP(M589,ShipShapeEnum!$H:$I,2,FALSE),"-")</f>
        <v>1</v>
      </c>
      <c r="O589" s="11" t="s">
        <v>2688</v>
      </c>
      <c r="P589" s="30"/>
      <c r="Q589" s="11" t="str">
        <f>IFERROR(INDEX(SailPattern!$A:$A,MATCH(P589,SailPattern!$B:$B,0)),"-")</f>
        <v>-</v>
      </c>
      <c r="R589" s="30"/>
      <c r="S589" s="11" t="str">
        <f>IFERROR(INDEX(SailCrest!$A:$A,MATCH(R589,SailCrest!$B:$B,0)),"-")</f>
        <v>-</v>
      </c>
      <c r="T589" s="19" t="s">
        <v>0</v>
      </c>
      <c r="U589" s="19" t="s">
        <v>0</v>
      </c>
      <c r="V589" s="19" t="s">
        <v>0</v>
      </c>
      <c r="W589" s="19" t="s">
        <v>0</v>
      </c>
      <c r="X589" s="19" t="s">
        <v>0</v>
      </c>
      <c r="Y589" s="19" t="s">
        <v>0</v>
      </c>
      <c r="Z589" s="19" t="s">
        <v>0</v>
      </c>
      <c r="AA589" s="19" t="s">
        <v>0</v>
      </c>
    </row>
    <row r="590" spans="1:27" ht="15.75" customHeight="1">
      <c r="A590" s="10">
        <f t="shared" si="17"/>
        <v>46200059</v>
      </c>
      <c r="B590" s="41" t="s">
        <v>2680</v>
      </c>
      <c r="C590" s="4" t="s">
        <v>99</v>
      </c>
      <c r="D590" s="11">
        <f>IFERROR(VLOOKUP(C590,ShipShapeEnum!$E:$F,2,FALSE),"-")</f>
        <v>3</v>
      </c>
      <c r="E590" s="19" t="s">
        <v>2683</v>
      </c>
      <c r="F590" s="4" t="s">
        <v>65</v>
      </c>
      <c r="G590" s="11">
        <f>IFERROR(VLOOKUP(F590,ShipShapeEnum!$B:$C,2,FALSE),"-")</f>
        <v>2</v>
      </c>
      <c r="H590" s="19" t="s">
        <v>0</v>
      </c>
      <c r="I590" s="19" t="s">
        <v>0</v>
      </c>
      <c r="J590" s="19" t="s">
        <v>0</v>
      </c>
      <c r="K590" s="19" t="s">
        <v>0</v>
      </c>
      <c r="L590" s="19" t="s">
        <v>0</v>
      </c>
      <c r="M590" s="4" t="s">
        <v>81</v>
      </c>
      <c r="N590" s="11">
        <f>IFERROR(VLOOKUP(M590,ShipShapeEnum!$H:$I,2,FALSE),"-")</f>
        <v>1</v>
      </c>
      <c r="O590" s="11" t="s">
        <v>2688</v>
      </c>
      <c r="P590" s="30"/>
      <c r="Q590" s="11" t="str">
        <f>IFERROR(INDEX(SailPattern!$A:$A,MATCH(P590,SailPattern!$B:$B,0)),"-")</f>
        <v>-</v>
      </c>
      <c r="R590" s="30"/>
      <c r="S590" s="11" t="str">
        <f>IFERROR(INDEX(SailCrest!$A:$A,MATCH(R590,SailCrest!$B:$B,0)),"-")</f>
        <v>-</v>
      </c>
      <c r="T590" s="19" t="s">
        <v>0</v>
      </c>
      <c r="U590" s="19" t="s">
        <v>0</v>
      </c>
      <c r="V590" s="19" t="s">
        <v>0</v>
      </c>
      <c r="W590" s="19" t="s">
        <v>0</v>
      </c>
      <c r="X590" s="19" t="s">
        <v>0</v>
      </c>
      <c r="Y590" s="19" t="s">
        <v>0</v>
      </c>
      <c r="Z590" s="19" t="s">
        <v>0</v>
      </c>
      <c r="AA590" s="19" t="s">
        <v>0</v>
      </c>
    </row>
    <row r="591" spans="1:27" ht="15.75" customHeight="1">
      <c r="A591" s="10">
        <f t="shared" si="17"/>
        <v>46200060</v>
      </c>
      <c r="B591" s="41" t="s">
        <v>2681</v>
      </c>
      <c r="C591" s="4" t="s">
        <v>99</v>
      </c>
      <c r="D591" s="11">
        <f>IFERROR(VLOOKUP(C591,ShipShapeEnum!$E:$F,2,FALSE),"-")</f>
        <v>3</v>
      </c>
      <c r="E591" s="19" t="s">
        <v>2684</v>
      </c>
      <c r="F591" s="4" t="s">
        <v>65</v>
      </c>
      <c r="G591" s="11">
        <f>IFERROR(VLOOKUP(F591,ShipShapeEnum!$B:$C,2,FALSE),"-")</f>
        <v>2</v>
      </c>
      <c r="H591" s="19" t="s">
        <v>0</v>
      </c>
      <c r="I591" s="19" t="s">
        <v>0</v>
      </c>
      <c r="J591" s="19" t="s">
        <v>0</v>
      </c>
      <c r="K591" s="19" t="s">
        <v>0</v>
      </c>
      <c r="L591" s="19" t="s">
        <v>0</v>
      </c>
      <c r="M591" s="4" t="s">
        <v>81</v>
      </c>
      <c r="N591" s="11">
        <f>IFERROR(VLOOKUP(M591,ShipShapeEnum!$H:$I,2,FALSE),"-")</f>
        <v>1</v>
      </c>
      <c r="O591" s="11" t="s">
        <v>2688</v>
      </c>
      <c r="P591" s="30"/>
      <c r="Q591" s="11" t="str">
        <f>IFERROR(INDEX(SailPattern!$A:$A,MATCH(P591,SailPattern!$B:$B,0)),"-")</f>
        <v>-</v>
      </c>
      <c r="R591" s="30"/>
      <c r="S591" s="11" t="str">
        <f>IFERROR(INDEX(SailCrest!$A:$A,MATCH(R591,SailCrest!$B:$B,0)),"-")</f>
        <v>-</v>
      </c>
      <c r="T591" s="19" t="s">
        <v>0</v>
      </c>
      <c r="U591" s="19" t="s">
        <v>0</v>
      </c>
      <c r="V591" s="19" t="s">
        <v>0</v>
      </c>
      <c r="W591" s="19" t="s">
        <v>0</v>
      </c>
      <c r="X591" s="19" t="s">
        <v>0</v>
      </c>
      <c r="Y591" s="19" t="s">
        <v>0</v>
      </c>
      <c r="Z591" s="19" t="s">
        <v>0</v>
      </c>
      <c r="AA591" s="19" t="s">
        <v>0</v>
      </c>
    </row>
    <row r="592" spans="1:27" ht="15.75" customHeight="1">
      <c r="A592" s="10">
        <f t="shared" si="17"/>
        <v>46200061</v>
      </c>
      <c r="B592" s="41" t="s">
        <v>2736</v>
      </c>
      <c r="C592" s="4" t="s">
        <v>99</v>
      </c>
      <c r="D592" s="11">
        <f>IFERROR(VLOOKUP(C592,ShipShapeEnum!$E:$F,2,FALSE),"-")</f>
        <v>3</v>
      </c>
      <c r="E592" s="19" t="s">
        <v>2737</v>
      </c>
      <c r="F592" s="4" t="s">
        <v>65</v>
      </c>
      <c r="G592" s="11">
        <f>IFERROR(VLOOKUP(F592,ShipShapeEnum!$B:$C,2,FALSE),"-")</f>
        <v>2</v>
      </c>
      <c r="H592" s="19" t="s">
        <v>0</v>
      </c>
      <c r="I592" s="19" t="s">
        <v>0</v>
      </c>
      <c r="J592" s="19" t="s">
        <v>0</v>
      </c>
      <c r="K592" s="19" t="s">
        <v>0</v>
      </c>
      <c r="L592" s="19" t="s">
        <v>0</v>
      </c>
      <c r="M592" s="4" t="s">
        <v>81</v>
      </c>
      <c r="N592" s="11">
        <f>IFERROR(VLOOKUP(M592,ShipShapeEnum!$H:$I,2,FALSE),"-")</f>
        <v>1</v>
      </c>
      <c r="O592" s="11" t="s">
        <v>0</v>
      </c>
      <c r="P592" s="30"/>
      <c r="Q592" s="11" t="str">
        <f>IFERROR(INDEX(SailPattern!$A:$A,MATCH(P592,SailPattern!$B:$B,0)),"-")</f>
        <v>-</v>
      </c>
      <c r="R592" s="30"/>
      <c r="S592" s="11" t="str">
        <f>IFERROR(INDEX(SailCrest!$A:$A,MATCH(R592,SailCrest!$B:$B,0)),"-")</f>
        <v>-</v>
      </c>
      <c r="T592" s="19" t="s">
        <v>0</v>
      </c>
      <c r="U592" s="19" t="s">
        <v>0</v>
      </c>
      <c r="V592" s="19" t="s">
        <v>0</v>
      </c>
      <c r="W592" s="19" t="s">
        <v>0</v>
      </c>
      <c r="X592" s="19" t="s">
        <v>0</v>
      </c>
      <c r="Y592" s="19" t="s">
        <v>0</v>
      </c>
      <c r="Z592" s="19" t="s">
        <v>0</v>
      </c>
      <c r="AA592" s="19" t="s">
        <v>0</v>
      </c>
    </row>
    <row r="593" spans="1:27" ht="15.75" customHeight="1">
      <c r="A593" s="10">
        <f t="shared" si="17"/>
        <v>46200062</v>
      </c>
      <c r="B593" s="41" t="s">
        <v>2769</v>
      </c>
      <c r="C593" s="4" t="s">
        <v>99</v>
      </c>
      <c r="D593" s="11">
        <f>IFERROR(VLOOKUP(C593,ShipShapeEnum!$E:$F,2,FALSE),"-")</f>
        <v>3</v>
      </c>
      <c r="E593" s="19" t="s">
        <v>2770</v>
      </c>
      <c r="F593" s="4" t="s">
        <v>65</v>
      </c>
      <c r="G593" s="11">
        <f>IFERROR(VLOOKUP(F593,ShipShapeEnum!$B:$C,2,FALSE),"-")</f>
        <v>2</v>
      </c>
      <c r="H593" s="19" t="s">
        <v>0</v>
      </c>
      <c r="I593" s="19" t="s">
        <v>0</v>
      </c>
      <c r="J593" s="19" t="s">
        <v>0</v>
      </c>
      <c r="K593" s="19" t="s">
        <v>0</v>
      </c>
      <c r="L593" s="19" t="s">
        <v>0</v>
      </c>
      <c r="M593" s="4" t="s">
        <v>81</v>
      </c>
      <c r="N593" s="11">
        <f>IFERROR(VLOOKUP(M593,ShipShapeEnum!$H:$I,2,FALSE),"-")</f>
        <v>1</v>
      </c>
      <c r="O593" s="11" t="s">
        <v>0</v>
      </c>
      <c r="P593" s="30"/>
      <c r="Q593" s="11" t="str">
        <f>IFERROR(INDEX(SailPattern!$A:$A,MATCH(P593,SailPattern!$B:$B,0)),"-")</f>
        <v>-</v>
      </c>
      <c r="R593" s="30"/>
      <c r="S593" s="11" t="str">
        <f>IFERROR(INDEX(SailCrest!$A:$A,MATCH(R593,SailCrest!$B:$B,0)),"-")</f>
        <v>-</v>
      </c>
      <c r="T593" s="19" t="s">
        <v>0</v>
      </c>
      <c r="U593" s="19" t="s">
        <v>0</v>
      </c>
      <c r="V593" s="19" t="s">
        <v>0</v>
      </c>
      <c r="W593" s="19" t="s">
        <v>0</v>
      </c>
      <c r="X593" s="19" t="s">
        <v>0</v>
      </c>
      <c r="Y593" s="19" t="s">
        <v>0</v>
      </c>
      <c r="Z593" s="19" t="s">
        <v>0</v>
      </c>
      <c r="AA593" s="19" t="s">
        <v>0</v>
      </c>
    </row>
    <row r="594" spans="1:27" ht="15.75" customHeight="1">
      <c r="A594" s="10">
        <f t="shared" si="17"/>
        <v>46200063</v>
      </c>
      <c r="B594" s="41" t="s">
        <v>2931</v>
      </c>
      <c r="C594" s="4" t="s">
        <v>99</v>
      </c>
      <c r="D594" s="11">
        <f>IFERROR(VLOOKUP(C594,ShipShapeEnum!$E:$F,2,FALSE),"-")</f>
        <v>3</v>
      </c>
      <c r="E594" s="19" t="s">
        <v>2932</v>
      </c>
      <c r="F594" s="4" t="s">
        <v>65</v>
      </c>
      <c r="G594" s="11">
        <f>IFERROR(VLOOKUP(F594,ShipShapeEnum!$B:$C,2,FALSE),"-")</f>
        <v>2</v>
      </c>
      <c r="H594" s="19" t="s">
        <v>0</v>
      </c>
      <c r="I594" s="19" t="s">
        <v>0</v>
      </c>
      <c r="J594" s="19" t="s">
        <v>0</v>
      </c>
      <c r="K594" s="19" t="s">
        <v>0</v>
      </c>
      <c r="L594" s="19" t="s">
        <v>0</v>
      </c>
      <c r="M594" s="4" t="s">
        <v>81</v>
      </c>
      <c r="N594" s="11">
        <f>IFERROR(VLOOKUP(M594,ShipShapeEnum!$H:$I,2,FALSE),"-")</f>
        <v>1</v>
      </c>
      <c r="O594" s="11" t="s">
        <v>0</v>
      </c>
      <c r="P594" s="30"/>
      <c r="Q594" s="11" t="str">
        <f>IFERROR(INDEX(SailPattern!$A:$A,MATCH(P594,SailPattern!$B:$B,0)),"-")</f>
        <v>-</v>
      </c>
      <c r="R594" s="30"/>
      <c r="S594" s="11" t="str">
        <f>IFERROR(INDEX(SailCrest!$A:$A,MATCH(R594,SailCrest!$B:$B,0)),"-")</f>
        <v>-</v>
      </c>
      <c r="T594" s="19" t="s">
        <v>0</v>
      </c>
      <c r="U594" s="19" t="s">
        <v>0</v>
      </c>
      <c r="V594" s="19" t="s">
        <v>0</v>
      </c>
      <c r="W594" s="19" t="s">
        <v>0</v>
      </c>
      <c r="X594" s="19" t="s">
        <v>0</v>
      </c>
      <c r="Y594" s="19" t="s">
        <v>0</v>
      </c>
      <c r="Z594" s="19" t="s">
        <v>0</v>
      </c>
      <c r="AA594" s="19" t="s">
        <v>0</v>
      </c>
    </row>
    <row r="595" spans="1:27" ht="15.75" customHeight="1">
      <c r="A595" s="10">
        <f t="shared" si="17"/>
        <v>46200064</v>
      </c>
      <c r="B595" s="41" t="s">
        <v>3060</v>
      </c>
      <c r="C595" s="4" t="s">
        <v>99</v>
      </c>
      <c r="D595" s="11">
        <f>IFERROR(VLOOKUP(C595,ShipShapeEnum!$E:$F,2,FALSE),"-")</f>
        <v>3</v>
      </c>
      <c r="E595" s="19" t="s">
        <v>3061</v>
      </c>
      <c r="F595" s="4" t="s">
        <v>65</v>
      </c>
      <c r="G595" s="11">
        <f>IFERROR(VLOOKUP(F595,ShipShapeEnum!$B:$C,2,FALSE),"-")</f>
        <v>2</v>
      </c>
      <c r="H595" s="19" t="s">
        <v>0</v>
      </c>
      <c r="I595" s="19" t="s">
        <v>0</v>
      </c>
      <c r="J595" s="19" t="s">
        <v>0</v>
      </c>
      <c r="K595" s="19" t="s">
        <v>0</v>
      </c>
      <c r="L595" s="19" t="s">
        <v>0</v>
      </c>
      <c r="M595" s="4" t="s">
        <v>81</v>
      </c>
      <c r="N595" s="11">
        <f>IFERROR(VLOOKUP(M595,ShipShapeEnum!$H:$I,2,FALSE),"-")</f>
        <v>1</v>
      </c>
      <c r="O595" s="11" t="s">
        <v>0</v>
      </c>
      <c r="P595" s="30"/>
      <c r="Q595" s="11" t="str">
        <f>IFERROR(INDEX(SailPattern!$A:$A,MATCH(P595,SailPattern!$B:$B,0)),"-")</f>
        <v>-</v>
      </c>
      <c r="R595" s="30"/>
      <c r="S595" s="11" t="str">
        <f>IFERROR(INDEX(SailCrest!$A:$A,MATCH(R595,SailCrest!$B:$B,0)),"-")</f>
        <v>-</v>
      </c>
      <c r="T595" s="19" t="s">
        <v>0</v>
      </c>
      <c r="U595" s="19" t="s">
        <v>0</v>
      </c>
      <c r="V595" s="19" t="s">
        <v>0</v>
      </c>
      <c r="W595" s="19" t="s">
        <v>0</v>
      </c>
      <c r="X595" s="19" t="s">
        <v>0</v>
      </c>
      <c r="Y595" s="19" t="s">
        <v>0</v>
      </c>
      <c r="Z595" s="19" t="s">
        <v>0</v>
      </c>
      <c r="AA595" s="19" t="s">
        <v>0</v>
      </c>
    </row>
    <row r="596" spans="1:27" ht="15.75" customHeight="1">
      <c r="A596" s="10">
        <f t="shared" si="17"/>
        <v>46200065</v>
      </c>
      <c r="B596" s="41" t="s">
        <v>3074</v>
      </c>
      <c r="C596" s="4" t="s">
        <v>99</v>
      </c>
      <c r="D596" s="11">
        <f>IFERROR(VLOOKUP(C596,ShipShapeEnum!$E:$F,2,FALSE),"-")</f>
        <v>3</v>
      </c>
      <c r="E596" s="19" t="s">
        <v>3072</v>
      </c>
      <c r="F596" s="4" t="s">
        <v>65</v>
      </c>
      <c r="G596" s="11">
        <f>IFERROR(VLOOKUP(F596,ShipShapeEnum!$B:$C,2,FALSE),"-")</f>
        <v>2</v>
      </c>
      <c r="H596" s="19" t="s">
        <v>0</v>
      </c>
      <c r="I596" s="19" t="s">
        <v>0</v>
      </c>
      <c r="J596" s="19" t="s">
        <v>0</v>
      </c>
      <c r="K596" s="19" t="s">
        <v>0</v>
      </c>
      <c r="L596" s="19" t="s">
        <v>0</v>
      </c>
      <c r="M596" s="4" t="s">
        <v>81</v>
      </c>
      <c r="N596" s="11">
        <f>IFERROR(VLOOKUP(M596,ShipShapeEnum!$H:$I,2,FALSE),"-")</f>
        <v>1</v>
      </c>
      <c r="O596" s="11" t="s">
        <v>0</v>
      </c>
      <c r="P596" s="30"/>
      <c r="Q596" s="11" t="str">
        <f>IFERROR(INDEX(SailPattern!$A:$A,MATCH(P596,SailPattern!$B:$B,0)),"-")</f>
        <v>-</v>
      </c>
      <c r="R596" s="30"/>
      <c r="S596" s="11" t="str">
        <f>IFERROR(INDEX(SailCrest!$A:$A,MATCH(R596,SailCrest!$B:$B,0)),"-")</f>
        <v>-</v>
      </c>
      <c r="T596" s="19" t="s">
        <v>0</v>
      </c>
      <c r="U596" s="19" t="s">
        <v>0</v>
      </c>
      <c r="V596" s="19" t="s">
        <v>0</v>
      </c>
      <c r="W596" s="19" t="s">
        <v>0</v>
      </c>
      <c r="X596" s="19" t="s">
        <v>0</v>
      </c>
      <c r="Y596" s="19" t="s">
        <v>0</v>
      </c>
      <c r="Z596" s="19" t="s">
        <v>0</v>
      </c>
      <c r="AA596" s="19" t="s">
        <v>0</v>
      </c>
    </row>
    <row r="597" spans="1:27" ht="15.75" customHeight="1">
      <c r="A597" s="10">
        <f t="shared" si="17"/>
        <v>46200066</v>
      </c>
      <c r="B597" s="41" t="s">
        <v>3075</v>
      </c>
      <c r="C597" s="4" t="s">
        <v>99</v>
      </c>
      <c r="D597" s="11">
        <f>IFERROR(VLOOKUP(C597,ShipShapeEnum!$E:$F,2,FALSE),"-")</f>
        <v>3</v>
      </c>
      <c r="E597" s="19" t="s">
        <v>3073</v>
      </c>
      <c r="F597" s="4" t="s">
        <v>65</v>
      </c>
      <c r="G597" s="11">
        <f>IFERROR(VLOOKUP(F597,ShipShapeEnum!$B:$C,2,FALSE),"-")</f>
        <v>2</v>
      </c>
      <c r="H597" s="19" t="s">
        <v>0</v>
      </c>
      <c r="I597" s="19" t="s">
        <v>0</v>
      </c>
      <c r="J597" s="19" t="s">
        <v>0</v>
      </c>
      <c r="K597" s="19" t="s">
        <v>0</v>
      </c>
      <c r="L597" s="19" t="s">
        <v>0</v>
      </c>
      <c r="M597" s="4" t="s">
        <v>81</v>
      </c>
      <c r="N597" s="11">
        <f>IFERROR(VLOOKUP(M597,ShipShapeEnum!$H:$I,2,FALSE),"-")</f>
        <v>1</v>
      </c>
      <c r="O597" s="11" t="s">
        <v>0</v>
      </c>
      <c r="P597" s="30"/>
      <c r="Q597" s="11" t="str">
        <f>IFERROR(INDEX(SailPattern!$A:$A,MATCH(P597,SailPattern!$B:$B,0)),"-")</f>
        <v>-</v>
      </c>
      <c r="R597" s="30"/>
      <c r="S597" s="11" t="str">
        <f>IFERROR(INDEX(SailCrest!$A:$A,MATCH(R597,SailCrest!$B:$B,0)),"-")</f>
        <v>-</v>
      </c>
      <c r="T597" s="19" t="s">
        <v>0</v>
      </c>
      <c r="U597" s="19" t="s">
        <v>0</v>
      </c>
      <c r="V597" s="19" t="s">
        <v>0</v>
      </c>
      <c r="W597" s="19" t="s">
        <v>0</v>
      </c>
      <c r="X597" s="19" t="s">
        <v>0</v>
      </c>
      <c r="Y597" s="19" t="s">
        <v>0</v>
      </c>
      <c r="Z597" s="19" t="s">
        <v>0</v>
      </c>
      <c r="AA597" s="19" t="s">
        <v>0</v>
      </c>
    </row>
    <row r="598" spans="1:27" ht="15.75" customHeight="1">
      <c r="A598" s="10">
        <f t="shared" si="17"/>
        <v>46200067</v>
      </c>
      <c r="B598" s="41" t="s">
        <v>3100</v>
      </c>
      <c r="C598" s="4" t="s">
        <v>99</v>
      </c>
      <c r="D598" s="11">
        <f>IFERROR(VLOOKUP(C598,ShipShapeEnum!$E:$F,2,FALSE),"-")</f>
        <v>3</v>
      </c>
      <c r="E598" s="19" t="s">
        <v>3098</v>
      </c>
      <c r="F598" s="4" t="s">
        <v>65</v>
      </c>
      <c r="G598" s="11">
        <f>IFERROR(VLOOKUP(F598,ShipShapeEnum!$B:$C,2,FALSE),"-")</f>
        <v>2</v>
      </c>
      <c r="H598" s="19" t="s">
        <v>0</v>
      </c>
      <c r="I598" s="19" t="s">
        <v>0</v>
      </c>
      <c r="J598" s="19" t="s">
        <v>0</v>
      </c>
      <c r="K598" s="19" t="s">
        <v>0</v>
      </c>
      <c r="L598" s="19" t="s">
        <v>0</v>
      </c>
      <c r="M598" s="4" t="s">
        <v>81</v>
      </c>
      <c r="N598" s="11">
        <f>IFERROR(VLOOKUP(M598,ShipShapeEnum!$H:$I,2,FALSE),"-")</f>
        <v>1</v>
      </c>
      <c r="O598" s="11" t="s">
        <v>0</v>
      </c>
      <c r="P598" s="30"/>
      <c r="Q598" s="11" t="str">
        <f>IFERROR(INDEX(SailPattern!$A:$A,MATCH(P598,SailPattern!$B:$B,0)),"-")</f>
        <v>-</v>
      </c>
      <c r="R598" s="30"/>
      <c r="S598" s="11" t="str">
        <f>IFERROR(INDEX(SailCrest!$A:$A,MATCH(R598,SailCrest!$B:$B,0)),"-")</f>
        <v>-</v>
      </c>
      <c r="T598" s="19" t="s">
        <v>0</v>
      </c>
      <c r="U598" s="19" t="s">
        <v>0</v>
      </c>
      <c r="V598" s="19" t="s">
        <v>0</v>
      </c>
      <c r="W598" s="19" t="s">
        <v>0</v>
      </c>
      <c r="X598" s="19" t="s">
        <v>0</v>
      </c>
      <c r="Y598" s="19" t="s">
        <v>0</v>
      </c>
      <c r="Z598" s="19" t="s">
        <v>0</v>
      </c>
      <c r="AA598" s="19" t="s">
        <v>0</v>
      </c>
    </row>
    <row r="599" spans="1:27" ht="15.75" customHeight="1">
      <c r="A599" s="10">
        <f t="shared" ref="A599:A620" si="18">A598+1</f>
        <v>46200068</v>
      </c>
      <c r="B599" s="41" t="s">
        <v>3101</v>
      </c>
      <c r="C599" s="4" t="s">
        <v>99</v>
      </c>
      <c r="D599" s="11">
        <f>IFERROR(VLOOKUP(C599,ShipShapeEnum!$E:$F,2,FALSE),"-")</f>
        <v>3</v>
      </c>
      <c r="E599" s="19" t="s">
        <v>3099</v>
      </c>
      <c r="F599" s="4" t="s">
        <v>65</v>
      </c>
      <c r="G599" s="11">
        <f>IFERROR(VLOOKUP(F599,ShipShapeEnum!$B:$C,2,FALSE),"-")</f>
        <v>2</v>
      </c>
      <c r="H599" s="19" t="s">
        <v>0</v>
      </c>
      <c r="I599" s="19" t="s">
        <v>0</v>
      </c>
      <c r="J599" s="19" t="s">
        <v>0</v>
      </c>
      <c r="K599" s="19" t="s">
        <v>0</v>
      </c>
      <c r="L599" s="19" t="s">
        <v>0</v>
      </c>
      <c r="M599" s="4" t="s">
        <v>81</v>
      </c>
      <c r="N599" s="11">
        <f>IFERROR(VLOOKUP(M599,ShipShapeEnum!$H:$I,2,FALSE),"-")</f>
        <v>1</v>
      </c>
      <c r="O599" s="11" t="s">
        <v>0</v>
      </c>
      <c r="P599" s="30"/>
      <c r="Q599" s="11" t="str">
        <f>IFERROR(INDEX(SailPattern!$A:$A,MATCH(P599,SailPattern!$B:$B,0)),"-")</f>
        <v>-</v>
      </c>
      <c r="R599" s="30"/>
      <c r="S599" s="11" t="str">
        <f>IFERROR(INDEX(SailCrest!$A:$A,MATCH(R599,SailCrest!$B:$B,0)),"-")</f>
        <v>-</v>
      </c>
      <c r="T599" s="19" t="s">
        <v>0</v>
      </c>
      <c r="U599" s="19" t="s">
        <v>0</v>
      </c>
      <c r="V599" s="19" t="s">
        <v>0</v>
      </c>
      <c r="W599" s="19" t="s">
        <v>0</v>
      </c>
      <c r="X599" s="19" t="s">
        <v>0</v>
      </c>
      <c r="Y599" s="19" t="s">
        <v>0</v>
      </c>
      <c r="Z599" s="19" t="s">
        <v>0</v>
      </c>
      <c r="AA599" s="19" t="s">
        <v>0</v>
      </c>
    </row>
    <row r="600" spans="1:27" ht="15.75" customHeight="1">
      <c r="A600" s="10">
        <f t="shared" si="18"/>
        <v>46200069</v>
      </c>
      <c r="B600" s="41" t="s">
        <v>3126</v>
      </c>
      <c r="C600" s="4" t="s">
        <v>99</v>
      </c>
      <c r="D600" s="11">
        <f>IFERROR(VLOOKUP(C600,ShipShapeEnum!$E:$F,2,FALSE),"-")</f>
        <v>3</v>
      </c>
      <c r="E600" s="19" t="s">
        <v>3127</v>
      </c>
      <c r="F600" s="4" t="s">
        <v>65</v>
      </c>
      <c r="G600" s="11">
        <f>IFERROR(VLOOKUP(F600,ShipShapeEnum!$B:$C,2,FALSE),"-")</f>
        <v>2</v>
      </c>
      <c r="H600" s="19" t="s">
        <v>0</v>
      </c>
      <c r="I600" s="19" t="s">
        <v>0</v>
      </c>
      <c r="J600" s="19" t="s">
        <v>0</v>
      </c>
      <c r="K600" s="19" t="s">
        <v>0</v>
      </c>
      <c r="L600" s="19" t="s">
        <v>0</v>
      </c>
      <c r="M600" s="4" t="s">
        <v>81</v>
      </c>
      <c r="N600" s="11">
        <f>IFERROR(VLOOKUP(M600,ShipShapeEnum!$H:$I,2,FALSE),"-")</f>
        <v>1</v>
      </c>
      <c r="O600" s="11" t="s">
        <v>0</v>
      </c>
      <c r="P600" s="30"/>
      <c r="Q600" s="11" t="str">
        <f>IFERROR(INDEX(SailPattern!$A:$A,MATCH(P600,SailPattern!$B:$B,0)),"-")</f>
        <v>-</v>
      </c>
      <c r="R600" s="30"/>
      <c r="S600" s="11" t="str">
        <f>IFERROR(INDEX(SailCrest!$A:$A,MATCH(R600,SailCrest!$B:$B,0)),"-")</f>
        <v>-</v>
      </c>
      <c r="T600" s="19" t="s">
        <v>0</v>
      </c>
      <c r="U600" s="19" t="s">
        <v>0</v>
      </c>
      <c r="V600" s="19" t="s">
        <v>0</v>
      </c>
      <c r="W600" s="19" t="s">
        <v>0</v>
      </c>
      <c r="X600" s="19" t="s">
        <v>0</v>
      </c>
      <c r="Y600" s="19" t="s">
        <v>0</v>
      </c>
      <c r="Z600" s="19" t="s">
        <v>0</v>
      </c>
      <c r="AA600" s="19" t="s">
        <v>0</v>
      </c>
    </row>
    <row r="601" spans="1:27" ht="15.75" customHeight="1">
      <c r="A601" s="10">
        <f t="shared" si="18"/>
        <v>46200070</v>
      </c>
      <c r="B601" s="41" t="s">
        <v>3178</v>
      </c>
      <c r="C601" s="4" t="s">
        <v>99</v>
      </c>
      <c r="D601" s="11">
        <f>IFERROR(VLOOKUP(C601,ShipShapeEnum!$E:$F,2,FALSE),"-")</f>
        <v>3</v>
      </c>
      <c r="E601" s="19" t="s">
        <v>3180</v>
      </c>
      <c r="F601" s="4" t="s">
        <v>65</v>
      </c>
      <c r="G601" s="11">
        <f>IFERROR(VLOOKUP(F601,ShipShapeEnum!$B:$C,2,FALSE),"-")</f>
        <v>2</v>
      </c>
      <c r="H601" s="19" t="s">
        <v>0</v>
      </c>
      <c r="I601" s="19" t="s">
        <v>0</v>
      </c>
      <c r="J601" s="19" t="s">
        <v>0</v>
      </c>
      <c r="K601" s="19" t="s">
        <v>0</v>
      </c>
      <c r="L601" s="19" t="s">
        <v>0</v>
      </c>
      <c r="M601" s="4" t="s">
        <v>81</v>
      </c>
      <c r="N601" s="11">
        <f>IFERROR(VLOOKUP(M601,ShipShapeEnum!$H:$I,2,FALSE),"-")</f>
        <v>1</v>
      </c>
      <c r="O601" s="11" t="s">
        <v>0</v>
      </c>
      <c r="P601" s="30"/>
      <c r="Q601" s="11" t="str">
        <f>IFERROR(INDEX(SailPattern!$A:$A,MATCH(P601,SailPattern!$B:$B,0)),"-")</f>
        <v>-</v>
      </c>
      <c r="R601" s="30"/>
      <c r="S601" s="11" t="str">
        <f>IFERROR(INDEX(SailCrest!$A:$A,MATCH(R601,SailCrest!$B:$B,0)),"-")</f>
        <v>-</v>
      </c>
      <c r="T601" s="19" t="s">
        <v>0</v>
      </c>
      <c r="U601" s="19" t="s">
        <v>0</v>
      </c>
      <c r="V601" s="19" t="s">
        <v>0</v>
      </c>
      <c r="W601" s="19" t="s">
        <v>0</v>
      </c>
      <c r="X601" s="19" t="s">
        <v>0</v>
      </c>
      <c r="Y601" s="19" t="s">
        <v>0</v>
      </c>
      <c r="Z601" s="19" t="s">
        <v>0</v>
      </c>
      <c r="AA601" s="19" t="s">
        <v>0</v>
      </c>
    </row>
    <row r="602" spans="1:27" ht="15.75" customHeight="1">
      <c r="A602" s="10">
        <f t="shared" si="18"/>
        <v>46200071</v>
      </c>
      <c r="B602" s="41" t="s">
        <v>3179</v>
      </c>
      <c r="C602" s="4" t="s">
        <v>99</v>
      </c>
      <c r="D602" s="11">
        <f>IFERROR(VLOOKUP(C602,ShipShapeEnum!$E:$F,2,FALSE),"-")</f>
        <v>3</v>
      </c>
      <c r="E602" s="19" t="s">
        <v>3181</v>
      </c>
      <c r="F602" s="4" t="s">
        <v>65</v>
      </c>
      <c r="G602" s="11">
        <f>IFERROR(VLOOKUP(F602,ShipShapeEnum!$B:$C,2,FALSE),"-")</f>
        <v>2</v>
      </c>
      <c r="H602" s="19" t="s">
        <v>0</v>
      </c>
      <c r="I602" s="19" t="s">
        <v>0</v>
      </c>
      <c r="J602" s="19" t="s">
        <v>0</v>
      </c>
      <c r="K602" s="19" t="s">
        <v>0</v>
      </c>
      <c r="L602" s="19" t="s">
        <v>0</v>
      </c>
      <c r="M602" s="4" t="s">
        <v>81</v>
      </c>
      <c r="N602" s="11">
        <f>IFERROR(VLOOKUP(M602,ShipShapeEnum!$H:$I,2,FALSE),"-")</f>
        <v>1</v>
      </c>
      <c r="O602" s="11" t="s">
        <v>0</v>
      </c>
      <c r="P602" s="30"/>
      <c r="Q602" s="11" t="str">
        <f>IFERROR(INDEX(SailPattern!$A:$A,MATCH(P602,SailPattern!$B:$B,0)),"-")</f>
        <v>-</v>
      </c>
      <c r="R602" s="30"/>
      <c r="S602" s="11" t="str">
        <f>IFERROR(INDEX(SailCrest!$A:$A,MATCH(R602,SailCrest!$B:$B,0)),"-")</f>
        <v>-</v>
      </c>
      <c r="T602" s="19" t="s">
        <v>0</v>
      </c>
      <c r="U602" s="19" t="s">
        <v>0</v>
      </c>
      <c r="V602" s="19" t="s">
        <v>0</v>
      </c>
      <c r="W602" s="19" t="s">
        <v>0</v>
      </c>
      <c r="X602" s="19" t="s">
        <v>0</v>
      </c>
      <c r="Y602" s="19" t="s">
        <v>0</v>
      </c>
      <c r="Z602" s="19" t="s">
        <v>0</v>
      </c>
      <c r="AA602" s="19" t="s">
        <v>0</v>
      </c>
    </row>
    <row r="603" spans="1:27" ht="15.75" customHeight="1">
      <c r="A603" s="10">
        <f t="shared" si="18"/>
        <v>46200072</v>
      </c>
      <c r="B603" s="41" t="s">
        <v>3256</v>
      </c>
      <c r="C603" s="4" t="s">
        <v>99</v>
      </c>
      <c r="D603" s="11">
        <f>IFERROR(VLOOKUP(C603,ShipShapeEnum!$E:$F,2,FALSE),"-")</f>
        <v>3</v>
      </c>
      <c r="E603" s="19" t="s">
        <v>3263</v>
      </c>
      <c r="F603" s="4" t="s">
        <v>65</v>
      </c>
      <c r="G603" s="11">
        <f>IFERROR(VLOOKUP(F603,ShipShapeEnum!$B:$C,2,FALSE),"-")</f>
        <v>2</v>
      </c>
      <c r="H603" s="19" t="s">
        <v>0</v>
      </c>
      <c r="I603" s="19" t="s">
        <v>0</v>
      </c>
      <c r="J603" s="19" t="s">
        <v>0</v>
      </c>
      <c r="K603" s="19" t="s">
        <v>0</v>
      </c>
      <c r="L603" s="19" t="s">
        <v>0</v>
      </c>
      <c r="M603" s="4" t="s">
        <v>81</v>
      </c>
      <c r="N603" s="11">
        <f>IFERROR(VLOOKUP(M603,ShipShapeEnum!$H:$I,2,FALSE),"-")</f>
        <v>1</v>
      </c>
      <c r="O603" s="11" t="s">
        <v>0</v>
      </c>
      <c r="P603" s="30"/>
      <c r="Q603" s="11" t="str">
        <f>IFERROR(INDEX(SailPattern!$A:$A,MATCH(P603,SailPattern!$B:$B,0)),"-")</f>
        <v>-</v>
      </c>
      <c r="R603" s="30"/>
      <c r="S603" s="11" t="str">
        <f>IFERROR(INDEX(SailCrest!$A:$A,MATCH(R603,SailCrest!$B:$B,0)),"-")</f>
        <v>-</v>
      </c>
      <c r="T603" s="19" t="s">
        <v>0</v>
      </c>
      <c r="U603" s="19" t="s">
        <v>0</v>
      </c>
      <c r="V603" s="19" t="s">
        <v>0</v>
      </c>
      <c r="W603" s="19" t="s">
        <v>0</v>
      </c>
      <c r="X603" s="19" t="s">
        <v>0</v>
      </c>
      <c r="Y603" s="19" t="s">
        <v>0</v>
      </c>
      <c r="Z603" s="19" t="s">
        <v>0</v>
      </c>
      <c r="AA603" s="19" t="s">
        <v>0</v>
      </c>
    </row>
    <row r="604" spans="1:27" ht="15.75" customHeight="1">
      <c r="A604" s="10">
        <f t="shared" si="18"/>
        <v>46200073</v>
      </c>
      <c r="B604" s="41" t="s">
        <v>3257</v>
      </c>
      <c r="C604" s="4" t="s">
        <v>99</v>
      </c>
      <c r="D604" s="11">
        <f>IFERROR(VLOOKUP(C604,ShipShapeEnum!$E:$F,2,FALSE),"-")</f>
        <v>3</v>
      </c>
      <c r="E604" s="19" t="s">
        <v>3262</v>
      </c>
      <c r="F604" s="4" t="s">
        <v>65</v>
      </c>
      <c r="G604" s="11">
        <f>IFERROR(VLOOKUP(F604,ShipShapeEnum!$B:$C,2,FALSE),"-")</f>
        <v>2</v>
      </c>
      <c r="H604" s="19" t="s">
        <v>0</v>
      </c>
      <c r="I604" s="19" t="s">
        <v>0</v>
      </c>
      <c r="J604" s="19" t="s">
        <v>0</v>
      </c>
      <c r="K604" s="19" t="s">
        <v>0</v>
      </c>
      <c r="L604" s="19" t="s">
        <v>0</v>
      </c>
      <c r="M604" s="4" t="s">
        <v>81</v>
      </c>
      <c r="N604" s="11">
        <f>IFERROR(VLOOKUP(M604,ShipShapeEnum!$H:$I,2,FALSE),"-")</f>
        <v>1</v>
      </c>
      <c r="O604" s="11" t="s">
        <v>0</v>
      </c>
      <c r="P604" s="30"/>
      <c r="Q604" s="11" t="str">
        <f>IFERROR(INDEX(SailPattern!$A:$A,MATCH(P604,SailPattern!$B:$B,0)),"-")</f>
        <v>-</v>
      </c>
      <c r="R604" s="30"/>
      <c r="S604" s="11" t="str">
        <f>IFERROR(INDEX(SailCrest!$A:$A,MATCH(R604,SailCrest!$B:$B,0)),"-")</f>
        <v>-</v>
      </c>
      <c r="T604" s="19" t="s">
        <v>0</v>
      </c>
      <c r="U604" s="19" t="s">
        <v>0</v>
      </c>
      <c r="V604" s="19" t="s">
        <v>0</v>
      </c>
      <c r="W604" s="19" t="s">
        <v>0</v>
      </c>
      <c r="X604" s="19" t="s">
        <v>0</v>
      </c>
      <c r="Y604" s="19" t="s">
        <v>0</v>
      </c>
      <c r="Z604" s="19" t="s">
        <v>0</v>
      </c>
      <c r="AA604" s="19" t="s">
        <v>0</v>
      </c>
    </row>
    <row r="605" spans="1:27" ht="15.75" customHeight="1">
      <c r="A605" s="10">
        <f t="shared" si="18"/>
        <v>46200074</v>
      </c>
      <c r="B605" s="41" t="s">
        <v>3267</v>
      </c>
      <c r="C605" s="4" t="s">
        <v>99</v>
      </c>
      <c r="D605" s="11">
        <f>IFERROR(VLOOKUP(C605,ShipShapeEnum!$E:$F,2,FALSE),"-")</f>
        <v>3</v>
      </c>
      <c r="E605" s="19" t="s">
        <v>3266</v>
      </c>
      <c r="F605" s="4" t="s">
        <v>65</v>
      </c>
      <c r="G605" s="11">
        <f>IFERROR(VLOOKUP(F605,ShipShapeEnum!$B:$C,2,FALSE),"-")</f>
        <v>2</v>
      </c>
      <c r="H605" s="19" t="s">
        <v>0</v>
      </c>
      <c r="I605" s="19" t="s">
        <v>0</v>
      </c>
      <c r="J605" s="19" t="s">
        <v>0</v>
      </c>
      <c r="K605" s="19" t="s">
        <v>0</v>
      </c>
      <c r="L605" s="19" t="s">
        <v>0</v>
      </c>
      <c r="M605" s="4" t="s">
        <v>81</v>
      </c>
      <c r="N605" s="11">
        <f>IFERROR(VLOOKUP(M605,ShipShapeEnum!$H:$I,2,FALSE),"-")</f>
        <v>1</v>
      </c>
      <c r="O605" s="11" t="s">
        <v>0</v>
      </c>
      <c r="P605" s="30"/>
      <c r="Q605" s="11" t="str">
        <f>IFERROR(INDEX(SailPattern!$A:$A,MATCH(P605,SailPattern!$B:$B,0)),"-")</f>
        <v>-</v>
      </c>
      <c r="R605" s="30"/>
      <c r="S605" s="11" t="str">
        <f>IFERROR(INDEX(SailCrest!$A:$A,MATCH(R605,SailCrest!$B:$B,0)),"-")</f>
        <v>-</v>
      </c>
      <c r="T605" s="19" t="s">
        <v>0</v>
      </c>
      <c r="U605" s="19" t="s">
        <v>0</v>
      </c>
      <c r="V605" s="19" t="s">
        <v>0</v>
      </c>
      <c r="W605" s="19" t="s">
        <v>0</v>
      </c>
      <c r="X605" s="19" t="s">
        <v>0</v>
      </c>
      <c r="Y605" s="19" t="s">
        <v>0</v>
      </c>
      <c r="Z605" s="19" t="s">
        <v>0</v>
      </c>
      <c r="AA605" s="19" t="s">
        <v>0</v>
      </c>
    </row>
    <row r="606" spans="1:27" ht="15.75" customHeight="1">
      <c r="A606" s="10">
        <f t="shared" si="18"/>
        <v>46200075</v>
      </c>
      <c r="B606" s="41" t="s">
        <v>3318</v>
      </c>
      <c r="C606" s="4" t="s">
        <v>99</v>
      </c>
      <c r="D606" s="11">
        <f>IFERROR(VLOOKUP(C606,ShipShapeEnum!$E:$F,2,FALSE),"-")</f>
        <v>3</v>
      </c>
      <c r="E606" s="19" t="s">
        <v>3317</v>
      </c>
      <c r="F606" s="4" t="s">
        <v>65</v>
      </c>
      <c r="G606" s="11">
        <f>IFERROR(VLOOKUP(F606,ShipShapeEnum!$B:$C,2,FALSE),"-")</f>
        <v>2</v>
      </c>
      <c r="H606" s="19" t="s">
        <v>0</v>
      </c>
      <c r="I606" s="19" t="s">
        <v>0</v>
      </c>
      <c r="J606" s="19" t="s">
        <v>0</v>
      </c>
      <c r="K606" s="19" t="s">
        <v>0</v>
      </c>
      <c r="L606" s="19" t="s">
        <v>0</v>
      </c>
      <c r="M606" s="4" t="s">
        <v>81</v>
      </c>
      <c r="N606" s="11">
        <f>IFERROR(VLOOKUP(M606,ShipShapeEnum!$H:$I,2,FALSE),"-")</f>
        <v>1</v>
      </c>
      <c r="O606" s="11" t="s">
        <v>0</v>
      </c>
      <c r="P606" s="30"/>
      <c r="Q606" s="11" t="str">
        <f>IFERROR(INDEX(SailPattern!$A:$A,MATCH(P606,SailPattern!$B:$B,0)),"-")</f>
        <v>-</v>
      </c>
      <c r="R606" s="30"/>
      <c r="S606" s="11" t="str">
        <f>IFERROR(INDEX(SailCrest!$A:$A,MATCH(R606,SailCrest!$B:$B,0)),"-")</f>
        <v>-</v>
      </c>
      <c r="T606" s="19" t="s">
        <v>0</v>
      </c>
      <c r="U606" s="19" t="s">
        <v>0</v>
      </c>
      <c r="V606" s="19" t="s">
        <v>0</v>
      </c>
      <c r="W606" s="19" t="s">
        <v>0</v>
      </c>
      <c r="X606" s="19" t="s">
        <v>0</v>
      </c>
      <c r="Y606" s="19" t="s">
        <v>0</v>
      </c>
      <c r="Z606" s="19" t="s">
        <v>0</v>
      </c>
      <c r="AA606" s="19" t="s">
        <v>0</v>
      </c>
    </row>
    <row r="607" spans="1:27" ht="15.75" customHeight="1">
      <c r="A607" s="10">
        <f t="shared" si="18"/>
        <v>46200076</v>
      </c>
      <c r="B607" s="41" t="s">
        <v>3334</v>
      </c>
      <c r="C607" s="4" t="s">
        <v>99</v>
      </c>
      <c r="D607" s="11">
        <f>IFERROR(VLOOKUP(C607,ShipShapeEnum!$E:$F,2,FALSE),"-")</f>
        <v>3</v>
      </c>
      <c r="E607" s="19" t="s">
        <v>3333</v>
      </c>
      <c r="F607" s="4" t="s">
        <v>65</v>
      </c>
      <c r="G607" s="11">
        <f>IFERROR(VLOOKUP(F607,ShipShapeEnum!$B:$C,2,FALSE),"-")</f>
        <v>2</v>
      </c>
      <c r="H607" s="19" t="s">
        <v>0</v>
      </c>
      <c r="I607" s="19" t="s">
        <v>0</v>
      </c>
      <c r="J607" s="19" t="s">
        <v>0</v>
      </c>
      <c r="K607" s="19" t="s">
        <v>0</v>
      </c>
      <c r="L607" s="19" t="s">
        <v>0</v>
      </c>
      <c r="M607" s="4" t="s">
        <v>81</v>
      </c>
      <c r="N607" s="11">
        <f>IFERROR(VLOOKUP(M607,ShipShapeEnum!$H:$I,2,FALSE),"-")</f>
        <v>1</v>
      </c>
      <c r="O607" s="11" t="s">
        <v>0</v>
      </c>
      <c r="P607" s="30"/>
      <c r="Q607" s="11" t="str">
        <f>IFERROR(INDEX(SailPattern!$A:$A,MATCH(P607,SailPattern!$B:$B,0)),"-")</f>
        <v>-</v>
      </c>
      <c r="R607" s="30"/>
      <c r="S607" s="11" t="str">
        <f>IFERROR(INDEX(SailCrest!$A:$A,MATCH(R607,SailCrest!$B:$B,0)),"-")</f>
        <v>-</v>
      </c>
      <c r="T607" s="19" t="s">
        <v>0</v>
      </c>
      <c r="U607" s="19" t="s">
        <v>0</v>
      </c>
      <c r="V607" s="19" t="s">
        <v>0</v>
      </c>
      <c r="W607" s="19" t="s">
        <v>0</v>
      </c>
      <c r="X607" s="19" t="s">
        <v>0</v>
      </c>
      <c r="Y607" s="19" t="s">
        <v>0</v>
      </c>
      <c r="Z607" s="19" t="s">
        <v>0</v>
      </c>
      <c r="AA607" s="19" t="s">
        <v>0</v>
      </c>
    </row>
    <row r="608" spans="1:27" ht="15.75" customHeight="1">
      <c r="A608" s="10">
        <f t="shared" si="18"/>
        <v>46200077</v>
      </c>
      <c r="B608" s="41" t="s">
        <v>3352</v>
      </c>
      <c r="C608" s="4" t="s">
        <v>99</v>
      </c>
      <c r="D608" s="11">
        <f>IFERROR(VLOOKUP(C608,ShipShapeEnum!$E:$F,2,FALSE),"-")</f>
        <v>3</v>
      </c>
      <c r="E608" s="19" t="s">
        <v>3353</v>
      </c>
      <c r="F608" s="4" t="s">
        <v>65</v>
      </c>
      <c r="G608" s="11">
        <f>IFERROR(VLOOKUP(F608,ShipShapeEnum!$B:$C,2,FALSE),"-")</f>
        <v>2</v>
      </c>
      <c r="H608" s="19" t="s">
        <v>0</v>
      </c>
      <c r="I608" s="19" t="s">
        <v>0</v>
      </c>
      <c r="J608" s="19" t="s">
        <v>0</v>
      </c>
      <c r="K608" s="19" t="s">
        <v>0</v>
      </c>
      <c r="L608" s="19" t="s">
        <v>0</v>
      </c>
      <c r="M608" s="4" t="s">
        <v>81</v>
      </c>
      <c r="N608" s="11">
        <f>IFERROR(VLOOKUP(M608,ShipShapeEnum!$H:$I,2,FALSE),"-")</f>
        <v>1</v>
      </c>
      <c r="O608" s="11" t="s">
        <v>0</v>
      </c>
      <c r="P608" s="30"/>
      <c r="Q608" s="11" t="str">
        <f>IFERROR(INDEX(SailPattern!$A:$A,MATCH(P608,SailPattern!$B:$B,0)),"-")</f>
        <v>-</v>
      </c>
      <c r="R608" s="30"/>
      <c r="S608" s="11" t="str">
        <f>IFERROR(INDEX(SailCrest!$A:$A,MATCH(R608,SailCrest!$B:$B,0)),"-")</f>
        <v>-</v>
      </c>
      <c r="T608" s="19" t="s">
        <v>0</v>
      </c>
      <c r="U608" s="19" t="s">
        <v>0</v>
      </c>
      <c r="V608" s="19" t="s">
        <v>0</v>
      </c>
      <c r="W608" s="19" t="s">
        <v>0</v>
      </c>
      <c r="X608" s="19" t="s">
        <v>0</v>
      </c>
      <c r="Y608" s="19" t="s">
        <v>0</v>
      </c>
      <c r="Z608" s="19" t="s">
        <v>0</v>
      </c>
      <c r="AA608" s="19" t="s">
        <v>0</v>
      </c>
    </row>
    <row r="609" spans="1:27" ht="15.75" customHeight="1">
      <c r="A609" s="10">
        <f t="shared" si="18"/>
        <v>46200078</v>
      </c>
      <c r="B609" s="41" t="s">
        <v>3402</v>
      </c>
      <c r="C609" s="4" t="s">
        <v>99</v>
      </c>
      <c r="D609" s="11">
        <f>IFERROR(VLOOKUP(C609,ShipShapeEnum!$E:$F,2,FALSE),"-")</f>
        <v>3</v>
      </c>
      <c r="E609" s="19" t="s">
        <v>3400</v>
      </c>
      <c r="F609" s="4" t="s">
        <v>65</v>
      </c>
      <c r="G609" s="11">
        <f>IFERROR(VLOOKUP(F609,ShipShapeEnum!$B:$C,2,FALSE),"-")</f>
        <v>2</v>
      </c>
      <c r="H609" s="19" t="s">
        <v>0</v>
      </c>
      <c r="I609" s="19" t="s">
        <v>0</v>
      </c>
      <c r="J609" s="19" t="s">
        <v>0</v>
      </c>
      <c r="K609" s="19" t="s">
        <v>0</v>
      </c>
      <c r="L609" s="19" t="s">
        <v>0</v>
      </c>
      <c r="M609" s="4" t="s">
        <v>81</v>
      </c>
      <c r="N609" s="11">
        <f>IFERROR(VLOOKUP(M609,ShipShapeEnum!$H:$I,2,FALSE),"-")</f>
        <v>1</v>
      </c>
      <c r="O609" s="11" t="s">
        <v>0</v>
      </c>
      <c r="P609" s="30"/>
      <c r="Q609" s="11" t="str">
        <f>IFERROR(INDEX(SailPattern!$A:$A,MATCH(P609,SailPattern!$B:$B,0)),"-")</f>
        <v>-</v>
      </c>
      <c r="R609" s="30"/>
      <c r="S609" s="11" t="str">
        <f>IFERROR(INDEX(SailCrest!$A:$A,MATCH(R609,SailCrest!$B:$B,0)),"-")</f>
        <v>-</v>
      </c>
      <c r="T609" s="19" t="s">
        <v>0</v>
      </c>
      <c r="U609" s="19" t="s">
        <v>0</v>
      </c>
      <c r="V609" s="19" t="s">
        <v>0</v>
      </c>
      <c r="W609" s="19" t="s">
        <v>0</v>
      </c>
      <c r="X609" s="19" t="s">
        <v>0</v>
      </c>
      <c r="Y609" s="19" t="s">
        <v>0</v>
      </c>
      <c r="Z609" s="19" t="s">
        <v>0</v>
      </c>
      <c r="AA609" s="19" t="s">
        <v>0</v>
      </c>
    </row>
    <row r="610" spans="1:27" ht="15.75" customHeight="1">
      <c r="A610" s="10">
        <f t="shared" si="18"/>
        <v>46200079</v>
      </c>
      <c r="B610" s="41" t="s">
        <v>3403</v>
      </c>
      <c r="C610" s="4" t="s">
        <v>99</v>
      </c>
      <c r="D610" s="11">
        <f>IFERROR(VLOOKUP(C610,ShipShapeEnum!$E:$F,2,FALSE),"-")</f>
        <v>3</v>
      </c>
      <c r="E610" s="19" t="s">
        <v>3401</v>
      </c>
      <c r="F610" s="4" t="s">
        <v>65</v>
      </c>
      <c r="G610" s="11">
        <f>IFERROR(VLOOKUP(F610,ShipShapeEnum!$B:$C,2,FALSE),"-")</f>
        <v>2</v>
      </c>
      <c r="H610" s="19" t="s">
        <v>0</v>
      </c>
      <c r="I610" s="19" t="s">
        <v>0</v>
      </c>
      <c r="J610" s="19" t="s">
        <v>0</v>
      </c>
      <c r="K610" s="19" t="s">
        <v>0</v>
      </c>
      <c r="L610" s="19" t="s">
        <v>0</v>
      </c>
      <c r="M610" s="4" t="s">
        <v>81</v>
      </c>
      <c r="N610" s="11">
        <f>IFERROR(VLOOKUP(M610,ShipShapeEnum!$H:$I,2,FALSE),"-")</f>
        <v>1</v>
      </c>
      <c r="O610" s="11" t="s">
        <v>0</v>
      </c>
      <c r="P610" s="30"/>
      <c r="Q610" s="11" t="str">
        <f>IFERROR(INDEX(SailPattern!$A:$A,MATCH(P610,SailPattern!$B:$B,0)),"-")</f>
        <v>-</v>
      </c>
      <c r="R610" s="30"/>
      <c r="S610" s="11" t="str">
        <f>IFERROR(INDEX(SailCrest!$A:$A,MATCH(R610,SailCrest!$B:$B,0)),"-")</f>
        <v>-</v>
      </c>
      <c r="T610" s="19" t="s">
        <v>0</v>
      </c>
      <c r="U610" s="19" t="s">
        <v>0</v>
      </c>
      <c r="V610" s="19" t="s">
        <v>0</v>
      </c>
      <c r="W610" s="19" t="s">
        <v>0</v>
      </c>
      <c r="X610" s="19" t="s">
        <v>0</v>
      </c>
      <c r="Y610" s="19" t="s">
        <v>0</v>
      </c>
      <c r="Z610" s="19" t="s">
        <v>0</v>
      </c>
      <c r="AA610" s="19" t="s">
        <v>0</v>
      </c>
    </row>
    <row r="611" spans="1:27" ht="15.75" customHeight="1">
      <c r="A611" s="10">
        <f t="shared" si="18"/>
        <v>46200080</v>
      </c>
      <c r="B611" s="41" t="s">
        <v>3554</v>
      </c>
      <c r="C611" s="4" t="s">
        <v>99</v>
      </c>
      <c r="D611" s="11">
        <f>IFERROR(VLOOKUP(C611,ShipShapeEnum!$E:$F,2,FALSE),"-")</f>
        <v>3</v>
      </c>
      <c r="E611" s="19" t="s">
        <v>3555</v>
      </c>
      <c r="F611" s="4" t="s">
        <v>65</v>
      </c>
      <c r="G611" s="11">
        <f>IFERROR(VLOOKUP(F611,ShipShapeEnum!$B:$C,2,FALSE),"-")</f>
        <v>2</v>
      </c>
      <c r="H611" s="19" t="s">
        <v>0</v>
      </c>
      <c r="I611" s="19" t="s">
        <v>0</v>
      </c>
      <c r="J611" s="19" t="s">
        <v>0</v>
      </c>
      <c r="K611" s="19" t="s">
        <v>0</v>
      </c>
      <c r="L611" s="19" t="s">
        <v>0</v>
      </c>
      <c r="M611" s="4" t="s">
        <v>81</v>
      </c>
      <c r="N611" s="11">
        <f>IFERROR(VLOOKUP(M611,ShipShapeEnum!$H:$I,2,FALSE),"-")</f>
        <v>1</v>
      </c>
      <c r="O611" s="11" t="s">
        <v>0</v>
      </c>
      <c r="P611" s="30"/>
      <c r="Q611" s="11" t="str">
        <f>IFERROR(INDEX(SailPattern!$A:$A,MATCH(P611,SailPattern!$B:$B,0)),"-")</f>
        <v>-</v>
      </c>
      <c r="R611" s="30"/>
      <c r="S611" s="11" t="str">
        <f>IFERROR(INDEX(SailCrest!$A:$A,MATCH(R611,SailCrest!$B:$B,0)),"-")</f>
        <v>-</v>
      </c>
      <c r="T611" s="19" t="s">
        <v>0</v>
      </c>
      <c r="U611" s="19" t="s">
        <v>0</v>
      </c>
      <c r="V611" s="19" t="s">
        <v>0</v>
      </c>
      <c r="W611" s="19" t="s">
        <v>0</v>
      </c>
      <c r="X611" s="19" t="s">
        <v>0</v>
      </c>
      <c r="Y611" s="19" t="s">
        <v>0</v>
      </c>
      <c r="Z611" s="19" t="s">
        <v>0</v>
      </c>
      <c r="AA611" s="19" t="s">
        <v>0</v>
      </c>
    </row>
    <row r="612" spans="1:27" ht="15.75" customHeight="1">
      <c r="A612" s="10">
        <f t="shared" si="18"/>
        <v>46200081</v>
      </c>
      <c r="B612" s="41" t="s">
        <v>3553</v>
      </c>
      <c r="C612" s="4" t="s">
        <v>99</v>
      </c>
      <c r="D612" s="11">
        <f>IFERROR(VLOOKUP(C612,ShipShapeEnum!$E:$F,2,FALSE),"-")</f>
        <v>3</v>
      </c>
      <c r="E612" s="19" t="s">
        <v>3556</v>
      </c>
      <c r="F612" s="4" t="s">
        <v>65</v>
      </c>
      <c r="G612" s="11">
        <f>IFERROR(VLOOKUP(F612,ShipShapeEnum!$B:$C,2,FALSE),"-")</f>
        <v>2</v>
      </c>
      <c r="H612" s="19" t="s">
        <v>0</v>
      </c>
      <c r="I612" s="19" t="s">
        <v>0</v>
      </c>
      <c r="J612" s="19" t="s">
        <v>0</v>
      </c>
      <c r="K612" s="19" t="s">
        <v>0</v>
      </c>
      <c r="L612" s="19" t="s">
        <v>0</v>
      </c>
      <c r="M612" s="4" t="s">
        <v>81</v>
      </c>
      <c r="N612" s="11">
        <f>IFERROR(VLOOKUP(M612,ShipShapeEnum!$H:$I,2,FALSE),"-")</f>
        <v>1</v>
      </c>
      <c r="O612" s="11" t="s">
        <v>0</v>
      </c>
      <c r="P612" s="30"/>
      <c r="Q612" s="11" t="str">
        <f>IFERROR(INDEX(SailPattern!$A:$A,MATCH(P612,SailPattern!$B:$B,0)),"-")</f>
        <v>-</v>
      </c>
      <c r="R612" s="30"/>
      <c r="S612" s="11" t="str">
        <f>IFERROR(INDEX(SailCrest!$A:$A,MATCH(R612,SailCrest!$B:$B,0)),"-")</f>
        <v>-</v>
      </c>
      <c r="T612" s="19" t="s">
        <v>0</v>
      </c>
      <c r="U612" s="19" t="s">
        <v>0</v>
      </c>
      <c r="V612" s="19" t="s">
        <v>0</v>
      </c>
      <c r="W612" s="19" t="s">
        <v>0</v>
      </c>
      <c r="X612" s="19" t="s">
        <v>0</v>
      </c>
      <c r="Y612" s="19" t="s">
        <v>0</v>
      </c>
      <c r="Z612" s="19" t="s">
        <v>0</v>
      </c>
      <c r="AA612" s="19" t="s">
        <v>0</v>
      </c>
    </row>
    <row r="613" spans="1:27" ht="15.75" customHeight="1">
      <c r="A613" s="10">
        <f t="shared" si="18"/>
        <v>46200082</v>
      </c>
      <c r="B613" s="41" t="s">
        <v>3588</v>
      </c>
      <c r="C613" s="4" t="s">
        <v>99</v>
      </c>
      <c r="D613" s="11">
        <f>IFERROR(VLOOKUP(C613,ShipShapeEnum!$E:$F,2,FALSE),"-")</f>
        <v>3</v>
      </c>
      <c r="E613" s="19" t="s">
        <v>3589</v>
      </c>
      <c r="F613" s="4" t="s">
        <v>65</v>
      </c>
      <c r="G613" s="11">
        <f>IFERROR(VLOOKUP(F613,ShipShapeEnum!$B:$C,2,FALSE),"-")</f>
        <v>2</v>
      </c>
      <c r="H613" s="19" t="s">
        <v>0</v>
      </c>
      <c r="I613" s="19" t="s">
        <v>0</v>
      </c>
      <c r="J613" s="19" t="s">
        <v>0</v>
      </c>
      <c r="K613" s="19" t="s">
        <v>0</v>
      </c>
      <c r="L613" s="19" t="s">
        <v>0</v>
      </c>
      <c r="M613" s="4" t="s">
        <v>81</v>
      </c>
      <c r="N613" s="11">
        <f>IFERROR(VLOOKUP(M613,ShipShapeEnum!$H:$I,2,FALSE),"-")</f>
        <v>1</v>
      </c>
      <c r="O613" s="11" t="s">
        <v>0</v>
      </c>
      <c r="P613" s="30"/>
      <c r="Q613" s="11" t="str">
        <f>IFERROR(INDEX(SailPattern!$A:$A,MATCH(P613,SailPattern!$B:$B,0)),"-")</f>
        <v>-</v>
      </c>
      <c r="R613" s="30"/>
      <c r="S613" s="11" t="str">
        <f>IFERROR(INDEX(SailCrest!$A:$A,MATCH(R613,SailCrest!$B:$B,0)),"-")</f>
        <v>-</v>
      </c>
      <c r="T613" s="19" t="s">
        <v>0</v>
      </c>
      <c r="U613" s="19" t="s">
        <v>0</v>
      </c>
      <c r="V613" s="19" t="s">
        <v>0</v>
      </c>
      <c r="W613" s="19" t="s">
        <v>0</v>
      </c>
      <c r="X613" s="19" t="s">
        <v>0</v>
      </c>
      <c r="Y613" s="19" t="s">
        <v>0</v>
      </c>
      <c r="Z613" s="19" t="s">
        <v>0</v>
      </c>
      <c r="AA613" s="19" t="s">
        <v>0</v>
      </c>
    </row>
    <row r="614" spans="1:27" ht="15.75" customHeight="1">
      <c r="A614" s="10">
        <f t="shared" si="18"/>
        <v>46200083</v>
      </c>
      <c r="B614" s="41" t="s">
        <v>3659</v>
      </c>
      <c r="C614" s="4" t="s">
        <v>99</v>
      </c>
      <c r="D614" s="11">
        <f>IFERROR(VLOOKUP(C614,ShipShapeEnum!$E:$F,2,FALSE),"-")</f>
        <v>3</v>
      </c>
      <c r="E614" s="19" t="s">
        <v>3658</v>
      </c>
      <c r="F614" s="4" t="s">
        <v>65</v>
      </c>
      <c r="G614" s="11">
        <f>IFERROR(VLOOKUP(F614,ShipShapeEnum!$B:$C,2,FALSE),"-")</f>
        <v>2</v>
      </c>
      <c r="H614" s="19" t="s">
        <v>0</v>
      </c>
      <c r="I614" s="19" t="s">
        <v>0</v>
      </c>
      <c r="J614" s="19" t="s">
        <v>0</v>
      </c>
      <c r="K614" s="19" t="s">
        <v>0</v>
      </c>
      <c r="L614" s="19" t="s">
        <v>0</v>
      </c>
      <c r="M614" s="4" t="s">
        <v>81</v>
      </c>
      <c r="N614" s="11">
        <f>IFERROR(VLOOKUP(M614,ShipShapeEnum!$H:$I,2,FALSE),"-")</f>
        <v>1</v>
      </c>
      <c r="O614" s="11" t="s">
        <v>0</v>
      </c>
      <c r="P614" s="30"/>
      <c r="Q614" s="11" t="str">
        <f>IFERROR(INDEX(SailPattern!$A:$A,MATCH(P614,SailPattern!$B:$B,0)),"-")</f>
        <v>-</v>
      </c>
      <c r="R614" s="30"/>
      <c r="S614" s="11" t="str">
        <f>IFERROR(INDEX(SailCrest!$A:$A,MATCH(R614,SailCrest!$B:$B,0)),"-")</f>
        <v>-</v>
      </c>
      <c r="T614" s="19" t="s">
        <v>0</v>
      </c>
      <c r="U614" s="19" t="s">
        <v>0</v>
      </c>
      <c r="V614" s="19" t="s">
        <v>0</v>
      </c>
      <c r="W614" s="19" t="s">
        <v>0</v>
      </c>
      <c r="X614" s="19" t="s">
        <v>0</v>
      </c>
      <c r="Y614" s="19" t="s">
        <v>0</v>
      </c>
      <c r="Z614" s="19" t="s">
        <v>0</v>
      </c>
      <c r="AA614" s="19" t="s">
        <v>0</v>
      </c>
    </row>
    <row r="615" spans="1:27" ht="15.75" customHeight="1">
      <c r="A615" s="10">
        <f t="shared" si="18"/>
        <v>46200084</v>
      </c>
      <c r="B615" s="41" t="s">
        <v>3756</v>
      </c>
      <c r="C615" s="4" t="s">
        <v>99</v>
      </c>
      <c r="D615" s="11">
        <f>IFERROR(VLOOKUP(C615,ShipShapeEnum!$E:$F,2,FALSE),"-")</f>
        <v>3</v>
      </c>
      <c r="E615" s="19" t="s">
        <v>3757</v>
      </c>
      <c r="F615" s="4" t="s">
        <v>65</v>
      </c>
      <c r="G615" s="11">
        <f>IFERROR(VLOOKUP(F615,ShipShapeEnum!$B:$C,2,FALSE),"-")</f>
        <v>2</v>
      </c>
      <c r="H615" s="19" t="s">
        <v>0</v>
      </c>
      <c r="I615" s="19" t="s">
        <v>0</v>
      </c>
      <c r="J615" s="19" t="s">
        <v>0</v>
      </c>
      <c r="K615" s="19" t="s">
        <v>0</v>
      </c>
      <c r="L615" s="19" t="s">
        <v>0</v>
      </c>
      <c r="M615" s="4" t="s">
        <v>81</v>
      </c>
      <c r="N615" s="11">
        <f>IFERROR(VLOOKUP(M615,ShipShapeEnum!$H:$I,2,FALSE),"-")</f>
        <v>1</v>
      </c>
      <c r="O615" s="11" t="s">
        <v>0</v>
      </c>
      <c r="P615" s="30"/>
      <c r="Q615" s="11" t="str">
        <f>IFERROR(INDEX(SailPattern!$A:$A,MATCH(P615,SailPattern!$B:$B,0)),"-")</f>
        <v>-</v>
      </c>
      <c r="R615" s="30"/>
      <c r="S615" s="11" t="str">
        <f>IFERROR(INDEX(SailCrest!$A:$A,MATCH(R615,SailCrest!$B:$B,0)),"-")</f>
        <v>-</v>
      </c>
      <c r="T615" s="19" t="s">
        <v>0</v>
      </c>
      <c r="U615" s="19" t="s">
        <v>0</v>
      </c>
      <c r="V615" s="19" t="s">
        <v>0</v>
      </c>
      <c r="W615" s="19" t="s">
        <v>0</v>
      </c>
      <c r="X615" s="19" t="s">
        <v>0</v>
      </c>
      <c r="Y615" s="19" t="s">
        <v>0</v>
      </c>
      <c r="Z615" s="19" t="s">
        <v>0</v>
      </c>
      <c r="AA615" s="19" t="s">
        <v>0</v>
      </c>
    </row>
    <row r="616" spans="1:27" ht="15.75" customHeight="1">
      <c r="A616" s="10">
        <f t="shared" si="18"/>
        <v>46200085</v>
      </c>
      <c r="B616" s="41" t="s">
        <v>3845</v>
      </c>
      <c r="C616" s="4" t="s">
        <v>99</v>
      </c>
      <c r="D616" s="11">
        <f>IFERROR(VLOOKUP(C616,ShipShapeEnum!$E:$F,2,FALSE),"-")</f>
        <v>3</v>
      </c>
      <c r="E616" s="19" t="s">
        <v>3846</v>
      </c>
      <c r="F616" s="4" t="s">
        <v>65</v>
      </c>
      <c r="G616" s="11">
        <f>IFERROR(VLOOKUP(F616,ShipShapeEnum!$B:$C,2,FALSE),"-")</f>
        <v>2</v>
      </c>
      <c r="H616" s="19" t="s">
        <v>0</v>
      </c>
      <c r="I616" s="19" t="s">
        <v>0</v>
      </c>
      <c r="J616" s="19" t="s">
        <v>0</v>
      </c>
      <c r="K616" s="19" t="s">
        <v>0</v>
      </c>
      <c r="L616" s="19" t="s">
        <v>0</v>
      </c>
      <c r="M616" s="4" t="s">
        <v>81</v>
      </c>
      <c r="N616" s="11">
        <f>IFERROR(VLOOKUP(M616,ShipShapeEnum!$H:$I,2,FALSE),"-")</f>
        <v>1</v>
      </c>
      <c r="O616" s="11" t="s">
        <v>0</v>
      </c>
      <c r="P616" s="30"/>
      <c r="Q616" s="11" t="str">
        <f>IFERROR(INDEX(SailPattern!$A:$A,MATCH(P616,SailPattern!$B:$B,0)),"-")</f>
        <v>-</v>
      </c>
      <c r="R616" s="30"/>
      <c r="S616" s="11" t="str">
        <f>IFERROR(INDEX(SailCrest!$A:$A,MATCH(R616,SailCrest!$B:$B,0)),"-")</f>
        <v>-</v>
      </c>
      <c r="T616" s="19" t="s">
        <v>0</v>
      </c>
      <c r="U616" s="19" t="s">
        <v>0</v>
      </c>
      <c r="V616" s="19" t="s">
        <v>0</v>
      </c>
      <c r="W616" s="19" t="s">
        <v>0</v>
      </c>
      <c r="X616" s="19" t="s">
        <v>0</v>
      </c>
      <c r="Y616" s="19" t="s">
        <v>0</v>
      </c>
      <c r="Z616" s="19" t="s">
        <v>0</v>
      </c>
      <c r="AA616" s="19" t="s">
        <v>0</v>
      </c>
    </row>
    <row r="617" spans="1:27" ht="15.75" customHeight="1">
      <c r="A617" s="10">
        <f t="shared" si="18"/>
        <v>46200086</v>
      </c>
      <c r="B617" s="41" t="s">
        <v>3912</v>
      </c>
      <c r="C617" s="4" t="s">
        <v>99</v>
      </c>
      <c r="D617" s="11">
        <f>IFERROR(VLOOKUP(C617,ShipShapeEnum!$E:$F,2,FALSE),"-")</f>
        <v>3</v>
      </c>
      <c r="E617" s="19" t="s">
        <v>3913</v>
      </c>
      <c r="F617" s="4" t="s">
        <v>65</v>
      </c>
      <c r="G617" s="11">
        <f>IFERROR(VLOOKUP(F617,ShipShapeEnum!$B:$C,2,FALSE),"-")</f>
        <v>2</v>
      </c>
      <c r="H617" s="19" t="s">
        <v>0</v>
      </c>
      <c r="I617" s="19" t="s">
        <v>0</v>
      </c>
      <c r="J617" s="19" t="s">
        <v>0</v>
      </c>
      <c r="K617" s="19" t="s">
        <v>0</v>
      </c>
      <c r="L617" s="19" t="s">
        <v>0</v>
      </c>
      <c r="M617" s="4" t="s">
        <v>81</v>
      </c>
      <c r="N617" s="11">
        <f>IFERROR(VLOOKUP(M617,ShipShapeEnum!$H:$I,2,FALSE),"-")</f>
        <v>1</v>
      </c>
      <c r="O617" s="11" t="s">
        <v>0</v>
      </c>
      <c r="P617" s="30"/>
      <c r="Q617" s="11" t="str">
        <f>IFERROR(INDEX(SailPattern!$A:$A,MATCH(P617,SailPattern!$B:$B,0)),"-")</f>
        <v>-</v>
      </c>
      <c r="R617" s="30"/>
      <c r="S617" s="11" t="str">
        <f>IFERROR(INDEX(SailCrest!$A:$A,MATCH(R617,SailCrest!$B:$B,0)),"-")</f>
        <v>-</v>
      </c>
      <c r="T617" s="19" t="s">
        <v>0</v>
      </c>
      <c r="U617" s="19" t="s">
        <v>0</v>
      </c>
      <c r="V617" s="19" t="s">
        <v>0</v>
      </c>
      <c r="W617" s="19" t="s">
        <v>0</v>
      </c>
      <c r="X617" s="19" t="s">
        <v>0</v>
      </c>
      <c r="Y617" s="19" t="s">
        <v>0</v>
      </c>
      <c r="Z617" s="19" t="s">
        <v>0</v>
      </c>
      <c r="AA617" s="19" t="s">
        <v>0</v>
      </c>
    </row>
    <row r="618" spans="1:27" ht="15.75" customHeight="1">
      <c r="A618" s="10">
        <f t="shared" si="18"/>
        <v>46200087</v>
      </c>
      <c r="B618" s="41" t="s">
        <v>3915</v>
      </c>
      <c r="C618" s="4" t="s">
        <v>99</v>
      </c>
      <c r="D618" s="11">
        <f>IFERROR(VLOOKUP(C618,ShipShapeEnum!$E:$F,2,FALSE),"-")</f>
        <v>3</v>
      </c>
      <c r="E618" s="19" t="s">
        <v>3916</v>
      </c>
      <c r="F618" s="4" t="s">
        <v>65</v>
      </c>
      <c r="G618" s="11">
        <f>IFERROR(VLOOKUP(F618,ShipShapeEnum!$B:$C,2,FALSE),"-")</f>
        <v>2</v>
      </c>
      <c r="H618" s="19" t="s">
        <v>0</v>
      </c>
      <c r="I618" s="19" t="s">
        <v>0</v>
      </c>
      <c r="J618" s="19" t="s">
        <v>0</v>
      </c>
      <c r="K618" s="19" t="s">
        <v>0</v>
      </c>
      <c r="L618" s="19" t="s">
        <v>0</v>
      </c>
      <c r="M618" s="4" t="s">
        <v>81</v>
      </c>
      <c r="N618" s="11">
        <f>IFERROR(VLOOKUP(M618,ShipShapeEnum!$H:$I,2,FALSE),"-")</f>
        <v>1</v>
      </c>
      <c r="O618" s="11" t="s">
        <v>0</v>
      </c>
      <c r="P618" s="30"/>
      <c r="Q618" s="11" t="str">
        <f>IFERROR(INDEX(SailPattern!$A:$A,MATCH(P618,SailPattern!$B:$B,0)),"-")</f>
        <v>-</v>
      </c>
      <c r="R618" s="30"/>
      <c r="S618" s="11" t="str">
        <f>IFERROR(INDEX(SailCrest!$A:$A,MATCH(R618,SailCrest!$B:$B,0)),"-")</f>
        <v>-</v>
      </c>
      <c r="T618" s="19" t="s">
        <v>0</v>
      </c>
      <c r="U618" s="19" t="s">
        <v>0</v>
      </c>
      <c r="V618" s="19" t="s">
        <v>0</v>
      </c>
      <c r="W618" s="19" t="s">
        <v>0</v>
      </c>
      <c r="X618" s="19" t="s">
        <v>0</v>
      </c>
      <c r="Y618" s="19" t="s">
        <v>0</v>
      </c>
      <c r="Z618" s="19" t="s">
        <v>0</v>
      </c>
      <c r="AA618" s="19" t="s">
        <v>0</v>
      </c>
    </row>
    <row r="619" spans="1:27" ht="15.75" customHeight="1">
      <c r="A619" s="10">
        <f t="shared" si="18"/>
        <v>46200088</v>
      </c>
      <c r="B619" s="41" t="s">
        <v>3923</v>
      </c>
      <c r="C619" s="4" t="s">
        <v>99</v>
      </c>
      <c r="D619" s="11">
        <f>IFERROR(VLOOKUP(C619,ShipShapeEnum!$E:$F,2,FALSE),"-")</f>
        <v>3</v>
      </c>
      <c r="E619" s="19" t="s">
        <v>3922</v>
      </c>
      <c r="F619" s="4" t="s">
        <v>65</v>
      </c>
      <c r="G619" s="11">
        <f>IFERROR(VLOOKUP(F619,ShipShapeEnum!$B:$C,2,FALSE),"-")</f>
        <v>2</v>
      </c>
      <c r="H619" s="19" t="s">
        <v>0</v>
      </c>
      <c r="I619" s="19" t="s">
        <v>0</v>
      </c>
      <c r="J619" s="19" t="s">
        <v>0</v>
      </c>
      <c r="K619" s="19" t="s">
        <v>0</v>
      </c>
      <c r="L619" s="19" t="s">
        <v>0</v>
      </c>
      <c r="M619" s="4" t="s">
        <v>81</v>
      </c>
      <c r="N619" s="11">
        <f>IFERROR(VLOOKUP(M619,ShipShapeEnum!$H:$I,2,FALSE),"-")</f>
        <v>1</v>
      </c>
      <c r="O619" s="11" t="s">
        <v>0</v>
      </c>
      <c r="P619" s="30"/>
      <c r="Q619" s="11" t="str">
        <f>IFERROR(INDEX(SailPattern!$A:$A,MATCH(P619,SailPattern!$B:$B,0)),"-")</f>
        <v>-</v>
      </c>
      <c r="R619" s="30"/>
      <c r="S619" s="11" t="str">
        <f>IFERROR(INDEX(SailCrest!$A:$A,MATCH(R619,SailCrest!$B:$B,0)),"-")</f>
        <v>-</v>
      </c>
      <c r="T619" s="19" t="s">
        <v>0</v>
      </c>
      <c r="U619" s="19" t="s">
        <v>0</v>
      </c>
      <c r="V619" s="19" t="s">
        <v>0</v>
      </c>
      <c r="W619" s="19" t="s">
        <v>0</v>
      </c>
      <c r="X619" s="19" t="s">
        <v>0</v>
      </c>
      <c r="Y619" s="19" t="s">
        <v>0</v>
      </c>
      <c r="Z619" s="19" t="s">
        <v>0</v>
      </c>
      <c r="AA619" s="19" t="s">
        <v>0</v>
      </c>
    </row>
    <row r="620" spans="1:27" ht="15.75" customHeight="1">
      <c r="A620" s="10">
        <f t="shared" si="18"/>
        <v>46200089</v>
      </c>
      <c r="B620" s="41" t="s">
        <v>3937</v>
      </c>
      <c r="C620" s="4" t="s">
        <v>99</v>
      </c>
      <c r="D620" s="11">
        <f>IFERROR(VLOOKUP(C620,ShipShapeEnum!$E:$F,2,FALSE),"-")</f>
        <v>3</v>
      </c>
      <c r="E620" s="19" t="s">
        <v>3938</v>
      </c>
      <c r="F620" s="4" t="s">
        <v>65</v>
      </c>
      <c r="G620" s="11">
        <f>IFERROR(VLOOKUP(F620,ShipShapeEnum!$B:$C,2,FALSE),"-")</f>
        <v>2</v>
      </c>
      <c r="H620" s="19" t="s">
        <v>0</v>
      </c>
      <c r="I620" s="19" t="s">
        <v>0</v>
      </c>
      <c r="J620" s="19" t="s">
        <v>0</v>
      </c>
      <c r="K620" s="19" t="s">
        <v>0</v>
      </c>
      <c r="L620" s="19" t="s">
        <v>0</v>
      </c>
      <c r="M620" s="4" t="s">
        <v>81</v>
      </c>
      <c r="N620" s="11">
        <f>IFERROR(VLOOKUP(M620,ShipShapeEnum!$H:$I,2,FALSE),"-")</f>
        <v>1</v>
      </c>
      <c r="O620" s="11" t="s">
        <v>0</v>
      </c>
      <c r="P620" s="30"/>
      <c r="Q620" s="11" t="str">
        <f>IFERROR(INDEX(SailPattern!$A:$A,MATCH(P620,SailPattern!$B:$B,0)),"-")</f>
        <v>-</v>
      </c>
      <c r="R620" s="30"/>
      <c r="S620" s="11" t="str">
        <f>IFERROR(INDEX(SailCrest!$A:$A,MATCH(R620,SailCrest!$B:$B,0)),"-")</f>
        <v>-</v>
      </c>
      <c r="T620" s="19" t="s">
        <v>0</v>
      </c>
      <c r="U620" s="19" t="s">
        <v>0</v>
      </c>
      <c r="V620" s="19" t="s">
        <v>0</v>
      </c>
      <c r="W620" s="19" t="s">
        <v>0</v>
      </c>
      <c r="X620" s="19" t="s">
        <v>0</v>
      </c>
      <c r="Y620" s="19" t="s">
        <v>0</v>
      </c>
      <c r="Z620" s="19" t="s">
        <v>0</v>
      </c>
      <c r="AA620" s="19" t="s">
        <v>0</v>
      </c>
    </row>
    <row r="621" spans="1:27" ht="15">
      <c r="A621" s="10">
        <v>46300001</v>
      </c>
      <c r="B621" s="43" t="s">
        <v>69</v>
      </c>
      <c r="C621" s="4" t="s">
        <v>64</v>
      </c>
      <c r="D621" s="11">
        <f>IFERROR(VLOOKUP(C621,ShipShapeEnum!$E:$F,2,FALSE),"-")</f>
        <v>4</v>
      </c>
      <c r="E621" s="19" t="s">
        <v>88</v>
      </c>
      <c r="F621" s="4" t="s">
        <v>66</v>
      </c>
      <c r="G621" s="11">
        <f>IFERROR(VLOOKUP(F621,ShipShapeEnum!$B:$C,2,FALSE),"-")</f>
        <v>3</v>
      </c>
      <c r="H621" s="19" t="s">
        <v>0</v>
      </c>
      <c r="I621" s="19" t="s">
        <v>102</v>
      </c>
      <c r="J621" s="19" t="s">
        <v>102</v>
      </c>
      <c r="K621" s="19" t="s">
        <v>102</v>
      </c>
      <c r="L621" s="19" t="s">
        <v>102</v>
      </c>
      <c r="M621" s="4" t="s">
        <v>109</v>
      </c>
      <c r="N621" s="11">
        <f>IFERROR(VLOOKUP(M621,ShipShapeEnum!$H:$I,2,FALSE),"-")</f>
        <v>3</v>
      </c>
      <c r="O621" s="11" t="s">
        <v>2688</v>
      </c>
      <c r="P621" s="30"/>
      <c r="Q621" s="11" t="str">
        <f>IFERROR(INDEX(SailPattern!$A:$A,MATCH(P621,SailPattern!$B:$B,0)),"-")</f>
        <v>-</v>
      </c>
      <c r="R621" s="30"/>
      <c r="S621" s="11" t="str">
        <f>IFERROR(INDEX(SailCrest!$A:$A,MATCH(R621,SailCrest!$B:$B,0)),"-")</f>
        <v>-</v>
      </c>
      <c r="T621" s="19" t="s">
        <v>0</v>
      </c>
      <c r="U621" s="19" t="s">
        <v>0</v>
      </c>
      <c r="V621" s="19" t="s">
        <v>0</v>
      </c>
      <c r="W621" s="19" t="s">
        <v>86</v>
      </c>
      <c r="X621" s="19" t="s">
        <v>92</v>
      </c>
      <c r="Y621" s="19" t="s">
        <v>93</v>
      </c>
      <c r="Z621" s="19" t="s">
        <v>78</v>
      </c>
      <c r="AA621" s="19" t="s">
        <v>78</v>
      </c>
    </row>
    <row r="622" spans="1:27" ht="15">
      <c r="A622" s="10">
        <v>46300002</v>
      </c>
      <c r="B622" s="43" t="s">
        <v>1398</v>
      </c>
      <c r="C622" s="4" t="s">
        <v>64</v>
      </c>
      <c r="D622" s="11">
        <f>IFERROR(VLOOKUP(C622,ShipShapeEnum!$E:$F,2,FALSE),"-")</f>
        <v>4</v>
      </c>
      <c r="E622" s="19" t="s">
        <v>1367</v>
      </c>
      <c r="F622" s="4" t="s">
        <v>66</v>
      </c>
      <c r="G622" s="11">
        <f>IFERROR(VLOOKUP(F622,ShipShapeEnum!$B:$C,2,FALSE),"-")</f>
        <v>3</v>
      </c>
      <c r="H622" s="19" t="s">
        <v>0</v>
      </c>
      <c r="I622" s="19" t="s">
        <v>0</v>
      </c>
      <c r="J622" s="19" t="s">
        <v>0</v>
      </c>
      <c r="K622" s="19" t="s">
        <v>0</v>
      </c>
      <c r="L622" s="19" t="s">
        <v>0</v>
      </c>
      <c r="M622" s="4" t="s">
        <v>109</v>
      </c>
      <c r="N622" s="11">
        <f>IFERROR(VLOOKUP(M622,ShipShapeEnum!$H:$I,2,FALSE),"-")</f>
        <v>3</v>
      </c>
      <c r="O622" s="11" t="s">
        <v>2688</v>
      </c>
      <c r="P622" s="30"/>
      <c r="Q622" s="11" t="str">
        <f>IFERROR(INDEX(SailPattern!$A:$A,MATCH(P622,SailPattern!$B:$B,0)),"-")</f>
        <v>-</v>
      </c>
      <c r="R622" s="30"/>
      <c r="S622" s="11" t="str">
        <f>IFERROR(INDEX(SailCrest!$A:$A,MATCH(R622,SailCrest!$B:$B,0)),"-")</f>
        <v>-</v>
      </c>
      <c r="T622" s="19" t="s">
        <v>0</v>
      </c>
      <c r="U622" s="19" t="s">
        <v>0</v>
      </c>
      <c r="V622" s="19" t="s">
        <v>0</v>
      </c>
      <c r="W622" s="19" t="s">
        <v>0</v>
      </c>
      <c r="X622" s="19" t="s">
        <v>0</v>
      </c>
      <c r="Y622" s="19" t="s">
        <v>0</v>
      </c>
      <c r="Z622" s="19" t="s">
        <v>0</v>
      </c>
      <c r="AA622" s="19" t="s">
        <v>0</v>
      </c>
    </row>
    <row r="623" spans="1:27" ht="15">
      <c r="A623" s="10">
        <v>46300003</v>
      </c>
      <c r="B623" s="43" t="s">
        <v>1413</v>
      </c>
      <c r="C623" s="4" t="s">
        <v>64</v>
      </c>
      <c r="D623" s="11">
        <f>IFERROR(VLOOKUP(C623,ShipShapeEnum!$E:$F,2,FALSE),"-")</f>
        <v>4</v>
      </c>
      <c r="E623" s="19" t="s">
        <v>1368</v>
      </c>
      <c r="F623" s="4" t="s">
        <v>66</v>
      </c>
      <c r="G623" s="11">
        <f>IFERROR(VLOOKUP(F623,ShipShapeEnum!$B:$C,2,FALSE),"-")</f>
        <v>3</v>
      </c>
      <c r="H623" s="19" t="s">
        <v>0</v>
      </c>
      <c r="I623" s="19" t="s">
        <v>0</v>
      </c>
      <c r="J623" s="19" t="s">
        <v>0</v>
      </c>
      <c r="K623" s="19" t="s">
        <v>0</v>
      </c>
      <c r="L623" s="19" t="s">
        <v>0</v>
      </c>
      <c r="M623" s="4" t="s">
        <v>109</v>
      </c>
      <c r="N623" s="11">
        <f>IFERROR(VLOOKUP(M623,ShipShapeEnum!$H:$I,2,FALSE),"-")</f>
        <v>3</v>
      </c>
      <c r="O623" s="11" t="s">
        <v>2688</v>
      </c>
      <c r="P623" s="30"/>
      <c r="Q623" s="11" t="str">
        <f>IFERROR(INDEX(SailPattern!$A:$A,MATCH(P623,SailPattern!$B:$B,0)),"-")</f>
        <v>-</v>
      </c>
      <c r="R623" s="30"/>
      <c r="S623" s="11" t="str">
        <f>IFERROR(INDEX(SailCrest!$A:$A,MATCH(R623,SailCrest!$B:$B,0)),"-")</f>
        <v>-</v>
      </c>
      <c r="T623" s="19" t="s">
        <v>0</v>
      </c>
      <c r="U623" s="19" t="s">
        <v>0</v>
      </c>
      <c r="V623" s="19" t="s">
        <v>0</v>
      </c>
      <c r="W623" s="19" t="s">
        <v>0</v>
      </c>
      <c r="X623" s="19" t="s">
        <v>0</v>
      </c>
      <c r="Y623" s="19" t="s">
        <v>0</v>
      </c>
      <c r="Z623" s="19" t="s">
        <v>0</v>
      </c>
      <c r="AA623" s="19" t="s">
        <v>0</v>
      </c>
    </row>
    <row r="624" spans="1:27" ht="15">
      <c r="A624" s="10">
        <v>46400001</v>
      </c>
      <c r="B624" s="38" t="s">
        <v>233</v>
      </c>
      <c r="C624" s="4" t="s">
        <v>234</v>
      </c>
      <c r="D624" s="11">
        <f>IFERROR(VLOOKUP(C624,ShipShapeEnum!$E:$F,2,FALSE),"-")</f>
        <v>5</v>
      </c>
      <c r="E624" s="19" t="s">
        <v>235</v>
      </c>
      <c r="F624" s="4" t="s">
        <v>65</v>
      </c>
      <c r="G624" s="11">
        <v>2</v>
      </c>
      <c r="H624" s="19" t="s">
        <v>0</v>
      </c>
      <c r="I624" s="19" t="s">
        <v>0</v>
      </c>
      <c r="J624" s="19" t="s">
        <v>0</v>
      </c>
      <c r="K624" s="19" t="s">
        <v>0</v>
      </c>
      <c r="L624" s="19" t="s">
        <v>0</v>
      </c>
      <c r="M624" s="4" t="s">
        <v>81</v>
      </c>
      <c r="N624" s="11">
        <f>IFERROR(VLOOKUP(M624,ShipShapeEnum!$H:$I,2,FALSE),"-")</f>
        <v>1</v>
      </c>
      <c r="O624" s="11" t="s">
        <v>2688</v>
      </c>
      <c r="P624" s="30"/>
      <c r="Q624" s="11" t="str">
        <f>IFERROR(INDEX(SailPattern!$A:$A,MATCH(P624,SailPattern!$B:$B,0)),"-")</f>
        <v>-</v>
      </c>
      <c r="R624" s="30"/>
      <c r="S624" s="11" t="str">
        <f>IFERROR(INDEX(SailCrest!$A:$A,MATCH(R624,SailCrest!$B:$B,0)),"-")</f>
        <v>-</v>
      </c>
      <c r="T624" s="19" t="s">
        <v>0</v>
      </c>
      <c r="U624" s="19" t="s">
        <v>0</v>
      </c>
      <c r="V624" s="19" t="s">
        <v>0</v>
      </c>
      <c r="W624" s="19" t="s">
        <v>0</v>
      </c>
      <c r="X624" s="19" t="s">
        <v>0</v>
      </c>
      <c r="Y624" s="19" t="s">
        <v>0</v>
      </c>
      <c r="Z624" s="19" t="s">
        <v>0</v>
      </c>
      <c r="AA624" s="19" t="s">
        <v>0</v>
      </c>
    </row>
    <row r="625" spans="1:27" ht="15">
      <c r="A625" s="10">
        <f>A624+1</f>
        <v>46400002</v>
      </c>
      <c r="B625" s="38" t="s">
        <v>1799</v>
      </c>
      <c r="C625" s="4" t="s">
        <v>234</v>
      </c>
      <c r="D625" s="11">
        <f>IFERROR(VLOOKUP(C625,ShipShapeEnum!$E:$F,2,FALSE),"-")</f>
        <v>5</v>
      </c>
      <c r="E625" s="19" t="s">
        <v>470</v>
      </c>
      <c r="F625" s="4" t="s">
        <v>61</v>
      </c>
      <c r="G625" s="11">
        <v>1</v>
      </c>
      <c r="H625" s="19" t="s">
        <v>0</v>
      </c>
      <c r="I625" s="19" t="s">
        <v>0</v>
      </c>
      <c r="J625" s="19" t="s">
        <v>0</v>
      </c>
      <c r="K625" s="19" t="s">
        <v>0</v>
      </c>
      <c r="L625" s="19" t="s">
        <v>0</v>
      </c>
      <c r="M625" s="4" t="s">
        <v>81</v>
      </c>
      <c r="N625" s="11">
        <f>IFERROR(VLOOKUP(M625,ShipShapeEnum!$H:$I,2,FALSE),"-")</f>
        <v>1</v>
      </c>
      <c r="O625" s="11" t="s">
        <v>2688</v>
      </c>
      <c r="P625" s="30"/>
      <c r="Q625" s="11" t="str">
        <f>IFERROR(INDEX(SailPattern!$A:$A,MATCH(P625,SailPattern!$B:$B,0)),"-")</f>
        <v>-</v>
      </c>
      <c r="R625" s="30"/>
      <c r="S625" s="11" t="str">
        <f>IFERROR(INDEX(SailCrest!$A:$A,MATCH(R625,SailCrest!$B:$B,0)),"-")</f>
        <v>-</v>
      </c>
      <c r="T625" s="19" t="s">
        <v>0</v>
      </c>
      <c r="U625" s="19" t="s">
        <v>0</v>
      </c>
      <c r="V625" s="19" t="s">
        <v>0</v>
      </c>
      <c r="W625" s="19" t="s">
        <v>0</v>
      </c>
      <c r="X625" s="19" t="s">
        <v>0</v>
      </c>
      <c r="Y625" s="19" t="s">
        <v>0</v>
      </c>
      <c r="Z625" s="19" t="s">
        <v>0</v>
      </c>
      <c r="AA625" s="19" t="s">
        <v>0</v>
      </c>
    </row>
    <row r="626" spans="1:27" ht="15">
      <c r="A626" s="10">
        <f t="shared" ref="A626:A684" si="19">A625+1</f>
        <v>46400003</v>
      </c>
      <c r="B626" s="38" t="s">
        <v>1800</v>
      </c>
      <c r="C626" s="4" t="s">
        <v>234</v>
      </c>
      <c r="D626" s="11">
        <f>IFERROR(VLOOKUP(C626,ShipShapeEnum!$E:$F,2,FALSE),"-")</f>
        <v>5</v>
      </c>
      <c r="E626" s="19" t="s">
        <v>470</v>
      </c>
      <c r="F626" s="4" t="s">
        <v>61</v>
      </c>
      <c r="G626" s="11">
        <f>IFERROR(VLOOKUP(F626,ShipShapeEnum!$B:$C,2,FALSE),"-")</f>
        <v>1</v>
      </c>
      <c r="H626" s="19" t="s">
        <v>0</v>
      </c>
      <c r="I626" s="19" t="s">
        <v>0</v>
      </c>
      <c r="J626" s="19" t="s">
        <v>0</v>
      </c>
      <c r="K626" s="19" t="s">
        <v>0</v>
      </c>
      <c r="L626" s="19" t="s">
        <v>0</v>
      </c>
      <c r="M626" s="4" t="s">
        <v>81</v>
      </c>
      <c r="N626" s="11">
        <f>IFERROR(VLOOKUP(M626,ShipShapeEnum!$H:$I,2,FALSE),"-")</f>
        <v>1</v>
      </c>
      <c r="O626" s="11" t="s">
        <v>2688</v>
      </c>
      <c r="P626" s="30"/>
      <c r="Q626" s="11" t="str">
        <f>IFERROR(INDEX(SailPattern!$A:$A,MATCH(P626,SailPattern!$B:$B,0)),"-")</f>
        <v>-</v>
      </c>
      <c r="R626" s="30"/>
      <c r="S626" s="11" t="str">
        <f>IFERROR(INDEX(SailCrest!$A:$A,MATCH(R626,SailCrest!$B:$B,0)),"-")</f>
        <v>-</v>
      </c>
      <c r="T626" s="19" t="s">
        <v>0</v>
      </c>
      <c r="U626" s="19" t="s">
        <v>0</v>
      </c>
      <c r="V626" s="19" t="s">
        <v>0</v>
      </c>
      <c r="W626" s="19" t="s">
        <v>0</v>
      </c>
      <c r="X626" s="19" t="s">
        <v>0</v>
      </c>
      <c r="Y626" s="19" t="s">
        <v>0</v>
      </c>
      <c r="Z626" s="19" t="s">
        <v>0</v>
      </c>
      <c r="AA626" s="19" t="s">
        <v>0</v>
      </c>
    </row>
    <row r="627" spans="1:27" ht="15">
      <c r="A627" s="10">
        <f t="shared" si="19"/>
        <v>46400004</v>
      </c>
      <c r="B627" s="38" t="s">
        <v>1801</v>
      </c>
      <c r="C627" s="4" t="s">
        <v>234</v>
      </c>
      <c r="D627" s="11">
        <f>IFERROR(VLOOKUP(C627,ShipShapeEnum!$E:$F,2,FALSE),"-")</f>
        <v>5</v>
      </c>
      <c r="E627" s="19" t="s">
        <v>468</v>
      </c>
      <c r="F627" s="4" t="s">
        <v>61</v>
      </c>
      <c r="G627" s="11">
        <f>IFERROR(VLOOKUP(F627,ShipShapeEnum!$B:$C,2,FALSE),"-")</f>
        <v>1</v>
      </c>
      <c r="H627" s="19" t="s">
        <v>0</v>
      </c>
      <c r="I627" s="19" t="s">
        <v>0</v>
      </c>
      <c r="J627" s="19" t="s">
        <v>0</v>
      </c>
      <c r="K627" s="19" t="s">
        <v>0</v>
      </c>
      <c r="L627" s="19" t="s">
        <v>0</v>
      </c>
      <c r="M627" s="4" t="s">
        <v>81</v>
      </c>
      <c r="N627" s="11">
        <f>IFERROR(VLOOKUP(M627,ShipShapeEnum!$H:$I,2,FALSE),"-")</f>
        <v>1</v>
      </c>
      <c r="O627" s="11" t="s">
        <v>2688</v>
      </c>
      <c r="P627" s="30"/>
      <c r="Q627" s="11" t="str">
        <f>IFERROR(INDEX(SailPattern!$A:$A,MATCH(P627,SailPattern!$B:$B,0)),"-")</f>
        <v>-</v>
      </c>
      <c r="R627" s="30"/>
      <c r="S627" s="11" t="str">
        <f>IFERROR(INDEX(SailCrest!$A:$A,MATCH(R627,SailCrest!$B:$B,0)),"-")</f>
        <v>-</v>
      </c>
      <c r="T627" s="19" t="s">
        <v>0</v>
      </c>
      <c r="U627" s="19" t="s">
        <v>0</v>
      </c>
      <c r="V627" s="19" t="s">
        <v>0</v>
      </c>
      <c r="W627" s="19" t="s">
        <v>0</v>
      </c>
      <c r="X627" s="19" t="s">
        <v>0</v>
      </c>
      <c r="Y627" s="19" t="s">
        <v>0</v>
      </c>
      <c r="Z627" s="19" t="s">
        <v>0</v>
      </c>
      <c r="AA627" s="19" t="s">
        <v>0</v>
      </c>
    </row>
    <row r="628" spans="1:27" ht="15">
      <c r="A628" s="10">
        <f t="shared" si="19"/>
        <v>46400005</v>
      </c>
      <c r="B628" s="38" t="s">
        <v>1802</v>
      </c>
      <c r="C628" s="4" t="s">
        <v>234</v>
      </c>
      <c r="D628" s="11">
        <f>IFERROR(VLOOKUP(C628,ShipShapeEnum!$E:$F,2,FALSE),"-")</f>
        <v>5</v>
      </c>
      <c r="E628" s="19" t="s">
        <v>467</v>
      </c>
      <c r="F628" s="4" t="s">
        <v>61</v>
      </c>
      <c r="G628" s="11">
        <f>IFERROR(VLOOKUP(F628,ShipShapeEnum!$B:$C,2,FALSE),"-")</f>
        <v>1</v>
      </c>
      <c r="H628" s="19" t="s">
        <v>0</v>
      </c>
      <c r="I628" s="19" t="s">
        <v>0</v>
      </c>
      <c r="J628" s="19" t="s">
        <v>0</v>
      </c>
      <c r="K628" s="19" t="s">
        <v>0</v>
      </c>
      <c r="L628" s="19" t="s">
        <v>0</v>
      </c>
      <c r="M628" s="4" t="s">
        <v>81</v>
      </c>
      <c r="N628" s="11">
        <f>IFERROR(VLOOKUP(M628,ShipShapeEnum!$H:$I,2,FALSE),"-")</f>
        <v>1</v>
      </c>
      <c r="O628" s="11" t="s">
        <v>2688</v>
      </c>
      <c r="P628" s="30"/>
      <c r="Q628" s="11" t="str">
        <f>IFERROR(INDEX(SailPattern!$A:$A,MATCH(P628,SailPattern!$B:$B,0)),"-")</f>
        <v>-</v>
      </c>
      <c r="R628" s="30"/>
      <c r="S628" s="11" t="str">
        <f>IFERROR(INDEX(SailCrest!$A:$A,MATCH(R628,SailCrest!$B:$B,0)),"-")</f>
        <v>-</v>
      </c>
      <c r="T628" s="19" t="s">
        <v>0</v>
      </c>
      <c r="U628" s="19" t="s">
        <v>0</v>
      </c>
      <c r="V628" s="19" t="s">
        <v>0</v>
      </c>
      <c r="W628" s="19" t="s">
        <v>0</v>
      </c>
      <c r="X628" s="19" t="s">
        <v>0</v>
      </c>
      <c r="Y628" s="19" t="s">
        <v>0</v>
      </c>
      <c r="Z628" s="19" t="s">
        <v>0</v>
      </c>
      <c r="AA628" s="19" t="s">
        <v>0</v>
      </c>
    </row>
    <row r="629" spans="1:27" ht="15">
      <c r="A629" s="10">
        <f t="shared" si="19"/>
        <v>46400006</v>
      </c>
      <c r="B629" s="38" t="s">
        <v>1803</v>
      </c>
      <c r="C629" s="4" t="s">
        <v>234</v>
      </c>
      <c r="D629" s="11">
        <f>IFERROR(VLOOKUP(C629,ShipShapeEnum!$E:$F,2,FALSE),"-")</f>
        <v>5</v>
      </c>
      <c r="E629" s="19" t="s">
        <v>469</v>
      </c>
      <c r="F629" s="4" t="s">
        <v>61</v>
      </c>
      <c r="G629" s="11">
        <f>IFERROR(VLOOKUP(F629,ShipShapeEnum!$B:$C,2,FALSE),"-")</f>
        <v>1</v>
      </c>
      <c r="H629" s="19" t="s">
        <v>0</v>
      </c>
      <c r="I629" s="19" t="s">
        <v>0</v>
      </c>
      <c r="J629" s="19" t="s">
        <v>0</v>
      </c>
      <c r="K629" s="19" t="s">
        <v>0</v>
      </c>
      <c r="L629" s="19" t="s">
        <v>0</v>
      </c>
      <c r="M629" s="4" t="s">
        <v>81</v>
      </c>
      <c r="N629" s="11">
        <f>IFERROR(VLOOKUP(M629,ShipShapeEnum!$H:$I,2,FALSE),"-")</f>
        <v>1</v>
      </c>
      <c r="O629" s="11" t="s">
        <v>2688</v>
      </c>
      <c r="P629" s="30"/>
      <c r="Q629" s="11" t="str">
        <f>IFERROR(INDEX(SailPattern!$A:$A,MATCH(P629,SailPattern!$B:$B,0)),"-")</f>
        <v>-</v>
      </c>
      <c r="R629" s="30"/>
      <c r="S629" s="11" t="str">
        <f>IFERROR(INDEX(SailCrest!$A:$A,MATCH(R629,SailCrest!$B:$B,0)),"-")</f>
        <v>-</v>
      </c>
      <c r="T629" s="19" t="s">
        <v>0</v>
      </c>
      <c r="U629" s="19" t="s">
        <v>0</v>
      </c>
      <c r="V629" s="19" t="s">
        <v>0</v>
      </c>
      <c r="W629" s="19" t="s">
        <v>0</v>
      </c>
      <c r="X629" s="19" t="s">
        <v>0</v>
      </c>
      <c r="Y629" s="19" t="s">
        <v>0</v>
      </c>
      <c r="Z629" s="19" t="s">
        <v>0</v>
      </c>
      <c r="AA629" s="19" t="s">
        <v>0</v>
      </c>
    </row>
    <row r="630" spans="1:27" ht="15">
      <c r="A630" s="10">
        <f t="shared" si="19"/>
        <v>46400007</v>
      </c>
      <c r="B630" s="38" t="s">
        <v>1804</v>
      </c>
      <c r="C630" s="4" t="s">
        <v>234</v>
      </c>
      <c r="D630" s="11">
        <f>IFERROR(VLOOKUP(C630,ShipShapeEnum!$E:$F,2,FALSE),"-")</f>
        <v>5</v>
      </c>
      <c r="E630" s="19" t="s">
        <v>766</v>
      </c>
      <c r="F630" s="4" t="s">
        <v>61</v>
      </c>
      <c r="G630" s="11">
        <f>IFERROR(VLOOKUP(F630,ShipShapeEnum!$B:$C,2,FALSE),"-")</f>
        <v>1</v>
      </c>
      <c r="H630" s="19" t="s">
        <v>0</v>
      </c>
      <c r="I630" s="19" t="s">
        <v>0</v>
      </c>
      <c r="J630" s="19" t="s">
        <v>0</v>
      </c>
      <c r="K630" s="19" t="s">
        <v>0</v>
      </c>
      <c r="L630" s="19" t="s">
        <v>0</v>
      </c>
      <c r="M630" s="4" t="s">
        <v>81</v>
      </c>
      <c r="N630" s="11">
        <f>IFERROR(VLOOKUP(M630,ShipShapeEnum!$H:$I,2,FALSE),"-")</f>
        <v>1</v>
      </c>
      <c r="O630" s="11" t="s">
        <v>2688</v>
      </c>
      <c r="P630" s="30"/>
      <c r="Q630" s="11" t="str">
        <f>IFERROR(INDEX(SailPattern!$A:$A,MATCH(P630,SailPattern!$B:$B,0)),"-")</f>
        <v>-</v>
      </c>
      <c r="R630" s="30"/>
      <c r="S630" s="11" t="str">
        <f>IFERROR(INDEX(SailCrest!$A:$A,MATCH(R630,SailCrest!$B:$B,0)),"-")</f>
        <v>-</v>
      </c>
      <c r="T630" s="19" t="s">
        <v>0</v>
      </c>
      <c r="U630" s="19" t="s">
        <v>0</v>
      </c>
      <c r="V630" s="19" t="s">
        <v>0</v>
      </c>
      <c r="W630" s="19" t="s">
        <v>0</v>
      </c>
      <c r="X630" s="19" t="s">
        <v>0</v>
      </c>
      <c r="Y630" s="19" t="s">
        <v>0</v>
      </c>
      <c r="Z630" s="19" t="s">
        <v>0</v>
      </c>
      <c r="AA630" s="19" t="s">
        <v>0</v>
      </c>
    </row>
    <row r="631" spans="1:27" ht="15">
      <c r="A631" s="10">
        <f t="shared" si="19"/>
        <v>46400008</v>
      </c>
      <c r="B631" s="38" t="s">
        <v>1805</v>
      </c>
      <c r="C631" s="4" t="s">
        <v>234</v>
      </c>
      <c r="D631" s="11">
        <f>IFERROR(VLOOKUP(C631,ShipShapeEnum!$E:$F,2,FALSE),"-")</f>
        <v>5</v>
      </c>
      <c r="E631" s="19" t="s">
        <v>767</v>
      </c>
      <c r="F631" s="4" t="s">
        <v>61</v>
      </c>
      <c r="G631" s="11">
        <f>IFERROR(VLOOKUP(F631,ShipShapeEnum!$B:$C,2,FALSE),"-")</f>
        <v>1</v>
      </c>
      <c r="H631" s="19" t="s">
        <v>0</v>
      </c>
      <c r="I631" s="19" t="s">
        <v>0</v>
      </c>
      <c r="J631" s="19" t="s">
        <v>0</v>
      </c>
      <c r="K631" s="19" t="s">
        <v>0</v>
      </c>
      <c r="L631" s="19" t="s">
        <v>0</v>
      </c>
      <c r="M631" s="4" t="s">
        <v>81</v>
      </c>
      <c r="N631" s="11">
        <f>IFERROR(VLOOKUP(M631,ShipShapeEnum!$H:$I,2,FALSE),"-")</f>
        <v>1</v>
      </c>
      <c r="O631" s="11" t="s">
        <v>2688</v>
      </c>
      <c r="P631" s="30"/>
      <c r="Q631" s="11" t="str">
        <f>IFERROR(INDEX(SailPattern!$A:$A,MATCH(P631,SailPattern!$B:$B,0)),"-")</f>
        <v>-</v>
      </c>
      <c r="R631" s="30"/>
      <c r="S631" s="11" t="str">
        <f>IFERROR(INDEX(SailCrest!$A:$A,MATCH(R631,SailCrest!$B:$B,0)),"-")</f>
        <v>-</v>
      </c>
      <c r="T631" s="19" t="s">
        <v>0</v>
      </c>
      <c r="U631" s="19" t="s">
        <v>0</v>
      </c>
      <c r="V631" s="19" t="s">
        <v>0</v>
      </c>
      <c r="W631" s="19" t="s">
        <v>0</v>
      </c>
      <c r="X631" s="19" t="s">
        <v>0</v>
      </c>
      <c r="Y631" s="19" t="s">
        <v>0</v>
      </c>
      <c r="Z631" s="19" t="s">
        <v>0</v>
      </c>
      <c r="AA631" s="19" t="s">
        <v>0</v>
      </c>
    </row>
    <row r="632" spans="1:27" ht="15">
      <c r="A632" s="10">
        <f t="shared" si="19"/>
        <v>46400009</v>
      </c>
      <c r="B632" s="38" t="s">
        <v>1806</v>
      </c>
      <c r="C632" s="4" t="s">
        <v>234</v>
      </c>
      <c r="D632" s="11">
        <f>IFERROR(VLOOKUP(C632,ShipShapeEnum!$E:$F,2,FALSE),"-")</f>
        <v>5</v>
      </c>
      <c r="E632" s="19" t="s">
        <v>768</v>
      </c>
      <c r="F632" s="4" t="s">
        <v>61</v>
      </c>
      <c r="G632" s="11">
        <f>IFERROR(VLOOKUP(F632,ShipShapeEnum!$B:$C,2,FALSE),"-")</f>
        <v>1</v>
      </c>
      <c r="H632" s="19" t="s">
        <v>0</v>
      </c>
      <c r="I632" s="19" t="s">
        <v>0</v>
      </c>
      <c r="J632" s="19" t="s">
        <v>0</v>
      </c>
      <c r="K632" s="19" t="s">
        <v>0</v>
      </c>
      <c r="L632" s="19" t="s">
        <v>0</v>
      </c>
      <c r="M632" s="4" t="s">
        <v>81</v>
      </c>
      <c r="N632" s="11">
        <f>IFERROR(VLOOKUP(M632,ShipShapeEnum!$H:$I,2,FALSE),"-")</f>
        <v>1</v>
      </c>
      <c r="O632" s="11" t="s">
        <v>2688</v>
      </c>
      <c r="P632" s="30"/>
      <c r="Q632" s="11" t="str">
        <f>IFERROR(INDEX(SailPattern!$A:$A,MATCH(P632,SailPattern!$B:$B,0)),"-")</f>
        <v>-</v>
      </c>
      <c r="R632" s="30"/>
      <c r="S632" s="11" t="str">
        <f>IFERROR(INDEX(SailCrest!$A:$A,MATCH(R632,SailCrest!$B:$B,0)),"-")</f>
        <v>-</v>
      </c>
      <c r="T632" s="19" t="s">
        <v>0</v>
      </c>
      <c r="U632" s="19" t="s">
        <v>0</v>
      </c>
      <c r="V632" s="19" t="s">
        <v>0</v>
      </c>
      <c r="W632" s="19" t="s">
        <v>0</v>
      </c>
      <c r="X632" s="19" t="s">
        <v>0</v>
      </c>
      <c r="Y632" s="19" t="s">
        <v>0</v>
      </c>
      <c r="Z632" s="19" t="s">
        <v>0</v>
      </c>
      <c r="AA632" s="19" t="s">
        <v>0</v>
      </c>
    </row>
    <row r="633" spans="1:27" ht="15">
      <c r="A633" s="10">
        <f t="shared" si="19"/>
        <v>46400010</v>
      </c>
      <c r="B633" s="38" t="s">
        <v>1807</v>
      </c>
      <c r="C633" s="4" t="s">
        <v>234</v>
      </c>
      <c r="D633" s="11">
        <f>IFERROR(VLOOKUP(C633,ShipShapeEnum!$E:$F,2,FALSE),"-")</f>
        <v>5</v>
      </c>
      <c r="E633" s="19" t="s">
        <v>1228</v>
      </c>
      <c r="F633" s="4" t="s">
        <v>61</v>
      </c>
      <c r="G633" s="11">
        <f>IFERROR(VLOOKUP(F633,ShipShapeEnum!$B:$C,2,FALSE),"-")</f>
        <v>1</v>
      </c>
      <c r="H633" s="19" t="s">
        <v>0</v>
      </c>
      <c r="I633" s="19" t="s">
        <v>0</v>
      </c>
      <c r="J633" s="19" t="s">
        <v>0</v>
      </c>
      <c r="K633" s="19" t="s">
        <v>0</v>
      </c>
      <c r="L633" s="19" t="s">
        <v>0</v>
      </c>
      <c r="M633" s="4" t="s">
        <v>81</v>
      </c>
      <c r="N633" s="11">
        <f>IFERROR(VLOOKUP(M633,ShipShapeEnum!$H:$I,2,FALSE),"-")</f>
        <v>1</v>
      </c>
      <c r="O633" s="11" t="s">
        <v>2688</v>
      </c>
      <c r="P633" s="30"/>
      <c r="Q633" s="11" t="str">
        <f>IFERROR(INDEX(SailPattern!$A:$A,MATCH(P633,SailPattern!$B:$B,0)),"-")</f>
        <v>-</v>
      </c>
      <c r="R633" s="30"/>
      <c r="S633" s="11" t="str">
        <f>IFERROR(INDEX(SailCrest!$A:$A,MATCH(R633,SailCrest!$B:$B,0)),"-")</f>
        <v>-</v>
      </c>
      <c r="T633" s="19" t="s">
        <v>0</v>
      </c>
      <c r="U633" s="19" t="s">
        <v>0</v>
      </c>
      <c r="V633" s="19" t="s">
        <v>0</v>
      </c>
      <c r="W633" s="19" t="s">
        <v>0</v>
      </c>
      <c r="X633" s="19" t="s">
        <v>0</v>
      </c>
      <c r="Y633" s="19" t="s">
        <v>0</v>
      </c>
      <c r="Z633" s="19" t="s">
        <v>0</v>
      </c>
      <c r="AA633" s="19" t="s">
        <v>0</v>
      </c>
    </row>
    <row r="634" spans="1:27" ht="15">
      <c r="A634" s="10">
        <f t="shared" si="19"/>
        <v>46400011</v>
      </c>
      <c r="B634" s="38" t="s">
        <v>1808</v>
      </c>
      <c r="C634" s="4" t="s">
        <v>234</v>
      </c>
      <c r="D634" s="11">
        <f>IFERROR(VLOOKUP(C634,ShipShapeEnum!$E:$F,2,FALSE),"-")</f>
        <v>5</v>
      </c>
      <c r="E634" s="19" t="s">
        <v>769</v>
      </c>
      <c r="F634" s="4" t="s">
        <v>61</v>
      </c>
      <c r="G634" s="11">
        <f>IFERROR(VLOOKUP(F634,ShipShapeEnum!$B:$C,2,FALSE),"-")</f>
        <v>1</v>
      </c>
      <c r="H634" s="19" t="s">
        <v>0</v>
      </c>
      <c r="I634" s="19" t="s">
        <v>0</v>
      </c>
      <c r="J634" s="19" t="s">
        <v>0</v>
      </c>
      <c r="K634" s="19" t="s">
        <v>0</v>
      </c>
      <c r="L634" s="19" t="s">
        <v>0</v>
      </c>
      <c r="M634" s="4" t="s">
        <v>81</v>
      </c>
      <c r="N634" s="11">
        <f>IFERROR(VLOOKUP(M634,ShipShapeEnum!$H:$I,2,FALSE),"-")</f>
        <v>1</v>
      </c>
      <c r="O634" s="11" t="s">
        <v>2688</v>
      </c>
      <c r="P634" s="30"/>
      <c r="Q634" s="11" t="str">
        <f>IFERROR(INDEX(SailPattern!$A:$A,MATCH(P634,SailPattern!$B:$B,0)),"-")</f>
        <v>-</v>
      </c>
      <c r="R634" s="30"/>
      <c r="S634" s="11" t="str">
        <f>IFERROR(INDEX(SailCrest!$A:$A,MATCH(R634,SailCrest!$B:$B,0)),"-")</f>
        <v>-</v>
      </c>
      <c r="T634" s="19" t="s">
        <v>0</v>
      </c>
      <c r="U634" s="19" t="s">
        <v>0</v>
      </c>
      <c r="V634" s="19" t="s">
        <v>0</v>
      </c>
      <c r="W634" s="19" t="s">
        <v>0</v>
      </c>
      <c r="X634" s="19" t="s">
        <v>0</v>
      </c>
      <c r="Y634" s="19" t="s">
        <v>0</v>
      </c>
      <c r="Z634" s="19" t="s">
        <v>0</v>
      </c>
      <c r="AA634" s="19" t="s">
        <v>0</v>
      </c>
    </row>
    <row r="635" spans="1:27" ht="15">
      <c r="A635" s="10">
        <f t="shared" si="19"/>
        <v>46400012</v>
      </c>
      <c r="B635" s="38" t="s">
        <v>1809</v>
      </c>
      <c r="C635" s="4" t="s">
        <v>234</v>
      </c>
      <c r="D635" s="11">
        <f>IFERROR(VLOOKUP(C635,ShipShapeEnum!$E:$F,2,FALSE),"-")</f>
        <v>5</v>
      </c>
      <c r="E635" s="19" t="s">
        <v>770</v>
      </c>
      <c r="F635" s="4" t="s">
        <v>61</v>
      </c>
      <c r="G635" s="11">
        <f>IFERROR(VLOOKUP(F635,ShipShapeEnum!$B:$C,2,FALSE),"-")</f>
        <v>1</v>
      </c>
      <c r="H635" s="19" t="s">
        <v>0</v>
      </c>
      <c r="I635" s="19" t="s">
        <v>0</v>
      </c>
      <c r="J635" s="19" t="s">
        <v>0</v>
      </c>
      <c r="K635" s="19" t="s">
        <v>0</v>
      </c>
      <c r="L635" s="19" t="s">
        <v>0</v>
      </c>
      <c r="M635" s="4" t="s">
        <v>81</v>
      </c>
      <c r="N635" s="11">
        <f>IFERROR(VLOOKUP(M635,ShipShapeEnum!$H:$I,2,FALSE),"-")</f>
        <v>1</v>
      </c>
      <c r="O635" s="11" t="s">
        <v>2688</v>
      </c>
      <c r="P635" s="30"/>
      <c r="Q635" s="11" t="str">
        <f>IFERROR(INDEX(SailPattern!$A:$A,MATCH(P635,SailPattern!$B:$B,0)),"-")</f>
        <v>-</v>
      </c>
      <c r="R635" s="30"/>
      <c r="S635" s="11" t="str">
        <f>IFERROR(INDEX(SailCrest!$A:$A,MATCH(R635,SailCrest!$B:$B,0)),"-")</f>
        <v>-</v>
      </c>
      <c r="T635" s="19" t="s">
        <v>0</v>
      </c>
      <c r="U635" s="19" t="s">
        <v>0</v>
      </c>
      <c r="V635" s="19" t="s">
        <v>0</v>
      </c>
      <c r="W635" s="19" t="s">
        <v>0</v>
      </c>
      <c r="X635" s="19" t="s">
        <v>0</v>
      </c>
      <c r="Y635" s="19" t="s">
        <v>0</v>
      </c>
      <c r="Z635" s="19" t="s">
        <v>0</v>
      </c>
      <c r="AA635" s="19" t="s">
        <v>0</v>
      </c>
    </row>
    <row r="636" spans="1:27" ht="15">
      <c r="A636" s="10">
        <f t="shared" si="19"/>
        <v>46400013</v>
      </c>
      <c r="B636" s="38" t="s">
        <v>1810</v>
      </c>
      <c r="C636" s="4" t="s">
        <v>234</v>
      </c>
      <c r="D636" s="11">
        <f>IFERROR(VLOOKUP(C636,ShipShapeEnum!$E:$F,2,FALSE),"-")</f>
        <v>5</v>
      </c>
      <c r="E636" s="19" t="s">
        <v>771</v>
      </c>
      <c r="F636" s="4" t="s">
        <v>61</v>
      </c>
      <c r="G636" s="11">
        <f>IFERROR(VLOOKUP(F636,ShipShapeEnum!$B:$C,2,FALSE),"-")</f>
        <v>1</v>
      </c>
      <c r="H636" s="19" t="s">
        <v>0</v>
      </c>
      <c r="I636" s="19" t="s">
        <v>0</v>
      </c>
      <c r="J636" s="19" t="s">
        <v>0</v>
      </c>
      <c r="K636" s="19" t="s">
        <v>0</v>
      </c>
      <c r="L636" s="19" t="s">
        <v>0</v>
      </c>
      <c r="M636" s="4" t="s">
        <v>81</v>
      </c>
      <c r="N636" s="11">
        <f>IFERROR(VLOOKUP(M636,ShipShapeEnum!$H:$I,2,FALSE),"-")</f>
        <v>1</v>
      </c>
      <c r="O636" s="11" t="s">
        <v>2688</v>
      </c>
      <c r="P636" s="30"/>
      <c r="Q636" s="11" t="str">
        <f>IFERROR(INDEX(SailPattern!$A:$A,MATCH(P636,SailPattern!$B:$B,0)),"-")</f>
        <v>-</v>
      </c>
      <c r="R636" s="30"/>
      <c r="S636" s="11" t="str">
        <f>IFERROR(INDEX(SailCrest!$A:$A,MATCH(R636,SailCrest!$B:$B,0)),"-")</f>
        <v>-</v>
      </c>
      <c r="T636" s="19" t="s">
        <v>0</v>
      </c>
      <c r="U636" s="19" t="s">
        <v>0</v>
      </c>
      <c r="V636" s="19" t="s">
        <v>0</v>
      </c>
      <c r="W636" s="19" t="s">
        <v>0</v>
      </c>
      <c r="X636" s="19" t="s">
        <v>0</v>
      </c>
      <c r="Y636" s="19" t="s">
        <v>0</v>
      </c>
      <c r="Z636" s="19" t="s">
        <v>0</v>
      </c>
      <c r="AA636" s="19" t="s">
        <v>0</v>
      </c>
    </row>
    <row r="637" spans="1:27" ht="15">
      <c r="A637" s="10">
        <f t="shared" si="19"/>
        <v>46400014</v>
      </c>
      <c r="B637" s="38" t="s">
        <v>1811</v>
      </c>
      <c r="C637" s="4" t="s">
        <v>234</v>
      </c>
      <c r="D637" s="11">
        <f>IFERROR(VLOOKUP(C637,ShipShapeEnum!$E:$F,2,FALSE),"-")</f>
        <v>5</v>
      </c>
      <c r="E637" s="19" t="s">
        <v>773</v>
      </c>
      <c r="F637" s="4" t="s">
        <v>61</v>
      </c>
      <c r="G637" s="11">
        <f>IFERROR(VLOOKUP(F637,ShipShapeEnum!$B:$C,2,FALSE),"-")</f>
        <v>1</v>
      </c>
      <c r="H637" s="19" t="s">
        <v>0</v>
      </c>
      <c r="I637" s="19" t="s">
        <v>0</v>
      </c>
      <c r="J637" s="19" t="s">
        <v>0</v>
      </c>
      <c r="K637" s="19" t="s">
        <v>0</v>
      </c>
      <c r="L637" s="19" t="s">
        <v>0</v>
      </c>
      <c r="M637" s="4" t="s">
        <v>81</v>
      </c>
      <c r="N637" s="11">
        <f>IFERROR(VLOOKUP(M637,ShipShapeEnum!$H:$I,2,FALSE),"-")</f>
        <v>1</v>
      </c>
      <c r="O637" s="11" t="s">
        <v>2688</v>
      </c>
      <c r="P637" s="30"/>
      <c r="Q637" s="11" t="str">
        <f>IFERROR(INDEX(SailPattern!$A:$A,MATCH(P637,SailPattern!$B:$B,0)),"-")</f>
        <v>-</v>
      </c>
      <c r="R637" s="30"/>
      <c r="S637" s="11" t="str">
        <f>IFERROR(INDEX(SailCrest!$A:$A,MATCH(R637,SailCrest!$B:$B,0)),"-")</f>
        <v>-</v>
      </c>
      <c r="T637" s="19" t="s">
        <v>0</v>
      </c>
      <c r="U637" s="19" t="s">
        <v>0</v>
      </c>
      <c r="V637" s="19" t="s">
        <v>0</v>
      </c>
      <c r="W637" s="19" t="s">
        <v>0</v>
      </c>
      <c r="X637" s="19" t="s">
        <v>0</v>
      </c>
      <c r="Y637" s="19" t="s">
        <v>0</v>
      </c>
      <c r="Z637" s="19" t="s">
        <v>0</v>
      </c>
      <c r="AA637" s="19" t="s">
        <v>0</v>
      </c>
    </row>
    <row r="638" spans="1:27" ht="15">
      <c r="A638" s="10">
        <f t="shared" si="19"/>
        <v>46400015</v>
      </c>
      <c r="B638" s="38" t="s">
        <v>1812</v>
      </c>
      <c r="C638" s="4" t="s">
        <v>234</v>
      </c>
      <c r="D638" s="11">
        <f>IFERROR(VLOOKUP(C638,ShipShapeEnum!$E:$F,2,FALSE),"-")</f>
        <v>5</v>
      </c>
      <c r="E638" s="19" t="s">
        <v>1229</v>
      </c>
      <c r="F638" s="4" t="s">
        <v>61</v>
      </c>
      <c r="G638" s="11">
        <f>IFERROR(VLOOKUP(F638,ShipShapeEnum!$B:$C,2,FALSE),"-")</f>
        <v>1</v>
      </c>
      <c r="H638" s="19" t="s">
        <v>0</v>
      </c>
      <c r="I638" s="19" t="s">
        <v>0</v>
      </c>
      <c r="J638" s="19" t="s">
        <v>0</v>
      </c>
      <c r="K638" s="19" t="s">
        <v>0</v>
      </c>
      <c r="L638" s="19" t="s">
        <v>0</v>
      </c>
      <c r="M638" s="4" t="s">
        <v>81</v>
      </c>
      <c r="N638" s="11">
        <f>IFERROR(VLOOKUP(M638,ShipShapeEnum!$H:$I,2,FALSE),"-")</f>
        <v>1</v>
      </c>
      <c r="O638" s="11" t="s">
        <v>2688</v>
      </c>
      <c r="P638" s="30"/>
      <c r="Q638" s="11" t="str">
        <f>IFERROR(INDEX(SailPattern!$A:$A,MATCH(P638,SailPattern!$B:$B,0)),"-")</f>
        <v>-</v>
      </c>
      <c r="R638" s="30"/>
      <c r="S638" s="11" t="str">
        <f>IFERROR(INDEX(SailCrest!$A:$A,MATCH(R638,SailCrest!$B:$B,0)),"-")</f>
        <v>-</v>
      </c>
      <c r="T638" s="19" t="s">
        <v>0</v>
      </c>
      <c r="U638" s="19" t="s">
        <v>0</v>
      </c>
      <c r="V638" s="19" t="s">
        <v>0</v>
      </c>
      <c r="W638" s="19" t="s">
        <v>0</v>
      </c>
      <c r="X638" s="19" t="s">
        <v>0</v>
      </c>
      <c r="Y638" s="19" t="s">
        <v>0</v>
      </c>
      <c r="Z638" s="19" t="s">
        <v>0</v>
      </c>
      <c r="AA638" s="19" t="s">
        <v>0</v>
      </c>
    </row>
    <row r="639" spans="1:27" ht="15">
      <c r="A639" s="10">
        <f t="shared" si="19"/>
        <v>46400016</v>
      </c>
      <c r="B639" s="38" t="s">
        <v>1813</v>
      </c>
      <c r="C639" s="4" t="s">
        <v>234</v>
      </c>
      <c r="D639" s="11">
        <f>IFERROR(VLOOKUP(C639,ShipShapeEnum!$E:$F,2,FALSE),"-")</f>
        <v>5</v>
      </c>
      <c r="E639" s="19" t="s">
        <v>772</v>
      </c>
      <c r="F639" s="4" t="s">
        <v>61</v>
      </c>
      <c r="G639" s="11">
        <f>IFERROR(VLOOKUP(F639,ShipShapeEnum!$B:$C,2,FALSE),"-")</f>
        <v>1</v>
      </c>
      <c r="H639" s="19" t="s">
        <v>0</v>
      </c>
      <c r="I639" s="19" t="s">
        <v>0</v>
      </c>
      <c r="J639" s="19" t="s">
        <v>0</v>
      </c>
      <c r="K639" s="19" t="s">
        <v>0</v>
      </c>
      <c r="L639" s="19" t="s">
        <v>0</v>
      </c>
      <c r="M639" s="4" t="s">
        <v>81</v>
      </c>
      <c r="N639" s="11">
        <f>IFERROR(VLOOKUP(M639,ShipShapeEnum!$H:$I,2,FALSE),"-")</f>
        <v>1</v>
      </c>
      <c r="O639" s="11" t="s">
        <v>2688</v>
      </c>
      <c r="P639" s="30"/>
      <c r="Q639" s="11" t="str">
        <f>IFERROR(INDEX(SailPattern!$A:$A,MATCH(P639,SailPattern!$B:$B,0)),"-")</f>
        <v>-</v>
      </c>
      <c r="R639" s="30"/>
      <c r="S639" s="11" t="str">
        <f>IFERROR(INDEX(SailCrest!$A:$A,MATCH(R639,SailCrest!$B:$B,0)),"-")</f>
        <v>-</v>
      </c>
      <c r="T639" s="19" t="s">
        <v>0</v>
      </c>
      <c r="U639" s="19" t="s">
        <v>0</v>
      </c>
      <c r="V639" s="19" t="s">
        <v>0</v>
      </c>
      <c r="W639" s="19" t="s">
        <v>0</v>
      </c>
      <c r="X639" s="19" t="s">
        <v>0</v>
      </c>
      <c r="Y639" s="19" t="s">
        <v>0</v>
      </c>
      <c r="Z639" s="19" t="s">
        <v>0</v>
      </c>
      <c r="AA639" s="19" t="s">
        <v>0</v>
      </c>
    </row>
    <row r="640" spans="1:27" ht="15">
      <c r="A640" s="10">
        <f t="shared" si="19"/>
        <v>46400017</v>
      </c>
      <c r="B640" s="38" t="s">
        <v>1814</v>
      </c>
      <c r="C640" s="4" t="s">
        <v>234</v>
      </c>
      <c r="D640" s="11">
        <f>IFERROR(VLOOKUP(C640,ShipShapeEnum!$E:$F,2,FALSE),"-")</f>
        <v>5</v>
      </c>
      <c r="E640" s="19" t="s">
        <v>774</v>
      </c>
      <c r="F640" s="4" t="s">
        <v>61</v>
      </c>
      <c r="G640" s="11">
        <f>IFERROR(VLOOKUP(F640,ShipShapeEnum!$B:$C,2,FALSE),"-")</f>
        <v>1</v>
      </c>
      <c r="H640" s="19" t="s">
        <v>0</v>
      </c>
      <c r="I640" s="19" t="s">
        <v>0</v>
      </c>
      <c r="J640" s="19" t="s">
        <v>0</v>
      </c>
      <c r="K640" s="19" t="s">
        <v>0</v>
      </c>
      <c r="L640" s="19" t="s">
        <v>0</v>
      </c>
      <c r="M640" s="4" t="s">
        <v>81</v>
      </c>
      <c r="N640" s="11">
        <f>IFERROR(VLOOKUP(M640,ShipShapeEnum!$H:$I,2,FALSE),"-")</f>
        <v>1</v>
      </c>
      <c r="O640" s="11" t="s">
        <v>2688</v>
      </c>
      <c r="P640" s="30"/>
      <c r="Q640" s="11" t="str">
        <f>IFERROR(INDEX(SailPattern!$A:$A,MATCH(P640,SailPattern!$B:$B,0)),"-")</f>
        <v>-</v>
      </c>
      <c r="R640" s="30"/>
      <c r="S640" s="11" t="str">
        <f>IFERROR(INDEX(SailCrest!$A:$A,MATCH(R640,SailCrest!$B:$B,0)),"-")</f>
        <v>-</v>
      </c>
      <c r="T640" s="19" t="s">
        <v>0</v>
      </c>
      <c r="U640" s="19" t="s">
        <v>0</v>
      </c>
      <c r="V640" s="19" t="s">
        <v>0</v>
      </c>
      <c r="W640" s="19" t="s">
        <v>0</v>
      </c>
      <c r="X640" s="19" t="s">
        <v>0</v>
      </c>
      <c r="Y640" s="19" t="s">
        <v>0</v>
      </c>
      <c r="Z640" s="19" t="s">
        <v>0</v>
      </c>
      <c r="AA640" s="19" t="s">
        <v>0</v>
      </c>
    </row>
    <row r="641" spans="1:27" ht="15">
      <c r="A641" s="10">
        <f t="shared" si="19"/>
        <v>46400018</v>
      </c>
      <c r="B641" s="38" t="s">
        <v>1815</v>
      </c>
      <c r="C641" s="4" t="s">
        <v>234</v>
      </c>
      <c r="D641" s="11">
        <f>IFERROR(VLOOKUP(C641,ShipShapeEnum!$E:$F,2,FALSE),"-")</f>
        <v>5</v>
      </c>
      <c r="E641" s="19" t="s">
        <v>775</v>
      </c>
      <c r="F641" s="4" t="s">
        <v>61</v>
      </c>
      <c r="G641" s="11">
        <f>IFERROR(VLOOKUP(F641,ShipShapeEnum!$B:$C,2,FALSE),"-")</f>
        <v>1</v>
      </c>
      <c r="H641" s="19" t="s">
        <v>0</v>
      </c>
      <c r="I641" s="19" t="s">
        <v>0</v>
      </c>
      <c r="J641" s="19" t="s">
        <v>0</v>
      </c>
      <c r="K641" s="19" t="s">
        <v>0</v>
      </c>
      <c r="L641" s="19" t="s">
        <v>0</v>
      </c>
      <c r="M641" s="4" t="s">
        <v>81</v>
      </c>
      <c r="N641" s="11">
        <f>IFERROR(VLOOKUP(M641,ShipShapeEnum!$H:$I,2,FALSE),"-")</f>
        <v>1</v>
      </c>
      <c r="O641" s="11" t="s">
        <v>2688</v>
      </c>
      <c r="P641" s="30"/>
      <c r="Q641" s="11" t="str">
        <f>IFERROR(INDEX(SailPattern!$A:$A,MATCH(P641,SailPattern!$B:$B,0)),"-")</f>
        <v>-</v>
      </c>
      <c r="R641" s="30"/>
      <c r="S641" s="11" t="str">
        <f>IFERROR(INDEX(SailCrest!$A:$A,MATCH(R641,SailCrest!$B:$B,0)),"-")</f>
        <v>-</v>
      </c>
      <c r="T641" s="19" t="s">
        <v>0</v>
      </c>
      <c r="U641" s="19" t="s">
        <v>0</v>
      </c>
      <c r="V641" s="19" t="s">
        <v>0</v>
      </c>
      <c r="W641" s="19" t="s">
        <v>0</v>
      </c>
      <c r="X641" s="19" t="s">
        <v>0</v>
      </c>
      <c r="Y641" s="19" t="s">
        <v>0</v>
      </c>
      <c r="Z641" s="19" t="s">
        <v>0</v>
      </c>
      <c r="AA641" s="19" t="s">
        <v>0</v>
      </c>
    </row>
    <row r="642" spans="1:27" ht="15">
      <c r="A642" s="10">
        <f t="shared" si="19"/>
        <v>46400019</v>
      </c>
      <c r="B642" s="38" t="s">
        <v>1816</v>
      </c>
      <c r="C642" s="4" t="s">
        <v>234</v>
      </c>
      <c r="D642" s="11">
        <f>IFERROR(VLOOKUP(C642,ShipShapeEnum!$E:$F,2,FALSE),"-")</f>
        <v>5</v>
      </c>
      <c r="E642" s="19" t="s">
        <v>776</v>
      </c>
      <c r="F642" s="4" t="s">
        <v>61</v>
      </c>
      <c r="G642" s="11">
        <f>IFERROR(VLOOKUP(F642,ShipShapeEnum!$B:$C,2,FALSE),"-")</f>
        <v>1</v>
      </c>
      <c r="H642" s="19" t="s">
        <v>0</v>
      </c>
      <c r="I642" s="19" t="s">
        <v>0</v>
      </c>
      <c r="J642" s="19" t="s">
        <v>0</v>
      </c>
      <c r="K642" s="19" t="s">
        <v>0</v>
      </c>
      <c r="L642" s="19" t="s">
        <v>0</v>
      </c>
      <c r="M642" s="4" t="s">
        <v>81</v>
      </c>
      <c r="N642" s="11">
        <f>IFERROR(VLOOKUP(M642,ShipShapeEnum!$H:$I,2,FALSE),"-")</f>
        <v>1</v>
      </c>
      <c r="O642" s="11" t="s">
        <v>2688</v>
      </c>
      <c r="P642" s="30"/>
      <c r="Q642" s="11" t="str">
        <f>IFERROR(INDEX(SailPattern!$A:$A,MATCH(P642,SailPattern!$B:$B,0)),"-")</f>
        <v>-</v>
      </c>
      <c r="R642" s="30"/>
      <c r="S642" s="11" t="str">
        <f>IFERROR(INDEX(SailCrest!$A:$A,MATCH(R642,SailCrest!$B:$B,0)),"-")</f>
        <v>-</v>
      </c>
      <c r="T642" s="19" t="s">
        <v>0</v>
      </c>
      <c r="U642" s="19" t="s">
        <v>0</v>
      </c>
      <c r="V642" s="19" t="s">
        <v>0</v>
      </c>
      <c r="W642" s="19" t="s">
        <v>0</v>
      </c>
      <c r="X642" s="19" t="s">
        <v>0</v>
      </c>
      <c r="Y642" s="19" t="s">
        <v>0</v>
      </c>
      <c r="Z642" s="19" t="s">
        <v>0</v>
      </c>
      <c r="AA642" s="19" t="s">
        <v>0</v>
      </c>
    </row>
    <row r="643" spans="1:27" ht="15">
      <c r="A643" s="10">
        <f t="shared" si="19"/>
        <v>46400020</v>
      </c>
      <c r="B643" s="38" t="s">
        <v>1817</v>
      </c>
      <c r="C643" s="4" t="s">
        <v>234</v>
      </c>
      <c r="D643" s="11">
        <f>IFERROR(VLOOKUP(C643,ShipShapeEnum!$E:$F,2,FALSE),"-")</f>
        <v>5</v>
      </c>
      <c r="E643" s="19" t="s">
        <v>777</v>
      </c>
      <c r="F643" s="4" t="s">
        <v>61</v>
      </c>
      <c r="G643" s="11">
        <f>IFERROR(VLOOKUP(F643,ShipShapeEnum!$B:$C,2,FALSE),"-")</f>
        <v>1</v>
      </c>
      <c r="H643" s="19" t="s">
        <v>0</v>
      </c>
      <c r="I643" s="19" t="s">
        <v>0</v>
      </c>
      <c r="J643" s="19" t="s">
        <v>0</v>
      </c>
      <c r="K643" s="19" t="s">
        <v>0</v>
      </c>
      <c r="L643" s="19" t="s">
        <v>0</v>
      </c>
      <c r="M643" s="4" t="s">
        <v>81</v>
      </c>
      <c r="N643" s="11">
        <f>IFERROR(VLOOKUP(M643,ShipShapeEnum!$H:$I,2,FALSE),"-")</f>
        <v>1</v>
      </c>
      <c r="O643" s="11" t="s">
        <v>2688</v>
      </c>
      <c r="P643" s="30"/>
      <c r="Q643" s="11" t="str">
        <f>IFERROR(INDEX(SailPattern!$A:$A,MATCH(P643,SailPattern!$B:$B,0)),"-")</f>
        <v>-</v>
      </c>
      <c r="R643" s="30"/>
      <c r="S643" s="11" t="str">
        <f>IFERROR(INDEX(SailCrest!$A:$A,MATCH(R643,SailCrest!$B:$B,0)),"-")</f>
        <v>-</v>
      </c>
      <c r="T643" s="19" t="s">
        <v>0</v>
      </c>
      <c r="U643" s="19" t="s">
        <v>0</v>
      </c>
      <c r="V643" s="19" t="s">
        <v>0</v>
      </c>
      <c r="W643" s="19" t="s">
        <v>0</v>
      </c>
      <c r="X643" s="19" t="s">
        <v>0</v>
      </c>
      <c r="Y643" s="19" t="s">
        <v>0</v>
      </c>
      <c r="Z643" s="19" t="s">
        <v>0</v>
      </c>
      <c r="AA643" s="19" t="s">
        <v>0</v>
      </c>
    </row>
    <row r="644" spans="1:27" ht="15">
      <c r="A644" s="10">
        <f t="shared" si="19"/>
        <v>46400021</v>
      </c>
      <c r="B644" s="38" t="s">
        <v>1818</v>
      </c>
      <c r="C644" s="4" t="s">
        <v>234</v>
      </c>
      <c r="D644" s="11">
        <f>IFERROR(VLOOKUP(C644,ShipShapeEnum!$E:$F,2,FALSE),"-")</f>
        <v>5</v>
      </c>
      <c r="E644" s="19" t="s">
        <v>778</v>
      </c>
      <c r="F644" s="4" t="s">
        <v>61</v>
      </c>
      <c r="G644" s="11">
        <f>IFERROR(VLOOKUP(F644,ShipShapeEnum!$B:$C,2,FALSE),"-")</f>
        <v>1</v>
      </c>
      <c r="H644" s="19" t="s">
        <v>0</v>
      </c>
      <c r="I644" s="19" t="s">
        <v>0</v>
      </c>
      <c r="J644" s="19" t="s">
        <v>0</v>
      </c>
      <c r="K644" s="19" t="s">
        <v>0</v>
      </c>
      <c r="L644" s="19" t="s">
        <v>0</v>
      </c>
      <c r="M644" s="4" t="s">
        <v>81</v>
      </c>
      <c r="N644" s="11">
        <f>IFERROR(VLOOKUP(M644,ShipShapeEnum!$H:$I,2,FALSE),"-")</f>
        <v>1</v>
      </c>
      <c r="O644" s="11" t="s">
        <v>2688</v>
      </c>
      <c r="P644" s="30"/>
      <c r="Q644" s="11" t="str">
        <f>IFERROR(INDEX(SailPattern!$A:$A,MATCH(P644,SailPattern!$B:$B,0)),"-")</f>
        <v>-</v>
      </c>
      <c r="R644" s="30"/>
      <c r="S644" s="11" t="str">
        <f>IFERROR(INDEX(SailCrest!$A:$A,MATCH(R644,SailCrest!$B:$B,0)),"-")</f>
        <v>-</v>
      </c>
      <c r="T644" s="19" t="s">
        <v>0</v>
      </c>
      <c r="U644" s="19" t="s">
        <v>0</v>
      </c>
      <c r="V644" s="19" t="s">
        <v>0</v>
      </c>
      <c r="W644" s="19" t="s">
        <v>0</v>
      </c>
      <c r="X644" s="19" t="s">
        <v>0</v>
      </c>
      <c r="Y644" s="19" t="s">
        <v>0</v>
      </c>
      <c r="Z644" s="19" t="s">
        <v>0</v>
      </c>
      <c r="AA644" s="19" t="s">
        <v>0</v>
      </c>
    </row>
    <row r="645" spans="1:27" ht="15">
      <c r="A645" s="10">
        <f t="shared" si="19"/>
        <v>46400022</v>
      </c>
      <c r="B645" s="38" t="s">
        <v>1819</v>
      </c>
      <c r="C645" s="4" t="s">
        <v>234</v>
      </c>
      <c r="D645" s="11">
        <f>IFERROR(VLOOKUP(C645,ShipShapeEnum!$E:$F,2,FALSE),"-")</f>
        <v>5</v>
      </c>
      <c r="E645" s="19" t="s">
        <v>779</v>
      </c>
      <c r="F645" s="4" t="s">
        <v>61</v>
      </c>
      <c r="G645" s="11">
        <f>IFERROR(VLOOKUP(F645,ShipShapeEnum!$B:$C,2,FALSE),"-")</f>
        <v>1</v>
      </c>
      <c r="H645" s="19" t="s">
        <v>0</v>
      </c>
      <c r="I645" s="19" t="s">
        <v>0</v>
      </c>
      <c r="J645" s="19" t="s">
        <v>0</v>
      </c>
      <c r="K645" s="19" t="s">
        <v>0</v>
      </c>
      <c r="L645" s="19" t="s">
        <v>0</v>
      </c>
      <c r="M645" s="4" t="s">
        <v>81</v>
      </c>
      <c r="N645" s="11">
        <f>IFERROR(VLOOKUP(M645,ShipShapeEnum!$H:$I,2,FALSE),"-")</f>
        <v>1</v>
      </c>
      <c r="O645" s="11" t="s">
        <v>2688</v>
      </c>
      <c r="P645" s="30"/>
      <c r="Q645" s="11" t="str">
        <f>IFERROR(INDEX(SailPattern!$A:$A,MATCH(P645,SailPattern!$B:$B,0)),"-")</f>
        <v>-</v>
      </c>
      <c r="R645" s="30"/>
      <c r="S645" s="11" t="str">
        <f>IFERROR(INDEX(SailCrest!$A:$A,MATCH(R645,SailCrest!$B:$B,0)),"-")</f>
        <v>-</v>
      </c>
      <c r="T645" s="19" t="s">
        <v>0</v>
      </c>
      <c r="U645" s="19" t="s">
        <v>0</v>
      </c>
      <c r="V645" s="19" t="s">
        <v>0</v>
      </c>
      <c r="W645" s="19" t="s">
        <v>0</v>
      </c>
      <c r="X645" s="19" t="s">
        <v>0</v>
      </c>
      <c r="Y645" s="19" t="s">
        <v>0</v>
      </c>
      <c r="Z645" s="19" t="s">
        <v>0</v>
      </c>
      <c r="AA645" s="19" t="s">
        <v>0</v>
      </c>
    </row>
    <row r="646" spans="1:27" ht="15">
      <c r="A646" s="10">
        <f t="shared" si="19"/>
        <v>46400023</v>
      </c>
      <c r="B646" s="38" t="s">
        <v>1820</v>
      </c>
      <c r="C646" s="4" t="s">
        <v>234</v>
      </c>
      <c r="D646" s="11">
        <f>IFERROR(VLOOKUP(C646,ShipShapeEnum!$E:$F,2,FALSE),"-")</f>
        <v>5</v>
      </c>
      <c r="E646" s="19" t="s">
        <v>1225</v>
      </c>
      <c r="F646" s="4" t="s">
        <v>61</v>
      </c>
      <c r="G646" s="11">
        <f>IFERROR(VLOOKUP(F646,ShipShapeEnum!$B:$C,2,FALSE),"-")</f>
        <v>1</v>
      </c>
      <c r="H646" s="19" t="s">
        <v>0</v>
      </c>
      <c r="I646" s="19" t="s">
        <v>0</v>
      </c>
      <c r="J646" s="19" t="s">
        <v>0</v>
      </c>
      <c r="K646" s="19" t="s">
        <v>0</v>
      </c>
      <c r="L646" s="19" t="s">
        <v>0</v>
      </c>
      <c r="M646" s="4" t="s">
        <v>81</v>
      </c>
      <c r="N646" s="11">
        <f>IFERROR(VLOOKUP(M646,ShipShapeEnum!$H:$I,2,FALSE),"-")</f>
        <v>1</v>
      </c>
      <c r="O646" s="11" t="s">
        <v>2688</v>
      </c>
      <c r="P646" s="30"/>
      <c r="Q646" s="11" t="str">
        <f>IFERROR(INDEX(SailPattern!$A:$A,MATCH(P646,SailPattern!$B:$B,0)),"-")</f>
        <v>-</v>
      </c>
      <c r="R646" s="30"/>
      <c r="S646" s="11" t="str">
        <f>IFERROR(INDEX(SailCrest!$A:$A,MATCH(R646,SailCrest!$B:$B,0)),"-")</f>
        <v>-</v>
      </c>
      <c r="T646" s="19" t="s">
        <v>0</v>
      </c>
      <c r="U646" s="19" t="s">
        <v>0</v>
      </c>
      <c r="V646" s="19" t="s">
        <v>0</v>
      </c>
      <c r="W646" s="19" t="s">
        <v>0</v>
      </c>
      <c r="X646" s="19" t="s">
        <v>0</v>
      </c>
      <c r="Y646" s="19" t="s">
        <v>0</v>
      </c>
      <c r="Z646" s="19" t="s">
        <v>0</v>
      </c>
      <c r="AA646" s="19" t="s">
        <v>0</v>
      </c>
    </row>
    <row r="647" spans="1:27" ht="15">
      <c r="A647" s="10">
        <f t="shared" si="19"/>
        <v>46400024</v>
      </c>
      <c r="B647" s="38" t="s">
        <v>1821</v>
      </c>
      <c r="C647" s="4" t="s">
        <v>234</v>
      </c>
      <c r="D647" s="11">
        <f>IFERROR(VLOOKUP(C647,ShipShapeEnum!$E:$F,2,FALSE),"-")</f>
        <v>5</v>
      </c>
      <c r="E647" s="19" t="s">
        <v>1226</v>
      </c>
      <c r="F647" s="4" t="s">
        <v>61</v>
      </c>
      <c r="G647" s="11">
        <f>IFERROR(VLOOKUP(F647,ShipShapeEnum!$B:$C,2,FALSE),"-")</f>
        <v>1</v>
      </c>
      <c r="H647" s="19" t="s">
        <v>0</v>
      </c>
      <c r="I647" s="19" t="s">
        <v>0</v>
      </c>
      <c r="J647" s="19" t="s">
        <v>0</v>
      </c>
      <c r="K647" s="19" t="s">
        <v>0</v>
      </c>
      <c r="L647" s="19" t="s">
        <v>0</v>
      </c>
      <c r="M647" s="4" t="s">
        <v>81</v>
      </c>
      <c r="N647" s="11">
        <f>IFERROR(VLOOKUP(M647,ShipShapeEnum!$H:$I,2,FALSE),"-")</f>
        <v>1</v>
      </c>
      <c r="O647" s="11" t="s">
        <v>2688</v>
      </c>
      <c r="P647" s="30"/>
      <c r="Q647" s="11" t="str">
        <f>IFERROR(INDEX(SailPattern!$A:$A,MATCH(P647,SailPattern!$B:$B,0)),"-")</f>
        <v>-</v>
      </c>
      <c r="R647" s="30"/>
      <c r="S647" s="11" t="str">
        <f>IFERROR(INDEX(SailCrest!$A:$A,MATCH(R647,SailCrest!$B:$B,0)),"-")</f>
        <v>-</v>
      </c>
      <c r="T647" s="19" t="s">
        <v>0</v>
      </c>
      <c r="U647" s="19" t="s">
        <v>0</v>
      </c>
      <c r="V647" s="19" t="s">
        <v>0</v>
      </c>
      <c r="W647" s="19" t="s">
        <v>0</v>
      </c>
      <c r="X647" s="19" t="s">
        <v>0</v>
      </c>
      <c r="Y647" s="19" t="s">
        <v>0</v>
      </c>
      <c r="Z647" s="19" t="s">
        <v>0</v>
      </c>
      <c r="AA647" s="19" t="s">
        <v>0</v>
      </c>
    </row>
    <row r="648" spans="1:27" ht="15">
      <c r="A648" s="10">
        <f t="shared" si="19"/>
        <v>46400025</v>
      </c>
      <c r="B648" s="38" t="s">
        <v>1822</v>
      </c>
      <c r="C648" s="4" t="s">
        <v>234</v>
      </c>
      <c r="D648" s="11">
        <f>IFERROR(VLOOKUP(C648,ShipShapeEnum!$E:$F,2,FALSE),"-")</f>
        <v>5</v>
      </c>
      <c r="E648" s="19" t="s">
        <v>1227</v>
      </c>
      <c r="F648" s="4" t="s">
        <v>61</v>
      </c>
      <c r="G648" s="11">
        <f>IFERROR(VLOOKUP(F648,ShipShapeEnum!$B:$C,2,FALSE),"-")</f>
        <v>1</v>
      </c>
      <c r="H648" s="19" t="s">
        <v>78</v>
      </c>
      <c r="I648" s="19" t="s">
        <v>0</v>
      </c>
      <c r="J648" s="19" t="s">
        <v>0</v>
      </c>
      <c r="K648" s="19" t="s">
        <v>0</v>
      </c>
      <c r="L648" s="19" t="s">
        <v>0</v>
      </c>
      <c r="M648" s="4" t="s">
        <v>81</v>
      </c>
      <c r="N648" s="11">
        <f>IFERROR(VLOOKUP(M648,ShipShapeEnum!$H:$I,2,FALSE),"-")</f>
        <v>1</v>
      </c>
      <c r="O648" s="11" t="s">
        <v>2688</v>
      </c>
      <c r="P648" s="30"/>
      <c r="Q648" s="11" t="str">
        <f>IFERROR(INDEX(SailPattern!$A:$A,MATCH(P648,SailPattern!$B:$B,0)),"-")</f>
        <v>-</v>
      </c>
      <c r="R648" s="30"/>
      <c r="S648" s="11" t="str">
        <f>IFERROR(INDEX(SailCrest!$A:$A,MATCH(R648,SailCrest!$B:$B,0)),"-")</f>
        <v>-</v>
      </c>
      <c r="T648" s="19" t="s">
        <v>0</v>
      </c>
      <c r="U648" s="19" t="s">
        <v>0</v>
      </c>
      <c r="V648" s="19" t="s">
        <v>0</v>
      </c>
      <c r="W648" s="19" t="s">
        <v>0</v>
      </c>
      <c r="X648" s="19" t="s">
        <v>0</v>
      </c>
      <c r="Y648" s="19" t="s">
        <v>0</v>
      </c>
      <c r="Z648" s="19" t="s">
        <v>0</v>
      </c>
      <c r="AA648" s="19" t="s">
        <v>0</v>
      </c>
    </row>
    <row r="649" spans="1:27" ht="15">
      <c r="A649" s="10">
        <f t="shared" si="19"/>
        <v>46400026</v>
      </c>
      <c r="B649" s="38" t="s">
        <v>1823</v>
      </c>
      <c r="C649" s="4" t="s">
        <v>234</v>
      </c>
      <c r="D649" s="11">
        <f>IFERROR(VLOOKUP(C649,ShipShapeEnum!$E:$F,2,FALSE),"-")</f>
        <v>5</v>
      </c>
      <c r="E649" s="19" t="s">
        <v>1223</v>
      </c>
      <c r="F649" s="4" t="s">
        <v>61</v>
      </c>
      <c r="G649" s="11">
        <f>IFERROR(VLOOKUP(F649,ShipShapeEnum!$B:$C,2,FALSE),"-")</f>
        <v>1</v>
      </c>
      <c r="H649" s="19" t="s">
        <v>0</v>
      </c>
      <c r="I649" s="19" t="s">
        <v>0</v>
      </c>
      <c r="J649" s="19" t="s">
        <v>0</v>
      </c>
      <c r="K649" s="19" t="s">
        <v>0</v>
      </c>
      <c r="L649" s="19" t="s">
        <v>0</v>
      </c>
      <c r="M649" s="4" t="s">
        <v>81</v>
      </c>
      <c r="N649" s="11">
        <f>IFERROR(VLOOKUP(M649,ShipShapeEnum!$H:$I,2,FALSE),"-")</f>
        <v>1</v>
      </c>
      <c r="O649" s="11" t="s">
        <v>2688</v>
      </c>
      <c r="P649" s="30"/>
      <c r="Q649" s="11" t="str">
        <f>IFERROR(INDEX(SailPattern!$A:$A,MATCH(P649,SailPattern!$B:$B,0)),"-")</f>
        <v>-</v>
      </c>
      <c r="R649" s="30"/>
      <c r="S649" s="11" t="str">
        <f>IFERROR(INDEX(SailCrest!$A:$A,MATCH(R649,SailCrest!$B:$B,0)),"-")</f>
        <v>-</v>
      </c>
      <c r="T649" s="19" t="s">
        <v>0</v>
      </c>
      <c r="U649" s="19" t="s">
        <v>0</v>
      </c>
      <c r="V649" s="19" t="s">
        <v>0</v>
      </c>
      <c r="W649" s="19" t="s">
        <v>0</v>
      </c>
      <c r="X649" s="19" t="s">
        <v>0</v>
      </c>
      <c r="Y649" s="19" t="s">
        <v>0</v>
      </c>
      <c r="Z649" s="19" t="s">
        <v>0</v>
      </c>
      <c r="AA649" s="19" t="s">
        <v>0</v>
      </c>
    </row>
    <row r="650" spans="1:27" ht="15">
      <c r="A650" s="10">
        <f t="shared" si="19"/>
        <v>46400027</v>
      </c>
      <c r="B650" s="38" t="s">
        <v>1824</v>
      </c>
      <c r="C650" s="4" t="s">
        <v>234</v>
      </c>
      <c r="D650" s="11">
        <f>IFERROR(VLOOKUP(C650,ShipShapeEnum!$E:$F,2,FALSE),"-")</f>
        <v>5</v>
      </c>
      <c r="E650" s="19" t="s">
        <v>1222</v>
      </c>
      <c r="F650" s="4" t="s">
        <v>61</v>
      </c>
      <c r="G650" s="11">
        <f>IFERROR(VLOOKUP(F650,ShipShapeEnum!$B:$C,2,FALSE),"-")</f>
        <v>1</v>
      </c>
      <c r="H650" s="19" t="s">
        <v>0</v>
      </c>
      <c r="I650" s="19" t="s">
        <v>0</v>
      </c>
      <c r="J650" s="19" t="s">
        <v>0</v>
      </c>
      <c r="K650" s="19" t="s">
        <v>0</v>
      </c>
      <c r="L650" s="19" t="s">
        <v>0</v>
      </c>
      <c r="M650" s="4" t="s">
        <v>81</v>
      </c>
      <c r="N650" s="11">
        <f>IFERROR(VLOOKUP(M650,ShipShapeEnum!$H:$I,2,FALSE),"-")</f>
        <v>1</v>
      </c>
      <c r="O650" s="11" t="s">
        <v>2688</v>
      </c>
      <c r="P650" s="30"/>
      <c r="Q650" s="11" t="str">
        <f>IFERROR(INDEX(SailPattern!$A:$A,MATCH(P650,SailPattern!$B:$B,0)),"-")</f>
        <v>-</v>
      </c>
      <c r="R650" s="30"/>
      <c r="S650" s="11" t="str">
        <f>IFERROR(INDEX(SailCrest!$A:$A,MATCH(R650,SailCrest!$B:$B,0)),"-")</f>
        <v>-</v>
      </c>
      <c r="T650" s="19" t="s">
        <v>0</v>
      </c>
      <c r="U650" s="19" t="s">
        <v>0</v>
      </c>
      <c r="V650" s="19" t="s">
        <v>0</v>
      </c>
      <c r="W650" s="19" t="s">
        <v>0</v>
      </c>
      <c r="X650" s="19" t="s">
        <v>0</v>
      </c>
      <c r="Y650" s="19" t="s">
        <v>0</v>
      </c>
      <c r="Z650" s="19" t="s">
        <v>0</v>
      </c>
      <c r="AA650" s="19" t="s">
        <v>0</v>
      </c>
    </row>
    <row r="651" spans="1:27" ht="15">
      <c r="A651" s="10">
        <f t="shared" si="19"/>
        <v>46400028</v>
      </c>
      <c r="B651" s="38" t="s">
        <v>1825</v>
      </c>
      <c r="C651" s="4" t="s">
        <v>234</v>
      </c>
      <c r="D651" s="11">
        <f>IFERROR(VLOOKUP(C651,ShipShapeEnum!$E:$F,2,FALSE),"-")</f>
        <v>5</v>
      </c>
      <c r="E651" s="19" t="s">
        <v>1224</v>
      </c>
      <c r="F651" s="4" t="s">
        <v>61</v>
      </c>
      <c r="G651" s="11">
        <f>IFERROR(VLOOKUP(F651,ShipShapeEnum!$B:$C,2,FALSE),"-")</f>
        <v>1</v>
      </c>
      <c r="H651" s="19" t="s">
        <v>0</v>
      </c>
      <c r="I651" s="19" t="s">
        <v>0</v>
      </c>
      <c r="J651" s="19" t="s">
        <v>0</v>
      </c>
      <c r="K651" s="19" t="s">
        <v>0</v>
      </c>
      <c r="L651" s="19" t="s">
        <v>0</v>
      </c>
      <c r="M651" s="4" t="s">
        <v>81</v>
      </c>
      <c r="N651" s="11">
        <f>IFERROR(VLOOKUP(M651,ShipShapeEnum!$H:$I,2,FALSE),"-")</f>
        <v>1</v>
      </c>
      <c r="O651" s="11" t="s">
        <v>2688</v>
      </c>
      <c r="P651" s="30"/>
      <c r="Q651" s="11" t="str">
        <f>IFERROR(INDEX(SailPattern!$A:$A,MATCH(P651,SailPattern!$B:$B,0)),"-")</f>
        <v>-</v>
      </c>
      <c r="R651" s="30"/>
      <c r="S651" s="11" t="str">
        <f>IFERROR(INDEX(SailCrest!$A:$A,MATCH(R651,SailCrest!$B:$B,0)),"-")</f>
        <v>-</v>
      </c>
      <c r="T651" s="19" t="s">
        <v>0</v>
      </c>
      <c r="U651" s="19" t="s">
        <v>0</v>
      </c>
      <c r="V651" s="19" t="s">
        <v>0</v>
      </c>
      <c r="W651" s="19" t="s">
        <v>0</v>
      </c>
      <c r="X651" s="19" t="s">
        <v>0</v>
      </c>
      <c r="Y651" s="19" t="s">
        <v>0</v>
      </c>
      <c r="Z651" s="19" t="s">
        <v>0</v>
      </c>
      <c r="AA651" s="19" t="s">
        <v>0</v>
      </c>
    </row>
    <row r="652" spans="1:27" ht="15">
      <c r="A652" s="10">
        <f t="shared" si="19"/>
        <v>46400029</v>
      </c>
      <c r="B652" s="38" t="s">
        <v>1826</v>
      </c>
      <c r="C652" s="4" t="s">
        <v>234</v>
      </c>
      <c r="D652" s="11">
        <f>IFERROR(VLOOKUP(C652,ShipShapeEnum!$E:$F,2,FALSE),"-")</f>
        <v>5</v>
      </c>
      <c r="E652" s="19" t="s">
        <v>1221</v>
      </c>
      <c r="F652" s="4" t="s">
        <v>61</v>
      </c>
      <c r="G652" s="11">
        <f>IFERROR(VLOOKUP(F652,ShipShapeEnum!$B:$C,2,FALSE),"-")</f>
        <v>1</v>
      </c>
      <c r="H652" s="19" t="s">
        <v>0</v>
      </c>
      <c r="I652" s="19" t="s">
        <v>0</v>
      </c>
      <c r="J652" s="19" t="s">
        <v>0</v>
      </c>
      <c r="K652" s="19" t="s">
        <v>0</v>
      </c>
      <c r="L652" s="19" t="s">
        <v>0</v>
      </c>
      <c r="M652" s="4" t="s">
        <v>81</v>
      </c>
      <c r="N652" s="11">
        <f>IFERROR(VLOOKUP(M652,ShipShapeEnum!$H:$I,2,FALSE),"-")</f>
        <v>1</v>
      </c>
      <c r="O652" s="11" t="s">
        <v>2688</v>
      </c>
      <c r="P652" s="30"/>
      <c r="Q652" s="11" t="str">
        <f>IFERROR(INDEX(SailPattern!$A:$A,MATCH(P652,SailPattern!$B:$B,0)),"-")</f>
        <v>-</v>
      </c>
      <c r="R652" s="30"/>
      <c r="S652" s="11" t="str">
        <f>IFERROR(INDEX(SailCrest!$A:$A,MATCH(R652,SailCrest!$B:$B,0)),"-")</f>
        <v>-</v>
      </c>
      <c r="T652" s="19" t="s">
        <v>0</v>
      </c>
      <c r="U652" s="19" t="s">
        <v>0</v>
      </c>
      <c r="V652" s="19" t="s">
        <v>0</v>
      </c>
      <c r="W652" s="19" t="s">
        <v>0</v>
      </c>
      <c r="X652" s="19" t="s">
        <v>0</v>
      </c>
      <c r="Y652" s="19" t="s">
        <v>0</v>
      </c>
      <c r="Z652" s="19" t="s">
        <v>0</v>
      </c>
      <c r="AA652" s="19" t="s">
        <v>0</v>
      </c>
    </row>
    <row r="653" spans="1:27" ht="15">
      <c r="A653" s="10">
        <f t="shared" si="19"/>
        <v>46400030</v>
      </c>
      <c r="B653" s="38" t="s">
        <v>2642</v>
      </c>
      <c r="C653" s="4" t="s">
        <v>234</v>
      </c>
      <c r="D653" s="11">
        <f>IFERROR(VLOOKUP(C653,ShipShapeEnum!$E:$F,2,FALSE),"-")</f>
        <v>5</v>
      </c>
      <c r="E653" s="19" t="s">
        <v>2643</v>
      </c>
      <c r="F653" s="4" t="s">
        <v>61</v>
      </c>
      <c r="G653" s="11">
        <f>IFERROR(VLOOKUP(F653,ShipShapeEnum!$B:$C,2,FALSE),"-")</f>
        <v>1</v>
      </c>
      <c r="H653" s="19" t="s">
        <v>0</v>
      </c>
      <c r="I653" s="19" t="s">
        <v>0</v>
      </c>
      <c r="J653" s="19" t="s">
        <v>0</v>
      </c>
      <c r="K653" s="19" t="s">
        <v>0</v>
      </c>
      <c r="L653" s="19" t="s">
        <v>0</v>
      </c>
      <c r="M653" s="4" t="s">
        <v>81</v>
      </c>
      <c r="N653" s="11">
        <f>IFERROR(VLOOKUP(M653,ShipShapeEnum!$H:$I,2,FALSE),"-")</f>
        <v>1</v>
      </c>
      <c r="O653" s="11" t="s">
        <v>2688</v>
      </c>
      <c r="P653" s="30"/>
      <c r="Q653" s="11" t="str">
        <f>IFERROR(INDEX(SailPattern!$A:$A,MATCH(P653,SailPattern!$B:$B,0)),"-")</f>
        <v>-</v>
      </c>
      <c r="R653" s="30"/>
      <c r="S653" s="11" t="str">
        <f>IFERROR(INDEX(SailCrest!$A:$A,MATCH(R653,SailCrest!$B:$B,0)),"-")</f>
        <v>-</v>
      </c>
      <c r="T653" s="19" t="s">
        <v>0</v>
      </c>
      <c r="U653" s="19" t="s">
        <v>0</v>
      </c>
      <c r="V653" s="19" t="s">
        <v>0</v>
      </c>
      <c r="W653" s="19" t="s">
        <v>0</v>
      </c>
      <c r="X653" s="19" t="s">
        <v>0</v>
      </c>
      <c r="Y653" s="19" t="s">
        <v>0</v>
      </c>
      <c r="Z653" s="19" t="s">
        <v>0</v>
      </c>
      <c r="AA653" s="19" t="s">
        <v>0</v>
      </c>
    </row>
    <row r="654" spans="1:27" ht="15">
      <c r="A654" s="10">
        <f t="shared" si="19"/>
        <v>46400031</v>
      </c>
      <c r="B654" s="38" t="s">
        <v>2652</v>
      </c>
      <c r="C654" s="4" t="s">
        <v>234</v>
      </c>
      <c r="D654" s="11">
        <f>IFERROR(VLOOKUP(C654,ShipShapeEnum!$E:$F,2,FALSE),"-")</f>
        <v>5</v>
      </c>
      <c r="E654" s="19" t="s">
        <v>2653</v>
      </c>
      <c r="F654" s="4" t="s">
        <v>61</v>
      </c>
      <c r="G654" s="11">
        <f>IFERROR(VLOOKUP(F654,ShipShapeEnum!$B:$C,2,FALSE),"-")</f>
        <v>1</v>
      </c>
      <c r="H654" s="19" t="s">
        <v>0</v>
      </c>
      <c r="I654" s="19" t="s">
        <v>0</v>
      </c>
      <c r="J654" s="19" t="s">
        <v>0</v>
      </c>
      <c r="K654" s="19" t="s">
        <v>0</v>
      </c>
      <c r="L654" s="19" t="s">
        <v>0</v>
      </c>
      <c r="M654" s="4" t="s">
        <v>81</v>
      </c>
      <c r="N654" s="11">
        <f>IFERROR(VLOOKUP(M654,ShipShapeEnum!$H:$I,2,FALSE),"-")</f>
        <v>1</v>
      </c>
      <c r="O654" s="11" t="s">
        <v>2688</v>
      </c>
      <c r="P654" s="30"/>
      <c r="Q654" s="11" t="str">
        <f>IFERROR(INDEX(SailPattern!$A:$A,MATCH(P654,SailPattern!$B:$B,0)),"-")</f>
        <v>-</v>
      </c>
      <c r="R654" s="30"/>
      <c r="S654" s="11" t="str">
        <f>IFERROR(INDEX(SailCrest!$A:$A,MATCH(R654,SailCrest!$B:$B,0)),"-")</f>
        <v>-</v>
      </c>
      <c r="T654" s="19" t="s">
        <v>0</v>
      </c>
      <c r="U654" s="19" t="s">
        <v>0</v>
      </c>
      <c r="V654" s="19" t="s">
        <v>0</v>
      </c>
      <c r="W654" s="19" t="s">
        <v>0</v>
      </c>
      <c r="X654" s="19" t="s">
        <v>0</v>
      </c>
      <c r="Y654" s="19" t="s">
        <v>0</v>
      </c>
      <c r="Z654" s="19" t="s">
        <v>0</v>
      </c>
      <c r="AA654" s="19" t="s">
        <v>0</v>
      </c>
    </row>
    <row r="655" spans="1:27" ht="15">
      <c r="A655" s="10">
        <f t="shared" si="19"/>
        <v>46400032</v>
      </c>
      <c r="B655" s="38" t="s">
        <v>2671</v>
      </c>
      <c r="C655" s="4" t="s">
        <v>234</v>
      </c>
      <c r="D655" s="11">
        <f>IFERROR(VLOOKUP(C655,ShipShapeEnum!$E:$F,2,FALSE),"-")</f>
        <v>5</v>
      </c>
      <c r="E655" s="19" t="s">
        <v>2672</v>
      </c>
      <c r="F655" s="4" t="s">
        <v>61</v>
      </c>
      <c r="G655" s="11">
        <f>IFERROR(VLOOKUP(F655,ShipShapeEnum!$B:$C,2,FALSE),"-")</f>
        <v>1</v>
      </c>
      <c r="H655" s="19" t="s">
        <v>0</v>
      </c>
      <c r="I655" s="19" t="s">
        <v>0</v>
      </c>
      <c r="J655" s="19" t="s">
        <v>0</v>
      </c>
      <c r="K655" s="19" t="s">
        <v>0</v>
      </c>
      <c r="L655" s="19" t="s">
        <v>0</v>
      </c>
      <c r="M655" s="4" t="s">
        <v>81</v>
      </c>
      <c r="N655" s="11">
        <f>IFERROR(VLOOKUP(M655,ShipShapeEnum!$H:$I,2,FALSE),"-")</f>
        <v>1</v>
      </c>
      <c r="O655" s="11" t="s">
        <v>2688</v>
      </c>
      <c r="P655" s="30"/>
      <c r="Q655" s="11" t="str">
        <f>IFERROR(INDEX(SailPattern!$A:$A,MATCH(P655,SailPattern!$B:$B,0)),"-")</f>
        <v>-</v>
      </c>
      <c r="R655" s="30"/>
      <c r="S655" s="11" t="str">
        <f>IFERROR(INDEX(SailCrest!$A:$A,MATCH(R655,SailCrest!$B:$B,0)),"-")</f>
        <v>-</v>
      </c>
      <c r="T655" s="19" t="s">
        <v>0</v>
      </c>
      <c r="U655" s="19" t="s">
        <v>0</v>
      </c>
      <c r="V655" s="19" t="s">
        <v>0</v>
      </c>
      <c r="W655" s="19" t="s">
        <v>0</v>
      </c>
      <c r="X655" s="19" t="s">
        <v>0</v>
      </c>
      <c r="Y655" s="19" t="s">
        <v>0</v>
      </c>
      <c r="Z655" s="19" t="s">
        <v>0</v>
      </c>
      <c r="AA655" s="19" t="s">
        <v>0</v>
      </c>
    </row>
    <row r="656" spans="1:27" ht="15">
      <c r="A656" s="10">
        <f t="shared" si="19"/>
        <v>46400033</v>
      </c>
      <c r="B656" s="38" t="s">
        <v>2685</v>
      </c>
      <c r="C656" s="4" t="s">
        <v>234</v>
      </c>
      <c r="D656" s="11">
        <f>IFERROR(VLOOKUP(C656,ShipShapeEnum!$E:$F,2,FALSE),"-")</f>
        <v>5</v>
      </c>
      <c r="E656" s="210" t="s">
        <v>2686</v>
      </c>
      <c r="F656" s="4" t="s">
        <v>61</v>
      </c>
      <c r="G656" s="11">
        <f>IFERROR(VLOOKUP(F656,ShipShapeEnum!$B:$C,2,FALSE),"-")</f>
        <v>1</v>
      </c>
      <c r="H656" s="19" t="s">
        <v>0</v>
      </c>
      <c r="I656" s="19" t="s">
        <v>0</v>
      </c>
      <c r="J656" s="19" t="s">
        <v>0</v>
      </c>
      <c r="K656" s="19" t="s">
        <v>0</v>
      </c>
      <c r="L656" s="19" t="s">
        <v>0</v>
      </c>
      <c r="M656" s="4" t="s">
        <v>81</v>
      </c>
      <c r="N656" s="11">
        <f>IFERROR(VLOOKUP(M656,ShipShapeEnum!$H:$I,2,FALSE),"-")</f>
        <v>1</v>
      </c>
      <c r="O656" s="11" t="s">
        <v>2688</v>
      </c>
      <c r="P656" s="30"/>
      <c r="Q656" s="11" t="str">
        <f>IFERROR(INDEX(SailPattern!$A:$A,MATCH(P656,SailPattern!$B:$B,0)),"-")</f>
        <v>-</v>
      </c>
      <c r="R656" s="30"/>
      <c r="S656" s="11" t="str">
        <f>IFERROR(INDEX(SailCrest!$A:$A,MATCH(R656,SailCrest!$B:$B,0)),"-")</f>
        <v>-</v>
      </c>
      <c r="T656" s="19" t="s">
        <v>0</v>
      </c>
      <c r="U656" s="19" t="s">
        <v>0</v>
      </c>
      <c r="V656" s="19" t="s">
        <v>0</v>
      </c>
      <c r="W656" s="19" t="s">
        <v>0</v>
      </c>
      <c r="X656" s="19" t="s">
        <v>0</v>
      </c>
      <c r="Y656" s="19" t="s">
        <v>0</v>
      </c>
      <c r="Z656" s="19" t="s">
        <v>0</v>
      </c>
      <c r="AA656" s="19" t="s">
        <v>0</v>
      </c>
    </row>
    <row r="657" spans="1:27" ht="15">
      <c r="A657" s="10">
        <f t="shared" si="19"/>
        <v>46400034</v>
      </c>
      <c r="B657" s="38" t="s">
        <v>2711</v>
      </c>
      <c r="C657" s="4" t="s">
        <v>234</v>
      </c>
      <c r="D657" s="11">
        <f>IFERROR(VLOOKUP(C657,ShipShapeEnum!$E:$F,2,FALSE),"-")</f>
        <v>5</v>
      </c>
      <c r="E657" s="210" t="s">
        <v>2712</v>
      </c>
      <c r="F657" s="4" t="s">
        <v>61</v>
      </c>
      <c r="G657" s="11">
        <f>IFERROR(VLOOKUP(F657,ShipShapeEnum!$B:$C,2,FALSE),"-")</f>
        <v>1</v>
      </c>
      <c r="H657" s="19" t="s">
        <v>0</v>
      </c>
      <c r="I657" s="19" t="s">
        <v>0</v>
      </c>
      <c r="J657" s="19" t="s">
        <v>0</v>
      </c>
      <c r="K657" s="19" t="s">
        <v>0</v>
      </c>
      <c r="L657" s="19" t="s">
        <v>0</v>
      </c>
      <c r="M657" s="4" t="s">
        <v>81</v>
      </c>
      <c r="N657" s="11">
        <f>IFERROR(VLOOKUP(M657,ShipShapeEnum!$H:$I,2,FALSE),"-")</f>
        <v>1</v>
      </c>
      <c r="O657" s="11" t="s">
        <v>0</v>
      </c>
      <c r="P657" s="30"/>
      <c r="Q657" s="11" t="str">
        <f>IFERROR(INDEX(SailPattern!$A:$A,MATCH(P657,SailPattern!$B:$B,0)),"-")</f>
        <v>-</v>
      </c>
      <c r="R657" s="30"/>
      <c r="S657" s="11" t="str">
        <f>IFERROR(INDEX(SailCrest!$A:$A,MATCH(R657,SailCrest!$B:$B,0)),"-")</f>
        <v>-</v>
      </c>
      <c r="T657" s="19" t="s">
        <v>0</v>
      </c>
      <c r="U657" s="19" t="s">
        <v>0</v>
      </c>
      <c r="V657" s="19" t="s">
        <v>0</v>
      </c>
      <c r="W657" s="19" t="s">
        <v>0</v>
      </c>
      <c r="X657" s="19" t="s">
        <v>0</v>
      </c>
      <c r="Y657" s="19" t="s">
        <v>0</v>
      </c>
      <c r="Z657" s="19" t="s">
        <v>0</v>
      </c>
      <c r="AA657" s="19" t="s">
        <v>0</v>
      </c>
    </row>
    <row r="658" spans="1:27" ht="15">
      <c r="A658" s="10">
        <f t="shared" si="19"/>
        <v>46400035</v>
      </c>
      <c r="B658" s="38" t="s">
        <v>2771</v>
      </c>
      <c r="C658" s="4" t="s">
        <v>234</v>
      </c>
      <c r="D658" s="11">
        <f>IFERROR(VLOOKUP(C658,ShipShapeEnum!$E:$F,2,FALSE),"-")</f>
        <v>5</v>
      </c>
      <c r="E658" s="210" t="s">
        <v>2772</v>
      </c>
      <c r="F658" s="4" t="s">
        <v>61</v>
      </c>
      <c r="G658" s="11">
        <f>IFERROR(VLOOKUP(F658,ShipShapeEnum!$B:$C,2,FALSE),"-")</f>
        <v>1</v>
      </c>
      <c r="H658" s="19" t="s">
        <v>0</v>
      </c>
      <c r="I658" s="19" t="s">
        <v>0</v>
      </c>
      <c r="J658" s="19" t="s">
        <v>0</v>
      </c>
      <c r="K658" s="19" t="s">
        <v>0</v>
      </c>
      <c r="L658" s="19" t="s">
        <v>0</v>
      </c>
      <c r="M658" s="4" t="s">
        <v>81</v>
      </c>
      <c r="N658" s="11">
        <f>IFERROR(VLOOKUP(M658,ShipShapeEnum!$H:$I,2,FALSE),"-")</f>
        <v>1</v>
      </c>
      <c r="O658" s="11" t="s">
        <v>0</v>
      </c>
      <c r="P658" s="30"/>
      <c r="Q658" s="11" t="str">
        <f>IFERROR(INDEX(SailPattern!$A:$A,MATCH(P658,SailPattern!$B:$B,0)),"-")</f>
        <v>-</v>
      </c>
      <c r="R658" s="30"/>
      <c r="S658" s="11" t="str">
        <f>IFERROR(INDEX(SailCrest!$A:$A,MATCH(R658,SailCrest!$B:$B,0)),"-")</f>
        <v>-</v>
      </c>
      <c r="T658" s="19" t="s">
        <v>0</v>
      </c>
      <c r="U658" s="19" t="s">
        <v>0</v>
      </c>
      <c r="V658" s="19" t="s">
        <v>0</v>
      </c>
      <c r="W658" s="19" t="s">
        <v>0</v>
      </c>
      <c r="X658" s="19" t="s">
        <v>0</v>
      </c>
      <c r="Y658" s="19" t="s">
        <v>0</v>
      </c>
      <c r="Z658" s="19" t="s">
        <v>0</v>
      </c>
      <c r="AA658" s="19" t="s">
        <v>0</v>
      </c>
    </row>
    <row r="659" spans="1:27" ht="15">
      <c r="A659" s="10">
        <f t="shared" si="19"/>
        <v>46400036</v>
      </c>
      <c r="B659" s="38" t="s">
        <v>2825</v>
      </c>
      <c r="C659" s="4" t="s">
        <v>234</v>
      </c>
      <c r="D659" s="11">
        <f>IFERROR(VLOOKUP(C659,ShipShapeEnum!$E:$F,2,FALSE),"-")</f>
        <v>5</v>
      </c>
      <c r="E659" s="210" t="s">
        <v>2826</v>
      </c>
      <c r="F659" s="4" t="s">
        <v>61</v>
      </c>
      <c r="G659" s="11">
        <f>IFERROR(VLOOKUP(F659,ShipShapeEnum!$B:$C,2,FALSE),"-")</f>
        <v>1</v>
      </c>
      <c r="H659" s="19" t="s">
        <v>0</v>
      </c>
      <c r="I659" s="19" t="s">
        <v>0</v>
      </c>
      <c r="J659" s="19" t="s">
        <v>0</v>
      </c>
      <c r="K659" s="19" t="s">
        <v>0</v>
      </c>
      <c r="L659" s="19" t="s">
        <v>0</v>
      </c>
      <c r="M659" s="4" t="s">
        <v>81</v>
      </c>
      <c r="N659" s="11">
        <f>IFERROR(VLOOKUP(M659,ShipShapeEnum!$H:$I,2,FALSE),"-")</f>
        <v>1</v>
      </c>
      <c r="O659" s="11" t="s">
        <v>0</v>
      </c>
      <c r="P659" s="30"/>
      <c r="Q659" s="11" t="str">
        <f>IFERROR(INDEX(SailPattern!$A:$A,MATCH(P659,SailPattern!$B:$B,0)),"-")</f>
        <v>-</v>
      </c>
      <c r="R659" s="30"/>
      <c r="S659" s="11" t="str">
        <f>IFERROR(INDEX(SailCrest!$A:$A,MATCH(R659,SailCrest!$B:$B,0)),"-")</f>
        <v>-</v>
      </c>
      <c r="T659" s="19" t="s">
        <v>0</v>
      </c>
      <c r="U659" s="19" t="s">
        <v>0</v>
      </c>
      <c r="V659" s="19" t="s">
        <v>0</v>
      </c>
      <c r="W659" s="19" t="s">
        <v>0</v>
      </c>
      <c r="X659" s="19" t="s">
        <v>0</v>
      </c>
      <c r="Y659" s="19" t="s">
        <v>0</v>
      </c>
      <c r="Z659" s="19" t="s">
        <v>0</v>
      </c>
      <c r="AA659" s="19" t="s">
        <v>0</v>
      </c>
    </row>
    <row r="660" spans="1:27" ht="15">
      <c r="A660" s="10">
        <f t="shared" si="19"/>
        <v>46400037</v>
      </c>
      <c r="B660" s="38" t="s">
        <v>2921</v>
      </c>
      <c r="C660" s="4" t="s">
        <v>234</v>
      </c>
      <c r="D660" s="11">
        <f>IFERROR(VLOOKUP(C660,ShipShapeEnum!$E:$F,2,FALSE),"-")</f>
        <v>5</v>
      </c>
      <c r="E660" s="210" t="s">
        <v>2933</v>
      </c>
      <c r="F660" s="4" t="s">
        <v>61</v>
      </c>
      <c r="G660" s="11">
        <f>IFERROR(VLOOKUP(F660,ShipShapeEnum!$B:$C,2,FALSE),"-")</f>
        <v>1</v>
      </c>
      <c r="H660" s="19" t="s">
        <v>0</v>
      </c>
      <c r="I660" s="19" t="s">
        <v>0</v>
      </c>
      <c r="J660" s="19" t="s">
        <v>0</v>
      </c>
      <c r="K660" s="19" t="s">
        <v>0</v>
      </c>
      <c r="L660" s="19" t="s">
        <v>0</v>
      </c>
      <c r="M660" s="4" t="s">
        <v>81</v>
      </c>
      <c r="N660" s="11">
        <f>IFERROR(VLOOKUP(M660,ShipShapeEnum!$H:$I,2,FALSE),"-")</f>
        <v>1</v>
      </c>
      <c r="O660" s="11" t="s">
        <v>0</v>
      </c>
      <c r="P660" s="30"/>
      <c r="Q660" s="11" t="str">
        <f>IFERROR(INDEX(SailPattern!$A:$A,MATCH(P660,SailPattern!$B:$B,0)),"-")</f>
        <v>-</v>
      </c>
      <c r="R660" s="30"/>
      <c r="S660" s="11" t="str">
        <f>IFERROR(INDEX(SailCrest!$A:$A,MATCH(R660,SailCrest!$B:$B,0)),"-")</f>
        <v>-</v>
      </c>
      <c r="T660" s="19" t="s">
        <v>0</v>
      </c>
      <c r="U660" s="19" t="s">
        <v>0</v>
      </c>
      <c r="V660" s="19" t="s">
        <v>0</v>
      </c>
      <c r="W660" s="19" t="s">
        <v>0</v>
      </c>
      <c r="X660" s="19" t="s">
        <v>0</v>
      </c>
      <c r="Y660" s="19" t="s">
        <v>0</v>
      </c>
      <c r="Z660" s="19" t="s">
        <v>0</v>
      </c>
      <c r="AA660" s="19" t="s">
        <v>0</v>
      </c>
    </row>
    <row r="661" spans="1:27" ht="15">
      <c r="A661" s="10">
        <f t="shared" si="19"/>
        <v>46400038</v>
      </c>
      <c r="B661" s="38" t="s">
        <v>2925</v>
      </c>
      <c r="C661" s="4" t="s">
        <v>234</v>
      </c>
      <c r="D661" s="11">
        <f>IFERROR(VLOOKUP(C661,ShipShapeEnum!$E:$F,2,FALSE),"-")</f>
        <v>5</v>
      </c>
      <c r="E661" s="210" t="s">
        <v>2934</v>
      </c>
      <c r="F661" s="4" t="s">
        <v>61</v>
      </c>
      <c r="G661" s="11">
        <f>IFERROR(VLOOKUP(F661,ShipShapeEnum!$B:$C,2,FALSE),"-")</f>
        <v>1</v>
      </c>
      <c r="H661" s="19" t="s">
        <v>0</v>
      </c>
      <c r="I661" s="19" t="s">
        <v>0</v>
      </c>
      <c r="J661" s="19" t="s">
        <v>0</v>
      </c>
      <c r="K661" s="19" t="s">
        <v>0</v>
      </c>
      <c r="L661" s="19" t="s">
        <v>0</v>
      </c>
      <c r="M661" s="4" t="s">
        <v>81</v>
      </c>
      <c r="N661" s="11">
        <f>IFERROR(VLOOKUP(M661,ShipShapeEnum!$H:$I,2,FALSE),"-")</f>
        <v>1</v>
      </c>
      <c r="O661" s="11" t="s">
        <v>0</v>
      </c>
      <c r="P661" s="30"/>
      <c r="Q661" s="11" t="str">
        <f>IFERROR(INDEX(SailPattern!$A:$A,MATCH(P661,SailPattern!$B:$B,0)),"-")</f>
        <v>-</v>
      </c>
      <c r="R661" s="30"/>
      <c r="S661" s="11" t="str">
        <f>IFERROR(INDEX(SailCrest!$A:$A,MATCH(R661,SailCrest!$B:$B,0)),"-")</f>
        <v>-</v>
      </c>
      <c r="T661" s="19" t="s">
        <v>0</v>
      </c>
      <c r="U661" s="19" t="s">
        <v>0</v>
      </c>
      <c r="V661" s="19" t="s">
        <v>0</v>
      </c>
      <c r="W661" s="19" t="s">
        <v>0</v>
      </c>
      <c r="X661" s="19" t="s">
        <v>0</v>
      </c>
      <c r="Y661" s="19" t="s">
        <v>0</v>
      </c>
      <c r="Z661" s="19" t="s">
        <v>0</v>
      </c>
      <c r="AA661" s="19" t="s">
        <v>0</v>
      </c>
    </row>
    <row r="662" spans="1:27" ht="15">
      <c r="A662" s="10">
        <f t="shared" si="19"/>
        <v>46400039</v>
      </c>
      <c r="B662" s="38" t="s">
        <v>2926</v>
      </c>
      <c r="C662" s="4" t="s">
        <v>234</v>
      </c>
      <c r="D662" s="11">
        <f>IFERROR(VLOOKUP(C662,ShipShapeEnum!$E:$F,2,FALSE),"-")</f>
        <v>5</v>
      </c>
      <c r="E662" s="210" t="s">
        <v>2935</v>
      </c>
      <c r="F662" s="4" t="s">
        <v>61</v>
      </c>
      <c r="G662" s="11">
        <f>IFERROR(VLOOKUP(F662,ShipShapeEnum!$B:$C,2,FALSE),"-")</f>
        <v>1</v>
      </c>
      <c r="H662" s="19" t="s">
        <v>0</v>
      </c>
      <c r="I662" s="19" t="s">
        <v>0</v>
      </c>
      <c r="J662" s="19" t="s">
        <v>0</v>
      </c>
      <c r="K662" s="19" t="s">
        <v>0</v>
      </c>
      <c r="L662" s="19" t="s">
        <v>0</v>
      </c>
      <c r="M662" s="4" t="s">
        <v>81</v>
      </c>
      <c r="N662" s="11">
        <f>IFERROR(VLOOKUP(M662,ShipShapeEnum!$H:$I,2,FALSE),"-")</f>
        <v>1</v>
      </c>
      <c r="O662" s="11" t="s">
        <v>0</v>
      </c>
      <c r="P662" s="30"/>
      <c r="Q662" s="11" t="str">
        <f>IFERROR(INDEX(SailPattern!$A:$A,MATCH(P662,SailPattern!$B:$B,0)),"-")</f>
        <v>-</v>
      </c>
      <c r="R662" s="30"/>
      <c r="S662" s="11" t="str">
        <f>IFERROR(INDEX(SailCrest!$A:$A,MATCH(R662,SailCrest!$B:$B,0)),"-")</f>
        <v>-</v>
      </c>
      <c r="T662" s="19" t="s">
        <v>0</v>
      </c>
      <c r="U662" s="19" t="s">
        <v>0</v>
      </c>
      <c r="V662" s="19" t="s">
        <v>0</v>
      </c>
      <c r="W662" s="19" t="s">
        <v>0</v>
      </c>
      <c r="X662" s="19" t="s">
        <v>0</v>
      </c>
      <c r="Y662" s="19" t="s">
        <v>0</v>
      </c>
      <c r="Z662" s="19" t="s">
        <v>0</v>
      </c>
      <c r="AA662" s="19" t="s">
        <v>0</v>
      </c>
    </row>
    <row r="663" spans="1:27" ht="15">
      <c r="A663" s="10">
        <f t="shared" si="19"/>
        <v>46400040</v>
      </c>
      <c r="B663" s="38" t="s">
        <v>3033</v>
      </c>
      <c r="C663" s="4" t="s">
        <v>234</v>
      </c>
      <c r="D663" s="11">
        <f>IFERROR(VLOOKUP(C663,ShipShapeEnum!$E:$F,2,FALSE),"-")</f>
        <v>5</v>
      </c>
      <c r="E663" s="210" t="s">
        <v>3034</v>
      </c>
      <c r="F663" s="4" t="s">
        <v>61</v>
      </c>
      <c r="G663" s="11">
        <f>IFERROR(VLOOKUP(F663,ShipShapeEnum!$B:$C,2,FALSE),"-")</f>
        <v>1</v>
      </c>
      <c r="H663" s="19" t="s">
        <v>0</v>
      </c>
      <c r="I663" s="19" t="s">
        <v>0</v>
      </c>
      <c r="J663" s="19" t="s">
        <v>0</v>
      </c>
      <c r="K663" s="19" t="s">
        <v>0</v>
      </c>
      <c r="L663" s="19" t="s">
        <v>0</v>
      </c>
      <c r="M663" s="4" t="s">
        <v>81</v>
      </c>
      <c r="N663" s="11">
        <f>IFERROR(VLOOKUP(M663,ShipShapeEnum!$H:$I,2,FALSE),"-")</f>
        <v>1</v>
      </c>
      <c r="O663" s="11" t="s">
        <v>0</v>
      </c>
      <c r="P663" s="30"/>
      <c r="Q663" s="11" t="str">
        <f>IFERROR(INDEX(SailPattern!$A:$A,MATCH(P663,SailPattern!$B:$B,0)),"-")</f>
        <v>-</v>
      </c>
      <c r="R663" s="30"/>
      <c r="S663" s="11" t="str">
        <f>IFERROR(INDEX(SailCrest!$A:$A,MATCH(R663,SailCrest!$B:$B,0)),"-")</f>
        <v>-</v>
      </c>
      <c r="T663" s="19" t="s">
        <v>0</v>
      </c>
      <c r="U663" s="19" t="s">
        <v>0</v>
      </c>
      <c r="V663" s="19" t="s">
        <v>0</v>
      </c>
      <c r="W663" s="19" t="s">
        <v>0</v>
      </c>
      <c r="X663" s="19" t="s">
        <v>0</v>
      </c>
      <c r="Y663" s="19" t="s">
        <v>0</v>
      </c>
      <c r="Z663" s="19" t="s">
        <v>0</v>
      </c>
      <c r="AA663" s="19" t="s">
        <v>0</v>
      </c>
    </row>
    <row r="664" spans="1:27" ht="15">
      <c r="A664" s="10">
        <f t="shared" si="19"/>
        <v>46400041</v>
      </c>
      <c r="B664" s="38" t="s">
        <v>3058</v>
      </c>
      <c r="C664" s="4" t="s">
        <v>234</v>
      </c>
      <c r="D664" s="11">
        <f>IFERROR(VLOOKUP(C664,ShipShapeEnum!$E:$F,2,FALSE),"-")</f>
        <v>5</v>
      </c>
      <c r="E664" s="210" t="s">
        <v>3059</v>
      </c>
      <c r="F664" s="4" t="s">
        <v>61</v>
      </c>
      <c r="G664" s="11">
        <f>IFERROR(VLOOKUP(F664,ShipShapeEnum!$B:$C,2,FALSE),"-")</f>
        <v>1</v>
      </c>
      <c r="H664" s="19" t="s">
        <v>0</v>
      </c>
      <c r="I664" s="19" t="s">
        <v>0</v>
      </c>
      <c r="J664" s="19" t="s">
        <v>0</v>
      </c>
      <c r="K664" s="19" t="s">
        <v>0</v>
      </c>
      <c r="L664" s="19" t="s">
        <v>0</v>
      </c>
      <c r="M664" s="4" t="s">
        <v>81</v>
      </c>
      <c r="N664" s="11">
        <f>IFERROR(VLOOKUP(M664,ShipShapeEnum!$H:$I,2,FALSE),"-")</f>
        <v>1</v>
      </c>
      <c r="O664" s="11" t="s">
        <v>0</v>
      </c>
      <c r="P664" s="30"/>
      <c r="Q664" s="11" t="str">
        <f>IFERROR(INDEX(SailPattern!$A:$A,MATCH(P664,SailPattern!$B:$B,0)),"-")</f>
        <v>-</v>
      </c>
      <c r="R664" s="30"/>
      <c r="S664" s="11" t="str">
        <f>IFERROR(INDEX(SailCrest!$A:$A,MATCH(R664,SailCrest!$B:$B,0)),"-")</f>
        <v>-</v>
      </c>
      <c r="T664" s="19" t="s">
        <v>0</v>
      </c>
      <c r="U664" s="19" t="s">
        <v>0</v>
      </c>
      <c r="V664" s="19" t="s">
        <v>0</v>
      </c>
      <c r="W664" s="19" t="s">
        <v>0</v>
      </c>
      <c r="X664" s="19" t="s">
        <v>0</v>
      </c>
      <c r="Y664" s="19" t="s">
        <v>0</v>
      </c>
      <c r="Z664" s="19" t="s">
        <v>0</v>
      </c>
      <c r="AA664" s="19" t="s">
        <v>0</v>
      </c>
    </row>
    <row r="665" spans="1:27" ht="15">
      <c r="A665" s="10">
        <f t="shared" si="19"/>
        <v>46400042</v>
      </c>
      <c r="B665" s="38" t="s">
        <v>3067</v>
      </c>
      <c r="C665" s="4" t="s">
        <v>234</v>
      </c>
      <c r="D665" s="11">
        <f>IFERROR(VLOOKUP(C665,ShipShapeEnum!$E:$F,2,FALSE),"-")</f>
        <v>5</v>
      </c>
      <c r="E665" s="210" t="s">
        <v>3066</v>
      </c>
      <c r="F665" s="4" t="s">
        <v>61</v>
      </c>
      <c r="G665" s="11">
        <f>IFERROR(VLOOKUP(F665,ShipShapeEnum!$B:$C,2,FALSE),"-")</f>
        <v>1</v>
      </c>
      <c r="H665" s="19" t="s">
        <v>0</v>
      </c>
      <c r="I665" s="19" t="s">
        <v>0</v>
      </c>
      <c r="J665" s="19" t="s">
        <v>0</v>
      </c>
      <c r="K665" s="19" t="s">
        <v>0</v>
      </c>
      <c r="L665" s="19" t="s">
        <v>0</v>
      </c>
      <c r="M665" s="4" t="s">
        <v>81</v>
      </c>
      <c r="N665" s="11">
        <f>IFERROR(VLOOKUP(M665,ShipShapeEnum!$H:$I,2,FALSE),"-")</f>
        <v>1</v>
      </c>
      <c r="O665" s="11" t="s">
        <v>0</v>
      </c>
      <c r="P665" s="30"/>
      <c r="Q665" s="11" t="str">
        <f>IFERROR(INDEX(SailPattern!$A:$A,MATCH(P665,SailPattern!$B:$B,0)),"-")</f>
        <v>-</v>
      </c>
      <c r="R665" s="30"/>
      <c r="S665" s="11" t="str">
        <f>IFERROR(INDEX(SailCrest!$A:$A,MATCH(R665,SailCrest!$B:$B,0)),"-")</f>
        <v>-</v>
      </c>
      <c r="T665" s="19" t="s">
        <v>0</v>
      </c>
      <c r="U665" s="19" t="s">
        <v>0</v>
      </c>
      <c r="V665" s="19" t="s">
        <v>0</v>
      </c>
      <c r="W665" s="19" t="s">
        <v>0</v>
      </c>
      <c r="X665" s="19" t="s">
        <v>0</v>
      </c>
      <c r="Y665" s="19" t="s">
        <v>0</v>
      </c>
      <c r="Z665" s="19" t="s">
        <v>0</v>
      </c>
      <c r="AA665" s="19" t="s">
        <v>0</v>
      </c>
    </row>
    <row r="666" spans="1:27" ht="15">
      <c r="A666" s="10">
        <f t="shared" si="19"/>
        <v>46400043</v>
      </c>
      <c r="B666" s="38" t="s">
        <v>3102</v>
      </c>
      <c r="C666" s="4" t="s">
        <v>234</v>
      </c>
      <c r="D666" s="11">
        <f>IFERROR(VLOOKUP(C666,ShipShapeEnum!$E:$F,2,FALSE),"-")</f>
        <v>5</v>
      </c>
      <c r="E666" s="210" t="s">
        <v>3103</v>
      </c>
      <c r="F666" s="4" t="s">
        <v>61</v>
      </c>
      <c r="G666" s="11">
        <f>IFERROR(VLOOKUP(F666,ShipShapeEnum!$B:$C,2,FALSE),"-")</f>
        <v>1</v>
      </c>
      <c r="H666" s="19" t="s">
        <v>0</v>
      </c>
      <c r="I666" s="19" t="s">
        <v>0</v>
      </c>
      <c r="J666" s="19" t="s">
        <v>0</v>
      </c>
      <c r="K666" s="19" t="s">
        <v>0</v>
      </c>
      <c r="L666" s="19" t="s">
        <v>0</v>
      </c>
      <c r="M666" s="4" t="s">
        <v>81</v>
      </c>
      <c r="N666" s="11">
        <f>IFERROR(VLOOKUP(M666,ShipShapeEnum!$H:$I,2,FALSE),"-")</f>
        <v>1</v>
      </c>
      <c r="O666" s="11" t="s">
        <v>0</v>
      </c>
      <c r="P666" s="30"/>
      <c r="Q666" s="11" t="str">
        <f>IFERROR(INDEX(SailPattern!$A:$A,MATCH(P666,SailPattern!$B:$B,0)),"-")</f>
        <v>-</v>
      </c>
      <c r="R666" s="30"/>
      <c r="S666" s="11" t="str">
        <f>IFERROR(INDEX(SailCrest!$A:$A,MATCH(R666,SailCrest!$B:$B,0)),"-")</f>
        <v>-</v>
      </c>
      <c r="T666" s="19" t="s">
        <v>0</v>
      </c>
      <c r="U666" s="19" t="s">
        <v>0</v>
      </c>
      <c r="V666" s="19" t="s">
        <v>0</v>
      </c>
      <c r="W666" s="19" t="s">
        <v>0</v>
      </c>
      <c r="X666" s="19" t="s">
        <v>0</v>
      </c>
      <c r="Y666" s="19" t="s">
        <v>0</v>
      </c>
      <c r="Z666" s="19" t="s">
        <v>0</v>
      </c>
      <c r="AA666" s="19" t="s">
        <v>0</v>
      </c>
    </row>
    <row r="667" spans="1:27" ht="15">
      <c r="A667" s="10">
        <f t="shared" si="19"/>
        <v>46400044</v>
      </c>
      <c r="B667" s="38" t="s">
        <v>3105</v>
      </c>
      <c r="C667" s="4" t="s">
        <v>234</v>
      </c>
      <c r="D667" s="11">
        <f>IFERROR(VLOOKUP(C667,ShipShapeEnum!$E:$F,2,FALSE),"-")</f>
        <v>5</v>
      </c>
      <c r="E667" s="210" t="s">
        <v>3104</v>
      </c>
      <c r="F667" s="4" t="s">
        <v>61</v>
      </c>
      <c r="G667" s="11">
        <f>IFERROR(VLOOKUP(F667,ShipShapeEnum!$B:$C,2,FALSE),"-")</f>
        <v>1</v>
      </c>
      <c r="H667" s="19" t="s">
        <v>0</v>
      </c>
      <c r="I667" s="19" t="s">
        <v>0</v>
      </c>
      <c r="J667" s="19" t="s">
        <v>0</v>
      </c>
      <c r="K667" s="19" t="s">
        <v>0</v>
      </c>
      <c r="L667" s="19" t="s">
        <v>0</v>
      </c>
      <c r="M667" s="4" t="s">
        <v>81</v>
      </c>
      <c r="N667" s="11">
        <f>IFERROR(VLOOKUP(M667,ShipShapeEnum!$H:$I,2,FALSE),"-")</f>
        <v>1</v>
      </c>
      <c r="O667" s="11" t="s">
        <v>0</v>
      </c>
      <c r="P667" s="30"/>
      <c r="Q667" s="11" t="str">
        <f>IFERROR(INDEX(SailPattern!$A:$A,MATCH(P667,SailPattern!$B:$B,0)),"-")</f>
        <v>-</v>
      </c>
      <c r="R667" s="30"/>
      <c r="S667" s="11" t="str">
        <f>IFERROR(INDEX(SailCrest!$A:$A,MATCH(R667,SailCrest!$B:$B,0)),"-")</f>
        <v>-</v>
      </c>
      <c r="T667" s="19" t="s">
        <v>0</v>
      </c>
      <c r="U667" s="19" t="s">
        <v>0</v>
      </c>
      <c r="V667" s="19" t="s">
        <v>0</v>
      </c>
      <c r="W667" s="19" t="s">
        <v>0</v>
      </c>
      <c r="X667" s="19" t="s">
        <v>0</v>
      </c>
      <c r="Y667" s="19" t="s">
        <v>0</v>
      </c>
      <c r="Z667" s="19" t="s">
        <v>0</v>
      </c>
      <c r="AA667" s="19" t="s">
        <v>0</v>
      </c>
    </row>
    <row r="668" spans="1:27" ht="15">
      <c r="A668" s="10">
        <f t="shared" si="19"/>
        <v>46400045</v>
      </c>
      <c r="B668" s="38" t="s">
        <v>3182</v>
      </c>
      <c r="C668" s="4" t="s">
        <v>234</v>
      </c>
      <c r="D668" s="11">
        <f>IFERROR(VLOOKUP(C668,ShipShapeEnum!$E:$F,2,FALSE),"-")</f>
        <v>5</v>
      </c>
      <c r="E668" s="210" t="s">
        <v>3183</v>
      </c>
      <c r="F668" s="4" t="s">
        <v>61</v>
      </c>
      <c r="G668" s="11">
        <f>IFERROR(VLOOKUP(F668,ShipShapeEnum!$B:$C,2,FALSE),"-")</f>
        <v>1</v>
      </c>
      <c r="H668" s="19" t="s">
        <v>0</v>
      </c>
      <c r="I668" s="19" t="s">
        <v>0</v>
      </c>
      <c r="J668" s="19" t="s">
        <v>0</v>
      </c>
      <c r="K668" s="19" t="s">
        <v>0</v>
      </c>
      <c r="L668" s="19" t="s">
        <v>0</v>
      </c>
      <c r="M668" s="4" t="s">
        <v>81</v>
      </c>
      <c r="N668" s="11">
        <f>IFERROR(VLOOKUP(M668,ShipShapeEnum!$H:$I,2,FALSE),"-")</f>
        <v>1</v>
      </c>
      <c r="O668" s="11" t="s">
        <v>0</v>
      </c>
      <c r="P668" s="30"/>
      <c r="Q668" s="11" t="str">
        <f>IFERROR(INDEX(SailPattern!$A:$A,MATCH(P668,SailPattern!$B:$B,0)),"-")</f>
        <v>-</v>
      </c>
      <c r="R668" s="30"/>
      <c r="S668" s="11" t="str">
        <f>IFERROR(INDEX(SailCrest!$A:$A,MATCH(R668,SailCrest!$B:$B,0)),"-")</f>
        <v>-</v>
      </c>
      <c r="T668" s="19" t="s">
        <v>0</v>
      </c>
      <c r="U668" s="19" t="s">
        <v>0</v>
      </c>
      <c r="V668" s="19" t="s">
        <v>0</v>
      </c>
      <c r="W668" s="19" t="s">
        <v>0</v>
      </c>
      <c r="X668" s="19" t="s">
        <v>0</v>
      </c>
      <c r="Y668" s="19" t="s">
        <v>0</v>
      </c>
      <c r="Z668" s="19" t="s">
        <v>0</v>
      </c>
      <c r="AA668" s="19" t="s">
        <v>0</v>
      </c>
    </row>
    <row r="669" spans="1:27" ht="15">
      <c r="A669" s="10">
        <f t="shared" si="19"/>
        <v>46400046</v>
      </c>
      <c r="B669" s="38" t="s">
        <v>3248</v>
      </c>
      <c r="C669" s="4" t="s">
        <v>234</v>
      </c>
      <c r="D669" s="11">
        <f>IFERROR(VLOOKUP(C669,ShipShapeEnum!$E:$F,2,FALSE),"-")</f>
        <v>5</v>
      </c>
      <c r="E669" s="210" t="s">
        <v>3249</v>
      </c>
      <c r="F669" s="4" t="s">
        <v>61</v>
      </c>
      <c r="G669" s="11">
        <f>IFERROR(VLOOKUP(F669,ShipShapeEnum!$B:$C,2,FALSE),"-")</f>
        <v>1</v>
      </c>
      <c r="H669" s="19" t="s">
        <v>0</v>
      </c>
      <c r="I669" s="19" t="s">
        <v>0</v>
      </c>
      <c r="J669" s="19" t="s">
        <v>0</v>
      </c>
      <c r="K669" s="19" t="s">
        <v>0</v>
      </c>
      <c r="L669" s="19" t="s">
        <v>0</v>
      </c>
      <c r="M669" s="4" t="s">
        <v>81</v>
      </c>
      <c r="N669" s="11">
        <f>IFERROR(VLOOKUP(M669,ShipShapeEnum!$H:$I,2,FALSE),"-")</f>
        <v>1</v>
      </c>
      <c r="O669" s="11" t="s">
        <v>0</v>
      </c>
      <c r="P669" s="30"/>
      <c r="Q669" s="11" t="str">
        <f>IFERROR(INDEX(SailPattern!$A:$A,MATCH(P669,SailPattern!$B:$B,0)),"-")</f>
        <v>-</v>
      </c>
      <c r="R669" s="30"/>
      <c r="S669" s="11" t="str">
        <f>IFERROR(INDEX(SailCrest!$A:$A,MATCH(R669,SailCrest!$B:$B,0)),"-")</f>
        <v>-</v>
      </c>
      <c r="T669" s="19" t="s">
        <v>0</v>
      </c>
      <c r="U669" s="19" t="s">
        <v>0</v>
      </c>
      <c r="V669" s="19" t="s">
        <v>0</v>
      </c>
      <c r="W669" s="19" t="s">
        <v>0</v>
      </c>
      <c r="X669" s="19" t="s">
        <v>0</v>
      </c>
      <c r="Y669" s="19" t="s">
        <v>0</v>
      </c>
      <c r="Z669" s="19" t="s">
        <v>0</v>
      </c>
      <c r="AA669" s="19" t="s">
        <v>0</v>
      </c>
    </row>
    <row r="670" spans="1:27" ht="15">
      <c r="A670" s="10">
        <f t="shared" si="19"/>
        <v>46400047</v>
      </c>
      <c r="B670" s="38" t="s">
        <v>3258</v>
      </c>
      <c r="C670" s="4" t="s">
        <v>234</v>
      </c>
      <c r="D670" s="11">
        <f>IFERROR(VLOOKUP(C670,ShipShapeEnum!$E:$F,2,FALSE),"-")</f>
        <v>5</v>
      </c>
      <c r="E670" s="210" t="s">
        <v>3260</v>
      </c>
      <c r="F670" s="4" t="s">
        <v>61</v>
      </c>
      <c r="G670" s="11">
        <f>IFERROR(VLOOKUP(F670,ShipShapeEnum!$B:$C,2,FALSE),"-")</f>
        <v>1</v>
      </c>
      <c r="H670" s="19" t="s">
        <v>0</v>
      </c>
      <c r="I670" s="19" t="s">
        <v>0</v>
      </c>
      <c r="J670" s="19" t="s">
        <v>0</v>
      </c>
      <c r="K670" s="19" t="s">
        <v>0</v>
      </c>
      <c r="L670" s="19" t="s">
        <v>0</v>
      </c>
      <c r="M670" s="4" t="s">
        <v>81</v>
      </c>
      <c r="N670" s="11">
        <f>IFERROR(VLOOKUP(M670,ShipShapeEnum!$H:$I,2,FALSE),"-")</f>
        <v>1</v>
      </c>
      <c r="O670" s="11" t="s">
        <v>0</v>
      </c>
      <c r="P670" s="30"/>
      <c r="Q670" s="11" t="str">
        <f>IFERROR(INDEX(SailPattern!$A:$A,MATCH(P670,SailPattern!$B:$B,0)),"-")</f>
        <v>-</v>
      </c>
      <c r="R670" s="30"/>
      <c r="S670" s="11" t="str">
        <f>IFERROR(INDEX(SailCrest!$A:$A,MATCH(R670,SailCrest!$B:$B,0)),"-")</f>
        <v>-</v>
      </c>
      <c r="T670" s="19" t="s">
        <v>0</v>
      </c>
      <c r="U670" s="19" t="s">
        <v>0</v>
      </c>
      <c r="V670" s="19" t="s">
        <v>0</v>
      </c>
      <c r="W670" s="19" t="s">
        <v>0</v>
      </c>
      <c r="X670" s="19" t="s">
        <v>0</v>
      </c>
      <c r="Y670" s="19" t="s">
        <v>0</v>
      </c>
      <c r="Z670" s="19" t="s">
        <v>0</v>
      </c>
      <c r="AA670" s="19" t="s">
        <v>0</v>
      </c>
    </row>
    <row r="671" spans="1:27" ht="15">
      <c r="A671" s="10">
        <f t="shared" si="19"/>
        <v>46400048</v>
      </c>
      <c r="B671" s="38" t="s">
        <v>3269</v>
      </c>
      <c r="C671" s="4" t="s">
        <v>234</v>
      </c>
      <c r="D671" s="11">
        <f>IFERROR(VLOOKUP(C671,ShipShapeEnum!$E:$F,2,FALSE),"-")</f>
        <v>5</v>
      </c>
      <c r="E671" s="210" t="s">
        <v>3268</v>
      </c>
      <c r="F671" s="4" t="s">
        <v>61</v>
      </c>
      <c r="G671" s="11">
        <f>IFERROR(VLOOKUP(F671,ShipShapeEnum!$B:$C,2,FALSE),"-")</f>
        <v>1</v>
      </c>
      <c r="H671" s="19" t="s">
        <v>0</v>
      </c>
      <c r="I671" s="19" t="s">
        <v>0</v>
      </c>
      <c r="J671" s="19" t="s">
        <v>0</v>
      </c>
      <c r="K671" s="19" t="s">
        <v>0</v>
      </c>
      <c r="L671" s="19" t="s">
        <v>0</v>
      </c>
      <c r="M671" s="4" t="s">
        <v>81</v>
      </c>
      <c r="N671" s="11">
        <f>IFERROR(VLOOKUP(M671,ShipShapeEnum!$H:$I,2,FALSE),"-")</f>
        <v>1</v>
      </c>
      <c r="O671" s="11" t="s">
        <v>0</v>
      </c>
      <c r="P671" s="30"/>
      <c r="Q671" s="11" t="str">
        <f>IFERROR(INDEX(SailPattern!$A:$A,MATCH(P671,SailPattern!$B:$B,0)),"-")</f>
        <v>-</v>
      </c>
      <c r="R671" s="30"/>
      <c r="S671" s="11" t="str">
        <f>IFERROR(INDEX(SailCrest!$A:$A,MATCH(R671,SailCrest!$B:$B,0)),"-")</f>
        <v>-</v>
      </c>
      <c r="T671" s="19" t="s">
        <v>0</v>
      </c>
      <c r="U671" s="19" t="s">
        <v>0</v>
      </c>
      <c r="V671" s="19" t="s">
        <v>0</v>
      </c>
      <c r="W671" s="19" t="s">
        <v>0</v>
      </c>
      <c r="X671" s="19" t="s">
        <v>0</v>
      </c>
      <c r="Y671" s="19" t="s">
        <v>0</v>
      </c>
      <c r="Z671" s="19" t="s">
        <v>0</v>
      </c>
      <c r="AA671" s="19" t="s">
        <v>0</v>
      </c>
    </row>
    <row r="672" spans="1:27" ht="15">
      <c r="A672" s="10">
        <f t="shared" si="19"/>
        <v>46400049</v>
      </c>
      <c r="B672" s="38" t="s">
        <v>3319</v>
      </c>
      <c r="C672" s="4" t="s">
        <v>234</v>
      </c>
      <c r="D672" s="11">
        <f>IFERROR(VLOOKUP(C672,ShipShapeEnum!$E:$F,2,FALSE),"-")</f>
        <v>5</v>
      </c>
      <c r="E672" s="210" t="s">
        <v>3320</v>
      </c>
      <c r="F672" s="4" t="s">
        <v>61</v>
      </c>
      <c r="G672" s="11">
        <f>IFERROR(VLOOKUP(F672,ShipShapeEnum!$B:$C,2,FALSE),"-")</f>
        <v>1</v>
      </c>
      <c r="H672" s="19" t="s">
        <v>0</v>
      </c>
      <c r="I672" s="19" t="s">
        <v>0</v>
      </c>
      <c r="J672" s="19" t="s">
        <v>0</v>
      </c>
      <c r="K672" s="19" t="s">
        <v>0</v>
      </c>
      <c r="L672" s="19" t="s">
        <v>0</v>
      </c>
      <c r="M672" s="4" t="s">
        <v>81</v>
      </c>
      <c r="N672" s="11">
        <f>IFERROR(VLOOKUP(M672,ShipShapeEnum!$H:$I,2,FALSE),"-")</f>
        <v>1</v>
      </c>
      <c r="O672" s="11" t="s">
        <v>0</v>
      </c>
      <c r="P672" s="30"/>
      <c r="Q672" s="11" t="str">
        <f>IFERROR(INDEX(SailPattern!$A:$A,MATCH(P672,SailPattern!$B:$B,0)),"-")</f>
        <v>-</v>
      </c>
      <c r="R672" s="30"/>
      <c r="S672" s="11" t="str">
        <f>IFERROR(INDEX(SailCrest!$A:$A,MATCH(R672,SailCrest!$B:$B,0)),"-")</f>
        <v>-</v>
      </c>
      <c r="T672" s="19" t="s">
        <v>0</v>
      </c>
      <c r="U672" s="19" t="s">
        <v>0</v>
      </c>
      <c r="V672" s="19" t="s">
        <v>0</v>
      </c>
      <c r="W672" s="19" t="s">
        <v>0</v>
      </c>
      <c r="X672" s="19" t="s">
        <v>0</v>
      </c>
      <c r="Y672" s="19" t="s">
        <v>0</v>
      </c>
      <c r="Z672" s="19" t="s">
        <v>0</v>
      </c>
      <c r="AA672" s="19" t="s">
        <v>0</v>
      </c>
    </row>
    <row r="673" spans="1:27" ht="15">
      <c r="A673" s="10">
        <f t="shared" si="19"/>
        <v>46400050</v>
      </c>
      <c r="B673" s="38" t="s">
        <v>3346</v>
      </c>
      <c r="C673" s="4" t="s">
        <v>234</v>
      </c>
      <c r="D673" s="11">
        <f>IFERROR(VLOOKUP(C673,ShipShapeEnum!$E:$F,2,FALSE),"-")</f>
        <v>5</v>
      </c>
      <c r="E673" s="210" t="s">
        <v>3345</v>
      </c>
      <c r="F673" s="4" t="s">
        <v>61</v>
      </c>
      <c r="G673" s="11">
        <f>IFERROR(VLOOKUP(F673,ShipShapeEnum!$B:$C,2,FALSE),"-")</f>
        <v>1</v>
      </c>
      <c r="H673" s="19" t="s">
        <v>0</v>
      </c>
      <c r="I673" s="19" t="s">
        <v>0</v>
      </c>
      <c r="J673" s="19" t="s">
        <v>0</v>
      </c>
      <c r="K673" s="19" t="s">
        <v>0</v>
      </c>
      <c r="L673" s="19" t="s">
        <v>0</v>
      </c>
      <c r="M673" s="4" t="s">
        <v>81</v>
      </c>
      <c r="N673" s="11">
        <f>IFERROR(VLOOKUP(M673,ShipShapeEnum!$H:$I,2,FALSE),"-")</f>
        <v>1</v>
      </c>
      <c r="O673" s="11" t="s">
        <v>0</v>
      </c>
      <c r="P673" s="30"/>
      <c r="Q673" s="11" t="str">
        <f>IFERROR(INDEX(SailPattern!$A:$A,MATCH(P673,SailPattern!$B:$B,0)),"-")</f>
        <v>-</v>
      </c>
      <c r="R673" s="30"/>
      <c r="S673" s="11" t="str">
        <f>IFERROR(INDEX(SailCrest!$A:$A,MATCH(R673,SailCrest!$B:$B,0)),"-")</f>
        <v>-</v>
      </c>
      <c r="T673" s="19" t="s">
        <v>0</v>
      </c>
      <c r="U673" s="19" t="s">
        <v>0</v>
      </c>
      <c r="V673" s="19" t="s">
        <v>0</v>
      </c>
      <c r="W673" s="19" t="s">
        <v>0</v>
      </c>
      <c r="X673" s="19" t="s">
        <v>0</v>
      </c>
      <c r="Y673" s="19" t="s">
        <v>0</v>
      </c>
      <c r="Z673" s="19" t="s">
        <v>0</v>
      </c>
      <c r="AA673" s="19" t="s">
        <v>0</v>
      </c>
    </row>
    <row r="674" spans="1:27" ht="15">
      <c r="A674" s="10">
        <f t="shared" si="19"/>
        <v>46400051</v>
      </c>
      <c r="B674" s="38" t="s">
        <v>3398</v>
      </c>
      <c r="C674" s="4" t="s">
        <v>234</v>
      </c>
      <c r="D674" s="11">
        <f>IFERROR(VLOOKUP(C674,ShipShapeEnum!$E:$F,2,FALSE),"-")</f>
        <v>5</v>
      </c>
      <c r="E674" s="210" t="s">
        <v>3399</v>
      </c>
      <c r="F674" s="4" t="s">
        <v>61</v>
      </c>
      <c r="G674" s="11">
        <f>IFERROR(VLOOKUP(F674,ShipShapeEnum!$B:$C,2,FALSE),"-")</f>
        <v>1</v>
      </c>
      <c r="H674" s="19" t="s">
        <v>0</v>
      </c>
      <c r="I674" s="19" t="s">
        <v>0</v>
      </c>
      <c r="J674" s="19" t="s">
        <v>0</v>
      </c>
      <c r="K674" s="19" t="s">
        <v>0</v>
      </c>
      <c r="L674" s="19" t="s">
        <v>0</v>
      </c>
      <c r="M674" s="4" t="s">
        <v>81</v>
      </c>
      <c r="N674" s="11">
        <f>IFERROR(VLOOKUP(M674,ShipShapeEnum!$H:$I,2,FALSE),"-")</f>
        <v>1</v>
      </c>
      <c r="O674" s="11" t="s">
        <v>0</v>
      </c>
      <c r="P674" s="30"/>
      <c r="Q674" s="11" t="str">
        <f>IFERROR(INDEX(SailPattern!$A:$A,MATCH(P674,SailPattern!$B:$B,0)),"-")</f>
        <v>-</v>
      </c>
      <c r="R674" s="30"/>
      <c r="S674" s="11" t="str">
        <f>IFERROR(INDEX(SailCrest!$A:$A,MATCH(R674,SailCrest!$B:$B,0)),"-")</f>
        <v>-</v>
      </c>
      <c r="T674" s="19" t="s">
        <v>0</v>
      </c>
      <c r="U674" s="19" t="s">
        <v>0</v>
      </c>
      <c r="V674" s="19" t="s">
        <v>0</v>
      </c>
      <c r="W674" s="19" t="s">
        <v>0</v>
      </c>
      <c r="X674" s="19" t="s">
        <v>0</v>
      </c>
      <c r="Y674" s="19" t="s">
        <v>0</v>
      </c>
      <c r="Z674" s="19" t="s">
        <v>0</v>
      </c>
      <c r="AA674" s="19" t="s">
        <v>0</v>
      </c>
    </row>
    <row r="675" spans="1:27" ht="15">
      <c r="A675" s="10">
        <f t="shared" si="19"/>
        <v>46400052</v>
      </c>
      <c r="B675" s="38" t="s">
        <v>3557</v>
      </c>
      <c r="C675" s="4" t="s">
        <v>234</v>
      </c>
      <c r="D675" s="11">
        <f>IFERROR(VLOOKUP(C675,ShipShapeEnum!$E:$F,2,FALSE),"-")</f>
        <v>5</v>
      </c>
      <c r="E675" s="210" t="s">
        <v>3558</v>
      </c>
      <c r="F675" s="4" t="s">
        <v>61</v>
      </c>
      <c r="G675" s="11">
        <f>IFERROR(VLOOKUP(F675,ShipShapeEnum!$B:$C,2,FALSE),"-")</f>
        <v>1</v>
      </c>
      <c r="H675" s="19" t="s">
        <v>0</v>
      </c>
      <c r="I675" s="19" t="s">
        <v>0</v>
      </c>
      <c r="J675" s="19" t="s">
        <v>0</v>
      </c>
      <c r="K675" s="19" t="s">
        <v>0</v>
      </c>
      <c r="L675" s="19" t="s">
        <v>0</v>
      </c>
      <c r="M675" s="4" t="s">
        <v>81</v>
      </c>
      <c r="N675" s="11">
        <f>IFERROR(VLOOKUP(M675,ShipShapeEnum!$H:$I,2,FALSE),"-")</f>
        <v>1</v>
      </c>
      <c r="O675" s="11" t="s">
        <v>0</v>
      </c>
      <c r="P675" s="30"/>
      <c r="Q675" s="11" t="str">
        <f>IFERROR(INDEX(SailPattern!$A:$A,MATCH(P675,SailPattern!$B:$B,0)),"-")</f>
        <v>-</v>
      </c>
      <c r="R675" s="30"/>
      <c r="S675" s="11" t="str">
        <f>IFERROR(INDEX(SailCrest!$A:$A,MATCH(R675,SailCrest!$B:$B,0)),"-")</f>
        <v>-</v>
      </c>
      <c r="T675" s="19" t="s">
        <v>0</v>
      </c>
      <c r="U675" s="19" t="s">
        <v>0</v>
      </c>
      <c r="V675" s="19" t="s">
        <v>0</v>
      </c>
      <c r="W675" s="19" t="s">
        <v>0</v>
      </c>
      <c r="X675" s="19" t="s">
        <v>0</v>
      </c>
      <c r="Y675" s="19" t="s">
        <v>0</v>
      </c>
      <c r="Z675" s="19" t="s">
        <v>0</v>
      </c>
      <c r="AA675" s="19" t="s">
        <v>0</v>
      </c>
    </row>
    <row r="676" spans="1:27" ht="15">
      <c r="A676" s="10">
        <f t="shared" si="19"/>
        <v>46400053</v>
      </c>
      <c r="B676" s="38" t="s">
        <v>3667</v>
      </c>
      <c r="C676" s="4" t="s">
        <v>234</v>
      </c>
      <c r="D676" s="11">
        <f>IFERROR(VLOOKUP(C676,ShipShapeEnum!$E:$F,2,FALSE),"-")</f>
        <v>5</v>
      </c>
      <c r="E676" s="210" t="s">
        <v>3666</v>
      </c>
      <c r="F676" s="4" t="s">
        <v>61</v>
      </c>
      <c r="G676" s="11">
        <f>IFERROR(VLOOKUP(F676,ShipShapeEnum!$B:$C,2,FALSE),"-")</f>
        <v>1</v>
      </c>
      <c r="H676" s="19" t="s">
        <v>0</v>
      </c>
      <c r="I676" s="19" t="s">
        <v>0</v>
      </c>
      <c r="J676" s="19" t="s">
        <v>0</v>
      </c>
      <c r="K676" s="19" t="s">
        <v>0</v>
      </c>
      <c r="L676" s="19" t="s">
        <v>0</v>
      </c>
      <c r="M676" s="4" t="s">
        <v>81</v>
      </c>
      <c r="N676" s="11">
        <f>IFERROR(VLOOKUP(M676,ShipShapeEnum!$H:$I,2,FALSE),"-")</f>
        <v>1</v>
      </c>
      <c r="O676" s="11" t="s">
        <v>0</v>
      </c>
      <c r="P676" s="30"/>
      <c r="Q676" s="11" t="str">
        <f>IFERROR(INDEX(SailPattern!$A:$A,MATCH(P676,SailPattern!$B:$B,0)),"-")</f>
        <v>-</v>
      </c>
      <c r="R676" s="30"/>
      <c r="S676" s="11" t="str">
        <f>IFERROR(INDEX(SailCrest!$A:$A,MATCH(R676,SailCrest!$B:$B,0)),"-")</f>
        <v>-</v>
      </c>
      <c r="T676" s="19" t="s">
        <v>0</v>
      </c>
      <c r="U676" s="19" t="s">
        <v>0</v>
      </c>
      <c r="V676" s="19" t="s">
        <v>0</v>
      </c>
      <c r="W676" s="19" t="s">
        <v>0</v>
      </c>
      <c r="X676" s="19" t="s">
        <v>0</v>
      </c>
      <c r="Y676" s="19" t="s">
        <v>0</v>
      </c>
      <c r="Z676" s="19" t="s">
        <v>0</v>
      </c>
      <c r="AA676" s="19" t="s">
        <v>0</v>
      </c>
    </row>
    <row r="677" spans="1:27" ht="15">
      <c r="A677" s="10">
        <f t="shared" si="19"/>
        <v>46400054</v>
      </c>
      <c r="B677" s="38" t="s">
        <v>3709</v>
      </c>
      <c r="C677" s="4" t="s">
        <v>234</v>
      </c>
      <c r="D677" s="11">
        <f>IFERROR(VLOOKUP(C677,ShipShapeEnum!$E:$F,2,FALSE),"-")</f>
        <v>5</v>
      </c>
      <c r="E677" s="210" t="s">
        <v>3708</v>
      </c>
      <c r="F677" s="4" t="s">
        <v>61</v>
      </c>
      <c r="G677" s="11">
        <f>IFERROR(VLOOKUP(F677,ShipShapeEnum!$B:$C,2,FALSE),"-")</f>
        <v>1</v>
      </c>
      <c r="H677" s="19" t="s">
        <v>0</v>
      </c>
      <c r="I677" s="19" t="s">
        <v>0</v>
      </c>
      <c r="J677" s="19" t="s">
        <v>0</v>
      </c>
      <c r="K677" s="19" t="s">
        <v>0</v>
      </c>
      <c r="L677" s="19" t="s">
        <v>0</v>
      </c>
      <c r="M677" s="4" t="s">
        <v>81</v>
      </c>
      <c r="N677" s="11">
        <f>IFERROR(VLOOKUP(M677,ShipShapeEnum!$H:$I,2,FALSE),"-")</f>
        <v>1</v>
      </c>
      <c r="O677" s="11" t="s">
        <v>0</v>
      </c>
      <c r="P677" s="30"/>
      <c r="Q677" s="11" t="str">
        <f>IFERROR(INDEX(SailPattern!$A:$A,MATCH(P677,SailPattern!$B:$B,0)),"-")</f>
        <v>-</v>
      </c>
      <c r="R677" s="30"/>
      <c r="S677" s="11" t="str">
        <f>IFERROR(INDEX(SailCrest!$A:$A,MATCH(R677,SailCrest!$B:$B,0)),"-")</f>
        <v>-</v>
      </c>
      <c r="T677" s="19" t="s">
        <v>0</v>
      </c>
      <c r="U677" s="19" t="s">
        <v>0</v>
      </c>
      <c r="V677" s="19" t="s">
        <v>0</v>
      </c>
      <c r="W677" s="19" t="s">
        <v>0</v>
      </c>
      <c r="X677" s="19" t="s">
        <v>0</v>
      </c>
      <c r="Y677" s="19" t="s">
        <v>0</v>
      </c>
      <c r="Z677" s="19" t="s">
        <v>0</v>
      </c>
      <c r="AA677" s="19" t="s">
        <v>0</v>
      </c>
    </row>
    <row r="678" spans="1:27" ht="15">
      <c r="A678" s="10">
        <f t="shared" si="19"/>
        <v>46400055</v>
      </c>
      <c r="B678" s="38" t="s">
        <v>3774</v>
      </c>
      <c r="C678" s="4" t="s">
        <v>234</v>
      </c>
      <c r="D678" s="11">
        <f>IFERROR(VLOOKUP(C678,ShipShapeEnum!$E:$F,2,FALSE),"-")</f>
        <v>5</v>
      </c>
      <c r="E678" s="210" t="s">
        <v>3773</v>
      </c>
      <c r="F678" s="4" t="s">
        <v>61</v>
      </c>
      <c r="G678" s="11">
        <f>IFERROR(VLOOKUP(F678,ShipShapeEnum!$B:$C,2,FALSE),"-")</f>
        <v>1</v>
      </c>
      <c r="H678" s="19" t="s">
        <v>0</v>
      </c>
      <c r="I678" s="19" t="s">
        <v>0</v>
      </c>
      <c r="J678" s="19" t="s">
        <v>0</v>
      </c>
      <c r="K678" s="19" t="s">
        <v>0</v>
      </c>
      <c r="L678" s="19" t="s">
        <v>0</v>
      </c>
      <c r="M678" s="4" t="s">
        <v>81</v>
      </c>
      <c r="N678" s="11">
        <f>IFERROR(VLOOKUP(M678,ShipShapeEnum!$H:$I,2,FALSE),"-")</f>
        <v>1</v>
      </c>
      <c r="O678" s="11" t="s">
        <v>0</v>
      </c>
      <c r="P678" s="30"/>
      <c r="Q678" s="11" t="str">
        <f>IFERROR(INDEX(SailPattern!$A:$A,MATCH(P678,SailPattern!$B:$B,0)),"-")</f>
        <v>-</v>
      </c>
      <c r="R678" s="30"/>
      <c r="S678" s="11" t="str">
        <f>IFERROR(INDEX(SailCrest!$A:$A,MATCH(R678,SailCrest!$B:$B,0)),"-")</f>
        <v>-</v>
      </c>
      <c r="T678" s="19" t="s">
        <v>0</v>
      </c>
      <c r="U678" s="19" t="s">
        <v>0</v>
      </c>
      <c r="V678" s="19" t="s">
        <v>0</v>
      </c>
      <c r="W678" s="19" t="s">
        <v>0</v>
      </c>
      <c r="X678" s="19" t="s">
        <v>0</v>
      </c>
      <c r="Y678" s="19" t="s">
        <v>0</v>
      </c>
      <c r="Z678" s="19" t="s">
        <v>0</v>
      </c>
      <c r="AA678" s="19" t="s">
        <v>0</v>
      </c>
    </row>
    <row r="679" spans="1:27" ht="15">
      <c r="A679" s="10">
        <f t="shared" si="19"/>
        <v>46400056</v>
      </c>
      <c r="B679" s="38" t="s">
        <v>3843</v>
      </c>
      <c r="C679" s="4" t="s">
        <v>234</v>
      </c>
      <c r="D679" s="11">
        <f>IFERROR(VLOOKUP(C679,ShipShapeEnum!$E:$F,2,FALSE),"-")</f>
        <v>5</v>
      </c>
      <c r="E679" s="210" t="s">
        <v>3844</v>
      </c>
      <c r="F679" s="4" t="s">
        <v>61</v>
      </c>
      <c r="G679" s="11">
        <f>IFERROR(VLOOKUP(F679,ShipShapeEnum!$B:$C,2,FALSE),"-")</f>
        <v>1</v>
      </c>
      <c r="H679" s="19" t="s">
        <v>0</v>
      </c>
      <c r="I679" s="19" t="s">
        <v>0</v>
      </c>
      <c r="J679" s="19" t="s">
        <v>0</v>
      </c>
      <c r="K679" s="19" t="s">
        <v>0</v>
      </c>
      <c r="L679" s="19" t="s">
        <v>0</v>
      </c>
      <c r="M679" s="4" t="s">
        <v>81</v>
      </c>
      <c r="N679" s="11">
        <f>IFERROR(VLOOKUP(M679,ShipShapeEnum!$H:$I,2,FALSE),"-")</f>
        <v>1</v>
      </c>
      <c r="O679" s="11" t="s">
        <v>0</v>
      </c>
      <c r="P679" s="30"/>
      <c r="Q679" s="11" t="str">
        <f>IFERROR(INDEX(SailPattern!$A:$A,MATCH(P679,SailPattern!$B:$B,0)),"-")</f>
        <v>-</v>
      </c>
      <c r="R679" s="30"/>
      <c r="S679" s="11" t="str">
        <f>IFERROR(INDEX(SailCrest!$A:$A,MATCH(R679,SailCrest!$B:$B,0)),"-")</f>
        <v>-</v>
      </c>
      <c r="T679" s="19" t="s">
        <v>0</v>
      </c>
      <c r="U679" s="19" t="s">
        <v>0</v>
      </c>
      <c r="V679" s="19" t="s">
        <v>0</v>
      </c>
      <c r="W679" s="19" t="s">
        <v>0</v>
      </c>
      <c r="X679" s="19" t="s">
        <v>0</v>
      </c>
      <c r="Y679" s="19" t="s">
        <v>0</v>
      </c>
      <c r="Z679" s="19" t="s">
        <v>0</v>
      </c>
      <c r="AA679" s="19" t="s">
        <v>0</v>
      </c>
    </row>
    <row r="680" spans="1:27" ht="15">
      <c r="A680" s="10">
        <f t="shared" si="19"/>
        <v>46400057</v>
      </c>
      <c r="B680" s="38" t="s">
        <v>3910</v>
      </c>
      <c r="C680" s="4" t="s">
        <v>234</v>
      </c>
      <c r="D680" s="11">
        <f>IFERROR(VLOOKUP(C680,ShipShapeEnum!$E:$F,2,FALSE),"-")</f>
        <v>5</v>
      </c>
      <c r="E680" s="210" t="s">
        <v>3911</v>
      </c>
      <c r="F680" s="4" t="s">
        <v>61</v>
      </c>
      <c r="G680" s="11">
        <f>IFERROR(VLOOKUP(F680,ShipShapeEnum!$B:$C,2,FALSE),"-")</f>
        <v>1</v>
      </c>
      <c r="H680" s="19" t="s">
        <v>0</v>
      </c>
      <c r="I680" s="19" t="s">
        <v>0</v>
      </c>
      <c r="J680" s="19" t="s">
        <v>0</v>
      </c>
      <c r="K680" s="19" t="s">
        <v>0</v>
      </c>
      <c r="L680" s="19" t="s">
        <v>0</v>
      </c>
      <c r="M680" s="4" t="s">
        <v>81</v>
      </c>
      <c r="N680" s="11">
        <f>IFERROR(VLOOKUP(M680,ShipShapeEnum!$H:$I,2,FALSE),"-")</f>
        <v>1</v>
      </c>
      <c r="O680" s="11" t="s">
        <v>0</v>
      </c>
      <c r="P680" s="30"/>
      <c r="Q680" s="11" t="str">
        <f>IFERROR(INDEX(SailPattern!$A:$A,MATCH(P680,SailPattern!$B:$B,0)),"-")</f>
        <v>-</v>
      </c>
      <c r="R680" s="30"/>
      <c r="S680" s="11" t="str">
        <f>IFERROR(INDEX(SailCrest!$A:$A,MATCH(R680,SailCrest!$B:$B,0)),"-")</f>
        <v>-</v>
      </c>
      <c r="T680" s="19" t="s">
        <v>0</v>
      </c>
      <c r="U680" s="19" t="s">
        <v>0</v>
      </c>
      <c r="V680" s="19" t="s">
        <v>0</v>
      </c>
      <c r="W680" s="19" t="s">
        <v>0</v>
      </c>
      <c r="X680" s="19" t="s">
        <v>0</v>
      </c>
      <c r="Y680" s="19" t="s">
        <v>0</v>
      </c>
      <c r="Z680" s="19" t="s">
        <v>0</v>
      </c>
      <c r="AA680" s="19" t="s">
        <v>0</v>
      </c>
    </row>
    <row r="681" spans="1:27" ht="15">
      <c r="A681" s="10">
        <f t="shared" si="19"/>
        <v>46400058</v>
      </c>
      <c r="B681" s="38" t="s">
        <v>3914</v>
      </c>
      <c r="C681" s="4" t="s">
        <v>234</v>
      </c>
      <c r="D681" s="11">
        <f>IFERROR(VLOOKUP(C681,ShipShapeEnum!$E:$F,2,FALSE),"-")</f>
        <v>5</v>
      </c>
      <c r="E681" s="210" t="s">
        <v>3919</v>
      </c>
      <c r="F681" s="4" t="s">
        <v>61</v>
      </c>
      <c r="G681" s="11">
        <f>IFERROR(VLOOKUP(F681,ShipShapeEnum!$B:$C,2,FALSE),"-")</f>
        <v>1</v>
      </c>
      <c r="H681" s="19" t="s">
        <v>0</v>
      </c>
      <c r="I681" s="19" t="s">
        <v>0</v>
      </c>
      <c r="J681" s="19" t="s">
        <v>0</v>
      </c>
      <c r="K681" s="19" t="s">
        <v>0</v>
      </c>
      <c r="L681" s="19" t="s">
        <v>0</v>
      </c>
      <c r="M681" s="4" t="s">
        <v>81</v>
      </c>
      <c r="N681" s="11">
        <f>IFERROR(VLOOKUP(M681,ShipShapeEnum!$H:$I,2,FALSE),"-")</f>
        <v>1</v>
      </c>
      <c r="O681" s="11" t="s">
        <v>0</v>
      </c>
      <c r="P681" s="30"/>
      <c r="Q681" s="11" t="str">
        <f>IFERROR(INDEX(SailPattern!$A:$A,MATCH(P681,SailPattern!$B:$B,0)),"-")</f>
        <v>-</v>
      </c>
      <c r="R681" s="30"/>
      <c r="S681" s="11" t="str">
        <f>IFERROR(INDEX(SailCrest!$A:$A,MATCH(R681,SailCrest!$B:$B,0)),"-")</f>
        <v>-</v>
      </c>
      <c r="T681" s="19" t="s">
        <v>0</v>
      </c>
      <c r="U681" s="19" t="s">
        <v>0</v>
      </c>
      <c r="V681" s="19" t="s">
        <v>0</v>
      </c>
      <c r="W681" s="19" t="s">
        <v>0</v>
      </c>
      <c r="X681" s="19" t="s">
        <v>0</v>
      </c>
      <c r="Y681" s="19" t="s">
        <v>0</v>
      </c>
      <c r="Z681" s="19" t="s">
        <v>0</v>
      </c>
      <c r="AA681" s="19" t="s">
        <v>0</v>
      </c>
    </row>
    <row r="682" spans="1:27" ht="15">
      <c r="A682" s="10">
        <f t="shared" si="19"/>
        <v>46400059</v>
      </c>
      <c r="B682" s="38" t="s">
        <v>3920</v>
      </c>
      <c r="C682" s="4" t="s">
        <v>234</v>
      </c>
      <c r="D682" s="11">
        <f>IFERROR(VLOOKUP(C682,ShipShapeEnum!$E:$F,2,FALSE),"-")</f>
        <v>5</v>
      </c>
      <c r="E682" s="210" t="s">
        <v>3921</v>
      </c>
      <c r="F682" s="4" t="s">
        <v>61</v>
      </c>
      <c r="G682" s="11">
        <f>IFERROR(VLOOKUP(F682,ShipShapeEnum!$B:$C,2,FALSE),"-")</f>
        <v>1</v>
      </c>
      <c r="H682" s="19" t="s">
        <v>0</v>
      </c>
      <c r="I682" s="19" t="s">
        <v>0</v>
      </c>
      <c r="J682" s="19" t="s">
        <v>0</v>
      </c>
      <c r="K682" s="19" t="s">
        <v>0</v>
      </c>
      <c r="L682" s="19" t="s">
        <v>0</v>
      </c>
      <c r="M682" s="4" t="s">
        <v>81</v>
      </c>
      <c r="N682" s="11">
        <f>IFERROR(VLOOKUP(M682,ShipShapeEnum!$H:$I,2,FALSE),"-")</f>
        <v>1</v>
      </c>
      <c r="O682" s="11" t="s">
        <v>0</v>
      </c>
      <c r="P682" s="30"/>
      <c r="Q682" s="11" t="str">
        <f>IFERROR(INDEX(SailPattern!$A:$A,MATCH(P682,SailPattern!$B:$B,0)),"-")</f>
        <v>-</v>
      </c>
      <c r="R682" s="30"/>
      <c r="S682" s="11" t="str">
        <f>IFERROR(INDEX(SailCrest!$A:$A,MATCH(R682,SailCrest!$B:$B,0)),"-")</f>
        <v>-</v>
      </c>
      <c r="T682" s="19" t="s">
        <v>0</v>
      </c>
      <c r="U682" s="19" t="s">
        <v>0</v>
      </c>
      <c r="V682" s="19" t="s">
        <v>0</v>
      </c>
      <c r="W682" s="19" t="s">
        <v>0</v>
      </c>
      <c r="X682" s="19" t="s">
        <v>0</v>
      </c>
      <c r="Y682" s="19" t="s">
        <v>0</v>
      </c>
      <c r="Z682" s="19" t="s">
        <v>0</v>
      </c>
      <c r="AA682" s="19" t="s">
        <v>0</v>
      </c>
    </row>
    <row r="683" spans="1:27" ht="15">
      <c r="A683" s="10">
        <f t="shared" si="19"/>
        <v>46400060</v>
      </c>
      <c r="B683" s="38" t="s">
        <v>3939</v>
      </c>
      <c r="C683" s="4" t="s">
        <v>234</v>
      </c>
      <c r="D683" s="11">
        <f>IFERROR(VLOOKUP(C683,ShipShapeEnum!$E:$F,2,FALSE),"-")</f>
        <v>5</v>
      </c>
      <c r="E683" s="210" t="s">
        <v>3940</v>
      </c>
      <c r="F683" s="4" t="s">
        <v>61</v>
      </c>
      <c r="G683" s="11">
        <f>IFERROR(VLOOKUP(F683,ShipShapeEnum!$B:$C,2,FALSE),"-")</f>
        <v>1</v>
      </c>
      <c r="H683" s="19" t="s">
        <v>0</v>
      </c>
      <c r="I683" s="19" t="s">
        <v>0</v>
      </c>
      <c r="J683" s="19" t="s">
        <v>0</v>
      </c>
      <c r="K683" s="19" t="s">
        <v>0</v>
      </c>
      <c r="L683" s="19" t="s">
        <v>0</v>
      </c>
      <c r="M683" s="4" t="s">
        <v>81</v>
      </c>
      <c r="N683" s="11">
        <f>IFERROR(VLOOKUP(M683,ShipShapeEnum!$H:$I,2,FALSE),"-")</f>
        <v>1</v>
      </c>
      <c r="O683" s="11" t="s">
        <v>0</v>
      </c>
      <c r="P683" s="30"/>
      <c r="Q683" s="11" t="str">
        <f>IFERROR(INDEX(SailPattern!$A:$A,MATCH(P683,SailPattern!$B:$B,0)),"-")</f>
        <v>-</v>
      </c>
      <c r="R683" s="30"/>
      <c r="S683" s="11" t="str">
        <f>IFERROR(INDEX(SailCrest!$A:$A,MATCH(R683,SailCrest!$B:$B,0)),"-")</f>
        <v>-</v>
      </c>
      <c r="T683" s="19" t="s">
        <v>0</v>
      </c>
      <c r="U683" s="19" t="s">
        <v>0</v>
      </c>
      <c r="V683" s="19" t="s">
        <v>0</v>
      </c>
      <c r="W683" s="19" t="s">
        <v>0</v>
      </c>
      <c r="X683" s="19" t="s">
        <v>0</v>
      </c>
      <c r="Y683" s="19" t="s">
        <v>0</v>
      </c>
      <c r="Z683" s="19" t="s">
        <v>0</v>
      </c>
      <c r="AA683" s="19" t="s">
        <v>0</v>
      </c>
    </row>
    <row r="684" spans="1:27" ht="15">
      <c r="A684" s="10">
        <f t="shared" si="19"/>
        <v>46400061</v>
      </c>
      <c r="B684" s="38" t="s">
        <v>3970</v>
      </c>
      <c r="C684" s="4" t="s">
        <v>234</v>
      </c>
      <c r="D684" s="11">
        <f>IFERROR(VLOOKUP(C684,ShipShapeEnum!$E:$F,2,FALSE),"-")</f>
        <v>5</v>
      </c>
      <c r="E684" s="210" t="s">
        <v>3971</v>
      </c>
      <c r="F684" s="4" t="s">
        <v>61</v>
      </c>
      <c r="G684" s="11">
        <f>IFERROR(VLOOKUP(F684,ShipShapeEnum!$B:$C,2,FALSE),"-")</f>
        <v>1</v>
      </c>
      <c r="H684" s="19" t="s">
        <v>0</v>
      </c>
      <c r="I684" s="19" t="s">
        <v>0</v>
      </c>
      <c r="J684" s="19" t="s">
        <v>0</v>
      </c>
      <c r="K684" s="19" t="s">
        <v>0</v>
      </c>
      <c r="L684" s="19" t="s">
        <v>0</v>
      </c>
      <c r="M684" s="4" t="s">
        <v>81</v>
      </c>
      <c r="N684" s="11">
        <f>IFERROR(VLOOKUP(M684,ShipShapeEnum!$H:$I,2,FALSE),"-")</f>
        <v>1</v>
      </c>
      <c r="O684" s="11" t="s">
        <v>0</v>
      </c>
      <c r="P684" s="30"/>
      <c r="Q684" s="11" t="str">
        <f>IFERROR(INDEX(SailPattern!$A:$A,MATCH(P684,SailPattern!$B:$B,0)),"-")</f>
        <v>-</v>
      </c>
      <c r="R684" s="30"/>
      <c r="S684" s="11" t="str">
        <f>IFERROR(INDEX(SailCrest!$A:$A,MATCH(R684,SailCrest!$B:$B,0)),"-")</f>
        <v>-</v>
      </c>
      <c r="T684" s="19" t="s">
        <v>0</v>
      </c>
      <c r="U684" s="19" t="s">
        <v>0</v>
      </c>
      <c r="V684" s="19" t="s">
        <v>0</v>
      </c>
      <c r="W684" s="19" t="s">
        <v>0</v>
      </c>
      <c r="X684" s="19" t="s">
        <v>0</v>
      </c>
      <c r="Y684" s="19" t="s">
        <v>0</v>
      </c>
      <c r="Z684" s="19" t="s">
        <v>0</v>
      </c>
      <c r="AA684" s="19" t="s">
        <v>0</v>
      </c>
    </row>
    <row r="685" spans="1:27" ht="15">
      <c r="A685" s="10">
        <v>46500001</v>
      </c>
      <c r="B685" s="42" t="s">
        <v>269</v>
      </c>
      <c r="C685" s="4" t="s">
        <v>270</v>
      </c>
      <c r="D685" s="11">
        <f>IFERROR(VLOOKUP(C685,ShipShapeEnum!$E:$F,2,FALSE),"-")</f>
        <v>6</v>
      </c>
      <c r="E685" s="19" t="s">
        <v>273</v>
      </c>
      <c r="F685" s="4" t="s">
        <v>61</v>
      </c>
      <c r="G685" s="11">
        <v>1</v>
      </c>
      <c r="H685" s="19" t="s">
        <v>0</v>
      </c>
      <c r="I685" s="19" t="s">
        <v>0</v>
      </c>
      <c r="J685" s="19" t="s">
        <v>0</v>
      </c>
      <c r="K685" s="19" t="s">
        <v>0</v>
      </c>
      <c r="L685" s="19" t="s">
        <v>0</v>
      </c>
      <c r="M685" s="4" t="s">
        <v>81</v>
      </c>
      <c r="N685" s="11">
        <f>IFERROR(VLOOKUP(M685,ShipShapeEnum!$H:$I,2,FALSE),"-")</f>
        <v>1</v>
      </c>
      <c r="O685" s="11" t="s">
        <v>2688</v>
      </c>
      <c r="P685" s="30"/>
      <c r="Q685" s="11" t="str">
        <f>IFERROR(INDEX(SailPattern!$A:$A,MATCH(P685,SailPattern!$B:$B,0)),"-")</f>
        <v>-</v>
      </c>
      <c r="R685" s="30"/>
      <c r="S685" s="11" t="str">
        <f>IFERROR(INDEX(SailCrest!$A:$A,MATCH(R685,SailCrest!$B:$B,0)),"-")</f>
        <v>-</v>
      </c>
      <c r="T685" s="19" t="s">
        <v>0</v>
      </c>
      <c r="U685" s="19" t="s">
        <v>0</v>
      </c>
      <c r="V685" s="19" t="s">
        <v>0</v>
      </c>
      <c r="W685" s="19" t="s">
        <v>0</v>
      </c>
      <c r="X685" s="19" t="s">
        <v>0</v>
      </c>
      <c r="Y685" s="19" t="s">
        <v>0</v>
      </c>
      <c r="Z685" s="19" t="s">
        <v>0</v>
      </c>
      <c r="AA685" s="19" t="s">
        <v>0</v>
      </c>
    </row>
    <row r="686" spans="1:27" ht="15">
      <c r="A686" s="10">
        <f>A685+1</f>
        <v>46500002</v>
      </c>
      <c r="B686" s="42" t="s">
        <v>279</v>
      </c>
      <c r="C686" s="4" t="s">
        <v>270</v>
      </c>
      <c r="D686" s="11">
        <f>IFERROR(VLOOKUP(C686,ShipShapeEnum!$E:$F,2,FALSE),"-")</f>
        <v>6</v>
      </c>
      <c r="E686" s="19" t="s">
        <v>280</v>
      </c>
      <c r="F686" s="4" t="s">
        <v>61</v>
      </c>
      <c r="G686" s="11">
        <f>IFERROR(VLOOKUP(F686,ShipShapeEnum!$B:$C,2,FALSE),"-")</f>
        <v>1</v>
      </c>
      <c r="H686" s="19" t="s">
        <v>0</v>
      </c>
      <c r="I686" s="19" t="s">
        <v>0</v>
      </c>
      <c r="J686" s="19" t="s">
        <v>0</v>
      </c>
      <c r="K686" s="19" t="s">
        <v>0</v>
      </c>
      <c r="L686" s="19" t="s">
        <v>0</v>
      </c>
      <c r="M686" s="4" t="s">
        <v>81</v>
      </c>
      <c r="N686" s="11">
        <f>IFERROR(VLOOKUP(M686,ShipShapeEnum!$H:$I,2,FALSE),"-")</f>
        <v>1</v>
      </c>
      <c r="O686" s="11" t="s">
        <v>2688</v>
      </c>
      <c r="P686" s="30"/>
      <c r="Q686" s="11" t="str">
        <f>IFERROR(INDEX(SailPattern!$A:$A,MATCH(P686,SailPattern!$B:$B,0)),"-")</f>
        <v>-</v>
      </c>
      <c r="R686" s="30"/>
      <c r="S686" s="11" t="str">
        <f>IFERROR(INDEX(SailCrest!$A:$A,MATCH(R686,SailCrest!$B:$B,0)),"-")</f>
        <v>-</v>
      </c>
      <c r="T686" s="19" t="s">
        <v>0</v>
      </c>
      <c r="U686" s="19" t="s">
        <v>0</v>
      </c>
      <c r="V686" s="19" t="s">
        <v>0</v>
      </c>
      <c r="W686" s="19" t="s">
        <v>0</v>
      </c>
      <c r="X686" s="19" t="s">
        <v>0</v>
      </c>
      <c r="Y686" s="19" t="s">
        <v>0</v>
      </c>
      <c r="Z686" s="19" t="s">
        <v>0</v>
      </c>
      <c r="AA686" s="19" t="s">
        <v>0</v>
      </c>
    </row>
    <row r="687" spans="1:27" ht="15">
      <c r="A687" s="10">
        <f t="shared" ref="A687:A694" si="20">A686+1</f>
        <v>46500003</v>
      </c>
      <c r="B687" s="42" t="s">
        <v>283</v>
      </c>
      <c r="C687" s="4" t="s">
        <v>270</v>
      </c>
      <c r="D687" s="11">
        <f>IFERROR(VLOOKUP(C687,ShipShapeEnum!$E:$F,2,FALSE),"-")</f>
        <v>6</v>
      </c>
      <c r="E687" s="19" t="s">
        <v>285</v>
      </c>
      <c r="F687" s="4" t="s">
        <v>61</v>
      </c>
      <c r="G687" s="11">
        <f>IFERROR(VLOOKUP(F687,ShipShapeEnum!$B:$C,2,FALSE),"-")</f>
        <v>1</v>
      </c>
      <c r="H687" s="19" t="s">
        <v>0</v>
      </c>
      <c r="I687" s="19" t="s">
        <v>0</v>
      </c>
      <c r="J687" s="19" t="s">
        <v>0</v>
      </c>
      <c r="K687" s="19" t="s">
        <v>0</v>
      </c>
      <c r="L687" s="19" t="s">
        <v>0</v>
      </c>
      <c r="M687" s="4" t="s">
        <v>81</v>
      </c>
      <c r="N687" s="11">
        <f>IFERROR(VLOOKUP(M687,ShipShapeEnum!$H:$I,2,FALSE),"-")</f>
        <v>1</v>
      </c>
      <c r="O687" s="11" t="s">
        <v>2688</v>
      </c>
      <c r="P687" s="30"/>
      <c r="Q687" s="11" t="str">
        <f>IFERROR(INDEX(SailPattern!$A:$A,MATCH(P687,SailPattern!$B:$B,0)),"-")</f>
        <v>-</v>
      </c>
      <c r="R687" s="30"/>
      <c r="S687" s="11" t="str">
        <f>IFERROR(INDEX(SailCrest!$A:$A,MATCH(R687,SailCrest!$B:$B,0)),"-")</f>
        <v>-</v>
      </c>
      <c r="T687" s="19" t="s">
        <v>0</v>
      </c>
      <c r="U687" s="19" t="s">
        <v>0</v>
      </c>
      <c r="V687" s="19" t="s">
        <v>0</v>
      </c>
      <c r="W687" s="19" t="s">
        <v>0</v>
      </c>
      <c r="X687" s="19" t="s">
        <v>0</v>
      </c>
      <c r="Y687" s="19" t="s">
        <v>0</v>
      </c>
      <c r="Z687" s="19" t="s">
        <v>0</v>
      </c>
      <c r="AA687" s="19" t="s">
        <v>0</v>
      </c>
    </row>
    <row r="688" spans="1:27" ht="15">
      <c r="A688" s="10">
        <f t="shared" si="20"/>
        <v>46500004</v>
      </c>
      <c r="B688" s="42" t="s">
        <v>303</v>
      </c>
      <c r="C688" s="4" t="s">
        <v>270</v>
      </c>
      <c r="D688" s="11">
        <f>IFERROR(VLOOKUP(C688,ShipShapeEnum!$E:$F,2,FALSE),"-")</f>
        <v>6</v>
      </c>
      <c r="E688" s="19" t="s">
        <v>304</v>
      </c>
      <c r="F688" s="4" t="s">
        <v>61</v>
      </c>
      <c r="G688" s="11">
        <f>IFERROR(VLOOKUP(F688,ShipShapeEnum!$B:$C,2,FALSE),"-")</f>
        <v>1</v>
      </c>
      <c r="H688" s="19" t="s">
        <v>0</v>
      </c>
      <c r="I688" s="19" t="s">
        <v>0</v>
      </c>
      <c r="J688" s="19" t="s">
        <v>0</v>
      </c>
      <c r="K688" s="19" t="s">
        <v>0</v>
      </c>
      <c r="L688" s="19" t="s">
        <v>0</v>
      </c>
      <c r="M688" s="4" t="s">
        <v>81</v>
      </c>
      <c r="N688" s="11">
        <f>IFERROR(VLOOKUP(M688,ShipShapeEnum!$H:$I,2,FALSE),"-")</f>
        <v>1</v>
      </c>
      <c r="O688" s="11" t="s">
        <v>2688</v>
      </c>
      <c r="P688" s="30"/>
      <c r="Q688" s="11" t="str">
        <f>IFERROR(INDEX(SailPattern!$A:$A,MATCH(P688,SailPattern!$B:$B,0)),"-")</f>
        <v>-</v>
      </c>
      <c r="R688" s="30"/>
      <c r="S688" s="11" t="str">
        <f>IFERROR(INDEX(SailCrest!$A:$A,MATCH(R688,SailCrest!$B:$B,0)),"-")</f>
        <v>-</v>
      </c>
      <c r="T688" s="19" t="s">
        <v>0</v>
      </c>
      <c r="U688" s="19" t="s">
        <v>0</v>
      </c>
      <c r="V688" s="19" t="s">
        <v>0</v>
      </c>
      <c r="W688" s="19" t="s">
        <v>0</v>
      </c>
      <c r="X688" s="19" t="s">
        <v>0</v>
      </c>
      <c r="Y688" s="19" t="s">
        <v>0</v>
      </c>
      <c r="Z688" s="19" t="s">
        <v>0</v>
      </c>
      <c r="AA688" s="19" t="s">
        <v>0</v>
      </c>
    </row>
    <row r="689" spans="1:27" ht="15">
      <c r="A689" s="10">
        <f t="shared" si="20"/>
        <v>46500005</v>
      </c>
      <c r="B689" s="42" t="s">
        <v>307</v>
      </c>
      <c r="C689" s="4" t="s">
        <v>270</v>
      </c>
      <c r="D689" s="11">
        <f>IFERROR(VLOOKUP(C689,ShipShapeEnum!$E:$F,2,FALSE),"-")</f>
        <v>6</v>
      </c>
      <c r="E689" s="19" t="s">
        <v>308</v>
      </c>
      <c r="F689" s="4" t="s">
        <v>61</v>
      </c>
      <c r="G689" s="11">
        <f>IFERROR(VLOOKUP(F689,ShipShapeEnum!$B:$C,2,FALSE),"-")</f>
        <v>1</v>
      </c>
      <c r="H689" s="19" t="s">
        <v>0</v>
      </c>
      <c r="I689" s="19" t="s">
        <v>0</v>
      </c>
      <c r="J689" s="19" t="s">
        <v>0</v>
      </c>
      <c r="K689" s="19" t="s">
        <v>0</v>
      </c>
      <c r="L689" s="19" t="s">
        <v>0</v>
      </c>
      <c r="M689" s="4" t="s">
        <v>81</v>
      </c>
      <c r="N689" s="11">
        <f>IFERROR(VLOOKUP(M689,ShipShapeEnum!$H:$I,2,FALSE),"-")</f>
        <v>1</v>
      </c>
      <c r="O689" s="11" t="s">
        <v>2688</v>
      </c>
      <c r="P689" s="30"/>
      <c r="Q689" s="11" t="str">
        <f>IFERROR(INDEX(SailPattern!$A:$A,MATCH(P689,SailPattern!$B:$B,0)),"-")</f>
        <v>-</v>
      </c>
      <c r="R689" s="30"/>
      <c r="S689" s="11" t="str">
        <f>IFERROR(INDEX(SailCrest!$A:$A,MATCH(R689,SailCrest!$B:$B,0)),"-")</f>
        <v>-</v>
      </c>
      <c r="T689" s="19" t="s">
        <v>0</v>
      </c>
      <c r="U689" s="19" t="s">
        <v>0</v>
      </c>
      <c r="V689" s="19" t="s">
        <v>0</v>
      </c>
      <c r="W689" s="19" t="s">
        <v>0</v>
      </c>
      <c r="X689" s="19" t="s">
        <v>0</v>
      </c>
      <c r="Y689" s="19" t="s">
        <v>0</v>
      </c>
      <c r="Z689" s="19" t="s">
        <v>0</v>
      </c>
      <c r="AA689" s="19" t="s">
        <v>0</v>
      </c>
    </row>
    <row r="690" spans="1:27" ht="15">
      <c r="A690" s="10">
        <f t="shared" si="20"/>
        <v>46500006</v>
      </c>
      <c r="B690" s="42" t="s">
        <v>311</v>
      </c>
      <c r="C690" s="4" t="s">
        <v>270</v>
      </c>
      <c r="D690" s="11">
        <f>IFERROR(VLOOKUP(C690,ShipShapeEnum!$E:$F,2,FALSE),"-")</f>
        <v>6</v>
      </c>
      <c r="E690" s="19" t="s">
        <v>313</v>
      </c>
      <c r="F690" s="4" t="s">
        <v>61</v>
      </c>
      <c r="G690" s="11">
        <f>IFERROR(VLOOKUP(F690,ShipShapeEnum!$B:$C,2,FALSE),"-")</f>
        <v>1</v>
      </c>
      <c r="H690" s="19" t="s">
        <v>0</v>
      </c>
      <c r="I690" s="19" t="s">
        <v>0</v>
      </c>
      <c r="J690" s="19" t="s">
        <v>0</v>
      </c>
      <c r="K690" s="19" t="s">
        <v>0</v>
      </c>
      <c r="L690" s="19" t="s">
        <v>0</v>
      </c>
      <c r="M690" s="4" t="s">
        <v>81</v>
      </c>
      <c r="N690" s="11">
        <f>IFERROR(VLOOKUP(M690,ShipShapeEnum!$H:$I,2,FALSE),"-")</f>
        <v>1</v>
      </c>
      <c r="O690" s="11" t="s">
        <v>2688</v>
      </c>
      <c r="P690" s="30"/>
      <c r="Q690" s="11" t="str">
        <f>IFERROR(INDEX(SailPattern!$A:$A,MATCH(P690,SailPattern!$B:$B,0)),"-")</f>
        <v>-</v>
      </c>
      <c r="R690" s="30"/>
      <c r="S690" s="11" t="str">
        <f>IFERROR(INDEX(SailCrest!$A:$A,MATCH(R690,SailCrest!$B:$B,0)),"-")</f>
        <v>-</v>
      </c>
      <c r="T690" s="19" t="s">
        <v>0</v>
      </c>
      <c r="U690" s="19" t="s">
        <v>0</v>
      </c>
      <c r="V690" s="19" t="s">
        <v>0</v>
      </c>
      <c r="W690" s="19" t="s">
        <v>0</v>
      </c>
      <c r="X690" s="19" t="s">
        <v>0</v>
      </c>
      <c r="Y690" s="19" t="s">
        <v>0</v>
      </c>
      <c r="Z690" s="19" t="s">
        <v>0</v>
      </c>
      <c r="AA690" s="19" t="s">
        <v>0</v>
      </c>
    </row>
    <row r="691" spans="1:27" ht="15">
      <c r="A691" s="10">
        <f t="shared" si="20"/>
        <v>46500007</v>
      </c>
      <c r="B691" s="42" t="s">
        <v>566</v>
      </c>
      <c r="C691" s="4" t="s">
        <v>270</v>
      </c>
      <c r="D691" s="11">
        <f>IFERROR(VLOOKUP(C691,ShipShapeEnum!$E:$F,2,FALSE),"-")</f>
        <v>6</v>
      </c>
      <c r="E691" s="19" t="s">
        <v>567</v>
      </c>
      <c r="F691" s="4" t="s">
        <v>61</v>
      </c>
      <c r="G691" s="11">
        <f>IFERROR(VLOOKUP(F691,ShipShapeEnum!$B:$C,2,FALSE),"-")</f>
        <v>1</v>
      </c>
      <c r="H691" s="19" t="s">
        <v>0</v>
      </c>
      <c r="I691" s="19" t="s">
        <v>0</v>
      </c>
      <c r="J691" s="19" t="s">
        <v>0</v>
      </c>
      <c r="K691" s="19" t="s">
        <v>0</v>
      </c>
      <c r="L691" s="19" t="s">
        <v>0</v>
      </c>
      <c r="M691" s="4" t="s">
        <v>81</v>
      </c>
      <c r="N691" s="11">
        <f>IFERROR(VLOOKUP(M691,ShipShapeEnum!$H:$I,2,FALSE),"-")</f>
        <v>1</v>
      </c>
      <c r="O691" s="11" t="s">
        <v>2688</v>
      </c>
      <c r="P691" s="30"/>
      <c r="Q691" s="11" t="str">
        <f>IFERROR(INDEX(SailPattern!$A:$A,MATCH(P691,SailPattern!$B:$B,0)),"-")</f>
        <v>-</v>
      </c>
      <c r="R691" s="30"/>
      <c r="S691" s="11" t="str">
        <f>IFERROR(INDEX(SailCrest!$A:$A,MATCH(R691,SailCrest!$B:$B,0)),"-")</f>
        <v>-</v>
      </c>
      <c r="T691" s="19" t="s">
        <v>0</v>
      </c>
      <c r="U691" s="19" t="s">
        <v>0</v>
      </c>
      <c r="V691" s="19" t="s">
        <v>0</v>
      </c>
      <c r="W691" s="19" t="s">
        <v>0</v>
      </c>
      <c r="X691" s="19" t="s">
        <v>0</v>
      </c>
      <c r="Y691" s="19" t="s">
        <v>0</v>
      </c>
      <c r="Z691" s="19" t="s">
        <v>0</v>
      </c>
      <c r="AA691" s="19" t="s">
        <v>0</v>
      </c>
    </row>
    <row r="692" spans="1:27" ht="15">
      <c r="A692" s="10">
        <f t="shared" si="20"/>
        <v>46500008</v>
      </c>
      <c r="B692" s="42" t="s">
        <v>1121</v>
      </c>
      <c r="C692" s="4" t="s">
        <v>270</v>
      </c>
      <c r="D692" s="11">
        <f>IFERROR(VLOOKUP(C692,ShipShapeEnum!$E:$F,2,FALSE),"-")</f>
        <v>6</v>
      </c>
      <c r="E692" s="19" t="s">
        <v>1114</v>
      </c>
      <c r="F692" s="4" t="s">
        <v>61</v>
      </c>
      <c r="G692" s="11">
        <f>IFERROR(VLOOKUP(F692,ShipShapeEnum!$B:$C,2,FALSE),"-")</f>
        <v>1</v>
      </c>
      <c r="H692" s="19" t="s">
        <v>0</v>
      </c>
      <c r="I692" s="19" t="s">
        <v>0</v>
      </c>
      <c r="J692" s="19" t="s">
        <v>0</v>
      </c>
      <c r="K692" s="19" t="s">
        <v>0</v>
      </c>
      <c r="L692" s="19" t="s">
        <v>0</v>
      </c>
      <c r="M692" s="4" t="s">
        <v>81</v>
      </c>
      <c r="N692" s="11">
        <f>IFERROR(VLOOKUP(M692,ShipShapeEnum!$H:$I,2,FALSE),"-")</f>
        <v>1</v>
      </c>
      <c r="O692" s="11" t="s">
        <v>2688</v>
      </c>
      <c r="P692" s="30"/>
      <c r="Q692" s="11" t="str">
        <f>IFERROR(INDEX(SailPattern!$A:$A,MATCH(P692,SailPattern!$B:$B,0)),"-")</f>
        <v>-</v>
      </c>
      <c r="R692" s="30"/>
      <c r="S692" s="11" t="str">
        <f>IFERROR(INDEX(SailCrest!$A:$A,MATCH(R692,SailCrest!$B:$B,0)),"-")</f>
        <v>-</v>
      </c>
      <c r="T692" s="19" t="s">
        <v>0</v>
      </c>
      <c r="U692" s="19" t="s">
        <v>0</v>
      </c>
      <c r="V692" s="19" t="s">
        <v>0</v>
      </c>
      <c r="W692" s="19" t="s">
        <v>0</v>
      </c>
      <c r="X692" s="19" t="s">
        <v>0</v>
      </c>
      <c r="Y692" s="19" t="s">
        <v>0</v>
      </c>
      <c r="Z692" s="19" t="s">
        <v>0</v>
      </c>
      <c r="AA692" s="19" t="s">
        <v>0</v>
      </c>
    </row>
    <row r="693" spans="1:27" ht="15">
      <c r="A693" s="10">
        <f t="shared" si="20"/>
        <v>46500009</v>
      </c>
      <c r="B693" s="42" t="s">
        <v>1122</v>
      </c>
      <c r="C693" s="4" t="s">
        <v>270</v>
      </c>
      <c r="D693" s="11">
        <f>IFERROR(VLOOKUP(C693,ShipShapeEnum!$E:$F,2,FALSE),"-")</f>
        <v>6</v>
      </c>
      <c r="E693" s="19" t="s">
        <v>1117</v>
      </c>
      <c r="F693" s="4" t="s">
        <v>61</v>
      </c>
      <c r="G693" s="11">
        <f>IFERROR(VLOOKUP(F693,ShipShapeEnum!$B:$C,2,FALSE),"-")</f>
        <v>1</v>
      </c>
      <c r="H693" s="19" t="s">
        <v>0</v>
      </c>
      <c r="I693" s="19" t="s">
        <v>0</v>
      </c>
      <c r="J693" s="19" t="s">
        <v>0</v>
      </c>
      <c r="K693" s="19" t="s">
        <v>0</v>
      </c>
      <c r="L693" s="19" t="s">
        <v>0</v>
      </c>
      <c r="M693" s="4" t="s">
        <v>81</v>
      </c>
      <c r="N693" s="11">
        <f>IFERROR(VLOOKUP(M693,ShipShapeEnum!$H:$I,2,FALSE),"-")</f>
        <v>1</v>
      </c>
      <c r="O693" s="11" t="s">
        <v>2688</v>
      </c>
      <c r="P693" s="30"/>
      <c r="Q693" s="11" t="str">
        <f>IFERROR(INDEX(SailPattern!$A:$A,MATCH(P693,SailPattern!$B:$B,0)),"-")</f>
        <v>-</v>
      </c>
      <c r="R693" s="30"/>
      <c r="S693" s="11" t="str">
        <f>IFERROR(INDEX(SailCrest!$A:$A,MATCH(R693,SailCrest!$B:$B,0)),"-")</f>
        <v>-</v>
      </c>
      <c r="T693" s="19" t="s">
        <v>0</v>
      </c>
      <c r="U693" s="19" t="s">
        <v>0</v>
      </c>
      <c r="V693" s="19" t="s">
        <v>0</v>
      </c>
      <c r="W693" s="19" t="s">
        <v>0</v>
      </c>
      <c r="X693" s="19" t="s">
        <v>0</v>
      </c>
      <c r="Y693" s="19" t="s">
        <v>0</v>
      </c>
      <c r="Z693" s="19" t="s">
        <v>0</v>
      </c>
      <c r="AA693" s="19" t="s">
        <v>0</v>
      </c>
    </row>
    <row r="694" spans="1:27" ht="15">
      <c r="A694" s="10">
        <f t="shared" si="20"/>
        <v>46500010</v>
      </c>
      <c r="B694" s="42" t="s">
        <v>1125</v>
      </c>
      <c r="C694" s="4" t="s">
        <v>270</v>
      </c>
      <c r="D694" s="11">
        <f>IFERROR(VLOOKUP(C694,ShipShapeEnum!$E:$F,2,FALSE),"-")</f>
        <v>6</v>
      </c>
      <c r="E694" s="19" t="s">
        <v>1127</v>
      </c>
      <c r="F694" s="4" t="s">
        <v>61</v>
      </c>
      <c r="G694" s="11">
        <f>IFERROR(VLOOKUP(F694,ShipShapeEnum!$B:$C,2,FALSE),"-")</f>
        <v>1</v>
      </c>
      <c r="H694" s="19" t="s">
        <v>0</v>
      </c>
      <c r="I694" s="19" t="s">
        <v>0</v>
      </c>
      <c r="J694" s="19" t="s">
        <v>0</v>
      </c>
      <c r="K694" s="19" t="s">
        <v>0</v>
      </c>
      <c r="L694" s="19" t="s">
        <v>0</v>
      </c>
      <c r="M694" s="4" t="s">
        <v>81</v>
      </c>
      <c r="N694" s="11">
        <f>IFERROR(VLOOKUP(M694,ShipShapeEnum!$H:$I,2,FALSE),"-")</f>
        <v>1</v>
      </c>
      <c r="O694" s="11" t="s">
        <v>2688</v>
      </c>
      <c r="P694" s="30"/>
      <c r="Q694" s="11" t="str">
        <f>IFERROR(INDEX(SailPattern!$A:$A,MATCH(P694,SailPattern!$B:$B,0)),"-")</f>
        <v>-</v>
      </c>
      <c r="R694" s="30"/>
      <c r="S694" s="11" t="str">
        <f>IFERROR(INDEX(SailCrest!$A:$A,MATCH(R694,SailCrest!$B:$B,0)),"-")</f>
        <v>-</v>
      </c>
      <c r="T694" s="19" t="s">
        <v>0</v>
      </c>
      <c r="U694" s="19" t="s">
        <v>0</v>
      </c>
      <c r="V694" s="19" t="s">
        <v>0</v>
      </c>
      <c r="W694" s="19" t="s">
        <v>0</v>
      </c>
      <c r="X694" s="19" t="s">
        <v>0</v>
      </c>
      <c r="Y694" s="19" t="s">
        <v>0</v>
      </c>
      <c r="Z694" s="19" t="s">
        <v>0</v>
      </c>
      <c r="AA694" s="19" t="s">
        <v>0</v>
      </c>
    </row>
    <row r="695" spans="1:27" ht="15">
      <c r="A695" s="10">
        <f>A694+1</f>
        <v>46500011</v>
      </c>
      <c r="B695" s="42" t="s">
        <v>1126</v>
      </c>
      <c r="C695" s="4" t="s">
        <v>270</v>
      </c>
      <c r="D695" s="11">
        <f>IFERROR(VLOOKUP(C695,ShipShapeEnum!$E:$F,2,FALSE),"-")</f>
        <v>6</v>
      </c>
      <c r="E695" s="19" t="s">
        <v>1129</v>
      </c>
      <c r="F695" s="4" t="s">
        <v>61</v>
      </c>
      <c r="G695" s="11">
        <f>IFERROR(VLOOKUP(F695,ShipShapeEnum!$B:$C,2,FALSE),"-")</f>
        <v>1</v>
      </c>
      <c r="H695" s="19" t="s">
        <v>0</v>
      </c>
      <c r="I695" s="19" t="s">
        <v>0</v>
      </c>
      <c r="J695" s="19" t="s">
        <v>0</v>
      </c>
      <c r="K695" s="19" t="s">
        <v>0</v>
      </c>
      <c r="L695" s="19" t="s">
        <v>0</v>
      </c>
      <c r="M695" s="4" t="s">
        <v>81</v>
      </c>
      <c r="N695" s="11">
        <f>IFERROR(VLOOKUP(M695,ShipShapeEnum!$H:$I,2,FALSE),"-")</f>
        <v>1</v>
      </c>
      <c r="O695" s="11" t="s">
        <v>2688</v>
      </c>
      <c r="P695" s="30"/>
      <c r="Q695" s="11" t="str">
        <f>IFERROR(INDEX(SailPattern!$A:$A,MATCH(P695,SailPattern!$B:$B,0)),"-")</f>
        <v>-</v>
      </c>
      <c r="R695" s="30"/>
      <c r="S695" s="11" t="str">
        <f>IFERROR(INDEX(SailCrest!$A:$A,MATCH(R695,SailCrest!$B:$B,0)),"-")</f>
        <v>-</v>
      </c>
      <c r="T695" s="19" t="s">
        <v>0</v>
      </c>
      <c r="U695" s="19" t="s">
        <v>0</v>
      </c>
      <c r="V695" s="19" t="s">
        <v>0</v>
      </c>
      <c r="W695" s="19" t="s">
        <v>0</v>
      </c>
      <c r="X695" s="19" t="s">
        <v>0</v>
      </c>
      <c r="Y695" s="19" t="s">
        <v>0</v>
      </c>
      <c r="Z695" s="19" t="s">
        <v>0</v>
      </c>
      <c r="AA695" s="19" t="s">
        <v>0</v>
      </c>
    </row>
    <row r="696" spans="1:27" ht="15">
      <c r="A696" s="10">
        <f>A695+1</f>
        <v>46500012</v>
      </c>
      <c r="B696" s="42" t="s">
        <v>1139</v>
      </c>
      <c r="C696" s="4" t="s">
        <v>270</v>
      </c>
      <c r="D696" s="11">
        <f>IFERROR(VLOOKUP(C696,ShipShapeEnum!$E:$F,2,FALSE),"-")</f>
        <v>6</v>
      </c>
      <c r="E696" s="19" t="s">
        <v>1140</v>
      </c>
      <c r="F696" s="4" t="s">
        <v>61</v>
      </c>
      <c r="G696" s="11">
        <f>IFERROR(VLOOKUP(F696,ShipShapeEnum!$B:$C,2,FALSE),"-")</f>
        <v>1</v>
      </c>
      <c r="H696" s="19" t="s">
        <v>0</v>
      </c>
      <c r="I696" s="19" t="s">
        <v>0</v>
      </c>
      <c r="J696" s="19" t="s">
        <v>0</v>
      </c>
      <c r="K696" s="19" t="s">
        <v>0</v>
      </c>
      <c r="L696" s="19" t="s">
        <v>0</v>
      </c>
      <c r="M696" s="4" t="s">
        <v>81</v>
      </c>
      <c r="N696" s="11">
        <f>IFERROR(VLOOKUP(M696,ShipShapeEnum!$H:$I,2,FALSE),"-")</f>
        <v>1</v>
      </c>
      <c r="O696" s="11" t="s">
        <v>2688</v>
      </c>
      <c r="P696" s="30"/>
      <c r="Q696" s="11" t="str">
        <f>IFERROR(INDEX(SailPattern!$A:$A,MATCH(P696,SailPattern!$B:$B,0)),"-")</f>
        <v>-</v>
      </c>
      <c r="R696" s="30"/>
      <c r="S696" s="11" t="str">
        <f>IFERROR(INDEX(SailCrest!$A:$A,MATCH(R696,SailCrest!$B:$B,0)),"-")</f>
        <v>-</v>
      </c>
      <c r="T696" s="19" t="s">
        <v>0</v>
      </c>
      <c r="U696" s="19" t="s">
        <v>0</v>
      </c>
      <c r="V696" s="19" t="s">
        <v>0</v>
      </c>
      <c r="W696" s="19" t="s">
        <v>0</v>
      </c>
      <c r="X696" s="19" t="s">
        <v>0</v>
      </c>
      <c r="Y696" s="19" t="s">
        <v>0</v>
      </c>
      <c r="Z696" s="19" t="s">
        <v>0</v>
      </c>
      <c r="AA696" s="19" t="s">
        <v>0</v>
      </c>
    </row>
    <row r="697" spans="1:27" ht="15">
      <c r="A697" s="10">
        <f>A696+1</f>
        <v>46500013</v>
      </c>
      <c r="B697" s="42" t="s">
        <v>1146</v>
      </c>
      <c r="C697" s="4" t="s">
        <v>270</v>
      </c>
      <c r="D697" s="11">
        <f>IFERROR(VLOOKUP(C697,ShipShapeEnum!$E:$F,2,FALSE),"-")</f>
        <v>6</v>
      </c>
      <c r="E697" s="19" t="s">
        <v>1148</v>
      </c>
      <c r="F697" s="4" t="s">
        <v>61</v>
      </c>
      <c r="G697" s="11">
        <f>IFERROR(VLOOKUP(F697,ShipShapeEnum!$B:$C,2,FALSE),"-")</f>
        <v>1</v>
      </c>
      <c r="H697" s="19" t="s">
        <v>0</v>
      </c>
      <c r="I697" s="19" t="s">
        <v>0</v>
      </c>
      <c r="J697" s="19" t="s">
        <v>0</v>
      </c>
      <c r="K697" s="19" t="s">
        <v>0</v>
      </c>
      <c r="L697" s="19" t="s">
        <v>0</v>
      </c>
      <c r="M697" s="4" t="s">
        <v>81</v>
      </c>
      <c r="N697" s="11">
        <f>IFERROR(VLOOKUP(M697,ShipShapeEnum!$H:$I,2,FALSE),"-")</f>
        <v>1</v>
      </c>
      <c r="O697" s="11" t="s">
        <v>2688</v>
      </c>
      <c r="P697" s="30"/>
      <c r="Q697" s="11" t="str">
        <f>IFERROR(INDEX(SailPattern!$A:$A,MATCH(P697,SailPattern!$B:$B,0)),"-")</f>
        <v>-</v>
      </c>
      <c r="R697" s="30"/>
      <c r="S697" s="11" t="str">
        <f>IFERROR(INDEX(SailCrest!$A:$A,MATCH(R697,SailCrest!$B:$B,0)),"-")</f>
        <v>-</v>
      </c>
      <c r="T697" s="19" t="s">
        <v>0</v>
      </c>
      <c r="U697" s="19" t="s">
        <v>0</v>
      </c>
      <c r="V697" s="19" t="s">
        <v>0</v>
      </c>
      <c r="W697" s="19" t="s">
        <v>0</v>
      </c>
      <c r="X697" s="19" t="s">
        <v>0</v>
      </c>
      <c r="Y697" s="19" t="s">
        <v>0</v>
      </c>
      <c r="Z697" s="19" t="s">
        <v>0</v>
      </c>
      <c r="AA697" s="19" t="s">
        <v>0</v>
      </c>
    </row>
    <row r="698" spans="1:27" ht="15">
      <c r="A698" s="10">
        <f>A697+1</f>
        <v>46500014</v>
      </c>
      <c r="B698" s="42" t="s">
        <v>2415</v>
      </c>
      <c r="C698" s="4" t="s">
        <v>270</v>
      </c>
      <c r="D698" s="11">
        <f>IFERROR(VLOOKUP(C698,ShipShapeEnum!$E:$F,2,FALSE),"-")</f>
        <v>6</v>
      </c>
      <c r="E698" s="19" t="s">
        <v>1375</v>
      </c>
      <c r="F698" s="4" t="s">
        <v>61</v>
      </c>
      <c r="G698" s="11">
        <f>IFERROR(VLOOKUP(F698,ShipShapeEnum!$B:$C,2,FALSE),"-")</f>
        <v>1</v>
      </c>
      <c r="H698" s="19" t="s">
        <v>0</v>
      </c>
      <c r="I698" s="19" t="s">
        <v>0</v>
      </c>
      <c r="J698" s="19" t="s">
        <v>0</v>
      </c>
      <c r="K698" s="19" t="s">
        <v>0</v>
      </c>
      <c r="L698" s="19" t="s">
        <v>0</v>
      </c>
      <c r="M698" s="4" t="s">
        <v>81</v>
      </c>
      <c r="N698" s="11">
        <f>IFERROR(VLOOKUP(M698,ShipShapeEnum!$H:$I,2,FALSE),"-")</f>
        <v>1</v>
      </c>
      <c r="O698" s="11" t="s">
        <v>2688</v>
      </c>
      <c r="P698" s="30"/>
      <c r="Q698" s="11" t="str">
        <f>IFERROR(INDEX(SailPattern!$A:$A,MATCH(P698,SailPattern!$B:$B,0)),"-")</f>
        <v>-</v>
      </c>
      <c r="R698" s="30"/>
      <c r="S698" s="11" t="str">
        <f>IFERROR(INDEX(SailCrest!$A:$A,MATCH(R698,SailCrest!$B:$B,0)),"-")</f>
        <v>-</v>
      </c>
      <c r="T698" s="19" t="s">
        <v>0</v>
      </c>
      <c r="U698" s="19" t="s">
        <v>0</v>
      </c>
      <c r="V698" s="19" t="s">
        <v>0</v>
      </c>
      <c r="W698" s="19" t="s">
        <v>0</v>
      </c>
      <c r="X698" s="19" t="s">
        <v>0</v>
      </c>
      <c r="Y698" s="19" t="s">
        <v>0</v>
      </c>
      <c r="Z698" s="19" t="s">
        <v>0</v>
      </c>
      <c r="AA698" s="19" t="s">
        <v>0</v>
      </c>
    </row>
    <row r="699" spans="1:27" ht="15">
      <c r="A699" s="10">
        <f>A698+1</f>
        <v>46500015</v>
      </c>
      <c r="B699" s="42" t="s">
        <v>1397</v>
      </c>
      <c r="C699" s="4" t="s">
        <v>270</v>
      </c>
      <c r="D699" s="11">
        <f>IFERROR(VLOOKUP(C699,ShipShapeEnum!$E:$F,2,FALSE),"-")</f>
        <v>6</v>
      </c>
      <c r="E699" s="19" t="s">
        <v>1396</v>
      </c>
      <c r="F699" s="4" t="s">
        <v>61</v>
      </c>
      <c r="G699" s="11">
        <f>IFERROR(VLOOKUP(F699,ShipShapeEnum!$B:$C,2,FALSE),"-")</f>
        <v>1</v>
      </c>
      <c r="H699" s="19" t="s">
        <v>0</v>
      </c>
      <c r="I699" s="19" t="s">
        <v>0</v>
      </c>
      <c r="J699" s="19" t="s">
        <v>0</v>
      </c>
      <c r="K699" s="19" t="s">
        <v>0</v>
      </c>
      <c r="L699" s="19" t="s">
        <v>0</v>
      </c>
      <c r="M699" s="4" t="s">
        <v>81</v>
      </c>
      <c r="N699" s="11">
        <f>IFERROR(VLOOKUP(M699,ShipShapeEnum!$H:$I,2,FALSE),"-")</f>
        <v>1</v>
      </c>
      <c r="O699" s="11" t="s">
        <v>2688</v>
      </c>
      <c r="P699" s="30"/>
      <c r="Q699" s="11" t="str">
        <f>IFERROR(INDEX(SailPattern!$A:$A,MATCH(P699,SailPattern!$B:$B,0)),"-")</f>
        <v>-</v>
      </c>
      <c r="R699" s="30"/>
      <c r="S699" s="11" t="str">
        <f>IFERROR(INDEX(SailCrest!$A:$A,MATCH(R699,SailCrest!$B:$B,0)),"-")</f>
        <v>-</v>
      </c>
      <c r="T699" s="19" t="s">
        <v>0</v>
      </c>
      <c r="U699" s="19" t="s">
        <v>0</v>
      </c>
      <c r="V699" s="19" t="s">
        <v>0</v>
      </c>
      <c r="W699" s="19" t="s">
        <v>0</v>
      </c>
      <c r="X699" s="19" t="s">
        <v>0</v>
      </c>
      <c r="Y699" s="19" t="s">
        <v>0</v>
      </c>
      <c r="Z699" s="19" t="s">
        <v>0</v>
      </c>
      <c r="AA699" s="19" t="s">
        <v>0</v>
      </c>
    </row>
    <row r="700" spans="1:27" ht="15">
      <c r="A700" s="10">
        <f t="shared" ref="A700:A722" si="21">A699+1</f>
        <v>46500016</v>
      </c>
      <c r="B700" s="42" t="s">
        <v>1407</v>
      </c>
      <c r="C700" s="4" t="s">
        <v>270</v>
      </c>
      <c r="D700" s="11">
        <f>IFERROR(VLOOKUP(C700,ShipShapeEnum!$E:$F,2,FALSE),"-")</f>
        <v>6</v>
      </c>
      <c r="E700" s="19" t="s">
        <v>1402</v>
      </c>
      <c r="F700" s="4" t="s">
        <v>61</v>
      </c>
      <c r="G700" s="11">
        <f>IFERROR(VLOOKUP(F700,ShipShapeEnum!$B:$C,2,FALSE),"-")</f>
        <v>1</v>
      </c>
      <c r="H700" s="19" t="s">
        <v>0</v>
      </c>
      <c r="I700" s="19" t="s">
        <v>0</v>
      </c>
      <c r="J700" s="19" t="s">
        <v>0</v>
      </c>
      <c r="K700" s="19" t="s">
        <v>0</v>
      </c>
      <c r="L700" s="19" t="s">
        <v>0</v>
      </c>
      <c r="M700" s="4" t="s">
        <v>81</v>
      </c>
      <c r="N700" s="11">
        <f>IFERROR(VLOOKUP(M700,ShipShapeEnum!$H:$I,2,FALSE),"-")</f>
        <v>1</v>
      </c>
      <c r="O700" s="11" t="s">
        <v>2688</v>
      </c>
      <c r="P700" s="30"/>
      <c r="Q700" s="11" t="str">
        <f>IFERROR(INDEX(SailPattern!$A:$A,MATCH(P700,SailPattern!$B:$B,0)),"-")</f>
        <v>-</v>
      </c>
      <c r="R700" s="30"/>
      <c r="S700" s="11" t="str">
        <f>IFERROR(INDEX(SailCrest!$A:$A,MATCH(R700,SailCrest!$B:$B,0)),"-")</f>
        <v>-</v>
      </c>
      <c r="T700" s="19" t="s">
        <v>0</v>
      </c>
      <c r="U700" s="19" t="s">
        <v>0</v>
      </c>
      <c r="V700" s="19" t="s">
        <v>0</v>
      </c>
      <c r="W700" s="19" t="s">
        <v>0</v>
      </c>
      <c r="X700" s="19" t="s">
        <v>0</v>
      </c>
      <c r="Y700" s="19" t="s">
        <v>0</v>
      </c>
      <c r="Z700" s="19" t="s">
        <v>0</v>
      </c>
      <c r="AA700" s="19" t="s">
        <v>0</v>
      </c>
    </row>
    <row r="701" spans="1:27" ht="15">
      <c r="A701" s="10">
        <f t="shared" si="21"/>
        <v>46500017</v>
      </c>
      <c r="B701" s="42" t="s">
        <v>1410</v>
      </c>
      <c r="C701" s="4" t="s">
        <v>270</v>
      </c>
      <c r="D701" s="11">
        <f>IFERROR(VLOOKUP(C701,ShipShapeEnum!$E:$F,2,FALSE),"-")</f>
        <v>6</v>
      </c>
      <c r="E701" s="19" t="s">
        <v>1403</v>
      </c>
      <c r="F701" s="4" t="s">
        <v>61</v>
      </c>
      <c r="G701" s="11">
        <f>IFERROR(VLOOKUP(F701,ShipShapeEnum!$B:$C,2,FALSE),"-")</f>
        <v>1</v>
      </c>
      <c r="H701" s="19" t="s">
        <v>0</v>
      </c>
      <c r="I701" s="19" t="s">
        <v>0</v>
      </c>
      <c r="J701" s="19" t="s">
        <v>0</v>
      </c>
      <c r="K701" s="19" t="s">
        <v>0</v>
      </c>
      <c r="L701" s="19" t="s">
        <v>0</v>
      </c>
      <c r="M701" s="4" t="s">
        <v>81</v>
      </c>
      <c r="N701" s="11">
        <f>IFERROR(VLOOKUP(M701,ShipShapeEnum!$H:$I,2,FALSE),"-")</f>
        <v>1</v>
      </c>
      <c r="O701" s="11" t="s">
        <v>2688</v>
      </c>
      <c r="P701" s="30"/>
      <c r="Q701" s="11" t="str">
        <f>IFERROR(INDEX(SailPattern!$A:$A,MATCH(P701,SailPattern!$B:$B,0)),"-")</f>
        <v>-</v>
      </c>
      <c r="R701" s="30"/>
      <c r="S701" s="11" t="str">
        <f>IFERROR(INDEX(SailCrest!$A:$A,MATCH(R701,SailCrest!$B:$B,0)),"-")</f>
        <v>-</v>
      </c>
      <c r="T701" s="19" t="s">
        <v>0</v>
      </c>
      <c r="U701" s="19" t="s">
        <v>0</v>
      </c>
      <c r="V701" s="19" t="s">
        <v>0</v>
      </c>
      <c r="W701" s="19" t="s">
        <v>0</v>
      </c>
      <c r="X701" s="19" t="s">
        <v>0</v>
      </c>
      <c r="Y701" s="19" t="s">
        <v>0</v>
      </c>
      <c r="Z701" s="19" t="s">
        <v>0</v>
      </c>
      <c r="AA701" s="19" t="s">
        <v>0</v>
      </c>
    </row>
    <row r="702" spans="1:27" ht="15">
      <c r="A702" s="10">
        <f t="shared" si="21"/>
        <v>46500018</v>
      </c>
      <c r="B702" s="42" t="s">
        <v>1415</v>
      </c>
      <c r="C702" s="4" t="s">
        <v>270</v>
      </c>
      <c r="D702" s="11">
        <f>IFERROR(VLOOKUP(C702,ShipShapeEnum!$E:$F,2,FALSE),"-")</f>
        <v>6</v>
      </c>
      <c r="E702" s="19" t="s">
        <v>1416</v>
      </c>
      <c r="F702" s="4" t="s">
        <v>61</v>
      </c>
      <c r="G702" s="11">
        <f>IFERROR(VLOOKUP(F702,ShipShapeEnum!$B:$C,2,FALSE),"-")</f>
        <v>1</v>
      </c>
      <c r="H702" s="19" t="s">
        <v>0</v>
      </c>
      <c r="I702" s="19" t="s">
        <v>0</v>
      </c>
      <c r="J702" s="19" t="s">
        <v>0</v>
      </c>
      <c r="K702" s="19" t="s">
        <v>0</v>
      </c>
      <c r="L702" s="19" t="s">
        <v>0</v>
      </c>
      <c r="M702" s="4" t="s">
        <v>81</v>
      </c>
      <c r="N702" s="11">
        <f>IFERROR(VLOOKUP(M702,ShipShapeEnum!$H:$I,2,FALSE),"-")</f>
        <v>1</v>
      </c>
      <c r="O702" s="11" t="s">
        <v>2688</v>
      </c>
      <c r="P702" s="30"/>
      <c r="Q702" s="11" t="str">
        <f>IFERROR(INDEX(SailPattern!$A:$A,MATCH(P702,SailPattern!$B:$B,0)),"-")</f>
        <v>-</v>
      </c>
      <c r="R702" s="30"/>
      <c r="S702" s="11" t="str">
        <f>IFERROR(INDEX(SailCrest!$A:$A,MATCH(R702,SailCrest!$B:$B,0)),"-")</f>
        <v>-</v>
      </c>
      <c r="T702" s="19" t="s">
        <v>0</v>
      </c>
      <c r="U702" s="19" t="s">
        <v>0</v>
      </c>
      <c r="V702" s="19" t="s">
        <v>0</v>
      </c>
      <c r="W702" s="19" t="s">
        <v>0</v>
      </c>
      <c r="X702" s="19" t="s">
        <v>0</v>
      </c>
      <c r="Y702" s="19" t="s">
        <v>0</v>
      </c>
      <c r="Z702" s="19" t="s">
        <v>0</v>
      </c>
      <c r="AA702" s="19" t="s">
        <v>0</v>
      </c>
    </row>
    <row r="703" spans="1:27" ht="15">
      <c r="A703" s="10">
        <f t="shared" si="21"/>
        <v>46500019</v>
      </c>
      <c r="B703" s="42" t="s">
        <v>1456</v>
      </c>
      <c r="C703" s="4" t="s">
        <v>270</v>
      </c>
      <c r="D703" s="11">
        <f>IFERROR(VLOOKUP(C703,ShipShapeEnum!$E:$F,2,FALSE),"-")</f>
        <v>6</v>
      </c>
      <c r="E703" s="19" t="s">
        <v>1457</v>
      </c>
      <c r="F703" s="4" t="s">
        <v>61</v>
      </c>
      <c r="G703" s="11">
        <f>IFERROR(VLOOKUP(F703,ShipShapeEnum!$B:$C,2,FALSE),"-")</f>
        <v>1</v>
      </c>
      <c r="H703" s="19" t="s">
        <v>0</v>
      </c>
      <c r="I703" s="19" t="s">
        <v>0</v>
      </c>
      <c r="J703" s="19" t="s">
        <v>0</v>
      </c>
      <c r="K703" s="19" t="s">
        <v>0</v>
      </c>
      <c r="L703" s="19" t="s">
        <v>0</v>
      </c>
      <c r="M703" s="4" t="s">
        <v>81</v>
      </c>
      <c r="N703" s="11">
        <f>IFERROR(VLOOKUP(M703,ShipShapeEnum!$H:$I,2,FALSE),"-")</f>
        <v>1</v>
      </c>
      <c r="O703" s="11" t="s">
        <v>2688</v>
      </c>
      <c r="P703" s="30"/>
      <c r="Q703" s="11" t="str">
        <f>IFERROR(INDEX(SailPattern!$A:$A,MATCH(P703,SailPattern!$B:$B,0)),"-")</f>
        <v>-</v>
      </c>
      <c r="R703" s="30"/>
      <c r="S703" s="11" t="str">
        <f>IFERROR(INDEX(SailCrest!$A:$A,MATCH(R703,SailCrest!$B:$B,0)),"-")</f>
        <v>-</v>
      </c>
      <c r="T703" s="19" t="s">
        <v>0</v>
      </c>
      <c r="U703" s="19" t="s">
        <v>0</v>
      </c>
      <c r="V703" s="19" t="s">
        <v>0</v>
      </c>
      <c r="W703" s="19" t="s">
        <v>0</v>
      </c>
      <c r="X703" s="19" t="s">
        <v>0</v>
      </c>
      <c r="Y703" s="19" t="s">
        <v>0</v>
      </c>
      <c r="Z703" s="19" t="s">
        <v>0</v>
      </c>
      <c r="AA703" s="19" t="s">
        <v>0</v>
      </c>
    </row>
    <row r="704" spans="1:27" ht="15">
      <c r="A704" s="10">
        <f t="shared" si="21"/>
        <v>46500020</v>
      </c>
      <c r="B704" s="42" t="s">
        <v>1463</v>
      </c>
      <c r="C704" s="4" t="s">
        <v>270</v>
      </c>
      <c r="D704" s="11">
        <f>IFERROR(VLOOKUP(C704,ShipShapeEnum!$E:$F,2,FALSE),"-")</f>
        <v>6</v>
      </c>
      <c r="E704" s="19" t="s">
        <v>1464</v>
      </c>
      <c r="F704" s="4" t="s">
        <v>61</v>
      </c>
      <c r="G704" s="11">
        <f>IFERROR(VLOOKUP(F704,ShipShapeEnum!$B:$C,2,FALSE),"-")</f>
        <v>1</v>
      </c>
      <c r="H704" s="19" t="s">
        <v>0</v>
      </c>
      <c r="I704" s="19" t="s">
        <v>0</v>
      </c>
      <c r="J704" s="19" t="s">
        <v>0</v>
      </c>
      <c r="K704" s="19" t="s">
        <v>0</v>
      </c>
      <c r="L704" s="19" t="s">
        <v>0</v>
      </c>
      <c r="M704" s="4" t="s">
        <v>81</v>
      </c>
      <c r="N704" s="11">
        <f>IFERROR(VLOOKUP(M704,ShipShapeEnum!$H:$I,2,FALSE),"-")</f>
        <v>1</v>
      </c>
      <c r="O704" s="11" t="s">
        <v>2688</v>
      </c>
      <c r="P704" s="30"/>
      <c r="Q704" s="11" t="str">
        <f>IFERROR(INDEX(SailPattern!$A:$A,MATCH(P704,SailPattern!$B:$B,0)),"-")</f>
        <v>-</v>
      </c>
      <c r="R704" s="30"/>
      <c r="S704" s="11" t="str">
        <f>IFERROR(INDEX(SailCrest!$A:$A,MATCH(R704,SailCrest!$B:$B,0)),"-")</f>
        <v>-</v>
      </c>
      <c r="T704" s="19" t="s">
        <v>0</v>
      </c>
      <c r="U704" s="19" t="s">
        <v>0</v>
      </c>
      <c r="V704" s="19" t="s">
        <v>0</v>
      </c>
      <c r="W704" s="19" t="s">
        <v>0</v>
      </c>
      <c r="X704" s="19" t="s">
        <v>0</v>
      </c>
      <c r="Y704" s="19" t="s">
        <v>0</v>
      </c>
      <c r="Z704" s="19" t="s">
        <v>0</v>
      </c>
      <c r="AA704" s="19" t="s">
        <v>0</v>
      </c>
    </row>
    <row r="705" spans="1:27" ht="15">
      <c r="A705" s="10">
        <f t="shared" si="21"/>
        <v>46500021</v>
      </c>
      <c r="B705" s="42" t="s">
        <v>1650</v>
      </c>
      <c r="C705" s="4" t="s">
        <v>270</v>
      </c>
      <c r="D705" s="11">
        <f>IFERROR(VLOOKUP(C705,ShipShapeEnum!$E:$F,2,FALSE),"-")</f>
        <v>6</v>
      </c>
      <c r="E705" s="19" t="s">
        <v>1486</v>
      </c>
      <c r="F705" s="4" t="s">
        <v>61</v>
      </c>
      <c r="G705" s="11">
        <f>IFERROR(VLOOKUP(F705,ShipShapeEnum!$B:$C,2,FALSE),"-")</f>
        <v>1</v>
      </c>
      <c r="H705" s="19" t="s">
        <v>0</v>
      </c>
      <c r="I705" s="19" t="s">
        <v>0</v>
      </c>
      <c r="J705" s="19" t="s">
        <v>0</v>
      </c>
      <c r="K705" s="19" t="s">
        <v>0</v>
      </c>
      <c r="L705" s="19" t="s">
        <v>0</v>
      </c>
      <c r="M705" s="4" t="s">
        <v>81</v>
      </c>
      <c r="N705" s="11">
        <f>IFERROR(VLOOKUP(M705,ShipShapeEnum!$H:$I,2,FALSE),"-")</f>
        <v>1</v>
      </c>
      <c r="O705" s="11" t="s">
        <v>2688</v>
      </c>
      <c r="P705" s="30"/>
      <c r="Q705" s="11" t="str">
        <f>IFERROR(INDEX(SailPattern!$A:$A,MATCH(P705,SailPattern!$B:$B,0)),"-")</f>
        <v>-</v>
      </c>
      <c r="R705" s="30"/>
      <c r="S705" s="11" t="str">
        <f>IFERROR(INDEX(SailCrest!$A:$A,MATCH(R705,SailCrest!$B:$B,0)),"-")</f>
        <v>-</v>
      </c>
      <c r="T705" s="19" t="s">
        <v>0</v>
      </c>
      <c r="U705" s="19" t="s">
        <v>0</v>
      </c>
      <c r="V705" s="19" t="s">
        <v>0</v>
      </c>
      <c r="W705" s="19" t="s">
        <v>0</v>
      </c>
      <c r="X705" s="19" t="s">
        <v>0</v>
      </c>
      <c r="Y705" s="19" t="s">
        <v>0</v>
      </c>
      <c r="Z705" s="19" t="s">
        <v>0</v>
      </c>
      <c r="AA705" s="19" t="s">
        <v>0</v>
      </c>
    </row>
    <row r="706" spans="1:27" ht="15">
      <c r="A706" s="10">
        <f t="shared" si="21"/>
        <v>46500022</v>
      </c>
      <c r="B706" s="42" t="s">
        <v>1526</v>
      </c>
      <c r="C706" s="4" t="s">
        <v>270</v>
      </c>
      <c r="D706" s="11">
        <f>IFERROR(VLOOKUP(C706,ShipShapeEnum!$E:$F,2,FALSE),"-")</f>
        <v>6</v>
      </c>
      <c r="E706" s="19" t="s">
        <v>1527</v>
      </c>
      <c r="F706" s="4" t="s">
        <v>61</v>
      </c>
      <c r="G706" s="11">
        <f>IFERROR(VLOOKUP(F706,ShipShapeEnum!$B:$C,2,FALSE),"-")</f>
        <v>1</v>
      </c>
      <c r="H706" s="19" t="s">
        <v>0</v>
      </c>
      <c r="I706" s="19" t="s">
        <v>0</v>
      </c>
      <c r="J706" s="19" t="s">
        <v>0</v>
      </c>
      <c r="K706" s="19" t="s">
        <v>0</v>
      </c>
      <c r="L706" s="19" t="s">
        <v>0</v>
      </c>
      <c r="M706" s="4" t="s">
        <v>81</v>
      </c>
      <c r="N706" s="11">
        <f>IFERROR(VLOOKUP(M706,ShipShapeEnum!$H:$I,2,FALSE),"-")</f>
        <v>1</v>
      </c>
      <c r="O706" s="11" t="s">
        <v>2688</v>
      </c>
      <c r="P706" s="30"/>
      <c r="Q706" s="11" t="str">
        <f>IFERROR(INDEX(SailPattern!$A:$A,MATCH(P706,SailPattern!$B:$B,0)),"-")</f>
        <v>-</v>
      </c>
      <c r="R706" s="30"/>
      <c r="S706" s="11" t="str">
        <f>IFERROR(INDEX(SailCrest!$A:$A,MATCH(R706,SailCrest!$B:$B,0)),"-")</f>
        <v>-</v>
      </c>
      <c r="T706" s="19" t="s">
        <v>0</v>
      </c>
      <c r="U706" s="19" t="s">
        <v>0</v>
      </c>
      <c r="V706" s="19" t="s">
        <v>0</v>
      </c>
      <c r="W706" s="19" t="s">
        <v>0</v>
      </c>
      <c r="X706" s="19" t="s">
        <v>0</v>
      </c>
      <c r="Y706" s="19" t="s">
        <v>0</v>
      </c>
      <c r="Z706" s="19" t="s">
        <v>0</v>
      </c>
      <c r="AA706" s="19" t="s">
        <v>0</v>
      </c>
    </row>
    <row r="707" spans="1:27" ht="15">
      <c r="A707" s="10">
        <f t="shared" si="21"/>
        <v>46500023</v>
      </c>
      <c r="B707" s="42" t="s">
        <v>1533</v>
      </c>
      <c r="C707" s="4" t="s">
        <v>270</v>
      </c>
      <c r="D707" s="11">
        <f>IFERROR(VLOOKUP(C707,ShipShapeEnum!$E:$F,2,FALSE),"-")</f>
        <v>6</v>
      </c>
      <c r="E707" s="19" t="s">
        <v>1532</v>
      </c>
      <c r="F707" s="4" t="s">
        <v>61</v>
      </c>
      <c r="G707" s="11">
        <f>IFERROR(VLOOKUP(F707,ShipShapeEnum!$B:$C,2,FALSE),"-")</f>
        <v>1</v>
      </c>
      <c r="H707" s="19" t="s">
        <v>0</v>
      </c>
      <c r="I707" s="19" t="s">
        <v>0</v>
      </c>
      <c r="J707" s="19" t="s">
        <v>0</v>
      </c>
      <c r="K707" s="19" t="s">
        <v>0</v>
      </c>
      <c r="L707" s="19" t="s">
        <v>0</v>
      </c>
      <c r="M707" s="4" t="s">
        <v>81</v>
      </c>
      <c r="N707" s="11">
        <f>IFERROR(VLOOKUP(M707,ShipShapeEnum!$H:$I,2,FALSE),"-")</f>
        <v>1</v>
      </c>
      <c r="O707" s="11" t="s">
        <v>2688</v>
      </c>
      <c r="P707" s="30"/>
      <c r="Q707" s="11" t="str">
        <f>IFERROR(INDEX(SailPattern!$A:$A,MATCH(P707,SailPattern!$B:$B,0)),"-")</f>
        <v>-</v>
      </c>
      <c r="R707" s="30"/>
      <c r="S707" s="11" t="str">
        <f>IFERROR(INDEX(SailCrest!$A:$A,MATCH(R707,SailCrest!$B:$B,0)),"-")</f>
        <v>-</v>
      </c>
      <c r="T707" s="19" t="s">
        <v>0</v>
      </c>
      <c r="U707" s="19" t="s">
        <v>0</v>
      </c>
      <c r="V707" s="19" t="s">
        <v>0</v>
      </c>
      <c r="W707" s="19" t="s">
        <v>0</v>
      </c>
      <c r="X707" s="19" t="s">
        <v>0</v>
      </c>
      <c r="Y707" s="19" t="s">
        <v>0</v>
      </c>
      <c r="Z707" s="19" t="s">
        <v>0</v>
      </c>
      <c r="AA707" s="19" t="s">
        <v>0</v>
      </c>
    </row>
    <row r="708" spans="1:27" ht="15">
      <c r="A708" s="10">
        <f t="shared" si="21"/>
        <v>46500024</v>
      </c>
      <c r="B708" s="42" t="s">
        <v>1560</v>
      </c>
      <c r="C708" s="4" t="s">
        <v>270</v>
      </c>
      <c r="D708" s="11">
        <f>IFERROR(VLOOKUP(C708,ShipShapeEnum!$E:$F,2,FALSE),"-")</f>
        <v>6</v>
      </c>
      <c r="E708" s="19" t="s">
        <v>1561</v>
      </c>
      <c r="F708" s="4" t="s">
        <v>61</v>
      </c>
      <c r="G708" s="11">
        <f>IFERROR(VLOOKUP(F708,ShipShapeEnum!$B:$C,2,FALSE),"-")</f>
        <v>1</v>
      </c>
      <c r="H708" s="19" t="s">
        <v>0</v>
      </c>
      <c r="I708" s="19" t="s">
        <v>0</v>
      </c>
      <c r="J708" s="19" t="s">
        <v>0</v>
      </c>
      <c r="K708" s="19" t="s">
        <v>0</v>
      </c>
      <c r="L708" s="19" t="s">
        <v>0</v>
      </c>
      <c r="M708" s="4" t="s">
        <v>81</v>
      </c>
      <c r="N708" s="11">
        <f>IFERROR(VLOOKUP(M708,ShipShapeEnum!$H:$I,2,FALSE),"-")</f>
        <v>1</v>
      </c>
      <c r="O708" s="11" t="s">
        <v>2688</v>
      </c>
      <c r="P708" s="30"/>
      <c r="Q708" s="11" t="str">
        <f>IFERROR(INDEX(SailPattern!$A:$A,MATCH(P708,SailPattern!$B:$B,0)),"-")</f>
        <v>-</v>
      </c>
      <c r="R708" s="30"/>
      <c r="S708" s="11" t="str">
        <f>IFERROR(INDEX(SailCrest!$A:$A,MATCH(R708,SailCrest!$B:$B,0)),"-")</f>
        <v>-</v>
      </c>
      <c r="T708" s="19" t="s">
        <v>0</v>
      </c>
      <c r="U708" s="19" t="s">
        <v>0</v>
      </c>
      <c r="V708" s="19" t="s">
        <v>0</v>
      </c>
      <c r="W708" s="19" t="s">
        <v>0</v>
      </c>
      <c r="X708" s="19" t="s">
        <v>0</v>
      </c>
      <c r="Y708" s="19" t="s">
        <v>0</v>
      </c>
      <c r="Z708" s="19" t="s">
        <v>0</v>
      </c>
      <c r="AA708" s="19" t="s">
        <v>0</v>
      </c>
    </row>
    <row r="709" spans="1:27" ht="15">
      <c r="A709" s="10">
        <f t="shared" si="21"/>
        <v>46500025</v>
      </c>
      <c r="B709" s="42" t="s">
        <v>1579</v>
      </c>
      <c r="C709" s="4" t="s">
        <v>270</v>
      </c>
      <c r="D709" s="11">
        <f>IFERROR(VLOOKUP(C709,ShipShapeEnum!$E:$F,2,FALSE),"-")</f>
        <v>6</v>
      </c>
      <c r="E709" s="19" t="s">
        <v>1578</v>
      </c>
      <c r="F709" s="4" t="s">
        <v>61</v>
      </c>
      <c r="G709" s="11">
        <f>IFERROR(VLOOKUP(F709,ShipShapeEnum!$B:$C,2,FALSE),"-")</f>
        <v>1</v>
      </c>
      <c r="H709" s="19" t="s">
        <v>0</v>
      </c>
      <c r="I709" s="19" t="s">
        <v>0</v>
      </c>
      <c r="J709" s="19" t="s">
        <v>0</v>
      </c>
      <c r="K709" s="19" t="s">
        <v>0</v>
      </c>
      <c r="L709" s="19" t="s">
        <v>0</v>
      </c>
      <c r="M709" s="4" t="s">
        <v>81</v>
      </c>
      <c r="N709" s="11">
        <f>IFERROR(VLOOKUP(M709,ShipShapeEnum!$H:$I,2,FALSE),"-")</f>
        <v>1</v>
      </c>
      <c r="O709" s="11" t="s">
        <v>2688</v>
      </c>
      <c r="P709" s="30"/>
      <c r="Q709" s="11" t="str">
        <f>IFERROR(INDEX(SailPattern!$A:$A,MATCH(P709,SailPattern!$B:$B,0)),"-")</f>
        <v>-</v>
      </c>
      <c r="R709" s="30"/>
      <c r="S709" s="11" t="str">
        <f>IFERROR(INDEX(SailCrest!$A:$A,MATCH(R709,SailCrest!$B:$B,0)),"-")</f>
        <v>-</v>
      </c>
      <c r="T709" s="19" t="s">
        <v>0</v>
      </c>
      <c r="U709" s="19" t="s">
        <v>0</v>
      </c>
      <c r="V709" s="19" t="s">
        <v>0</v>
      </c>
      <c r="W709" s="19" t="s">
        <v>0</v>
      </c>
      <c r="X709" s="19" t="s">
        <v>0</v>
      </c>
      <c r="Y709" s="19" t="s">
        <v>0</v>
      </c>
      <c r="Z709" s="19" t="s">
        <v>0</v>
      </c>
      <c r="AA709" s="19" t="s">
        <v>0</v>
      </c>
    </row>
    <row r="710" spans="1:27" ht="15">
      <c r="A710" s="10">
        <f t="shared" si="21"/>
        <v>46500026</v>
      </c>
      <c r="B710" s="42" t="s">
        <v>1584</v>
      </c>
      <c r="C710" s="4" t="s">
        <v>270</v>
      </c>
      <c r="D710" s="11">
        <f>IFERROR(VLOOKUP(C710,ShipShapeEnum!$E:$F,2,FALSE),"-")</f>
        <v>6</v>
      </c>
      <c r="E710" s="19" t="s">
        <v>1585</v>
      </c>
      <c r="F710" s="4" t="s">
        <v>61</v>
      </c>
      <c r="G710" s="11">
        <f>IFERROR(VLOOKUP(F710,ShipShapeEnum!$B:$C,2,FALSE),"-")</f>
        <v>1</v>
      </c>
      <c r="H710" s="19" t="s">
        <v>0</v>
      </c>
      <c r="I710" s="19" t="s">
        <v>0</v>
      </c>
      <c r="J710" s="19" t="s">
        <v>0</v>
      </c>
      <c r="K710" s="19" t="s">
        <v>0</v>
      </c>
      <c r="L710" s="19" t="s">
        <v>0</v>
      </c>
      <c r="M710" s="4" t="s">
        <v>81</v>
      </c>
      <c r="N710" s="11">
        <f>IFERROR(VLOOKUP(M710,ShipShapeEnum!$H:$I,2,FALSE),"-")</f>
        <v>1</v>
      </c>
      <c r="O710" s="11" t="s">
        <v>2688</v>
      </c>
      <c r="P710" s="30"/>
      <c r="Q710" s="11" t="str">
        <f>IFERROR(INDEX(SailPattern!$A:$A,MATCH(P710,SailPattern!$B:$B,0)),"-")</f>
        <v>-</v>
      </c>
      <c r="R710" s="30"/>
      <c r="S710" s="11" t="str">
        <f>IFERROR(INDEX(SailCrest!$A:$A,MATCH(R710,SailCrest!$B:$B,0)),"-")</f>
        <v>-</v>
      </c>
      <c r="T710" s="19" t="s">
        <v>0</v>
      </c>
      <c r="U710" s="19" t="s">
        <v>0</v>
      </c>
      <c r="V710" s="19" t="s">
        <v>0</v>
      </c>
      <c r="W710" s="19" t="s">
        <v>0</v>
      </c>
      <c r="X710" s="19" t="s">
        <v>0</v>
      </c>
      <c r="Y710" s="19" t="s">
        <v>0</v>
      </c>
      <c r="Z710" s="19" t="s">
        <v>0</v>
      </c>
      <c r="AA710" s="19" t="s">
        <v>0</v>
      </c>
    </row>
    <row r="711" spans="1:27" ht="15">
      <c r="A711" s="10">
        <f t="shared" si="21"/>
        <v>46500027</v>
      </c>
      <c r="B711" s="42" t="s">
        <v>1855</v>
      </c>
      <c r="C711" s="4" t="s">
        <v>270</v>
      </c>
      <c r="D711" s="11">
        <f>IFERROR(VLOOKUP(C711,ShipShapeEnum!$E:$F,2,FALSE),"-")</f>
        <v>6</v>
      </c>
      <c r="E711" s="19" t="s">
        <v>1856</v>
      </c>
      <c r="F711" s="4" t="s">
        <v>61</v>
      </c>
      <c r="G711" s="11">
        <f>IFERROR(VLOOKUP(F711,ShipShapeEnum!$B:$C,2,FALSE),"-")</f>
        <v>1</v>
      </c>
      <c r="H711" s="19" t="s">
        <v>0</v>
      </c>
      <c r="I711" s="19" t="s">
        <v>0</v>
      </c>
      <c r="J711" s="19" t="s">
        <v>0</v>
      </c>
      <c r="K711" s="19" t="s">
        <v>0</v>
      </c>
      <c r="L711" s="19" t="s">
        <v>0</v>
      </c>
      <c r="M711" s="4" t="s">
        <v>81</v>
      </c>
      <c r="N711" s="11">
        <f>IFERROR(VLOOKUP(M711,ShipShapeEnum!$H:$I,2,FALSE),"-")</f>
        <v>1</v>
      </c>
      <c r="O711" s="11" t="s">
        <v>2688</v>
      </c>
      <c r="P711" s="30"/>
      <c r="Q711" s="11" t="str">
        <f>IFERROR(INDEX(SailPattern!$A:$A,MATCH(P711,SailPattern!$B:$B,0)),"-")</f>
        <v>-</v>
      </c>
      <c r="R711" s="30"/>
      <c r="S711" s="11" t="str">
        <f>IFERROR(INDEX(SailCrest!$A:$A,MATCH(R711,SailCrest!$B:$B,0)),"-")</f>
        <v>-</v>
      </c>
      <c r="T711" s="19" t="s">
        <v>0</v>
      </c>
      <c r="U711" s="19" t="s">
        <v>0</v>
      </c>
      <c r="V711" s="19" t="s">
        <v>0</v>
      </c>
      <c r="W711" s="19" t="s">
        <v>0</v>
      </c>
      <c r="X711" s="19" t="s">
        <v>0</v>
      </c>
      <c r="Y711" s="19" t="s">
        <v>0</v>
      </c>
      <c r="Z711" s="19" t="s">
        <v>0</v>
      </c>
      <c r="AA711" s="19" t="s">
        <v>0</v>
      </c>
    </row>
    <row r="712" spans="1:27" ht="15">
      <c r="A712" s="10">
        <f t="shared" si="21"/>
        <v>46500028</v>
      </c>
      <c r="B712" s="42" t="s">
        <v>1864</v>
      </c>
      <c r="C712" s="4" t="s">
        <v>270</v>
      </c>
      <c r="D712" s="11">
        <f>IFERROR(VLOOKUP(C712,ShipShapeEnum!$E:$F,2,FALSE),"-")</f>
        <v>6</v>
      </c>
      <c r="E712" s="19" t="s">
        <v>1862</v>
      </c>
      <c r="F712" s="4" t="s">
        <v>61</v>
      </c>
      <c r="G712" s="11">
        <f>IFERROR(VLOOKUP(F712,ShipShapeEnum!$B:$C,2,FALSE),"-")</f>
        <v>1</v>
      </c>
      <c r="H712" s="19" t="s">
        <v>0</v>
      </c>
      <c r="I712" s="19" t="s">
        <v>0</v>
      </c>
      <c r="J712" s="19" t="s">
        <v>0</v>
      </c>
      <c r="K712" s="19" t="s">
        <v>0</v>
      </c>
      <c r="L712" s="19" t="s">
        <v>0</v>
      </c>
      <c r="M712" s="4" t="s">
        <v>81</v>
      </c>
      <c r="N712" s="11">
        <f>IFERROR(VLOOKUP(M712,ShipShapeEnum!$H:$I,2,FALSE),"-")</f>
        <v>1</v>
      </c>
      <c r="O712" s="11" t="s">
        <v>2688</v>
      </c>
      <c r="P712" s="30"/>
      <c r="Q712" s="11" t="str">
        <f>IFERROR(INDEX(SailPattern!$A:$A,MATCH(P712,SailPattern!$B:$B,0)),"-")</f>
        <v>-</v>
      </c>
      <c r="R712" s="30"/>
      <c r="S712" s="11" t="str">
        <f>IFERROR(INDEX(SailCrest!$A:$A,MATCH(R712,SailCrest!$B:$B,0)),"-")</f>
        <v>-</v>
      </c>
      <c r="T712" s="19" t="s">
        <v>0</v>
      </c>
      <c r="U712" s="19" t="s">
        <v>0</v>
      </c>
      <c r="V712" s="19" t="s">
        <v>0</v>
      </c>
      <c r="W712" s="19" t="s">
        <v>0</v>
      </c>
      <c r="X712" s="19" t="s">
        <v>0</v>
      </c>
      <c r="Y712" s="19" t="s">
        <v>0</v>
      </c>
      <c r="Z712" s="19" t="s">
        <v>0</v>
      </c>
      <c r="AA712" s="19" t="s">
        <v>0</v>
      </c>
    </row>
    <row r="713" spans="1:27" ht="15">
      <c r="A713" s="10">
        <f t="shared" si="21"/>
        <v>46500029</v>
      </c>
      <c r="B713" s="42" t="s">
        <v>1903</v>
      </c>
      <c r="C713" s="4" t="s">
        <v>270</v>
      </c>
      <c r="D713" s="11">
        <f>IFERROR(VLOOKUP(C713,ShipShapeEnum!$E:$F,2,FALSE),"-")</f>
        <v>6</v>
      </c>
      <c r="E713" s="19" t="s">
        <v>1904</v>
      </c>
      <c r="F713" s="4" t="s">
        <v>61</v>
      </c>
      <c r="G713" s="11">
        <f>IFERROR(VLOOKUP(F713,ShipShapeEnum!$B:$C,2,FALSE),"-")</f>
        <v>1</v>
      </c>
      <c r="H713" s="19" t="s">
        <v>0</v>
      </c>
      <c r="I713" s="19" t="s">
        <v>0</v>
      </c>
      <c r="J713" s="19" t="s">
        <v>0</v>
      </c>
      <c r="K713" s="19" t="s">
        <v>0</v>
      </c>
      <c r="L713" s="19" t="s">
        <v>0</v>
      </c>
      <c r="M713" s="4" t="s">
        <v>81</v>
      </c>
      <c r="N713" s="11">
        <f>IFERROR(VLOOKUP(M713,ShipShapeEnum!$H:$I,2,FALSE),"-")</f>
        <v>1</v>
      </c>
      <c r="O713" s="11" t="s">
        <v>2688</v>
      </c>
      <c r="P713" s="30"/>
      <c r="Q713" s="11" t="str">
        <f>IFERROR(INDEX(SailPattern!$A:$A,MATCH(P713,SailPattern!$B:$B,0)),"-")</f>
        <v>-</v>
      </c>
      <c r="R713" s="30"/>
      <c r="S713" s="11" t="str">
        <f>IFERROR(INDEX(SailCrest!$A:$A,MATCH(R713,SailCrest!$B:$B,0)),"-")</f>
        <v>-</v>
      </c>
      <c r="T713" s="19" t="s">
        <v>0</v>
      </c>
      <c r="U713" s="19" t="s">
        <v>0</v>
      </c>
      <c r="V713" s="19" t="s">
        <v>0</v>
      </c>
      <c r="W713" s="19" t="s">
        <v>0</v>
      </c>
      <c r="X713" s="19" t="s">
        <v>0</v>
      </c>
      <c r="Y713" s="19" t="s">
        <v>0</v>
      </c>
      <c r="Z713" s="19" t="s">
        <v>0</v>
      </c>
      <c r="AA713" s="19" t="s">
        <v>0</v>
      </c>
    </row>
    <row r="714" spans="1:27" ht="15">
      <c r="A714" s="10">
        <f t="shared" si="21"/>
        <v>46500030</v>
      </c>
      <c r="B714" s="42" t="s">
        <v>1969</v>
      </c>
      <c r="C714" s="4" t="s">
        <v>270</v>
      </c>
      <c r="D714" s="11">
        <f>IFERROR(VLOOKUP(C714,ShipShapeEnum!$E:$F,2,FALSE),"-")</f>
        <v>6</v>
      </c>
      <c r="E714" s="19" t="s">
        <v>1970</v>
      </c>
      <c r="F714" s="4" t="s">
        <v>61</v>
      </c>
      <c r="G714" s="11">
        <f>IFERROR(VLOOKUP(F714,ShipShapeEnum!$B:$C,2,FALSE),"-")</f>
        <v>1</v>
      </c>
      <c r="H714" s="19" t="s">
        <v>0</v>
      </c>
      <c r="I714" s="19" t="s">
        <v>0</v>
      </c>
      <c r="J714" s="19" t="s">
        <v>0</v>
      </c>
      <c r="K714" s="19" t="s">
        <v>0</v>
      </c>
      <c r="L714" s="19" t="s">
        <v>0</v>
      </c>
      <c r="M714" s="4" t="s">
        <v>81</v>
      </c>
      <c r="N714" s="11">
        <f>IFERROR(VLOOKUP(M714,ShipShapeEnum!$H:$I,2,FALSE),"-")</f>
        <v>1</v>
      </c>
      <c r="O714" s="11" t="s">
        <v>2688</v>
      </c>
      <c r="P714" s="30"/>
      <c r="Q714" s="11" t="str">
        <f>IFERROR(INDEX(SailPattern!$A:$A,MATCH(P714,SailPattern!$B:$B,0)),"-")</f>
        <v>-</v>
      </c>
      <c r="R714" s="30"/>
      <c r="S714" s="11" t="str">
        <f>IFERROR(INDEX(SailCrest!$A:$A,MATCH(R714,SailCrest!$B:$B,0)),"-")</f>
        <v>-</v>
      </c>
      <c r="T714" s="19" t="s">
        <v>0</v>
      </c>
      <c r="U714" s="19" t="s">
        <v>0</v>
      </c>
      <c r="V714" s="19" t="s">
        <v>0</v>
      </c>
      <c r="W714" s="19" t="s">
        <v>0</v>
      </c>
      <c r="X714" s="19" t="s">
        <v>0</v>
      </c>
      <c r="Y714" s="19" t="s">
        <v>0</v>
      </c>
      <c r="Z714" s="19" t="s">
        <v>0</v>
      </c>
      <c r="AA714" s="19" t="s">
        <v>0</v>
      </c>
    </row>
    <row r="715" spans="1:27" ht="15">
      <c r="A715" s="10">
        <f t="shared" si="21"/>
        <v>46500031</v>
      </c>
      <c r="B715" s="42" t="s">
        <v>1988</v>
      </c>
      <c r="C715" s="4" t="s">
        <v>270</v>
      </c>
      <c r="D715" s="11">
        <f>IFERROR(VLOOKUP(C715,ShipShapeEnum!$E:$F,2,FALSE),"-")</f>
        <v>6</v>
      </c>
      <c r="E715" s="19" t="s">
        <v>1989</v>
      </c>
      <c r="F715" s="4" t="s">
        <v>61</v>
      </c>
      <c r="G715" s="11">
        <f>IFERROR(VLOOKUP(F715,ShipShapeEnum!$B:$C,2,FALSE),"-")</f>
        <v>1</v>
      </c>
      <c r="H715" s="19" t="s">
        <v>0</v>
      </c>
      <c r="I715" s="19" t="s">
        <v>0</v>
      </c>
      <c r="J715" s="19" t="s">
        <v>0</v>
      </c>
      <c r="K715" s="19" t="s">
        <v>0</v>
      </c>
      <c r="L715" s="19" t="s">
        <v>0</v>
      </c>
      <c r="M715" s="4" t="s">
        <v>81</v>
      </c>
      <c r="N715" s="11">
        <f>IFERROR(VLOOKUP(M715,ShipShapeEnum!$H:$I,2,FALSE),"-")</f>
        <v>1</v>
      </c>
      <c r="O715" s="11" t="s">
        <v>2688</v>
      </c>
      <c r="P715" s="30"/>
      <c r="Q715" s="11" t="str">
        <f>IFERROR(INDEX(SailPattern!$A:$A,MATCH(P715,SailPattern!$B:$B,0)),"-")</f>
        <v>-</v>
      </c>
      <c r="R715" s="30"/>
      <c r="S715" s="11" t="str">
        <f>IFERROR(INDEX(SailCrest!$A:$A,MATCH(R715,SailCrest!$B:$B,0)),"-")</f>
        <v>-</v>
      </c>
      <c r="T715" s="19" t="s">
        <v>0</v>
      </c>
      <c r="U715" s="19" t="s">
        <v>0</v>
      </c>
      <c r="V715" s="19" t="s">
        <v>0</v>
      </c>
      <c r="W715" s="19" t="s">
        <v>0</v>
      </c>
      <c r="X715" s="19" t="s">
        <v>0</v>
      </c>
      <c r="Y715" s="19" t="s">
        <v>0</v>
      </c>
      <c r="Z715" s="19" t="s">
        <v>0</v>
      </c>
      <c r="AA715" s="19" t="s">
        <v>0</v>
      </c>
    </row>
    <row r="716" spans="1:27" ht="15">
      <c r="A716" s="10">
        <f t="shared" si="21"/>
        <v>46500032</v>
      </c>
      <c r="B716" s="42" t="s">
        <v>2143</v>
      </c>
      <c r="C716" s="4" t="s">
        <v>270</v>
      </c>
      <c r="D716" s="11">
        <f>IFERROR(VLOOKUP(C716,ShipShapeEnum!$E:$F,2,FALSE),"-")</f>
        <v>6</v>
      </c>
      <c r="E716" s="19" t="s">
        <v>2144</v>
      </c>
      <c r="F716" s="4" t="s">
        <v>61</v>
      </c>
      <c r="G716" s="11">
        <f>IFERROR(VLOOKUP(F716,ShipShapeEnum!$B:$C,2,FALSE),"-")</f>
        <v>1</v>
      </c>
      <c r="H716" s="19" t="s">
        <v>0</v>
      </c>
      <c r="I716" s="19" t="s">
        <v>0</v>
      </c>
      <c r="J716" s="19" t="s">
        <v>0</v>
      </c>
      <c r="K716" s="19" t="s">
        <v>0</v>
      </c>
      <c r="L716" s="19" t="s">
        <v>0</v>
      </c>
      <c r="M716" s="4" t="s">
        <v>81</v>
      </c>
      <c r="N716" s="11">
        <f>IFERROR(VLOOKUP(M716,ShipShapeEnum!$H:$I,2,FALSE),"-")</f>
        <v>1</v>
      </c>
      <c r="O716" s="11" t="s">
        <v>2688</v>
      </c>
      <c r="P716" s="30"/>
      <c r="Q716" s="11" t="str">
        <f>IFERROR(INDEX(SailPattern!$A:$A,MATCH(P716,SailPattern!$B:$B,0)),"-")</f>
        <v>-</v>
      </c>
      <c r="R716" s="30"/>
      <c r="S716" s="11" t="str">
        <f>IFERROR(INDEX(SailCrest!$A:$A,MATCH(R716,SailCrest!$B:$B,0)),"-")</f>
        <v>-</v>
      </c>
      <c r="T716" s="19" t="s">
        <v>0</v>
      </c>
      <c r="U716" s="19" t="s">
        <v>0</v>
      </c>
      <c r="V716" s="19" t="s">
        <v>0</v>
      </c>
      <c r="W716" s="19" t="s">
        <v>0</v>
      </c>
      <c r="X716" s="19" t="s">
        <v>0</v>
      </c>
      <c r="Y716" s="19" t="s">
        <v>0</v>
      </c>
      <c r="Z716" s="19" t="s">
        <v>0</v>
      </c>
      <c r="AA716" s="19" t="s">
        <v>0</v>
      </c>
    </row>
    <row r="717" spans="1:27" ht="15">
      <c r="A717" s="10">
        <f t="shared" si="21"/>
        <v>46500033</v>
      </c>
      <c r="B717" s="42" t="s">
        <v>2361</v>
      </c>
      <c r="C717" s="4" t="s">
        <v>270</v>
      </c>
      <c r="D717" s="11">
        <f>IFERROR(VLOOKUP(C717,ShipShapeEnum!$E:$F,2,FALSE),"-")</f>
        <v>6</v>
      </c>
      <c r="E717" s="19" t="s">
        <v>2362</v>
      </c>
      <c r="F717" s="4" t="s">
        <v>61</v>
      </c>
      <c r="G717" s="11">
        <f>IFERROR(VLOOKUP(F717,ShipShapeEnum!$B:$C,2,FALSE),"-")</f>
        <v>1</v>
      </c>
      <c r="H717" s="19" t="s">
        <v>0</v>
      </c>
      <c r="I717" s="19" t="s">
        <v>0</v>
      </c>
      <c r="J717" s="19" t="s">
        <v>0</v>
      </c>
      <c r="K717" s="19" t="s">
        <v>0</v>
      </c>
      <c r="L717" s="19" t="s">
        <v>0</v>
      </c>
      <c r="M717" s="4" t="s">
        <v>81</v>
      </c>
      <c r="N717" s="11">
        <f>IFERROR(VLOOKUP(M717,ShipShapeEnum!$H:$I,2,FALSE),"-")</f>
        <v>1</v>
      </c>
      <c r="O717" s="11" t="s">
        <v>2688</v>
      </c>
      <c r="P717" s="30"/>
      <c r="Q717" s="11" t="str">
        <f>IFERROR(INDEX(SailPattern!$A:$A,MATCH(P717,SailPattern!$B:$B,0)),"-")</f>
        <v>-</v>
      </c>
      <c r="R717" s="30"/>
      <c r="S717" s="11" t="str">
        <f>IFERROR(INDEX(SailCrest!$A:$A,MATCH(R717,SailCrest!$B:$B,0)),"-")</f>
        <v>-</v>
      </c>
      <c r="T717" s="19" t="s">
        <v>0</v>
      </c>
      <c r="U717" s="19" t="s">
        <v>0</v>
      </c>
      <c r="V717" s="19" t="s">
        <v>0</v>
      </c>
      <c r="W717" s="19" t="s">
        <v>0</v>
      </c>
      <c r="X717" s="19" t="s">
        <v>0</v>
      </c>
      <c r="Y717" s="19" t="s">
        <v>0</v>
      </c>
      <c r="Z717" s="19" t="s">
        <v>0</v>
      </c>
      <c r="AA717" s="19" t="s">
        <v>0</v>
      </c>
    </row>
    <row r="718" spans="1:27" ht="15">
      <c r="A718" s="10">
        <f t="shared" si="21"/>
        <v>46500034</v>
      </c>
      <c r="B718" s="42" t="s">
        <v>2366</v>
      </c>
      <c r="C718" s="4" t="s">
        <v>270</v>
      </c>
      <c r="D718" s="11">
        <f>IFERROR(VLOOKUP(C718,ShipShapeEnum!$E:$F,2,FALSE),"-")</f>
        <v>6</v>
      </c>
      <c r="E718" s="19" t="s">
        <v>2367</v>
      </c>
      <c r="F718" s="4" t="s">
        <v>61</v>
      </c>
      <c r="G718" s="11">
        <f>IFERROR(VLOOKUP(F718,ShipShapeEnum!$B:$C,2,FALSE),"-")</f>
        <v>1</v>
      </c>
      <c r="H718" s="19" t="s">
        <v>0</v>
      </c>
      <c r="I718" s="19" t="s">
        <v>0</v>
      </c>
      <c r="J718" s="19" t="s">
        <v>0</v>
      </c>
      <c r="K718" s="19" t="s">
        <v>0</v>
      </c>
      <c r="L718" s="19" t="s">
        <v>0</v>
      </c>
      <c r="M718" s="4" t="s">
        <v>81</v>
      </c>
      <c r="N718" s="11">
        <f>IFERROR(VLOOKUP(M718,ShipShapeEnum!$H:$I,2,FALSE),"-")</f>
        <v>1</v>
      </c>
      <c r="O718" s="11" t="s">
        <v>2688</v>
      </c>
      <c r="P718" s="30"/>
      <c r="Q718" s="11" t="str">
        <f>IFERROR(INDEX(SailPattern!$A:$A,MATCH(P718,SailPattern!$B:$B,0)),"-")</f>
        <v>-</v>
      </c>
      <c r="R718" s="30"/>
      <c r="S718" s="11" t="str">
        <f>IFERROR(INDEX(SailCrest!$A:$A,MATCH(R718,SailCrest!$B:$B,0)),"-")</f>
        <v>-</v>
      </c>
      <c r="T718" s="19" t="s">
        <v>0</v>
      </c>
      <c r="U718" s="19" t="s">
        <v>0</v>
      </c>
      <c r="V718" s="19" t="s">
        <v>0</v>
      </c>
      <c r="W718" s="19" t="s">
        <v>0</v>
      </c>
      <c r="X718" s="19" t="s">
        <v>0</v>
      </c>
      <c r="Y718" s="19" t="s">
        <v>0</v>
      </c>
      <c r="Z718" s="19" t="s">
        <v>0</v>
      </c>
      <c r="AA718" s="19" t="s">
        <v>0</v>
      </c>
    </row>
    <row r="719" spans="1:27" ht="15">
      <c r="A719" s="10">
        <f t="shared" si="21"/>
        <v>46500035</v>
      </c>
      <c r="B719" s="42" t="s">
        <v>2388</v>
      </c>
      <c r="C719" s="4" t="s">
        <v>270</v>
      </c>
      <c r="D719" s="11">
        <f>IFERROR(VLOOKUP(C719,ShipShapeEnum!$E:$F,2,FALSE),"-")</f>
        <v>6</v>
      </c>
      <c r="E719" s="19" t="s">
        <v>2389</v>
      </c>
      <c r="F719" s="4" t="s">
        <v>61</v>
      </c>
      <c r="G719" s="11">
        <f>IFERROR(VLOOKUP(F719,ShipShapeEnum!$B:$C,2,FALSE),"-")</f>
        <v>1</v>
      </c>
      <c r="H719" s="19" t="s">
        <v>0</v>
      </c>
      <c r="I719" s="19" t="s">
        <v>0</v>
      </c>
      <c r="J719" s="19" t="s">
        <v>0</v>
      </c>
      <c r="K719" s="19" t="s">
        <v>0</v>
      </c>
      <c r="L719" s="19" t="s">
        <v>0</v>
      </c>
      <c r="M719" s="4" t="s">
        <v>81</v>
      </c>
      <c r="N719" s="11">
        <f>IFERROR(VLOOKUP(M719,ShipShapeEnum!$H:$I,2,FALSE),"-")</f>
        <v>1</v>
      </c>
      <c r="O719" s="11" t="s">
        <v>2688</v>
      </c>
      <c r="P719" s="30"/>
      <c r="Q719" s="11" t="str">
        <f>IFERROR(INDEX(SailPattern!$A:$A,MATCH(P719,SailPattern!$B:$B,0)),"-")</f>
        <v>-</v>
      </c>
      <c r="R719" s="30"/>
      <c r="S719" s="11" t="str">
        <f>IFERROR(INDEX(SailCrest!$A:$A,MATCH(R719,SailCrest!$B:$B,0)),"-")</f>
        <v>-</v>
      </c>
      <c r="T719" s="19" t="s">
        <v>0</v>
      </c>
      <c r="U719" s="19" t="s">
        <v>0</v>
      </c>
      <c r="V719" s="19" t="s">
        <v>0</v>
      </c>
      <c r="W719" s="19" t="s">
        <v>0</v>
      </c>
      <c r="X719" s="19" t="s">
        <v>0</v>
      </c>
      <c r="Y719" s="19" t="s">
        <v>0</v>
      </c>
      <c r="Z719" s="19" t="s">
        <v>0</v>
      </c>
      <c r="AA719" s="19" t="s">
        <v>0</v>
      </c>
    </row>
    <row r="720" spans="1:27" ht="15">
      <c r="A720" s="10">
        <f t="shared" si="21"/>
        <v>46500036</v>
      </c>
      <c r="B720" s="42" t="s">
        <v>2398</v>
      </c>
      <c r="C720" s="4" t="s">
        <v>270</v>
      </c>
      <c r="D720" s="11">
        <f>IFERROR(VLOOKUP(C720,ShipShapeEnum!$E:$F,2,FALSE),"-")</f>
        <v>6</v>
      </c>
      <c r="E720" s="19" t="s">
        <v>2399</v>
      </c>
      <c r="F720" s="4" t="s">
        <v>61</v>
      </c>
      <c r="G720" s="11">
        <f>IFERROR(VLOOKUP(F720,ShipShapeEnum!$B:$C,2,FALSE),"-")</f>
        <v>1</v>
      </c>
      <c r="H720" s="19" t="s">
        <v>0</v>
      </c>
      <c r="I720" s="19" t="s">
        <v>0</v>
      </c>
      <c r="J720" s="19" t="s">
        <v>0</v>
      </c>
      <c r="K720" s="19" t="s">
        <v>0</v>
      </c>
      <c r="L720" s="19" t="s">
        <v>0</v>
      </c>
      <c r="M720" s="4" t="s">
        <v>81</v>
      </c>
      <c r="N720" s="11">
        <f>IFERROR(VLOOKUP(M720,ShipShapeEnum!$H:$I,2,FALSE),"-")</f>
        <v>1</v>
      </c>
      <c r="O720" s="11" t="s">
        <v>2688</v>
      </c>
      <c r="P720" s="30"/>
      <c r="Q720" s="11" t="str">
        <f>IFERROR(INDEX(SailPattern!$A:$A,MATCH(P720,SailPattern!$B:$B,0)),"-")</f>
        <v>-</v>
      </c>
      <c r="R720" s="30"/>
      <c r="S720" s="11" t="str">
        <f>IFERROR(INDEX(SailCrest!$A:$A,MATCH(R720,SailCrest!$B:$B,0)),"-")</f>
        <v>-</v>
      </c>
      <c r="T720" s="19" t="s">
        <v>0</v>
      </c>
      <c r="U720" s="19" t="s">
        <v>0</v>
      </c>
      <c r="V720" s="19" t="s">
        <v>0</v>
      </c>
      <c r="W720" s="19" t="s">
        <v>0</v>
      </c>
      <c r="X720" s="19" t="s">
        <v>0</v>
      </c>
      <c r="Y720" s="19" t="s">
        <v>0</v>
      </c>
      <c r="Z720" s="19" t="s">
        <v>0</v>
      </c>
      <c r="AA720" s="19" t="s">
        <v>0</v>
      </c>
    </row>
    <row r="721" spans="1:27" ht="15">
      <c r="A721" s="10">
        <f t="shared" si="21"/>
        <v>46500037</v>
      </c>
      <c r="B721" s="42" t="s">
        <v>2407</v>
      </c>
      <c r="C721" s="4" t="s">
        <v>270</v>
      </c>
      <c r="D721" s="11">
        <f>IFERROR(VLOOKUP(C721,ShipShapeEnum!$E:$F,2,FALSE),"-")</f>
        <v>6</v>
      </c>
      <c r="E721" s="19" t="s">
        <v>2403</v>
      </c>
      <c r="F721" s="4" t="s">
        <v>61</v>
      </c>
      <c r="G721" s="11">
        <f>IFERROR(VLOOKUP(F721,ShipShapeEnum!$B:$C,2,FALSE),"-")</f>
        <v>1</v>
      </c>
      <c r="H721" s="19" t="s">
        <v>0</v>
      </c>
      <c r="I721" s="19" t="s">
        <v>0</v>
      </c>
      <c r="J721" s="19" t="s">
        <v>0</v>
      </c>
      <c r="K721" s="19" t="s">
        <v>0</v>
      </c>
      <c r="L721" s="19" t="s">
        <v>0</v>
      </c>
      <c r="M721" s="4" t="s">
        <v>81</v>
      </c>
      <c r="N721" s="11">
        <f>IFERROR(VLOOKUP(M721,ShipShapeEnum!$H:$I,2,FALSE),"-")</f>
        <v>1</v>
      </c>
      <c r="O721" s="11" t="s">
        <v>2688</v>
      </c>
      <c r="P721" s="30"/>
      <c r="Q721" s="11" t="str">
        <f>IFERROR(INDEX(SailPattern!$A:$A,MATCH(P721,SailPattern!$B:$B,0)),"-")</f>
        <v>-</v>
      </c>
      <c r="R721" s="30"/>
      <c r="S721" s="11" t="str">
        <f>IFERROR(INDEX(SailCrest!$A:$A,MATCH(R721,SailCrest!$B:$B,0)),"-")</f>
        <v>-</v>
      </c>
      <c r="T721" s="19" t="s">
        <v>0</v>
      </c>
      <c r="U721" s="19" t="s">
        <v>0</v>
      </c>
      <c r="V721" s="19" t="s">
        <v>0</v>
      </c>
      <c r="W721" s="19" t="s">
        <v>0</v>
      </c>
      <c r="X721" s="19" t="s">
        <v>0</v>
      </c>
      <c r="Y721" s="19" t="s">
        <v>0</v>
      </c>
      <c r="Z721" s="19" t="s">
        <v>0</v>
      </c>
      <c r="AA721" s="19" t="s">
        <v>0</v>
      </c>
    </row>
    <row r="722" spans="1:27" ht="15">
      <c r="A722" s="10">
        <f t="shared" si="21"/>
        <v>46500038</v>
      </c>
      <c r="B722" s="42" t="s">
        <v>2421</v>
      </c>
      <c r="C722" s="4" t="s">
        <v>270</v>
      </c>
      <c r="D722" s="11">
        <f>IFERROR(VLOOKUP(C722,ShipShapeEnum!$E:$F,2,FALSE),"-")</f>
        <v>6</v>
      </c>
      <c r="E722" s="19" t="s">
        <v>2422</v>
      </c>
      <c r="F722" s="4" t="s">
        <v>61</v>
      </c>
      <c r="G722" s="11">
        <f>IFERROR(VLOOKUP(F722,ShipShapeEnum!$B:$C,2,FALSE),"-")</f>
        <v>1</v>
      </c>
      <c r="H722" s="19" t="s">
        <v>0</v>
      </c>
      <c r="I722" s="19" t="s">
        <v>0</v>
      </c>
      <c r="J722" s="19" t="s">
        <v>0</v>
      </c>
      <c r="K722" s="19" t="s">
        <v>0</v>
      </c>
      <c r="L722" s="19" t="s">
        <v>0</v>
      </c>
      <c r="M722" s="4" t="s">
        <v>81</v>
      </c>
      <c r="N722" s="11">
        <f>IFERROR(VLOOKUP(M722,ShipShapeEnum!$H:$I,2,FALSE),"-")</f>
        <v>1</v>
      </c>
      <c r="O722" s="11" t="s">
        <v>2688</v>
      </c>
      <c r="P722" s="30"/>
      <c r="Q722" s="11" t="str">
        <f>IFERROR(INDEX(SailPattern!$A:$A,MATCH(P722,SailPattern!$B:$B,0)),"-")</f>
        <v>-</v>
      </c>
      <c r="R722" s="30"/>
      <c r="S722" s="11" t="str">
        <f>IFERROR(INDEX(SailCrest!$A:$A,MATCH(R722,SailCrest!$B:$B,0)),"-")</f>
        <v>-</v>
      </c>
      <c r="T722" s="19" t="s">
        <v>0</v>
      </c>
      <c r="U722" s="19" t="s">
        <v>0</v>
      </c>
      <c r="V722" s="19" t="s">
        <v>0</v>
      </c>
      <c r="W722" s="19" t="s">
        <v>0</v>
      </c>
      <c r="X722" s="19" t="s">
        <v>0</v>
      </c>
      <c r="Y722" s="19" t="s">
        <v>0</v>
      </c>
      <c r="Z722" s="19" t="s">
        <v>0</v>
      </c>
      <c r="AA722" s="19" t="s">
        <v>0</v>
      </c>
    </row>
    <row r="723" spans="1:27" ht="15">
      <c r="A723" s="10">
        <f>A722+1</f>
        <v>46500039</v>
      </c>
      <c r="B723" s="42" t="s">
        <v>2774</v>
      </c>
      <c r="C723" s="4" t="s">
        <v>270</v>
      </c>
      <c r="D723" s="11">
        <f>IFERROR(VLOOKUP(C723,ShipShapeEnum!$E:$F,2,FALSE),"-")</f>
        <v>6</v>
      </c>
      <c r="E723" s="19" t="s">
        <v>2775</v>
      </c>
      <c r="F723" s="4" t="s">
        <v>61</v>
      </c>
      <c r="G723" s="11">
        <f>IFERROR(VLOOKUP(F723,ShipShapeEnum!$B:$C,2,FALSE),"-")</f>
        <v>1</v>
      </c>
      <c r="H723" s="19" t="s">
        <v>0</v>
      </c>
      <c r="I723" s="19" t="s">
        <v>0</v>
      </c>
      <c r="J723" s="19" t="s">
        <v>0</v>
      </c>
      <c r="K723" s="19" t="s">
        <v>0</v>
      </c>
      <c r="L723" s="19" t="s">
        <v>0</v>
      </c>
      <c r="M723" s="4" t="s">
        <v>81</v>
      </c>
      <c r="N723" s="11">
        <f>IFERROR(VLOOKUP(M723,ShipShapeEnum!$H:$I,2,FALSE),"-")</f>
        <v>1</v>
      </c>
      <c r="O723" s="11" t="s">
        <v>0</v>
      </c>
      <c r="P723" s="30"/>
      <c r="Q723" s="11" t="str">
        <f>IFERROR(INDEX(SailPattern!$A:$A,MATCH(P723,SailPattern!$B:$B,0)),"-")</f>
        <v>-</v>
      </c>
      <c r="R723" s="30"/>
      <c r="S723" s="11" t="str">
        <f>IFERROR(INDEX(SailCrest!$A:$A,MATCH(R723,SailCrest!$B:$B,0)),"-")</f>
        <v>-</v>
      </c>
      <c r="T723" s="19" t="s">
        <v>0</v>
      </c>
      <c r="U723" s="19" t="s">
        <v>0</v>
      </c>
      <c r="V723" s="19" t="s">
        <v>0</v>
      </c>
      <c r="W723" s="19" t="s">
        <v>0</v>
      </c>
      <c r="X723" s="19" t="s">
        <v>0</v>
      </c>
      <c r="Y723" s="19" t="s">
        <v>0</v>
      </c>
      <c r="Z723" s="19" t="s">
        <v>0</v>
      </c>
      <c r="AA723" s="19" t="s">
        <v>0</v>
      </c>
    </row>
    <row r="724" spans="1:27" ht="15">
      <c r="A724" s="10">
        <f>A723+1</f>
        <v>46500040</v>
      </c>
      <c r="B724" s="42" t="s">
        <v>2786</v>
      </c>
      <c r="C724" s="4" t="s">
        <v>270</v>
      </c>
      <c r="D724" s="11">
        <f>IFERROR(VLOOKUP(C724,ShipShapeEnum!$E:$F,2,FALSE),"-")</f>
        <v>6</v>
      </c>
      <c r="E724" s="19" t="s">
        <v>2775</v>
      </c>
      <c r="F724" s="4" t="s">
        <v>61</v>
      </c>
      <c r="G724" s="11">
        <f>IFERROR(VLOOKUP(F724,ShipShapeEnum!$B:$C,2,FALSE),"-")</f>
        <v>1</v>
      </c>
      <c r="H724" s="19" t="s">
        <v>0</v>
      </c>
      <c r="I724" s="19" t="s">
        <v>0</v>
      </c>
      <c r="J724" s="19" t="s">
        <v>0</v>
      </c>
      <c r="K724" s="19" t="s">
        <v>0</v>
      </c>
      <c r="L724" s="19" t="s">
        <v>0</v>
      </c>
      <c r="M724" s="4" t="s">
        <v>81</v>
      </c>
      <c r="N724" s="11">
        <f>IFERROR(VLOOKUP(M724,ShipShapeEnum!$H:$I,2,FALSE),"-")</f>
        <v>1</v>
      </c>
      <c r="O724" s="11" t="s">
        <v>0</v>
      </c>
      <c r="P724" s="30"/>
      <c r="Q724" s="11" t="str">
        <f>IFERROR(INDEX(SailPattern!$A:$A,MATCH(P724,SailPattern!$B:$B,0)),"-")</f>
        <v>-</v>
      </c>
      <c r="R724" s="30"/>
      <c r="S724" s="11" t="str">
        <f>IFERROR(INDEX(SailCrest!$A:$A,MATCH(R724,SailCrest!$B:$B,0)),"-")</f>
        <v>-</v>
      </c>
      <c r="T724" s="19" t="s">
        <v>0</v>
      </c>
      <c r="U724" s="19" t="s">
        <v>0</v>
      </c>
      <c r="V724" s="19" t="s">
        <v>0</v>
      </c>
      <c r="W724" s="19" t="s">
        <v>0</v>
      </c>
      <c r="X724" s="19" t="s">
        <v>0</v>
      </c>
      <c r="Y724" s="19" t="s">
        <v>0</v>
      </c>
      <c r="Z724" s="19" t="s">
        <v>0</v>
      </c>
      <c r="AA724" s="19" t="s">
        <v>0</v>
      </c>
    </row>
    <row r="725" spans="1:27" ht="15">
      <c r="A725" s="10">
        <f t="shared" ref="A725:A726" si="22">A724+1</f>
        <v>46500041</v>
      </c>
      <c r="B725" s="42" t="s">
        <v>2813</v>
      </c>
      <c r="C725" s="4" t="s">
        <v>270</v>
      </c>
      <c r="D725" s="11">
        <f>IFERROR(VLOOKUP(C725,ShipShapeEnum!$E:$F,2,FALSE),"-")</f>
        <v>6</v>
      </c>
      <c r="E725" s="19" t="s">
        <v>2816</v>
      </c>
      <c r="F725" s="4" t="s">
        <v>61</v>
      </c>
      <c r="G725" s="11">
        <f>IFERROR(VLOOKUP(F725,ShipShapeEnum!$B:$C,2,FALSE),"-")</f>
        <v>1</v>
      </c>
      <c r="H725" s="19" t="s">
        <v>0</v>
      </c>
      <c r="I725" s="19" t="s">
        <v>0</v>
      </c>
      <c r="J725" s="19" t="s">
        <v>0</v>
      </c>
      <c r="K725" s="19" t="s">
        <v>0</v>
      </c>
      <c r="L725" s="19" t="s">
        <v>0</v>
      </c>
      <c r="M725" s="4" t="s">
        <v>81</v>
      </c>
      <c r="N725" s="11">
        <f>IFERROR(VLOOKUP(M725,ShipShapeEnum!$H:$I,2,FALSE),"-")</f>
        <v>1</v>
      </c>
      <c r="O725" s="11" t="s">
        <v>0</v>
      </c>
      <c r="P725" s="30"/>
      <c r="Q725" s="11" t="str">
        <f>IFERROR(INDEX(SailPattern!$A:$A,MATCH(P725,SailPattern!$B:$B,0)),"-")</f>
        <v>-</v>
      </c>
      <c r="R725" s="30"/>
      <c r="S725" s="11" t="str">
        <f>IFERROR(INDEX(SailCrest!$A:$A,MATCH(R725,SailCrest!$B:$B,0)),"-")</f>
        <v>-</v>
      </c>
      <c r="T725" s="19" t="s">
        <v>0</v>
      </c>
      <c r="U725" s="19" t="s">
        <v>0</v>
      </c>
      <c r="V725" s="19" t="s">
        <v>0</v>
      </c>
      <c r="W725" s="19" t="s">
        <v>0</v>
      </c>
      <c r="X725" s="19" t="s">
        <v>0</v>
      </c>
      <c r="Y725" s="19" t="s">
        <v>0</v>
      </c>
      <c r="Z725" s="19" t="s">
        <v>0</v>
      </c>
      <c r="AA725" s="19" t="s">
        <v>0</v>
      </c>
    </row>
    <row r="726" spans="1:27" ht="15">
      <c r="A726" s="10">
        <f t="shared" si="22"/>
        <v>46500042</v>
      </c>
      <c r="B726" s="42" t="s">
        <v>2815</v>
      </c>
      <c r="C726" s="4" t="s">
        <v>270</v>
      </c>
      <c r="D726" s="11">
        <f>IFERROR(VLOOKUP(C726,ShipShapeEnum!$E:$F,2,FALSE),"-")</f>
        <v>6</v>
      </c>
      <c r="E726" s="19" t="s">
        <v>2817</v>
      </c>
      <c r="F726" s="4" t="s">
        <v>61</v>
      </c>
      <c r="G726" s="11">
        <f>IFERROR(VLOOKUP(F726,ShipShapeEnum!$B:$C,2,FALSE),"-")</f>
        <v>1</v>
      </c>
      <c r="H726" s="19" t="s">
        <v>0</v>
      </c>
      <c r="I726" s="19" t="s">
        <v>0</v>
      </c>
      <c r="J726" s="19" t="s">
        <v>0</v>
      </c>
      <c r="K726" s="19" t="s">
        <v>0</v>
      </c>
      <c r="L726" s="19" t="s">
        <v>0</v>
      </c>
      <c r="M726" s="4" t="s">
        <v>81</v>
      </c>
      <c r="N726" s="11">
        <f>IFERROR(VLOOKUP(M726,ShipShapeEnum!$H:$I,2,FALSE),"-")</f>
        <v>1</v>
      </c>
      <c r="O726" s="11" t="s">
        <v>0</v>
      </c>
      <c r="P726" s="30"/>
      <c r="Q726" s="11" t="str">
        <f>IFERROR(INDEX(SailPattern!$A:$A,MATCH(P726,SailPattern!$B:$B,0)),"-")</f>
        <v>-</v>
      </c>
      <c r="R726" s="30"/>
      <c r="S726" s="11" t="str">
        <f>IFERROR(INDEX(SailCrest!$A:$A,MATCH(R726,SailCrest!$B:$B,0)),"-")</f>
        <v>-</v>
      </c>
      <c r="T726" s="19" t="s">
        <v>0</v>
      </c>
      <c r="U726" s="19" t="s">
        <v>0</v>
      </c>
      <c r="V726" s="19" t="s">
        <v>0</v>
      </c>
      <c r="W726" s="19" t="s">
        <v>0</v>
      </c>
      <c r="X726" s="19" t="s">
        <v>0</v>
      </c>
      <c r="Y726" s="19" t="s">
        <v>0</v>
      </c>
      <c r="Z726" s="19" t="s">
        <v>0</v>
      </c>
      <c r="AA726" s="19" t="s">
        <v>0</v>
      </c>
    </row>
    <row r="727" spans="1:27" ht="15">
      <c r="A727" s="10">
        <f t="shared" ref="A727:A756" si="23">A726+1</f>
        <v>46500043</v>
      </c>
      <c r="B727" s="42" t="s">
        <v>2939</v>
      </c>
      <c r="C727" s="4" t="s">
        <v>270</v>
      </c>
      <c r="D727" s="11">
        <f>IFERROR(VLOOKUP(C727,ShipShapeEnum!$E:$F,2,FALSE),"-")</f>
        <v>6</v>
      </c>
      <c r="E727" s="19" t="s">
        <v>2940</v>
      </c>
      <c r="F727" s="4" t="s">
        <v>61</v>
      </c>
      <c r="G727" s="11">
        <f>IFERROR(VLOOKUP(F727,ShipShapeEnum!$B:$C,2,FALSE),"-")</f>
        <v>1</v>
      </c>
      <c r="H727" s="19" t="s">
        <v>0</v>
      </c>
      <c r="I727" s="19" t="s">
        <v>0</v>
      </c>
      <c r="J727" s="19" t="s">
        <v>0</v>
      </c>
      <c r="K727" s="19" t="s">
        <v>0</v>
      </c>
      <c r="L727" s="19" t="s">
        <v>0</v>
      </c>
      <c r="M727" s="4" t="s">
        <v>81</v>
      </c>
      <c r="N727" s="11">
        <f>IFERROR(VLOOKUP(M727,ShipShapeEnum!$H:$I,2,FALSE),"-")</f>
        <v>1</v>
      </c>
      <c r="O727" s="11" t="s">
        <v>0</v>
      </c>
      <c r="P727" s="30"/>
      <c r="Q727" s="11" t="str">
        <f>IFERROR(INDEX(SailPattern!$A:$A,MATCH(P727,SailPattern!$B:$B,0)),"-")</f>
        <v>-</v>
      </c>
      <c r="R727" s="30"/>
      <c r="S727" s="11" t="str">
        <f>IFERROR(INDEX(SailCrest!$A:$A,MATCH(R727,SailCrest!$B:$B,0)),"-")</f>
        <v>-</v>
      </c>
      <c r="T727" s="19" t="s">
        <v>0</v>
      </c>
      <c r="U727" s="19" t="s">
        <v>0</v>
      </c>
      <c r="V727" s="19" t="s">
        <v>0</v>
      </c>
      <c r="W727" s="19" t="s">
        <v>0</v>
      </c>
      <c r="X727" s="19" t="s">
        <v>0</v>
      </c>
      <c r="Y727" s="19" t="s">
        <v>0</v>
      </c>
      <c r="Z727" s="19" t="s">
        <v>0</v>
      </c>
      <c r="AA727" s="19" t="s">
        <v>0</v>
      </c>
    </row>
    <row r="728" spans="1:27" ht="15">
      <c r="A728" s="10">
        <f t="shared" si="23"/>
        <v>46500044</v>
      </c>
      <c r="B728" s="42" t="s">
        <v>2960</v>
      </c>
      <c r="C728" s="4" t="s">
        <v>270</v>
      </c>
      <c r="D728" s="11">
        <f>IFERROR(VLOOKUP(C728,ShipShapeEnum!$E:$F,2,FALSE),"-")</f>
        <v>6</v>
      </c>
      <c r="E728" s="19" t="s">
        <v>2957</v>
      </c>
      <c r="F728" s="4" t="s">
        <v>61</v>
      </c>
      <c r="G728" s="11">
        <f>IFERROR(VLOOKUP(F728,ShipShapeEnum!$B:$C,2,FALSE),"-")</f>
        <v>1</v>
      </c>
      <c r="H728" s="19" t="s">
        <v>0</v>
      </c>
      <c r="I728" s="19" t="s">
        <v>0</v>
      </c>
      <c r="J728" s="19" t="s">
        <v>0</v>
      </c>
      <c r="K728" s="19" t="s">
        <v>0</v>
      </c>
      <c r="L728" s="19" t="s">
        <v>0</v>
      </c>
      <c r="M728" s="4" t="s">
        <v>81</v>
      </c>
      <c r="N728" s="11">
        <f>IFERROR(VLOOKUP(M728,ShipShapeEnum!$H:$I,2,FALSE),"-")</f>
        <v>1</v>
      </c>
      <c r="O728" s="11" t="s">
        <v>0</v>
      </c>
      <c r="P728" s="30"/>
      <c r="Q728" s="11" t="str">
        <f>IFERROR(INDEX(SailPattern!$A:$A,MATCH(P728,SailPattern!$B:$B,0)),"-")</f>
        <v>-</v>
      </c>
      <c r="R728" s="30"/>
      <c r="S728" s="11" t="str">
        <f>IFERROR(INDEX(SailCrest!$A:$A,MATCH(R728,SailCrest!$B:$B,0)),"-")</f>
        <v>-</v>
      </c>
      <c r="T728" s="19" t="s">
        <v>0</v>
      </c>
      <c r="U728" s="19" t="s">
        <v>0</v>
      </c>
      <c r="V728" s="19" t="s">
        <v>0</v>
      </c>
      <c r="W728" s="19" t="s">
        <v>0</v>
      </c>
      <c r="X728" s="19" t="s">
        <v>0</v>
      </c>
      <c r="Y728" s="19" t="s">
        <v>0</v>
      </c>
      <c r="Z728" s="19" t="s">
        <v>0</v>
      </c>
      <c r="AA728" s="19" t="s">
        <v>0</v>
      </c>
    </row>
    <row r="729" spans="1:27" ht="15">
      <c r="A729" s="10">
        <f t="shared" si="23"/>
        <v>46500045</v>
      </c>
      <c r="B729" s="230" t="s">
        <v>3001</v>
      </c>
      <c r="C729" s="4" t="s">
        <v>270</v>
      </c>
      <c r="D729" s="11">
        <f>IFERROR(VLOOKUP(C729,ShipShapeEnum!$E:$F,2,FALSE),"-")</f>
        <v>6</v>
      </c>
      <c r="E729" s="230" t="s">
        <v>567</v>
      </c>
      <c r="F729" s="4" t="s">
        <v>61</v>
      </c>
      <c r="G729" s="11">
        <f>IFERROR(VLOOKUP(F729,ShipShapeEnum!$B:$C,2,FALSE),"-")</f>
        <v>1</v>
      </c>
      <c r="H729" s="19" t="s">
        <v>0</v>
      </c>
      <c r="I729" s="19" t="s">
        <v>0</v>
      </c>
      <c r="J729" s="19" t="s">
        <v>0</v>
      </c>
      <c r="K729" s="19" t="s">
        <v>0</v>
      </c>
      <c r="L729" s="19" t="s">
        <v>0</v>
      </c>
      <c r="M729" s="4" t="s">
        <v>81</v>
      </c>
      <c r="N729" s="11">
        <f>IFERROR(VLOOKUP(M729,ShipShapeEnum!$H:$I,2,FALSE),"-")</f>
        <v>1</v>
      </c>
      <c r="O729" s="11" t="s">
        <v>0</v>
      </c>
      <c r="P729" s="30"/>
      <c r="Q729" s="11" t="str">
        <f>IFERROR(INDEX(SailPattern!$A:$A,MATCH(P729,SailPattern!$B:$B,0)),"-")</f>
        <v>-</v>
      </c>
      <c r="R729" s="30"/>
      <c r="S729" s="11" t="str">
        <f>IFERROR(INDEX(SailCrest!$A:$A,MATCH(R729,SailCrest!$B:$B,0)),"-")</f>
        <v>-</v>
      </c>
      <c r="T729" s="19" t="s">
        <v>0</v>
      </c>
      <c r="U729" s="19" t="s">
        <v>0</v>
      </c>
      <c r="V729" s="19" t="s">
        <v>0</v>
      </c>
      <c r="W729" s="19" t="s">
        <v>0</v>
      </c>
      <c r="X729" s="19" t="s">
        <v>0</v>
      </c>
      <c r="Y729" s="19" t="s">
        <v>0</v>
      </c>
      <c r="Z729" s="19" t="s">
        <v>0</v>
      </c>
      <c r="AA729" s="19" t="s">
        <v>0</v>
      </c>
    </row>
    <row r="730" spans="1:27" ht="15">
      <c r="A730" s="10">
        <f t="shared" si="23"/>
        <v>46500046</v>
      </c>
      <c r="B730" s="42" t="s">
        <v>3046</v>
      </c>
      <c r="C730" s="4" t="s">
        <v>270</v>
      </c>
      <c r="D730" s="11">
        <f>IFERROR(VLOOKUP(C730,ShipShapeEnum!$E:$F,2,FALSE),"-")</f>
        <v>6</v>
      </c>
      <c r="E730" s="19" t="s">
        <v>3044</v>
      </c>
      <c r="F730" s="4" t="s">
        <v>61</v>
      </c>
      <c r="G730" s="11">
        <f>IFERROR(VLOOKUP(F730,ShipShapeEnum!$B:$C,2,FALSE),"-")</f>
        <v>1</v>
      </c>
      <c r="H730" s="19" t="s">
        <v>0</v>
      </c>
      <c r="I730" s="19" t="s">
        <v>0</v>
      </c>
      <c r="J730" s="19" t="s">
        <v>0</v>
      </c>
      <c r="K730" s="19" t="s">
        <v>0</v>
      </c>
      <c r="L730" s="19" t="s">
        <v>0</v>
      </c>
      <c r="M730" s="4" t="s">
        <v>81</v>
      </c>
      <c r="N730" s="11">
        <f>IFERROR(VLOOKUP(M730,ShipShapeEnum!$H:$I,2,FALSE),"-")</f>
        <v>1</v>
      </c>
      <c r="O730" s="11" t="s">
        <v>0</v>
      </c>
      <c r="P730" s="30"/>
      <c r="Q730" s="11" t="str">
        <f>IFERROR(INDEX(SailPattern!$A:$A,MATCH(P730,SailPattern!$B:$B,0)),"-")</f>
        <v>-</v>
      </c>
      <c r="R730" s="30"/>
      <c r="S730" s="11" t="str">
        <f>IFERROR(INDEX(SailCrest!$A:$A,MATCH(R730,SailCrest!$B:$B,0)),"-")</f>
        <v>-</v>
      </c>
      <c r="T730" s="19" t="s">
        <v>0</v>
      </c>
      <c r="U730" s="19" t="s">
        <v>0</v>
      </c>
      <c r="V730" s="19" t="s">
        <v>0</v>
      </c>
      <c r="W730" s="19" t="s">
        <v>0</v>
      </c>
      <c r="X730" s="19" t="s">
        <v>0</v>
      </c>
      <c r="Y730" s="19" t="s">
        <v>0</v>
      </c>
      <c r="Z730" s="19" t="s">
        <v>0</v>
      </c>
      <c r="AA730" s="19" t="s">
        <v>0</v>
      </c>
    </row>
    <row r="731" spans="1:27" ht="15">
      <c r="A731" s="10">
        <f t="shared" si="23"/>
        <v>46500047</v>
      </c>
      <c r="B731" s="42" t="s">
        <v>3080</v>
      </c>
      <c r="C731" s="4" t="s">
        <v>270</v>
      </c>
      <c r="D731" s="11">
        <f>IFERROR(VLOOKUP(C731,ShipShapeEnum!$E:$F,2,FALSE),"-")</f>
        <v>6</v>
      </c>
      <c r="E731" s="19" t="s">
        <v>3081</v>
      </c>
      <c r="F731" s="4" t="s">
        <v>61</v>
      </c>
      <c r="G731" s="11">
        <f>IFERROR(VLOOKUP(F731,ShipShapeEnum!$B:$C,2,FALSE),"-")</f>
        <v>1</v>
      </c>
      <c r="H731" s="19" t="s">
        <v>0</v>
      </c>
      <c r="I731" s="19" t="s">
        <v>0</v>
      </c>
      <c r="J731" s="19" t="s">
        <v>0</v>
      </c>
      <c r="K731" s="19" t="s">
        <v>0</v>
      </c>
      <c r="L731" s="19" t="s">
        <v>0</v>
      </c>
      <c r="M731" s="4" t="s">
        <v>81</v>
      </c>
      <c r="N731" s="11">
        <f>IFERROR(VLOOKUP(M731,ShipShapeEnum!$H:$I,2,FALSE),"-")</f>
        <v>1</v>
      </c>
      <c r="O731" s="11" t="s">
        <v>0</v>
      </c>
      <c r="P731" s="30"/>
      <c r="Q731" s="11" t="str">
        <f>IFERROR(INDEX(SailPattern!$A:$A,MATCH(P731,SailPattern!$B:$B,0)),"-")</f>
        <v>-</v>
      </c>
      <c r="R731" s="30"/>
      <c r="S731" s="11" t="str">
        <f>IFERROR(INDEX(SailCrest!$A:$A,MATCH(R731,SailCrest!$B:$B,0)),"-")</f>
        <v>-</v>
      </c>
      <c r="T731" s="19" t="s">
        <v>0</v>
      </c>
      <c r="U731" s="19" t="s">
        <v>0</v>
      </c>
      <c r="V731" s="19" t="s">
        <v>0</v>
      </c>
      <c r="W731" s="19" t="s">
        <v>0</v>
      </c>
      <c r="X731" s="19" t="s">
        <v>0</v>
      </c>
      <c r="Y731" s="19" t="s">
        <v>0</v>
      </c>
      <c r="Z731" s="19" t="s">
        <v>0</v>
      </c>
      <c r="AA731" s="19" t="s">
        <v>0</v>
      </c>
    </row>
    <row r="732" spans="1:27" ht="15">
      <c r="A732" s="10">
        <f t="shared" si="23"/>
        <v>46500048</v>
      </c>
      <c r="B732" s="42" t="s">
        <v>3109</v>
      </c>
      <c r="C732" s="4" t="s">
        <v>270</v>
      </c>
      <c r="D732" s="11">
        <f>IFERROR(VLOOKUP(C732,ShipShapeEnum!$E:$F,2,FALSE),"-")</f>
        <v>6</v>
      </c>
      <c r="E732" s="19" t="s">
        <v>3107</v>
      </c>
      <c r="F732" s="4" t="s">
        <v>61</v>
      </c>
      <c r="G732" s="11">
        <f>IFERROR(VLOOKUP(F732,ShipShapeEnum!$B:$C,2,FALSE),"-")</f>
        <v>1</v>
      </c>
      <c r="H732" s="19" t="s">
        <v>0</v>
      </c>
      <c r="I732" s="19" t="s">
        <v>0</v>
      </c>
      <c r="J732" s="19" t="s">
        <v>0</v>
      </c>
      <c r="K732" s="19" t="s">
        <v>0</v>
      </c>
      <c r="L732" s="19" t="s">
        <v>0</v>
      </c>
      <c r="M732" s="4" t="s">
        <v>81</v>
      </c>
      <c r="N732" s="11">
        <f>IFERROR(VLOOKUP(M732,ShipShapeEnum!$H:$I,2,FALSE),"-")</f>
        <v>1</v>
      </c>
      <c r="O732" s="11" t="s">
        <v>0</v>
      </c>
      <c r="P732" s="30"/>
      <c r="Q732" s="11" t="str">
        <f>IFERROR(INDEX(SailPattern!$A:$A,MATCH(P732,SailPattern!$B:$B,0)),"-")</f>
        <v>-</v>
      </c>
      <c r="R732" s="30"/>
      <c r="S732" s="11" t="str">
        <f>IFERROR(INDEX(SailCrest!$A:$A,MATCH(R732,SailCrest!$B:$B,0)),"-")</f>
        <v>-</v>
      </c>
      <c r="T732" s="19" t="s">
        <v>0</v>
      </c>
      <c r="U732" s="19" t="s">
        <v>0</v>
      </c>
      <c r="V732" s="19" t="s">
        <v>0</v>
      </c>
      <c r="W732" s="19" t="s">
        <v>0</v>
      </c>
      <c r="X732" s="19" t="s">
        <v>0</v>
      </c>
      <c r="Y732" s="19" t="s">
        <v>0</v>
      </c>
      <c r="Z732" s="19" t="s">
        <v>0</v>
      </c>
      <c r="AA732" s="19" t="s">
        <v>0</v>
      </c>
    </row>
    <row r="733" spans="1:27" ht="15">
      <c r="A733" s="10">
        <f t="shared" si="23"/>
        <v>46500049</v>
      </c>
      <c r="B733" s="42" t="s">
        <v>3123</v>
      </c>
      <c r="C733" s="4" t="s">
        <v>270</v>
      </c>
      <c r="D733" s="11">
        <f>IFERROR(VLOOKUP(C733,ShipShapeEnum!$E:$F,2,FALSE),"-")</f>
        <v>6</v>
      </c>
      <c r="E733" s="19" t="s">
        <v>3124</v>
      </c>
      <c r="F733" s="4" t="s">
        <v>61</v>
      </c>
      <c r="G733" s="11">
        <f>IFERROR(VLOOKUP(F733,ShipShapeEnum!$B:$C,2,FALSE),"-")</f>
        <v>1</v>
      </c>
      <c r="H733" s="19" t="s">
        <v>0</v>
      </c>
      <c r="I733" s="19" t="s">
        <v>0</v>
      </c>
      <c r="J733" s="19" t="s">
        <v>0</v>
      </c>
      <c r="K733" s="19" t="s">
        <v>0</v>
      </c>
      <c r="L733" s="19" t="s">
        <v>0</v>
      </c>
      <c r="M733" s="4" t="s">
        <v>81</v>
      </c>
      <c r="N733" s="11">
        <f>IFERROR(VLOOKUP(M733,ShipShapeEnum!$H:$I,2,FALSE),"-")</f>
        <v>1</v>
      </c>
      <c r="O733" s="11" t="s">
        <v>0</v>
      </c>
      <c r="P733" s="30"/>
      <c r="Q733" s="11" t="str">
        <f>IFERROR(INDEX(SailPattern!$A:$A,MATCH(P733,SailPattern!$B:$B,0)),"-")</f>
        <v>-</v>
      </c>
      <c r="R733" s="30"/>
      <c r="S733" s="11" t="str">
        <f>IFERROR(INDEX(SailCrest!$A:$A,MATCH(R733,SailCrest!$B:$B,0)),"-")</f>
        <v>-</v>
      </c>
      <c r="T733" s="19" t="s">
        <v>0</v>
      </c>
      <c r="U733" s="19" t="s">
        <v>0</v>
      </c>
      <c r="V733" s="19" t="s">
        <v>0</v>
      </c>
      <c r="W733" s="19" t="s">
        <v>0</v>
      </c>
      <c r="X733" s="19" t="s">
        <v>0</v>
      </c>
      <c r="Y733" s="19" t="s">
        <v>0</v>
      </c>
      <c r="Z733" s="19" t="s">
        <v>0</v>
      </c>
      <c r="AA733" s="19" t="s">
        <v>0</v>
      </c>
    </row>
    <row r="734" spans="1:27" ht="15">
      <c r="A734" s="10">
        <f t="shared" si="23"/>
        <v>46500050</v>
      </c>
      <c r="B734" s="42" t="s">
        <v>3232</v>
      </c>
      <c r="C734" s="4" t="s">
        <v>270</v>
      </c>
      <c r="D734" s="11">
        <f>IFERROR(VLOOKUP(C734,ShipShapeEnum!$E:$F,2,FALSE),"-")</f>
        <v>6</v>
      </c>
      <c r="E734" s="19" t="s">
        <v>3229</v>
      </c>
      <c r="F734" s="4" t="s">
        <v>61</v>
      </c>
      <c r="G734" s="11">
        <f>IFERROR(VLOOKUP(F734,ShipShapeEnum!$B:$C,2,FALSE),"-")</f>
        <v>1</v>
      </c>
      <c r="H734" s="19" t="s">
        <v>0</v>
      </c>
      <c r="I734" s="19" t="s">
        <v>0</v>
      </c>
      <c r="J734" s="19" t="s">
        <v>0</v>
      </c>
      <c r="K734" s="19" t="s">
        <v>0</v>
      </c>
      <c r="L734" s="19" t="s">
        <v>0</v>
      </c>
      <c r="M734" s="4" t="s">
        <v>81</v>
      </c>
      <c r="N734" s="11">
        <f>IFERROR(VLOOKUP(M734,ShipShapeEnum!$H:$I,2,FALSE),"-")</f>
        <v>1</v>
      </c>
      <c r="O734" s="11" t="s">
        <v>0</v>
      </c>
      <c r="P734" s="30"/>
      <c r="Q734" s="11" t="str">
        <f>IFERROR(INDEX(SailPattern!$A:$A,MATCH(P734,SailPattern!$B:$B,0)),"-")</f>
        <v>-</v>
      </c>
      <c r="R734" s="30"/>
      <c r="S734" s="11" t="str">
        <f>IFERROR(INDEX(SailCrest!$A:$A,MATCH(R734,SailCrest!$B:$B,0)),"-")</f>
        <v>-</v>
      </c>
      <c r="T734" s="19" t="s">
        <v>0</v>
      </c>
      <c r="U734" s="19" t="s">
        <v>0</v>
      </c>
      <c r="V734" s="19" t="s">
        <v>0</v>
      </c>
      <c r="W734" s="19" t="s">
        <v>0</v>
      </c>
      <c r="X734" s="19" t="s">
        <v>0</v>
      </c>
      <c r="Y734" s="19" t="s">
        <v>0</v>
      </c>
      <c r="Z734" s="19" t="s">
        <v>0</v>
      </c>
      <c r="AA734" s="19" t="s">
        <v>0</v>
      </c>
    </row>
    <row r="735" spans="1:27" ht="15">
      <c r="A735" s="10">
        <f t="shared" si="23"/>
        <v>46500051</v>
      </c>
      <c r="B735" s="42" t="s">
        <v>3286</v>
      </c>
      <c r="C735" s="4" t="s">
        <v>270</v>
      </c>
      <c r="D735" s="11">
        <f>IFERROR(VLOOKUP(C735,ShipShapeEnum!$E:$F,2,FALSE),"-")</f>
        <v>6</v>
      </c>
      <c r="E735" s="19" t="s">
        <v>3287</v>
      </c>
      <c r="F735" s="4" t="s">
        <v>61</v>
      </c>
      <c r="G735" s="11">
        <f>IFERROR(VLOOKUP(F735,ShipShapeEnum!$B:$C,2,FALSE),"-")</f>
        <v>1</v>
      </c>
      <c r="H735" s="19" t="s">
        <v>0</v>
      </c>
      <c r="I735" s="19" t="s">
        <v>0</v>
      </c>
      <c r="J735" s="19" t="s">
        <v>0</v>
      </c>
      <c r="K735" s="19" t="s">
        <v>0</v>
      </c>
      <c r="L735" s="19" t="s">
        <v>0</v>
      </c>
      <c r="M735" s="4" t="s">
        <v>81</v>
      </c>
      <c r="N735" s="11">
        <f>IFERROR(VLOOKUP(M735,ShipShapeEnum!$H:$I,2,FALSE),"-")</f>
        <v>1</v>
      </c>
      <c r="O735" s="11" t="s">
        <v>0</v>
      </c>
      <c r="P735" s="30"/>
      <c r="Q735" s="11" t="str">
        <f>IFERROR(INDEX(SailPattern!$A:$A,MATCH(P735,SailPattern!$B:$B,0)),"-")</f>
        <v>-</v>
      </c>
      <c r="R735" s="30"/>
      <c r="S735" s="11" t="str">
        <f>IFERROR(INDEX(SailCrest!$A:$A,MATCH(R735,SailCrest!$B:$B,0)),"-")</f>
        <v>-</v>
      </c>
      <c r="T735" s="19" t="s">
        <v>0</v>
      </c>
      <c r="U735" s="19" t="s">
        <v>0</v>
      </c>
      <c r="V735" s="19" t="s">
        <v>0</v>
      </c>
      <c r="W735" s="19" t="s">
        <v>0</v>
      </c>
      <c r="X735" s="19" t="s">
        <v>0</v>
      </c>
      <c r="Y735" s="19" t="s">
        <v>0</v>
      </c>
      <c r="Z735" s="19" t="s">
        <v>0</v>
      </c>
      <c r="AA735" s="19" t="s">
        <v>0</v>
      </c>
    </row>
    <row r="736" spans="1:27" ht="15">
      <c r="A736" s="10">
        <f t="shared" si="23"/>
        <v>46500052</v>
      </c>
      <c r="B736" s="42" t="s">
        <v>3298</v>
      </c>
      <c r="C736" s="4" t="s">
        <v>270</v>
      </c>
      <c r="D736" s="11">
        <f>IFERROR(VLOOKUP(C736,ShipShapeEnum!$E:$F,2,FALSE),"-")</f>
        <v>6</v>
      </c>
      <c r="E736" s="19" t="s">
        <v>3299</v>
      </c>
      <c r="F736" s="4" t="s">
        <v>61</v>
      </c>
      <c r="G736" s="11">
        <f>IFERROR(VLOOKUP(F736,ShipShapeEnum!$B:$C,2,FALSE),"-")</f>
        <v>1</v>
      </c>
      <c r="H736" s="19" t="s">
        <v>0</v>
      </c>
      <c r="I736" s="19" t="s">
        <v>0</v>
      </c>
      <c r="J736" s="19" t="s">
        <v>0</v>
      </c>
      <c r="K736" s="19" t="s">
        <v>0</v>
      </c>
      <c r="L736" s="19" t="s">
        <v>0</v>
      </c>
      <c r="M736" s="4" t="s">
        <v>81</v>
      </c>
      <c r="N736" s="11">
        <f>IFERROR(VLOOKUP(M736,ShipShapeEnum!$H:$I,2,FALSE),"-")</f>
        <v>1</v>
      </c>
      <c r="O736" s="11" t="s">
        <v>0</v>
      </c>
      <c r="P736" s="30"/>
      <c r="Q736" s="11" t="str">
        <f>IFERROR(INDEX(SailPattern!$A:$A,MATCH(P736,SailPattern!$B:$B,0)),"-")</f>
        <v>-</v>
      </c>
      <c r="R736" s="30"/>
      <c r="S736" s="11" t="str">
        <f>IFERROR(INDEX(SailCrest!$A:$A,MATCH(R736,SailCrest!$B:$B,0)),"-")</f>
        <v>-</v>
      </c>
      <c r="T736" s="19" t="s">
        <v>0</v>
      </c>
      <c r="U736" s="19" t="s">
        <v>0</v>
      </c>
      <c r="V736" s="19" t="s">
        <v>0</v>
      </c>
      <c r="W736" s="19" t="s">
        <v>0</v>
      </c>
      <c r="X736" s="19" t="s">
        <v>0</v>
      </c>
      <c r="Y736" s="19" t="s">
        <v>0</v>
      </c>
      <c r="Z736" s="19" t="s">
        <v>0</v>
      </c>
      <c r="AA736" s="19" t="s">
        <v>0</v>
      </c>
    </row>
    <row r="737" spans="1:27" ht="15">
      <c r="A737" s="10">
        <f t="shared" si="23"/>
        <v>46500053</v>
      </c>
      <c r="B737" s="42" t="s">
        <v>3325</v>
      </c>
      <c r="C737" s="4" t="s">
        <v>270</v>
      </c>
      <c r="D737" s="11">
        <f>IFERROR(VLOOKUP(C737,ShipShapeEnum!$E:$F,2,FALSE),"-")</f>
        <v>6</v>
      </c>
      <c r="E737" s="19" t="s">
        <v>3326</v>
      </c>
      <c r="F737" s="4" t="s">
        <v>61</v>
      </c>
      <c r="G737" s="11">
        <f>IFERROR(VLOOKUP(F737,ShipShapeEnum!$B:$C,2,FALSE),"-")</f>
        <v>1</v>
      </c>
      <c r="H737" s="19" t="s">
        <v>0</v>
      </c>
      <c r="I737" s="19" t="s">
        <v>0</v>
      </c>
      <c r="J737" s="19" t="s">
        <v>0</v>
      </c>
      <c r="K737" s="19" t="s">
        <v>0</v>
      </c>
      <c r="L737" s="19" t="s">
        <v>0</v>
      </c>
      <c r="M737" s="4" t="s">
        <v>81</v>
      </c>
      <c r="N737" s="11">
        <f>IFERROR(VLOOKUP(M737,ShipShapeEnum!$H:$I,2,FALSE),"-")</f>
        <v>1</v>
      </c>
      <c r="O737" s="11" t="s">
        <v>0</v>
      </c>
      <c r="P737" s="30"/>
      <c r="Q737" s="11" t="str">
        <f>IFERROR(INDEX(SailPattern!$A:$A,MATCH(P737,SailPattern!$B:$B,0)),"-")</f>
        <v>-</v>
      </c>
      <c r="R737" s="30"/>
      <c r="S737" s="11" t="str">
        <f>IFERROR(INDEX(SailCrest!$A:$A,MATCH(R737,SailCrest!$B:$B,0)),"-")</f>
        <v>-</v>
      </c>
      <c r="T737" s="19" t="s">
        <v>0</v>
      </c>
      <c r="U737" s="19" t="s">
        <v>0</v>
      </c>
      <c r="V737" s="19" t="s">
        <v>0</v>
      </c>
      <c r="W737" s="19" t="s">
        <v>0</v>
      </c>
      <c r="X737" s="19" t="s">
        <v>0</v>
      </c>
      <c r="Y737" s="19" t="s">
        <v>0</v>
      </c>
      <c r="Z737" s="19" t="s">
        <v>0</v>
      </c>
      <c r="AA737" s="19" t="s">
        <v>0</v>
      </c>
    </row>
    <row r="738" spans="1:27" ht="15">
      <c r="A738" s="10">
        <f t="shared" si="23"/>
        <v>46500054</v>
      </c>
      <c r="B738" s="42" t="s">
        <v>3339</v>
      </c>
      <c r="C738" s="4" t="s">
        <v>270</v>
      </c>
      <c r="D738" s="11">
        <f>IFERROR(VLOOKUP(C738,ShipShapeEnum!$E:$F,2,FALSE),"-")</f>
        <v>6</v>
      </c>
      <c r="E738" s="19" t="s">
        <v>3340</v>
      </c>
      <c r="F738" s="4" t="s">
        <v>61</v>
      </c>
      <c r="G738" s="11">
        <f>IFERROR(VLOOKUP(F738,ShipShapeEnum!$B:$C,2,FALSE),"-")</f>
        <v>1</v>
      </c>
      <c r="H738" s="19" t="s">
        <v>0</v>
      </c>
      <c r="I738" s="19" t="s">
        <v>0</v>
      </c>
      <c r="J738" s="19" t="s">
        <v>0</v>
      </c>
      <c r="K738" s="19" t="s">
        <v>0</v>
      </c>
      <c r="L738" s="19" t="s">
        <v>0</v>
      </c>
      <c r="M738" s="4" t="s">
        <v>81</v>
      </c>
      <c r="N738" s="11">
        <f>IFERROR(VLOOKUP(M738,ShipShapeEnum!$H:$I,2,FALSE),"-")</f>
        <v>1</v>
      </c>
      <c r="O738" s="11" t="s">
        <v>0</v>
      </c>
      <c r="P738" s="30"/>
      <c r="Q738" s="11" t="str">
        <f>IFERROR(INDEX(SailPattern!$A:$A,MATCH(P738,SailPattern!$B:$B,0)),"-")</f>
        <v>-</v>
      </c>
      <c r="R738" s="30"/>
      <c r="S738" s="11" t="str">
        <f>IFERROR(INDEX(SailCrest!$A:$A,MATCH(R738,SailCrest!$B:$B,0)),"-")</f>
        <v>-</v>
      </c>
      <c r="T738" s="19" t="s">
        <v>0</v>
      </c>
      <c r="U738" s="19" t="s">
        <v>0</v>
      </c>
      <c r="V738" s="19" t="s">
        <v>0</v>
      </c>
      <c r="W738" s="19" t="s">
        <v>0</v>
      </c>
      <c r="X738" s="19" t="s">
        <v>0</v>
      </c>
      <c r="Y738" s="19" t="s">
        <v>0</v>
      </c>
      <c r="Z738" s="19" t="s">
        <v>0</v>
      </c>
      <c r="AA738" s="19" t="s">
        <v>0</v>
      </c>
    </row>
    <row r="739" spans="1:27" ht="15">
      <c r="A739" s="10">
        <f t="shared" si="23"/>
        <v>46500055</v>
      </c>
      <c r="B739" s="42" t="s">
        <v>3373</v>
      </c>
      <c r="C739" s="4" t="s">
        <v>270</v>
      </c>
      <c r="D739" s="11">
        <f>IFERROR(VLOOKUP(C739,ShipShapeEnum!$E:$F,2,FALSE),"-")</f>
        <v>6</v>
      </c>
      <c r="E739" s="19" t="s">
        <v>3376</v>
      </c>
      <c r="F739" s="4" t="s">
        <v>61</v>
      </c>
      <c r="G739" s="11">
        <f>IFERROR(VLOOKUP(F739,ShipShapeEnum!$B:$C,2,FALSE),"-")</f>
        <v>1</v>
      </c>
      <c r="H739" s="19" t="s">
        <v>0</v>
      </c>
      <c r="I739" s="19" t="s">
        <v>0</v>
      </c>
      <c r="J739" s="19" t="s">
        <v>0</v>
      </c>
      <c r="K739" s="19" t="s">
        <v>0</v>
      </c>
      <c r="L739" s="19" t="s">
        <v>0</v>
      </c>
      <c r="M739" s="4" t="s">
        <v>81</v>
      </c>
      <c r="N739" s="11">
        <f>IFERROR(VLOOKUP(M739,ShipShapeEnum!$H:$I,2,FALSE),"-")</f>
        <v>1</v>
      </c>
      <c r="O739" s="11" t="s">
        <v>0</v>
      </c>
      <c r="P739" s="30"/>
      <c r="Q739" s="11" t="str">
        <f>IFERROR(INDEX(SailPattern!$A:$A,MATCH(P739,SailPattern!$B:$B,0)),"-")</f>
        <v>-</v>
      </c>
      <c r="R739" s="30"/>
      <c r="S739" s="11" t="str">
        <f>IFERROR(INDEX(SailCrest!$A:$A,MATCH(R739,SailCrest!$B:$B,0)),"-")</f>
        <v>-</v>
      </c>
      <c r="T739" s="19" t="s">
        <v>0</v>
      </c>
      <c r="U739" s="19" t="s">
        <v>0</v>
      </c>
      <c r="V739" s="19" t="s">
        <v>0</v>
      </c>
      <c r="W739" s="19" t="s">
        <v>0</v>
      </c>
      <c r="X739" s="19" t="s">
        <v>0</v>
      </c>
      <c r="Y739" s="19" t="s">
        <v>0</v>
      </c>
      <c r="Z739" s="19" t="s">
        <v>0</v>
      </c>
      <c r="AA739" s="19" t="s">
        <v>0</v>
      </c>
    </row>
    <row r="740" spans="1:27" ht="15">
      <c r="A740" s="10">
        <f t="shared" si="23"/>
        <v>46500056</v>
      </c>
      <c r="B740" s="42" t="s">
        <v>3375</v>
      </c>
      <c r="C740" s="4" t="s">
        <v>270</v>
      </c>
      <c r="D740" s="11">
        <f>IFERROR(VLOOKUP(C740,ShipShapeEnum!$E:$F,2,FALSE),"-")</f>
        <v>6</v>
      </c>
      <c r="E740" s="19" t="s">
        <v>3377</v>
      </c>
      <c r="F740" s="4" t="s">
        <v>61</v>
      </c>
      <c r="G740" s="11">
        <f>IFERROR(VLOOKUP(F740,ShipShapeEnum!$B:$C,2,FALSE),"-")</f>
        <v>1</v>
      </c>
      <c r="H740" s="19" t="s">
        <v>0</v>
      </c>
      <c r="I740" s="19" t="s">
        <v>0</v>
      </c>
      <c r="J740" s="19" t="s">
        <v>0</v>
      </c>
      <c r="K740" s="19" t="s">
        <v>0</v>
      </c>
      <c r="L740" s="19" t="s">
        <v>0</v>
      </c>
      <c r="M740" s="4" t="s">
        <v>81</v>
      </c>
      <c r="N740" s="11">
        <f>IFERROR(VLOOKUP(M740,ShipShapeEnum!$H:$I,2,FALSE),"-")</f>
        <v>1</v>
      </c>
      <c r="O740" s="11" t="s">
        <v>0</v>
      </c>
      <c r="P740" s="30"/>
      <c r="Q740" s="11" t="str">
        <f>IFERROR(INDEX(SailPattern!$A:$A,MATCH(P740,SailPattern!$B:$B,0)),"-")</f>
        <v>-</v>
      </c>
      <c r="R740" s="30"/>
      <c r="S740" s="11" t="str">
        <f>IFERROR(INDEX(SailCrest!$A:$A,MATCH(R740,SailCrest!$B:$B,0)),"-")</f>
        <v>-</v>
      </c>
      <c r="T740" s="19" t="s">
        <v>0</v>
      </c>
      <c r="U740" s="19" t="s">
        <v>0</v>
      </c>
      <c r="V740" s="19" t="s">
        <v>0</v>
      </c>
      <c r="W740" s="19" t="s">
        <v>0</v>
      </c>
      <c r="X740" s="19" t="s">
        <v>0</v>
      </c>
      <c r="Y740" s="19" t="s">
        <v>0</v>
      </c>
      <c r="Z740" s="19" t="s">
        <v>0</v>
      </c>
      <c r="AA740" s="19" t="s">
        <v>0</v>
      </c>
    </row>
    <row r="741" spans="1:27" ht="15">
      <c r="A741" s="10">
        <f t="shared" si="23"/>
        <v>46500057</v>
      </c>
      <c r="B741" s="42" t="s">
        <v>3451</v>
      </c>
      <c r="C741" s="4" t="s">
        <v>270</v>
      </c>
      <c r="D741" s="11">
        <f>IFERROR(VLOOKUP(C741,ShipShapeEnum!$E:$F,2,FALSE),"-")</f>
        <v>6</v>
      </c>
      <c r="E741" s="19" t="s">
        <v>3452</v>
      </c>
      <c r="F741" s="4" t="s">
        <v>61</v>
      </c>
      <c r="G741" s="11">
        <f>IFERROR(VLOOKUP(F741,ShipShapeEnum!$B:$C,2,FALSE),"-")</f>
        <v>1</v>
      </c>
      <c r="H741" s="19" t="s">
        <v>0</v>
      </c>
      <c r="I741" s="19" t="s">
        <v>0</v>
      </c>
      <c r="J741" s="19" t="s">
        <v>0</v>
      </c>
      <c r="K741" s="19" t="s">
        <v>0</v>
      </c>
      <c r="L741" s="19" t="s">
        <v>0</v>
      </c>
      <c r="M741" s="4" t="s">
        <v>81</v>
      </c>
      <c r="N741" s="11">
        <f>IFERROR(VLOOKUP(M741,ShipShapeEnum!$H:$I,2,FALSE),"-")</f>
        <v>1</v>
      </c>
      <c r="O741" s="11" t="s">
        <v>0</v>
      </c>
      <c r="P741" s="30"/>
      <c r="Q741" s="11" t="str">
        <f>IFERROR(INDEX(SailPattern!$A:$A,MATCH(P741,SailPattern!$B:$B,0)),"-")</f>
        <v>-</v>
      </c>
      <c r="R741" s="30"/>
      <c r="S741" s="11" t="str">
        <f>IFERROR(INDEX(SailCrest!$A:$A,MATCH(R741,SailCrest!$B:$B,0)),"-")</f>
        <v>-</v>
      </c>
      <c r="T741" s="19" t="s">
        <v>0</v>
      </c>
      <c r="U741" s="19" t="s">
        <v>0</v>
      </c>
      <c r="V741" s="19" t="s">
        <v>0</v>
      </c>
      <c r="W741" s="19" t="s">
        <v>0</v>
      </c>
      <c r="X741" s="19" t="s">
        <v>0</v>
      </c>
      <c r="Y741" s="19" t="s">
        <v>0</v>
      </c>
      <c r="Z741" s="19" t="s">
        <v>0</v>
      </c>
      <c r="AA741" s="19" t="s">
        <v>0</v>
      </c>
    </row>
    <row r="742" spans="1:27" ht="15">
      <c r="A742" s="10">
        <f t="shared" si="23"/>
        <v>46500058</v>
      </c>
      <c r="B742" s="42" t="s">
        <v>3461</v>
      </c>
      <c r="C742" s="4" t="s">
        <v>270</v>
      </c>
      <c r="D742" s="11">
        <f>IFERROR(VLOOKUP(C742,ShipShapeEnum!$E:$F,2,FALSE),"-")</f>
        <v>6</v>
      </c>
      <c r="E742" s="19" t="s">
        <v>3462</v>
      </c>
      <c r="F742" s="4" t="s">
        <v>61</v>
      </c>
      <c r="G742" s="11">
        <f>IFERROR(VLOOKUP(F742,ShipShapeEnum!$B:$C,2,FALSE),"-")</f>
        <v>1</v>
      </c>
      <c r="H742" s="19" t="s">
        <v>0</v>
      </c>
      <c r="I742" s="19" t="s">
        <v>0</v>
      </c>
      <c r="J742" s="19" t="s">
        <v>0</v>
      </c>
      <c r="K742" s="19" t="s">
        <v>0</v>
      </c>
      <c r="L742" s="19" t="s">
        <v>0</v>
      </c>
      <c r="M742" s="4" t="s">
        <v>81</v>
      </c>
      <c r="N742" s="11">
        <f>IFERROR(VLOOKUP(M742,ShipShapeEnum!$H:$I,2,FALSE),"-")</f>
        <v>1</v>
      </c>
      <c r="O742" s="11" t="s">
        <v>0</v>
      </c>
      <c r="P742" s="30"/>
      <c r="Q742" s="11" t="str">
        <f>IFERROR(INDEX(SailPattern!$A:$A,MATCH(P742,SailPattern!$B:$B,0)),"-")</f>
        <v>-</v>
      </c>
      <c r="R742" s="30"/>
      <c r="S742" s="11" t="str">
        <f>IFERROR(INDEX(SailCrest!$A:$A,MATCH(R742,SailCrest!$B:$B,0)),"-")</f>
        <v>-</v>
      </c>
      <c r="T742" s="19" t="s">
        <v>0</v>
      </c>
      <c r="U742" s="19" t="s">
        <v>0</v>
      </c>
      <c r="V742" s="19" t="s">
        <v>0</v>
      </c>
      <c r="W742" s="19" t="s">
        <v>0</v>
      </c>
      <c r="X742" s="19" t="s">
        <v>0</v>
      </c>
      <c r="Y742" s="19" t="s">
        <v>0</v>
      </c>
      <c r="Z742" s="19" t="s">
        <v>0</v>
      </c>
      <c r="AA742" s="19" t="s">
        <v>0</v>
      </c>
    </row>
    <row r="743" spans="1:27" ht="15">
      <c r="A743" s="10">
        <f t="shared" si="23"/>
        <v>46500059</v>
      </c>
      <c r="B743" s="42" t="s">
        <v>3503</v>
      </c>
      <c r="C743" s="4" t="s">
        <v>270</v>
      </c>
      <c r="D743" s="11">
        <f>IFERROR(VLOOKUP(C743,ShipShapeEnum!$E:$F,2,FALSE),"-")</f>
        <v>6</v>
      </c>
      <c r="E743" s="19" t="s">
        <v>3509</v>
      </c>
      <c r="F743" s="4" t="s">
        <v>61</v>
      </c>
      <c r="G743" s="11">
        <f>IFERROR(VLOOKUP(F743,ShipShapeEnum!$B:$C,2,FALSE),"-")</f>
        <v>1</v>
      </c>
      <c r="H743" s="19" t="s">
        <v>0</v>
      </c>
      <c r="I743" s="19" t="s">
        <v>0</v>
      </c>
      <c r="J743" s="19" t="s">
        <v>0</v>
      </c>
      <c r="K743" s="19" t="s">
        <v>0</v>
      </c>
      <c r="L743" s="19" t="s">
        <v>0</v>
      </c>
      <c r="M743" s="4" t="s">
        <v>81</v>
      </c>
      <c r="N743" s="11">
        <f>IFERROR(VLOOKUP(M743,ShipShapeEnum!$H:$I,2,FALSE),"-")</f>
        <v>1</v>
      </c>
      <c r="O743" s="11" t="s">
        <v>0</v>
      </c>
      <c r="P743" s="30"/>
      <c r="Q743" s="11" t="str">
        <f>IFERROR(INDEX(SailPattern!$A:$A,MATCH(P743,SailPattern!$B:$B,0)),"-")</f>
        <v>-</v>
      </c>
      <c r="R743" s="30"/>
      <c r="S743" s="11" t="str">
        <f>IFERROR(INDEX(SailCrest!$A:$A,MATCH(R743,SailCrest!$B:$B,0)),"-")</f>
        <v>-</v>
      </c>
      <c r="T743" s="19" t="s">
        <v>0</v>
      </c>
      <c r="U743" s="19" t="s">
        <v>0</v>
      </c>
      <c r="V743" s="19" t="s">
        <v>0</v>
      </c>
      <c r="W743" s="19" t="s">
        <v>0</v>
      </c>
      <c r="X743" s="19" t="s">
        <v>0</v>
      </c>
      <c r="Y743" s="19" t="s">
        <v>0</v>
      </c>
      <c r="Z743" s="19" t="s">
        <v>0</v>
      </c>
      <c r="AA743" s="19" t="s">
        <v>0</v>
      </c>
    </row>
    <row r="744" spans="1:27" ht="15">
      <c r="A744" s="10">
        <f t="shared" si="23"/>
        <v>46500060</v>
      </c>
      <c r="B744" s="42" t="s">
        <v>3505</v>
      </c>
      <c r="C744" s="4" t="s">
        <v>270</v>
      </c>
      <c r="D744" s="11">
        <f>IFERROR(VLOOKUP(C744,ShipShapeEnum!$E:$F,2,FALSE),"-")</f>
        <v>6</v>
      </c>
      <c r="E744" s="19" t="s">
        <v>3508</v>
      </c>
      <c r="F744" s="4" t="s">
        <v>61</v>
      </c>
      <c r="G744" s="11">
        <f>IFERROR(VLOOKUP(F744,ShipShapeEnum!$B:$C,2,FALSE),"-")</f>
        <v>1</v>
      </c>
      <c r="H744" s="19" t="s">
        <v>0</v>
      </c>
      <c r="I744" s="19" t="s">
        <v>0</v>
      </c>
      <c r="J744" s="19" t="s">
        <v>0</v>
      </c>
      <c r="K744" s="19" t="s">
        <v>0</v>
      </c>
      <c r="L744" s="19" t="s">
        <v>0</v>
      </c>
      <c r="M744" s="4" t="s">
        <v>81</v>
      </c>
      <c r="N744" s="11">
        <f>IFERROR(VLOOKUP(M744,ShipShapeEnum!$H:$I,2,FALSE),"-")</f>
        <v>1</v>
      </c>
      <c r="O744" s="11" t="s">
        <v>0</v>
      </c>
      <c r="P744" s="30"/>
      <c r="Q744" s="11" t="str">
        <f>IFERROR(INDEX(SailPattern!$A:$A,MATCH(P744,SailPattern!$B:$B,0)),"-")</f>
        <v>-</v>
      </c>
      <c r="R744" s="30"/>
      <c r="S744" s="11" t="str">
        <f>IFERROR(INDEX(SailCrest!$A:$A,MATCH(R744,SailCrest!$B:$B,0)),"-")</f>
        <v>-</v>
      </c>
      <c r="T744" s="19" t="s">
        <v>0</v>
      </c>
      <c r="U744" s="19" t="s">
        <v>0</v>
      </c>
      <c r="V744" s="19" t="s">
        <v>0</v>
      </c>
      <c r="W744" s="19" t="s">
        <v>0</v>
      </c>
      <c r="X744" s="19" t="s">
        <v>0</v>
      </c>
      <c r="Y744" s="19" t="s">
        <v>0</v>
      </c>
      <c r="Z744" s="19" t="s">
        <v>0</v>
      </c>
      <c r="AA744" s="19" t="s">
        <v>0</v>
      </c>
    </row>
    <row r="745" spans="1:27" ht="15">
      <c r="A745" s="10">
        <f t="shared" si="23"/>
        <v>46500061</v>
      </c>
      <c r="B745" s="42" t="s">
        <v>3580</v>
      </c>
      <c r="C745" s="4" t="s">
        <v>270</v>
      </c>
      <c r="D745" s="11">
        <f>IFERROR(VLOOKUP(C745,ShipShapeEnum!$E:$F,2,FALSE),"-")</f>
        <v>6</v>
      </c>
      <c r="E745" s="19" t="s">
        <v>3581</v>
      </c>
      <c r="F745" s="4" t="s">
        <v>61</v>
      </c>
      <c r="G745" s="11">
        <f>IFERROR(VLOOKUP(F745,ShipShapeEnum!$B:$C,2,FALSE),"-")</f>
        <v>1</v>
      </c>
      <c r="H745" s="19" t="s">
        <v>0</v>
      </c>
      <c r="I745" s="19" t="s">
        <v>0</v>
      </c>
      <c r="J745" s="19" t="s">
        <v>0</v>
      </c>
      <c r="K745" s="19" t="s">
        <v>0</v>
      </c>
      <c r="L745" s="19" t="s">
        <v>0</v>
      </c>
      <c r="M745" s="4" t="s">
        <v>81</v>
      </c>
      <c r="N745" s="11">
        <f>IFERROR(VLOOKUP(M745,ShipShapeEnum!$H:$I,2,FALSE),"-")</f>
        <v>1</v>
      </c>
      <c r="O745" s="11" t="s">
        <v>0</v>
      </c>
      <c r="P745" s="30"/>
      <c r="Q745" s="11" t="str">
        <f>IFERROR(INDEX(SailPattern!$A:$A,MATCH(P745,SailPattern!$B:$B,0)),"-")</f>
        <v>-</v>
      </c>
      <c r="R745" s="30"/>
      <c r="S745" s="11" t="str">
        <f>IFERROR(INDEX(SailCrest!$A:$A,MATCH(R745,SailCrest!$B:$B,0)),"-")</f>
        <v>-</v>
      </c>
      <c r="T745" s="19" t="s">
        <v>0</v>
      </c>
      <c r="U745" s="19" t="s">
        <v>0</v>
      </c>
      <c r="V745" s="19" t="s">
        <v>0</v>
      </c>
      <c r="W745" s="19" t="s">
        <v>0</v>
      </c>
      <c r="X745" s="19" t="s">
        <v>0</v>
      </c>
      <c r="Y745" s="19" t="s">
        <v>0</v>
      </c>
      <c r="Z745" s="19" t="s">
        <v>0</v>
      </c>
      <c r="AA745" s="19" t="s">
        <v>0</v>
      </c>
    </row>
    <row r="746" spans="1:27" ht="15">
      <c r="A746" s="10">
        <f t="shared" si="23"/>
        <v>46500062</v>
      </c>
      <c r="B746" s="42" t="s">
        <v>3629</v>
      </c>
      <c r="C746" s="4" t="s">
        <v>270</v>
      </c>
      <c r="D746" s="11">
        <f>IFERROR(VLOOKUP(C746,ShipShapeEnum!$E:$F,2,FALSE),"-")</f>
        <v>6</v>
      </c>
      <c r="E746" s="19" t="s">
        <v>3630</v>
      </c>
      <c r="F746" s="4" t="s">
        <v>61</v>
      </c>
      <c r="G746" s="11">
        <f>IFERROR(VLOOKUP(F746,ShipShapeEnum!$B:$C,2,FALSE),"-")</f>
        <v>1</v>
      </c>
      <c r="H746" s="19" t="s">
        <v>0</v>
      </c>
      <c r="I746" s="19" t="s">
        <v>0</v>
      </c>
      <c r="J746" s="19" t="s">
        <v>0</v>
      </c>
      <c r="K746" s="19" t="s">
        <v>0</v>
      </c>
      <c r="L746" s="19" t="s">
        <v>0</v>
      </c>
      <c r="M746" s="4" t="s">
        <v>81</v>
      </c>
      <c r="N746" s="11">
        <f>IFERROR(VLOOKUP(M746,ShipShapeEnum!$H:$I,2,FALSE),"-")</f>
        <v>1</v>
      </c>
      <c r="O746" s="11" t="s">
        <v>0</v>
      </c>
      <c r="P746" s="30"/>
      <c r="Q746" s="11" t="str">
        <f>IFERROR(INDEX(SailPattern!$A:$A,MATCH(P746,SailPattern!$B:$B,0)),"-")</f>
        <v>-</v>
      </c>
      <c r="R746" s="30"/>
      <c r="S746" s="11" t="str">
        <f>IFERROR(INDEX(SailCrest!$A:$A,MATCH(R746,SailCrest!$B:$B,0)),"-")</f>
        <v>-</v>
      </c>
      <c r="T746" s="19" t="s">
        <v>0</v>
      </c>
      <c r="U746" s="19" t="s">
        <v>0</v>
      </c>
      <c r="V746" s="19" t="s">
        <v>0</v>
      </c>
      <c r="W746" s="19" t="s">
        <v>0</v>
      </c>
      <c r="X746" s="19" t="s">
        <v>0</v>
      </c>
      <c r="Y746" s="19" t="s">
        <v>0</v>
      </c>
      <c r="Z746" s="19" t="s">
        <v>0</v>
      </c>
      <c r="AA746" s="19" t="s">
        <v>0</v>
      </c>
    </row>
    <row r="747" spans="1:27" ht="15">
      <c r="A747" s="10">
        <f t="shared" si="23"/>
        <v>46500063</v>
      </c>
      <c r="B747" s="42" t="s">
        <v>3750</v>
      </c>
      <c r="C747" s="4" t="s">
        <v>270</v>
      </c>
      <c r="D747" s="11">
        <f>IFERROR(VLOOKUP(C747,ShipShapeEnum!$E:$F,2,FALSE),"-")</f>
        <v>6</v>
      </c>
      <c r="E747" s="19" t="s">
        <v>3748</v>
      </c>
      <c r="F747" s="4" t="s">
        <v>61</v>
      </c>
      <c r="G747" s="11">
        <f>IFERROR(VLOOKUP(F747,ShipShapeEnum!$B:$C,2,FALSE),"-")</f>
        <v>1</v>
      </c>
      <c r="H747" s="19" t="s">
        <v>0</v>
      </c>
      <c r="I747" s="19" t="s">
        <v>0</v>
      </c>
      <c r="J747" s="19" t="s">
        <v>0</v>
      </c>
      <c r="K747" s="19" t="s">
        <v>0</v>
      </c>
      <c r="L747" s="19" t="s">
        <v>0</v>
      </c>
      <c r="M747" s="4" t="s">
        <v>81</v>
      </c>
      <c r="N747" s="11">
        <f>IFERROR(VLOOKUP(M747,ShipShapeEnum!$H:$I,2,FALSE),"-")</f>
        <v>1</v>
      </c>
      <c r="O747" s="11" t="s">
        <v>0</v>
      </c>
      <c r="P747" s="30"/>
      <c r="Q747" s="11" t="str">
        <f>IFERROR(INDEX(SailPattern!$A:$A,MATCH(P747,SailPattern!$B:$B,0)),"-")</f>
        <v>-</v>
      </c>
      <c r="R747" s="30"/>
      <c r="S747" s="11" t="str">
        <f>IFERROR(INDEX(SailCrest!$A:$A,MATCH(R747,SailCrest!$B:$B,0)),"-")</f>
        <v>-</v>
      </c>
      <c r="T747" s="19" t="s">
        <v>0</v>
      </c>
      <c r="U747" s="19" t="s">
        <v>0</v>
      </c>
      <c r="V747" s="19" t="s">
        <v>0</v>
      </c>
      <c r="W747" s="19" t="s">
        <v>0</v>
      </c>
      <c r="X747" s="19" t="s">
        <v>0</v>
      </c>
      <c r="Y747" s="19" t="s">
        <v>0</v>
      </c>
      <c r="Z747" s="19" t="s">
        <v>0</v>
      </c>
      <c r="AA747" s="19" t="s">
        <v>0</v>
      </c>
    </row>
    <row r="748" spans="1:27" ht="15">
      <c r="A748" s="10">
        <f t="shared" si="23"/>
        <v>46500064</v>
      </c>
      <c r="B748" s="42" t="s">
        <v>3889</v>
      </c>
      <c r="C748" s="4" t="s">
        <v>270</v>
      </c>
      <c r="D748" s="11">
        <f>IFERROR(VLOOKUP(C748,ShipShapeEnum!$E:$F,2,FALSE),"-")</f>
        <v>6</v>
      </c>
      <c r="E748" s="19" t="s">
        <v>3890</v>
      </c>
      <c r="F748" s="4" t="s">
        <v>61</v>
      </c>
      <c r="G748" s="11">
        <f>IFERROR(VLOOKUP(F748,ShipShapeEnum!$B:$C,2,FALSE),"-")</f>
        <v>1</v>
      </c>
      <c r="H748" s="19" t="s">
        <v>0</v>
      </c>
      <c r="I748" s="19" t="s">
        <v>0</v>
      </c>
      <c r="J748" s="19" t="s">
        <v>0</v>
      </c>
      <c r="K748" s="19" t="s">
        <v>0</v>
      </c>
      <c r="L748" s="19" t="s">
        <v>0</v>
      </c>
      <c r="M748" s="4" t="s">
        <v>81</v>
      </c>
      <c r="N748" s="11">
        <f>IFERROR(VLOOKUP(M748,ShipShapeEnum!$H:$I,2,FALSE),"-")</f>
        <v>1</v>
      </c>
      <c r="O748" s="11" t="s">
        <v>0</v>
      </c>
      <c r="P748" s="30"/>
      <c r="Q748" s="11" t="str">
        <f>IFERROR(INDEX(SailPattern!$A:$A,MATCH(P748,SailPattern!$B:$B,0)),"-")</f>
        <v>-</v>
      </c>
      <c r="R748" s="30"/>
      <c r="S748" s="11" t="str">
        <f>IFERROR(INDEX(SailCrest!$A:$A,MATCH(R748,SailCrest!$B:$B,0)),"-")</f>
        <v>-</v>
      </c>
      <c r="T748" s="19" t="s">
        <v>0</v>
      </c>
      <c r="U748" s="19" t="s">
        <v>0</v>
      </c>
      <c r="V748" s="19" t="s">
        <v>0</v>
      </c>
      <c r="W748" s="19" t="s">
        <v>0</v>
      </c>
      <c r="X748" s="19" t="s">
        <v>0</v>
      </c>
      <c r="Y748" s="19" t="s">
        <v>0</v>
      </c>
      <c r="Z748" s="19" t="s">
        <v>0</v>
      </c>
      <c r="AA748" s="19" t="s">
        <v>0</v>
      </c>
    </row>
    <row r="749" spans="1:27" ht="15">
      <c r="A749" s="10">
        <f t="shared" si="23"/>
        <v>46500065</v>
      </c>
      <c r="B749" s="42" t="s">
        <v>3900</v>
      </c>
      <c r="C749" s="4" t="s">
        <v>270</v>
      </c>
      <c r="D749" s="11">
        <f>IFERROR(VLOOKUP(C749,ShipShapeEnum!$E:$F,2,FALSE),"-")</f>
        <v>6</v>
      </c>
      <c r="E749" s="19" t="s">
        <v>3903</v>
      </c>
      <c r="F749" s="4" t="s">
        <v>61</v>
      </c>
      <c r="G749" s="11">
        <f>IFERROR(VLOOKUP(F749,ShipShapeEnum!$B:$C,2,FALSE),"-")</f>
        <v>1</v>
      </c>
      <c r="H749" s="19" t="s">
        <v>0</v>
      </c>
      <c r="I749" s="19" t="s">
        <v>0</v>
      </c>
      <c r="J749" s="19" t="s">
        <v>0</v>
      </c>
      <c r="K749" s="19" t="s">
        <v>0</v>
      </c>
      <c r="L749" s="19" t="s">
        <v>0</v>
      </c>
      <c r="M749" s="4" t="s">
        <v>81</v>
      </c>
      <c r="N749" s="11">
        <f>IFERROR(VLOOKUP(M749,ShipShapeEnum!$H:$I,2,FALSE),"-")</f>
        <v>1</v>
      </c>
      <c r="O749" s="11" t="s">
        <v>0</v>
      </c>
      <c r="P749" s="30"/>
      <c r="Q749" s="11" t="str">
        <f>IFERROR(INDEX(SailPattern!$A:$A,MATCH(P749,SailPattern!$B:$B,0)),"-")</f>
        <v>-</v>
      </c>
      <c r="R749" s="30"/>
      <c r="S749" s="11" t="str">
        <f>IFERROR(INDEX(SailCrest!$A:$A,MATCH(R749,SailCrest!$B:$B,0)),"-")</f>
        <v>-</v>
      </c>
      <c r="T749" s="19" t="s">
        <v>0</v>
      </c>
      <c r="U749" s="19" t="s">
        <v>0</v>
      </c>
      <c r="V749" s="19" t="s">
        <v>0</v>
      </c>
      <c r="W749" s="19" t="s">
        <v>0</v>
      </c>
      <c r="X749" s="19" t="s">
        <v>0</v>
      </c>
      <c r="Y749" s="19" t="s">
        <v>0</v>
      </c>
      <c r="Z749" s="19" t="s">
        <v>0</v>
      </c>
      <c r="AA749" s="19" t="s">
        <v>0</v>
      </c>
    </row>
    <row r="750" spans="1:27" ht="15">
      <c r="A750" s="10">
        <f t="shared" si="23"/>
        <v>46500066</v>
      </c>
      <c r="B750" s="42" t="s">
        <v>3901</v>
      </c>
      <c r="C750" s="4" t="s">
        <v>270</v>
      </c>
      <c r="D750" s="11">
        <f>IFERROR(VLOOKUP(C750,ShipShapeEnum!$E:$F,2,FALSE),"-")</f>
        <v>6</v>
      </c>
      <c r="E750" s="19" t="s">
        <v>3902</v>
      </c>
      <c r="F750" s="4" t="s">
        <v>61</v>
      </c>
      <c r="G750" s="11">
        <f>IFERROR(VLOOKUP(F750,ShipShapeEnum!$B:$C,2,FALSE),"-")</f>
        <v>1</v>
      </c>
      <c r="H750" s="19" t="s">
        <v>0</v>
      </c>
      <c r="I750" s="19" t="s">
        <v>0</v>
      </c>
      <c r="J750" s="19" t="s">
        <v>0</v>
      </c>
      <c r="K750" s="19" t="s">
        <v>0</v>
      </c>
      <c r="L750" s="19" t="s">
        <v>0</v>
      </c>
      <c r="M750" s="4" t="s">
        <v>81</v>
      </c>
      <c r="N750" s="11">
        <f>IFERROR(VLOOKUP(M750,ShipShapeEnum!$H:$I,2,FALSE),"-")</f>
        <v>1</v>
      </c>
      <c r="O750" s="11" t="s">
        <v>0</v>
      </c>
      <c r="P750" s="30"/>
      <c r="Q750" s="11" t="str">
        <f>IFERROR(INDEX(SailPattern!$A:$A,MATCH(P750,SailPattern!$B:$B,0)),"-")</f>
        <v>-</v>
      </c>
      <c r="R750" s="30"/>
      <c r="S750" s="11" t="str">
        <f>IFERROR(INDEX(SailCrest!$A:$A,MATCH(R750,SailCrest!$B:$B,0)),"-")</f>
        <v>-</v>
      </c>
      <c r="T750" s="19" t="s">
        <v>0</v>
      </c>
      <c r="U750" s="19" t="s">
        <v>0</v>
      </c>
      <c r="V750" s="19" t="s">
        <v>0</v>
      </c>
      <c r="W750" s="19" t="s">
        <v>0</v>
      </c>
      <c r="X750" s="19" t="s">
        <v>0</v>
      </c>
      <c r="Y750" s="19" t="s">
        <v>0</v>
      </c>
      <c r="Z750" s="19" t="s">
        <v>0</v>
      </c>
      <c r="AA750" s="19" t="s">
        <v>0</v>
      </c>
    </row>
    <row r="751" spans="1:27" ht="15">
      <c r="A751" s="10">
        <f t="shared" si="23"/>
        <v>46500067</v>
      </c>
      <c r="B751" s="42" t="s">
        <v>3960</v>
      </c>
      <c r="C751" s="4" t="s">
        <v>270</v>
      </c>
      <c r="D751" s="11">
        <f>IFERROR(VLOOKUP(C751,ShipShapeEnum!$E:$F,2,FALSE),"-")</f>
        <v>6</v>
      </c>
      <c r="E751" s="19" t="s">
        <v>3962</v>
      </c>
      <c r="F751" s="4" t="s">
        <v>61</v>
      </c>
      <c r="G751" s="11">
        <f>IFERROR(VLOOKUP(F751,ShipShapeEnum!$B:$C,2,FALSE),"-")</f>
        <v>1</v>
      </c>
      <c r="H751" s="19" t="s">
        <v>0</v>
      </c>
      <c r="I751" s="19" t="s">
        <v>0</v>
      </c>
      <c r="J751" s="19" t="s">
        <v>0</v>
      </c>
      <c r="K751" s="19" t="s">
        <v>0</v>
      </c>
      <c r="L751" s="19" t="s">
        <v>0</v>
      </c>
      <c r="M751" s="4" t="s">
        <v>81</v>
      </c>
      <c r="N751" s="11">
        <f>IFERROR(VLOOKUP(M751,ShipShapeEnum!$H:$I,2,FALSE),"-")</f>
        <v>1</v>
      </c>
      <c r="O751" s="11" t="s">
        <v>0</v>
      </c>
      <c r="P751" s="30"/>
      <c r="Q751" s="11" t="str">
        <f>IFERROR(INDEX(SailPattern!$A:$A,MATCH(P751,SailPattern!$B:$B,0)),"-")</f>
        <v>-</v>
      </c>
      <c r="R751" s="30"/>
      <c r="S751" s="11" t="str">
        <f>IFERROR(INDEX(SailCrest!$A:$A,MATCH(R751,SailCrest!$B:$B,0)),"-")</f>
        <v>-</v>
      </c>
      <c r="T751" s="19" t="s">
        <v>0</v>
      </c>
      <c r="U751" s="19" t="s">
        <v>0</v>
      </c>
      <c r="V751" s="19" t="s">
        <v>0</v>
      </c>
      <c r="W751" s="19" t="s">
        <v>0</v>
      </c>
      <c r="X751" s="19" t="s">
        <v>0</v>
      </c>
      <c r="Y751" s="19" t="s">
        <v>0</v>
      </c>
      <c r="Z751" s="19" t="s">
        <v>0</v>
      </c>
      <c r="AA751" s="19" t="s">
        <v>0</v>
      </c>
    </row>
    <row r="752" spans="1:27" ht="15">
      <c r="A752" s="10">
        <f t="shared" si="23"/>
        <v>46500068</v>
      </c>
      <c r="B752" s="42" t="s">
        <v>3961</v>
      </c>
      <c r="C752" s="4" t="s">
        <v>270</v>
      </c>
      <c r="D752" s="11">
        <f>IFERROR(VLOOKUP(C752,ShipShapeEnum!$E:$F,2,FALSE),"-")</f>
        <v>6</v>
      </c>
      <c r="E752" s="19" t="s">
        <v>3963</v>
      </c>
      <c r="F752" s="4" t="s">
        <v>61</v>
      </c>
      <c r="G752" s="11">
        <f>IFERROR(VLOOKUP(F752,ShipShapeEnum!$B:$C,2,FALSE),"-")</f>
        <v>1</v>
      </c>
      <c r="H752" s="19" t="s">
        <v>0</v>
      </c>
      <c r="I752" s="19" t="s">
        <v>0</v>
      </c>
      <c r="J752" s="19" t="s">
        <v>0</v>
      </c>
      <c r="K752" s="19" t="s">
        <v>0</v>
      </c>
      <c r="L752" s="19" t="s">
        <v>0</v>
      </c>
      <c r="M752" s="4" t="s">
        <v>81</v>
      </c>
      <c r="N752" s="11">
        <f>IFERROR(VLOOKUP(M752,ShipShapeEnum!$H:$I,2,FALSE),"-")</f>
        <v>1</v>
      </c>
      <c r="O752" s="11" t="s">
        <v>0</v>
      </c>
      <c r="P752" s="30"/>
      <c r="Q752" s="11" t="str">
        <f>IFERROR(INDEX(SailPattern!$A:$A,MATCH(P752,SailPattern!$B:$B,0)),"-")</f>
        <v>-</v>
      </c>
      <c r="R752" s="30"/>
      <c r="S752" s="11" t="str">
        <f>IFERROR(INDEX(SailCrest!$A:$A,MATCH(R752,SailCrest!$B:$B,0)),"-")</f>
        <v>-</v>
      </c>
      <c r="T752" s="19" t="s">
        <v>0</v>
      </c>
      <c r="U752" s="19" t="s">
        <v>0</v>
      </c>
      <c r="V752" s="19" t="s">
        <v>0</v>
      </c>
      <c r="W752" s="19" t="s">
        <v>0</v>
      </c>
      <c r="X752" s="19" t="s">
        <v>0</v>
      </c>
      <c r="Y752" s="19" t="s">
        <v>0</v>
      </c>
      <c r="Z752" s="19" t="s">
        <v>0</v>
      </c>
      <c r="AA752" s="19" t="s">
        <v>0</v>
      </c>
    </row>
    <row r="753" spans="1:27" ht="15">
      <c r="A753" s="10">
        <f t="shared" si="23"/>
        <v>46500069</v>
      </c>
      <c r="B753" s="42" t="s">
        <v>3996</v>
      </c>
      <c r="C753" s="4" t="s">
        <v>270</v>
      </c>
      <c r="D753" s="11">
        <f>IFERROR(VLOOKUP(C753,ShipShapeEnum!$E:$F,2,FALSE),"-")</f>
        <v>6</v>
      </c>
      <c r="E753" s="19" t="s">
        <v>3998</v>
      </c>
      <c r="F753" s="4" t="s">
        <v>61</v>
      </c>
      <c r="G753" s="11">
        <f>IFERROR(VLOOKUP(F753,ShipShapeEnum!$B:$C,2,FALSE),"-")</f>
        <v>1</v>
      </c>
      <c r="H753" s="19" t="s">
        <v>0</v>
      </c>
      <c r="I753" s="19" t="s">
        <v>0</v>
      </c>
      <c r="J753" s="19" t="s">
        <v>0</v>
      </c>
      <c r="K753" s="19" t="s">
        <v>0</v>
      </c>
      <c r="L753" s="19" t="s">
        <v>0</v>
      </c>
      <c r="M753" s="4" t="s">
        <v>81</v>
      </c>
      <c r="N753" s="11">
        <f>IFERROR(VLOOKUP(M753,ShipShapeEnum!$H:$I,2,FALSE),"-")</f>
        <v>1</v>
      </c>
      <c r="O753" s="11" t="s">
        <v>0</v>
      </c>
      <c r="P753" s="30"/>
      <c r="Q753" s="11" t="str">
        <f>IFERROR(INDEX(SailPattern!$A:$A,MATCH(P753,SailPattern!$B:$B,0)),"-")</f>
        <v>-</v>
      </c>
      <c r="R753" s="30"/>
      <c r="S753" s="11" t="str">
        <f>IFERROR(INDEX(SailCrest!$A:$A,MATCH(R753,SailCrest!$B:$B,0)),"-")</f>
        <v>-</v>
      </c>
      <c r="T753" s="19" t="s">
        <v>0</v>
      </c>
      <c r="U753" s="19" t="s">
        <v>0</v>
      </c>
      <c r="V753" s="19" t="s">
        <v>0</v>
      </c>
      <c r="W753" s="19" t="s">
        <v>0</v>
      </c>
      <c r="X753" s="19" t="s">
        <v>0</v>
      </c>
      <c r="Y753" s="19" t="s">
        <v>0</v>
      </c>
      <c r="Z753" s="19" t="s">
        <v>0</v>
      </c>
      <c r="AA753" s="19" t="s">
        <v>0</v>
      </c>
    </row>
    <row r="754" spans="1:27" ht="15">
      <c r="A754" s="10">
        <f t="shared" si="23"/>
        <v>46500070</v>
      </c>
      <c r="B754" s="42" t="s">
        <v>3994</v>
      </c>
      <c r="C754" s="4" t="s">
        <v>270</v>
      </c>
      <c r="D754" s="11">
        <f>IFERROR(VLOOKUP(C754,ShipShapeEnum!$E:$F,2,FALSE),"-")</f>
        <v>6</v>
      </c>
      <c r="E754" s="19" t="s">
        <v>3997</v>
      </c>
      <c r="F754" s="4" t="s">
        <v>61</v>
      </c>
      <c r="G754" s="11">
        <f>IFERROR(VLOOKUP(F754,ShipShapeEnum!$B:$C,2,FALSE),"-")</f>
        <v>1</v>
      </c>
      <c r="H754" s="19" t="s">
        <v>0</v>
      </c>
      <c r="I754" s="19" t="s">
        <v>0</v>
      </c>
      <c r="J754" s="19" t="s">
        <v>0</v>
      </c>
      <c r="K754" s="19" t="s">
        <v>0</v>
      </c>
      <c r="L754" s="19" t="s">
        <v>0</v>
      </c>
      <c r="M754" s="4" t="s">
        <v>81</v>
      </c>
      <c r="N754" s="11">
        <f>IFERROR(VLOOKUP(M754,ShipShapeEnum!$H:$I,2,FALSE),"-")</f>
        <v>1</v>
      </c>
      <c r="O754" s="11" t="s">
        <v>0</v>
      </c>
      <c r="P754" s="30"/>
      <c r="Q754" s="11" t="str">
        <f>IFERROR(INDEX(SailPattern!$A:$A,MATCH(P754,SailPattern!$B:$B,0)),"-")</f>
        <v>-</v>
      </c>
      <c r="R754" s="30"/>
      <c r="S754" s="11" t="str">
        <f>IFERROR(INDEX(SailCrest!$A:$A,MATCH(R754,SailCrest!$B:$B,0)),"-")</f>
        <v>-</v>
      </c>
      <c r="T754" s="19" t="s">
        <v>0</v>
      </c>
      <c r="U754" s="19" t="s">
        <v>0</v>
      </c>
      <c r="V754" s="19" t="s">
        <v>0</v>
      </c>
      <c r="W754" s="19" t="s">
        <v>0</v>
      </c>
      <c r="X754" s="19" t="s">
        <v>0</v>
      </c>
      <c r="Y754" s="19" t="s">
        <v>0</v>
      </c>
      <c r="Z754" s="19" t="s">
        <v>0</v>
      </c>
      <c r="AA754" s="19" t="s">
        <v>0</v>
      </c>
    </row>
    <row r="755" spans="1:27" ht="15">
      <c r="A755" s="10">
        <f t="shared" si="23"/>
        <v>46500071</v>
      </c>
      <c r="B755" s="42" t="s">
        <v>4011</v>
      </c>
      <c r="C755" s="4" t="s">
        <v>270</v>
      </c>
      <c r="D755" s="11">
        <f>IFERROR(VLOOKUP(C755,ShipShapeEnum!$E:$F,2,FALSE),"-")</f>
        <v>6</v>
      </c>
      <c r="E755" s="19" t="s">
        <v>4015</v>
      </c>
      <c r="F755" s="4" t="s">
        <v>61</v>
      </c>
      <c r="G755" s="11">
        <f>IFERROR(VLOOKUP(F755,ShipShapeEnum!$B:$C,2,FALSE),"-")</f>
        <v>1</v>
      </c>
      <c r="H755" s="19" t="s">
        <v>0</v>
      </c>
      <c r="I755" s="19" t="s">
        <v>0</v>
      </c>
      <c r="J755" s="19" t="s">
        <v>0</v>
      </c>
      <c r="K755" s="19" t="s">
        <v>0</v>
      </c>
      <c r="L755" s="19" t="s">
        <v>0</v>
      </c>
      <c r="M755" s="4" t="s">
        <v>81</v>
      </c>
      <c r="N755" s="11">
        <f>IFERROR(VLOOKUP(M755,ShipShapeEnum!$H:$I,2,FALSE),"-")</f>
        <v>1</v>
      </c>
      <c r="O755" s="11" t="s">
        <v>0</v>
      </c>
      <c r="P755" s="30"/>
      <c r="Q755" s="11" t="str">
        <f>IFERROR(INDEX(SailPattern!$A:$A,MATCH(P755,SailPattern!$B:$B,0)),"-")</f>
        <v>-</v>
      </c>
      <c r="R755" s="30"/>
      <c r="S755" s="11" t="str">
        <f>IFERROR(INDEX(SailCrest!$A:$A,MATCH(R755,SailCrest!$B:$B,0)),"-")</f>
        <v>-</v>
      </c>
      <c r="T755" s="19" t="s">
        <v>0</v>
      </c>
      <c r="U755" s="19" t="s">
        <v>0</v>
      </c>
      <c r="V755" s="19" t="s">
        <v>0</v>
      </c>
      <c r="W755" s="19" t="s">
        <v>0</v>
      </c>
      <c r="X755" s="19" t="s">
        <v>0</v>
      </c>
      <c r="Y755" s="19" t="s">
        <v>0</v>
      </c>
      <c r="Z755" s="19" t="s">
        <v>0</v>
      </c>
      <c r="AA755" s="19" t="s">
        <v>0</v>
      </c>
    </row>
    <row r="756" spans="1:27" ht="15">
      <c r="A756" s="10">
        <f t="shared" si="23"/>
        <v>46500072</v>
      </c>
      <c r="B756" s="42" t="s">
        <v>4013</v>
      </c>
      <c r="C756" s="4" t="s">
        <v>270</v>
      </c>
      <c r="D756" s="11">
        <f>IFERROR(VLOOKUP(C756,ShipShapeEnum!$E:$F,2,FALSE),"-")</f>
        <v>6</v>
      </c>
      <c r="E756" s="19" t="s">
        <v>4014</v>
      </c>
      <c r="F756" s="4" t="s">
        <v>61</v>
      </c>
      <c r="G756" s="11">
        <f>IFERROR(VLOOKUP(F756,ShipShapeEnum!$B:$C,2,FALSE),"-")</f>
        <v>1</v>
      </c>
      <c r="H756" s="19" t="s">
        <v>0</v>
      </c>
      <c r="I756" s="19" t="s">
        <v>0</v>
      </c>
      <c r="J756" s="19" t="s">
        <v>0</v>
      </c>
      <c r="K756" s="19" t="s">
        <v>0</v>
      </c>
      <c r="L756" s="19" t="s">
        <v>0</v>
      </c>
      <c r="M756" s="4" t="s">
        <v>81</v>
      </c>
      <c r="N756" s="11">
        <f>IFERROR(VLOOKUP(M756,ShipShapeEnum!$H:$I,2,FALSE),"-")</f>
        <v>1</v>
      </c>
      <c r="O756" s="11" t="s">
        <v>0</v>
      </c>
      <c r="P756" s="30"/>
      <c r="Q756" s="11" t="str">
        <f>IFERROR(INDEX(SailPattern!$A:$A,MATCH(P756,SailPattern!$B:$B,0)),"-")</f>
        <v>-</v>
      </c>
      <c r="R756" s="30"/>
      <c r="S756" s="11" t="str">
        <f>IFERROR(INDEX(SailCrest!$A:$A,MATCH(R756,SailCrest!$B:$B,0)),"-")</f>
        <v>-</v>
      </c>
      <c r="T756" s="19" t="s">
        <v>0</v>
      </c>
      <c r="U756" s="19" t="s">
        <v>0</v>
      </c>
      <c r="V756" s="19" t="s">
        <v>0</v>
      </c>
      <c r="W756" s="19" t="s">
        <v>0</v>
      </c>
      <c r="X756" s="19" t="s">
        <v>0</v>
      </c>
      <c r="Y756" s="19" t="s">
        <v>0</v>
      </c>
      <c r="Z756" s="19" t="s">
        <v>0</v>
      </c>
      <c r="AA756" s="19" t="s">
        <v>0</v>
      </c>
    </row>
    <row r="757" spans="1:27" ht="15">
      <c r="A757" s="10">
        <v>46550001</v>
      </c>
      <c r="B757" s="44" t="s">
        <v>158</v>
      </c>
      <c r="C757" s="4" t="s">
        <v>159</v>
      </c>
      <c r="D757" s="11">
        <f>IFERROR(VLOOKUP(C757,ShipShapeEnum!$E:$F,2,FALSE),"-")</f>
        <v>91</v>
      </c>
      <c r="E757" s="19" t="s">
        <v>163</v>
      </c>
      <c r="F757" s="4" t="s">
        <v>66</v>
      </c>
      <c r="G757" s="11">
        <f>IFERROR(VLOOKUP(F757,ShipShapeEnum!$B:$C,2,FALSE),"-")</f>
        <v>3</v>
      </c>
      <c r="H757" s="19" t="s">
        <v>201</v>
      </c>
      <c r="I757" s="19" t="s">
        <v>102</v>
      </c>
      <c r="J757" s="19" t="s">
        <v>102</v>
      </c>
      <c r="K757" s="19" t="s">
        <v>102</v>
      </c>
      <c r="L757" s="19" t="s">
        <v>102</v>
      </c>
      <c r="M757" s="4" t="s">
        <v>109</v>
      </c>
      <c r="N757" s="11">
        <f>IFERROR(VLOOKUP(M757,ShipShapeEnum!$H:$I,2,FALSE),"-")</f>
        <v>3</v>
      </c>
      <c r="O757" s="11" t="s">
        <v>2688</v>
      </c>
      <c r="P757" s="30"/>
      <c r="Q757" s="11" t="str">
        <f>IFERROR(INDEX(SailPattern!$A:$A,MATCH(P757,SailPattern!$B:$B,0)),"-")</f>
        <v>-</v>
      </c>
      <c r="R757" s="30"/>
      <c r="S757" s="11" t="str">
        <f>IFERROR(INDEX(SailCrest!$A:$A,MATCH(R757,SailCrest!$B:$B,0)),"-")</f>
        <v>-</v>
      </c>
      <c r="T757" s="19" t="s">
        <v>0</v>
      </c>
      <c r="U757" s="19" t="s">
        <v>0</v>
      </c>
      <c r="V757" s="19" t="s">
        <v>0</v>
      </c>
      <c r="W757" s="19" t="s">
        <v>86</v>
      </c>
      <c r="X757" s="19" t="s">
        <v>92</v>
      </c>
      <c r="Y757" s="19" t="s">
        <v>93</v>
      </c>
      <c r="Z757" s="19" t="s">
        <v>78</v>
      </c>
      <c r="AA757" s="19" t="s">
        <v>78</v>
      </c>
    </row>
    <row r="758" spans="1:27" ht="15">
      <c r="A758" s="10">
        <v>46600001</v>
      </c>
      <c r="B758" s="37" t="s">
        <v>601</v>
      </c>
      <c r="C758" s="4" t="s">
        <v>570</v>
      </c>
      <c r="D758" s="11">
        <f>IFERROR(VLOOKUP(C758,ShipShapeEnum!$E:$F,2,FALSE),"-")</f>
        <v>92</v>
      </c>
      <c r="E758" s="19" t="s">
        <v>571</v>
      </c>
      <c r="F758" s="4" t="s">
        <v>66</v>
      </c>
      <c r="G758" s="11">
        <f>IFERROR(VLOOKUP(F758,ShipShapeEnum!$B:$C,2,FALSE),"-")</f>
        <v>3</v>
      </c>
      <c r="H758" s="19" t="s">
        <v>590</v>
      </c>
      <c r="I758" s="19">
        <v>1</v>
      </c>
      <c r="J758" s="19">
        <v>8</v>
      </c>
      <c r="K758" s="19" t="s">
        <v>0</v>
      </c>
      <c r="L758" s="19" t="s">
        <v>0</v>
      </c>
      <c r="M758" s="4" t="s">
        <v>109</v>
      </c>
      <c r="N758" s="11">
        <f>IFERROR(VLOOKUP(M758,ShipShapeEnum!$H:$I,2,FALSE),"-")</f>
        <v>3</v>
      </c>
      <c r="O758" s="11" t="s">
        <v>2688</v>
      </c>
      <c r="P758" s="30"/>
      <c r="Q758" s="11" t="str">
        <f>IFERROR(INDEX(SailPattern!$A:$A,MATCH(P758,SailPattern!$B:$B,0)),"-")</f>
        <v>-</v>
      </c>
      <c r="R758" s="30"/>
      <c r="S758" s="11" t="str">
        <f>IFERROR(INDEX(SailCrest!$A:$A,MATCH(R758,SailCrest!$B:$B,0)),"-")</f>
        <v>-</v>
      </c>
      <c r="T758" s="19" t="s">
        <v>0</v>
      </c>
      <c r="U758" s="19" t="s">
        <v>0</v>
      </c>
      <c r="V758" s="19" t="s">
        <v>0</v>
      </c>
      <c r="W758" s="19" t="s">
        <v>0</v>
      </c>
      <c r="X758" s="19" t="s">
        <v>0</v>
      </c>
      <c r="Y758" s="19" t="s">
        <v>0</v>
      </c>
      <c r="Z758" s="19" t="s">
        <v>0</v>
      </c>
      <c r="AA758" s="19" t="s">
        <v>0</v>
      </c>
    </row>
    <row r="759" spans="1:27" ht="15">
      <c r="A759" s="10">
        <f>A758+1</f>
        <v>46600002</v>
      </c>
      <c r="B759" s="37" t="s">
        <v>602</v>
      </c>
      <c r="C759" s="4" t="s">
        <v>626</v>
      </c>
      <c r="D759" s="11">
        <f>IFERROR(VLOOKUP(C759,ShipShapeEnum!$E:$F,2,FALSE),"-")</f>
        <v>93</v>
      </c>
      <c r="E759" s="19" t="s">
        <v>572</v>
      </c>
      <c r="F759" s="4" t="s">
        <v>66</v>
      </c>
      <c r="G759" s="11">
        <f>IFERROR(VLOOKUP(F759,ShipShapeEnum!$B:$C,2,FALSE),"-")</f>
        <v>3</v>
      </c>
      <c r="H759" s="19" t="s">
        <v>591</v>
      </c>
      <c r="I759" s="19">
        <v>1</v>
      </c>
      <c r="J759" s="19">
        <v>8</v>
      </c>
      <c r="K759" s="19" t="s">
        <v>0</v>
      </c>
      <c r="L759" s="19" t="s">
        <v>0</v>
      </c>
      <c r="M759" s="4" t="s">
        <v>109</v>
      </c>
      <c r="N759" s="11">
        <f>IFERROR(VLOOKUP(M759,ShipShapeEnum!$H:$I,2,FALSE),"-")</f>
        <v>3</v>
      </c>
      <c r="O759" s="11" t="s">
        <v>2688</v>
      </c>
      <c r="P759" s="30"/>
      <c r="Q759" s="11" t="str">
        <f>IFERROR(INDEX(SailPattern!$A:$A,MATCH(P759,SailPattern!$B:$B,0)),"-")</f>
        <v>-</v>
      </c>
      <c r="R759" s="30"/>
      <c r="S759" s="11" t="str">
        <f>IFERROR(INDEX(SailCrest!$A:$A,MATCH(R759,SailCrest!$B:$B,0)),"-")</f>
        <v>-</v>
      </c>
      <c r="T759" s="19" t="s">
        <v>0</v>
      </c>
      <c r="U759" s="19" t="s">
        <v>0</v>
      </c>
      <c r="V759" s="19" t="s">
        <v>0</v>
      </c>
      <c r="W759" s="19" t="s">
        <v>0</v>
      </c>
      <c r="X759" s="19" t="s">
        <v>0</v>
      </c>
      <c r="Y759" s="19" t="s">
        <v>0</v>
      </c>
      <c r="Z759" s="19" t="s">
        <v>0</v>
      </c>
      <c r="AA759" s="19" t="s">
        <v>0</v>
      </c>
    </row>
    <row r="760" spans="1:27" ht="15">
      <c r="A760" s="10">
        <f t="shared" ref="A760:A776" si="24">A759+1</f>
        <v>46600003</v>
      </c>
      <c r="B760" s="37" t="s">
        <v>606</v>
      </c>
      <c r="C760" s="4" t="s">
        <v>627</v>
      </c>
      <c r="D760" s="11">
        <f>IFERROR(VLOOKUP(C760,ShipShapeEnum!$E:$F,2,FALSE),"-")</f>
        <v>94</v>
      </c>
      <c r="E760" s="19" t="s">
        <v>573</v>
      </c>
      <c r="F760" s="4" t="s">
        <v>66</v>
      </c>
      <c r="G760" s="11">
        <f>IFERROR(VLOOKUP(F760,ShipShapeEnum!$B:$C,2,FALSE),"-")</f>
        <v>3</v>
      </c>
      <c r="H760" s="19" t="s">
        <v>592</v>
      </c>
      <c r="I760" s="19">
        <v>1</v>
      </c>
      <c r="J760" s="19">
        <v>8</v>
      </c>
      <c r="K760" s="19" t="s">
        <v>0</v>
      </c>
      <c r="L760" s="19" t="s">
        <v>0</v>
      </c>
      <c r="M760" s="4" t="s">
        <v>109</v>
      </c>
      <c r="N760" s="11">
        <f>IFERROR(VLOOKUP(M760,ShipShapeEnum!$H:$I,2,FALSE),"-")</f>
        <v>3</v>
      </c>
      <c r="O760" s="11" t="s">
        <v>2688</v>
      </c>
      <c r="P760" s="30"/>
      <c r="Q760" s="11" t="str">
        <f>IFERROR(INDEX(SailPattern!$A:$A,MATCH(P760,SailPattern!$B:$B,0)),"-")</f>
        <v>-</v>
      </c>
      <c r="R760" s="30"/>
      <c r="S760" s="11" t="str">
        <f>IFERROR(INDEX(SailCrest!$A:$A,MATCH(R760,SailCrest!$B:$B,0)),"-")</f>
        <v>-</v>
      </c>
      <c r="T760" s="19" t="s">
        <v>0</v>
      </c>
      <c r="U760" s="19" t="s">
        <v>0</v>
      </c>
      <c r="V760" s="19" t="s">
        <v>0</v>
      </c>
      <c r="W760" s="19" t="s">
        <v>0</v>
      </c>
      <c r="X760" s="19" t="s">
        <v>0</v>
      </c>
      <c r="Y760" s="19" t="s">
        <v>0</v>
      </c>
      <c r="Z760" s="19" t="s">
        <v>0</v>
      </c>
      <c r="AA760" s="19" t="s">
        <v>0</v>
      </c>
    </row>
    <row r="761" spans="1:27" ht="15">
      <c r="A761" s="10">
        <f t="shared" si="24"/>
        <v>46600004</v>
      </c>
      <c r="B761" s="37" t="s">
        <v>608</v>
      </c>
      <c r="C761" s="4" t="s">
        <v>628</v>
      </c>
      <c r="D761" s="11">
        <f>IFERROR(VLOOKUP(C761,ShipShapeEnum!$E:$F,2,FALSE),"-")</f>
        <v>95</v>
      </c>
      <c r="E761" s="19" t="s">
        <v>574</v>
      </c>
      <c r="F761" s="4" t="s">
        <v>66</v>
      </c>
      <c r="G761" s="11">
        <f>IFERROR(VLOOKUP(F761,ShipShapeEnum!$B:$C,2,FALSE),"-")</f>
        <v>3</v>
      </c>
      <c r="H761" s="19" t="s">
        <v>593</v>
      </c>
      <c r="I761" s="19">
        <v>1</v>
      </c>
      <c r="J761" s="19">
        <v>8</v>
      </c>
      <c r="K761" s="19" t="s">
        <v>0</v>
      </c>
      <c r="L761" s="19" t="s">
        <v>0</v>
      </c>
      <c r="M761" s="4" t="s">
        <v>109</v>
      </c>
      <c r="N761" s="11">
        <f>IFERROR(VLOOKUP(M761,ShipShapeEnum!$H:$I,2,FALSE),"-")</f>
        <v>3</v>
      </c>
      <c r="O761" s="11" t="s">
        <v>2688</v>
      </c>
      <c r="P761" s="30"/>
      <c r="Q761" s="11" t="str">
        <f>IFERROR(INDEX(SailPattern!$A:$A,MATCH(P761,SailPattern!$B:$B,0)),"-")</f>
        <v>-</v>
      </c>
      <c r="R761" s="30"/>
      <c r="S761" s="11" t="str">
        <f>IFERROR(INDEX(SailCrest!$A:$A,MATCH(R761,SailCrest!$B:$B,0)),"-")</f>
        <v>-</v>
      </c>
      <c r="T761" s="19" t="s">
        <v>0</v>
      </c>
      <c r="U761" s="19" t="s">
        <v>0</v>
      </c>
      <c r="V761" s="19" t="s">
        <v>0</v>
      </c>
      <c r="W761" s="19" t="s">
        <v>0</v>
      </c>
      <c r="X761" s="19" t="s">
        <v>0</v>
      </c>
      <c r="Y761" s="19" t="s">
        <v>0</v>
      </c>
      <c r="Z761" s="19" t="s">
        <v>0</v>
      </c>
      <c r="AA761" s="19" t="s">
        <v>0</v>
      </c>
    </row>
    <row r="762" spans="1:27" ht="15">
      <c r="A762" s="10">
        <f t="shared" si="24"/>
        <v>46600005</v>
      </c>
      <c r="B762" s="37" t="s">
        <v>604</v>
      </c>
      <c r="C762" s="4" t="s">
        <v>755</v>
      </c>
      <c r="D762" s="11">
        <f>IFERROR(VLOOKUP(C762,ShipShapeEnum!$E:$F,2,FALSE),"-")</f>
        <v>96</v>
      </c>
      <c r="E762" s="19" t="s">
        <v>575</v>
      </c>
      <c r="F762" s="4" t="s">
        <v>66</v>
      </c>
      <c r="G762" s="11">
        <f>IFERROR(VLOOKUP(F762,ShipShapeEnum!$B:$C,2,FALSE),"-")</f>
        <v>3</v>
      </c>
      <c r="H762" s="19" t="s">
        <v>594</v>
      </c>
      <c r="I762" s="19">
        <v>1</v>
      </c>
      <c r="J762" s="19">
        <v>8</v>
      </c>
      <c r="K762" s="19" t="s">
        <v>0</v>
      </c>
      <c r="L762" s="19" t="s">
        <v>0</v>
      </c>
      <c r="M762" s="4" t="s">
        <v>109</v>
      </c>
      <c r="N762" s="11">
        <f>IFERROR(VLOOKUP(M762,ShipShapeEnum!$H:$I,2,FALSE),"-")</f>
        <v>3</v>
      </c>
      <c r="O762" s="11" t="s">
        <v>2688</v>
      </c>
      <c r="P762" s="30"/>
      <c r="Q762" s="11" t="str">
        <f>IFERROR(INDEX(SailPattern!$A:$A,MATCH(P762,SailPattern!$B:$B,0)),"-")</f>
        <v>-</v>
      </c>
      <c r="R762" s="30"/>
      <c r="S762" s="11" t="str">
        <f>IFERROR(INDEX(SailCrest!$A:$A,MATCH(R762,SailCrest!$B:$B,0)),"-")</f>
        <v>-</v>
      </c>
      <c r="T762" s="19" t="s">
        <v>0</v>
      </c>
      <c r="U762" s="19" t="s">
        <v>0</v>
      </c>
      <c r="V762" s="19" t="s">
        <v>0</v>
      </c>
      <c r="W762" s="19" t="s">
        <v>0</v>
      </c>
      <c r="X762" s="19" t="s">
        <v>0</v>
      </c>
      <c r="Y762" s="19" t="s">
        <v>0</v>
      </c>
      <c r="Z762" s="19" t="s">
        <v>0</v>
      </c>
      <c r="AA762" s="19" t="s">
        <v>0</v>
      </c>
    </row>
    <row r="763" spans="1:27" ht="15">
      <c r="A763" s="10">
        <f t="shared" si="24"/>
        <v>46600006</v>
      </c>
      <c r="B763" s="37" t="s">
        <v>610</v>
      </c>
      <c r="C763" s="4" t="s">
        <v>756</v>
      </c>
      <c r="D763" s="11">
        <f>IFERROR(VLOOKUP(C763,ShipShapeEnum!$E:$F,2,FALSE),"-")</f>
        <v>97</v>
      </c>
      <c r="E763" s="19" t="s">
        <v>576</v>
      </c>
      <c r="F763" s="4" t="s">
        <v>66</v>
      </c>
      <c r="G763" s="11">
        <f>IFERROR(VLOOKUP(F763,ShipShapeEnum!$B:$C,2,FALSE),"-")</f>
        <v>3</v>
      </c>
      <c r="H763" s="19" t="s">
        <v>595</v>
      </c>
      <c r="I763" s="19">
        <v>1</v>
      </c>
      <c r="J763" s="19">
        <v>8</v>
      </c>
      <c r="K763" s="19" t="s">
        <v>0</v>
      </c>
      <c r="L763" s="19" t="s">
        <v>0</v>
      </c>
      <c r="M763" s="4" t="s">
        <v>109</v>
      </c>
      <c r="N763" s="11">
        <f>IFERROR(VLOOKUP(M763,ShipShapeEnum!$H:$I,2,FALSE),"-")</f>
        <v>3</v>
      </c>
      <c r="O763" s="11" t="s">
        <v>2688</v>
      </c>
      <c r="P763" s="30"/>
      <c r="Q763" s="11" t="str">
        <f>IFERROR(INDEX(SailPattern!$A:$A,MATCH(P763,SailPattern!$B:$B,0)),"-")</f>
        <v>-</v>
      </c>
      <c r="R763" s="30"/>
      <c r="S763" s="11" t="str">
        <f>IFERROR(INDEX(SailCrest!$A:$A,MATCH(R763,SailCrest!$B:$B,0)),"-")</f>
        <v>-</v>
      </c>
      <c r="T763" s="19" t="s">
        <v>0</v>
      </c>
      <c r="U763" s="19" t="s">
        <v>0</v>
      </c>
      <c r="V763" s="19" t="s">
        <v>0</v>
      </c>
      <c r="W763" s="19" t="s">
        <v>0</v>
      </c>
      <c r="X763" s="19" t="s">
        <v>0</v>
      </c>
      <c r="Y763" s="19" t="s">
        <v>0</v>
      </c>
      <c r="Z763" s="19" t="s">
        <v>0</v>
      </c>
      <c r="AA763" s="19" t="s">
        <v>0</v>
      </c>
    </row>
    <row r="764" spans="1:27" ht="15">
      <c r="A764" s="10">
        <f t="shared" si="24"/>
        <v>46600007</v>
      </c>
      <c r="B764" s="37" t="s">
        <v>603</v>
      </c>
      <c r="C764" s="4" t="s">
        <v>757</v>
      </c>
      <c r="D764" s="11">
        <f>IFERROR(VLOOKUP(C764,ShipShapeEnum!$E:$F,2,FALSE),"-")</f>
        <v>98</v>
      </c>
      <c r="E764" s="19" t="s">
        <v>577</v>
      </c>
      <c r="F764" s="4" t="s">
        <v>66</v>
      </c>
      <c r="G764" s="11">
        <f>IFERROR(VLOOKUP(F764,ShipShapeEnum!$B:$C,2,FALSE),"-")</f>
        <v>3</v>
      </c>
      <c r="H764" s="19" t="s">
        <v>596</v>
      </c>
      <c r="I764" s="19">
        <v>1</v>
      </c>
      <c r="J764" s="19">
        <v>8</v>
      </c>
      <c r="K764" s="19" t="s">
        <v>0</v>
      </c>
      <c r="L764" s="19" t="s">
        <v>0</v>
      </c>
      <c r="M764" s="4" t="s">
        <v>109</v>
      </c>
      <c r="N764" s="11">
        <f>IFERROR(VLOOKUP(M764,ShipShapeEnum!$H:$I,2,FALSE),"-")</f>
        <v>3</v>
      </c>
      <c r="O764" s="11" t="s">
        <v>2688</v>
      </c>
      <c r="P764" s="30"/>
      <c r="Q764" s="11" t="str">
        <f>IFERROR(INDEX(SailPattern!$A:$A,MATCH(P764,SailPattern!$B:$B,0)),"-")</f>
        <v>-</v>
      </c>
      <c r="R764" s="30"/>
      <c r="S764" s="11" t="str">
        <f>IFERROR(INDEX(SailCrest!$A:$A,MATCH(R764,SailCrest!$B:$B,0)),"-")</f>
        <v>-</v>
      </c>
      <c r="T764" s="19" t="s">
        <v>0</v>
      </c>
      <c r="U764" s="19" t="s">
        <v>0</v>
      </c>
      <c r="V764" s="19" t="s">
        <v>0</v>
      </c>
      <c r="W764" s="19" t="s">
        <v>0</v>
      </c>
      <c r="X764" s="19" t="s">
        <v>0</v>
      </c>
      <c r="Y764" s="19" t="s">
        <v>0</v>
      </c>
      <c r="Z764" s="19" t="s">
        <v>0</v>
      </c>
      <c r="AA764" s="19" t="s">
        <v>0</v>
      </c>
    </row>
    <row r="765" spans="1:27" ht="15">
      <c r="A765" s="10">
        <f t="shared" si="24"/>
        <v>46600008</v>
      </c>
      <c r="B765" s="37" t="s">
        <v>607</v>
      </c>
      <c r="C765" s="4" t="s">
        <v>758</v>
      </c>
      <c r="D765" s="11">
        <f>IFERROR(VLOOKUP(C765,ShipShapeEnum!$E:$F,2,FALSE),"-")</f>
        <v>99</v>
      </c>
      <c r="E765" s="19" t="s">
        <v>578</v>
      </c>
      <c r="F765" s="4" t="s">
        <v>66</v>
      </c>
      <c r="G765" s="11">
        <f>IFERROR(VLOOKUP(F765,ShipShapeEnum!$B:$C,2,FALSE),"-")</f>
        <v>3</v>
      </c>
      <c r="H765" s="19" t="s">
        <v>597</v>
      </c>
      <c r="I765" s="19">
        <v>1</v>
      </c>
      <c r="J765" s="19">
        <v>8</v>
      </c>
      <c r="K765" s="19" t="s">
        <v>0</v>
      </c>
      <c r="L765" s="19" t="s">
        <v>0</v>
      </c>
      <c r="M765" s="4" t="s">
        <v>109</v>
      </c>
      <c r="N765" s="11">
        <f>IFERROR(VLOOKUP(M765,ShipShapeEnum!$H:$I,2,FALSE),"-")</f>
        <v>3</v>
      </c>
      <c r="O765" s="11" t="s">
        <v>2688</v>
      </c>
      <c r="P765" s="30"/>
      <c r="Q765" s="11" t="str">
        <f>IFERROR(INDEX(SailPattern!$A:$A,MATCH(P765,SailPattern!$B:$B,0)),"-")</f>
        <v>-</v>
      </c>
      <c r="R765" s="30"/>
      <c r="S765" s="11" t="str">
        <f>IFERROR(INDEX(SailCrest!$A:$A,MATCH(R765,SailCrest!$B:$B,0)),"-")</f>
        <v>-</v>
      </c>
      <c r="T765" s="19" t="s">
        <v>0</v>
      </c>
      <c r="U765" s="19" t="s">
        <v>0</v>
      </c>
      <c r="V765" s="19" t="s">
        <v>0</v>
      </c>
      <c r="W765" s="19" t="s">
        <v>0</v>
      </c>
      <c r="X765" s="19" t="s">
        <v>0</v>
      </c>
      <c r="Y765" s="19" t="s">
        <v>0</v>
      </c>
      <c r="Z765" s="19" t="s">
        <v>0</v>
      </c>
      <c r="AA765" s="19" t="s">
        <v>0</v>
      </c>
    </row>
    <row r="766" spans="1:27" ht="15">
      <c r="A766" s="10">
        <f t="shared" si="24"/>
        <v>46600009</v>
      </c>
      <c r="B766" s="37" t="s">
        <v>605</v>
      </c>
      <c r="C766" s="4" t="s">
        <v>759</v>
      </c>
      <c r="D766" s="11">
        <f>IFERROR(VLOOKUP(C766,ShipShapeEnum!$E:$F,2,FALSE),"-")</f>
        <v>100</v>
      </c>
      <c r="E766" s="19" t="s">
        <v>579</v>
      </c>
      <c r="F766" s="4" t="s">
        <v>66</v>
      </c>
      <c r="G766" s="11">
        <f>IFERROR(VLOOKUP(F766,ShipShapeEnum!$B:$C,2,FALSE),"-")</f>
        <v>3</v>
      </c>
      <c r="H766" s="19" t="s">
        <v>598</v>
      </c>
      <c r="I766" s="19">
        <v>1</v>
      </c>
      <c r="J766" s="19">
        <v>8</v>
      </c>
      <c r="K766" s="19" t="s">
        <v>0</v>
      </c>
      <c r="L766" s="19" t="s">
        <v>0</v>
      </c>
      <c r="M766" s="4" t="s">
        <v>109</v>
      </c>
      <c r="N766" s="11">
        <f>IFERROR(VLOOKUP(M766,ShipShapeEnum!$H:$I,2,FALSE),"-")</f>
        <v>3</v>
      </c>
      <c r="O766" s="11" t="s">
        <v>2688</v>
      </c>
      <c r="P766" s="30"/>
      <c r="Q766" s="11" t="str">
        <f>IFERROR(INDEX(SailPattern!$A:$A,MATCH(P766,SailPattern!$B:$B,0)),"-")</f>
        <v>-</v>
      </c>
      <c r="R766" s="30"/>
      <c r="S766" s="11" t="str">
        <f>IFERROR(INDEX(SailCrest!$A:$A,MATCH(R766,SailCrest!$B:$B,0)),"-")</f>
        <v>-</v>
      </c>
      <c r="T766" s="19" t="s">
        <v>0</v>
      </c>
      <c r="U766" s="19" t="s">
        <v>0</v>
      </c>
      <c r="V766" s="19" t="s">
        <v>0</v>
      </c>
      <c r="W766" s="19" t="s">
        <v>0</v>
      </c>
      <c r="X766" s="19" t="s">
        <v>0</v>
      </c>
      <c r="Y766" s="19" t="s">
        <v>0</v>
      </c>
      <c r="Z766" s="19" t="s">
        <v>0</v>
      </c>
      <c r="AA766" s="19" t="s">
        <v>0</v>
      </c>
    </row>
    <row r="767" spans="1:27" ht="15">
      <c r="A767" s="10">
        <f t="shared" si="24"/>
        <v>46600010</v>
      </c>
      <c r="B767" s="37" t="s">
        <v>611</v>
      </c>
      <c r="C767" s="4" t="s">
        <v>760</v>
      </c>
      <c r="D767" s="11">
        <f>IFERROR(VLOOKUP(C767,ShipShapeEnum!$E:$F,2,FALSE),"-")</f>
        <v>101</v>
      </c>
      <c r="E767" s="19" t="s">
        <v>580</v>
      </c>
      <c r="F767" s="4" t="s">
        <v>66</v>
      </c>
      <c r="G767" s="11">
        <f>IFERROR(VLOOKUP(F767,ShipShapeEnum!$B:$C,2,FALSE),"-")</f>
        <v>3</v>
      </c>
      <c r="H767" s="19" t="s">
        <v>599</v>
      </c>
      <c r="I767" s="19">
        <v>1</v>
      </c>
      <c r="J767" s="19">
        <v>8</v>
      </c>
      <c r="K767" s="19" t="s">
        <v>0</v>
      </c>
      <c r="L767" s="19" t="s">
        <v>0</v>
      </c>
      <c r="M767" s="4" t="s">
        <v>109</v>
      </c>
      <c r="N767" s="11">
        <f>IFERROR(VLOOKUP(M767,ShipShapeEnum!$H:$I,2,FALSE),"-")</f>
        <v>3</v>
      </c>
      <c r="O767" s="11" t="s">
        <v>2688</v>
      </c>
      <c r="P767" s="30"/>
      <c r="Q767" s="11" t="str">
        <f>IFERROR(INDEX(SailPattern!$A:$A,MATCH(P767,SailPattern!$B:$B,0)),"-")</f>
        <v>-</v>
      </c>
      <c r="R767" s="30"/>
      <c r="S767" s="11" t="str">
        <f>IFERROR(INDEX(SailCrest!$A:$A,MATCH(R767,SailCrest!$B:$B,0)),"-")</f>
        <v>-</v>
      </c>
      <c r="T767" s="19" t="s">
        <v>0</v>
      </c>
      <c r="U767" s="19" t="s">
        <v>0</v>
      </c>
      <c r="V767" s="19" t="s">
        <v>0</v>
      </c>
      <c r="W767" s="19" t="s">
        <v>0</v>
      </c>
      <c r="X767" s="19" t="s">
        <v>0</v>
      </c>
      <c r="Y767" s="19" t="s">
        <v>0</v>
      </c>
      <c r="Z767" s="19" t="s">
        <v>0</v>
      </c>
      <c r="AA767" s="19" t="s">
        <v>0</v>
      </c>
    </row>
    <row r="768" spans="1:27" ht="15">
      <c r="A768" s="10">
        <f t="shared" si="24"/>
        <v>46600011</v>
      </c>
      <c r="B768" s="37" t="s">
        <v>609</v>
      </c>
      <c r="C768" s="4" t="s">
        <v>761</v>
      </c>
      <c r="D768" s="11">
        <f>IFERROR(VLOOKUP(C768,ShipShapeEnum!$E:$F,2,FALSE),"-")</f>
        <v>102</v>
      </c>
      <c r="E768" s="19" t="s">
        <v>581</v>
      </c>
      <c r="F768" s="4" t="s">
        <v>66</v>
      </c>
      <c r="G768" s="11">
        <f>IFERROR(VLOOKUP(F768,ShipShapeEnum!$B:$C,2,FALSE),"-")</f>
        <v>3</v>
      </c>
      <c r="H768" s="19" t="s">
        <v>600</v>
      </c>
      <c r="I768" s="19">
        <v>1</v>
      </c>
      <c r="J768" s="19">
        <v>8</v>
      </c>
      <c r="K768" s="19" t="s">
        <v>0</v>
      </c>
      <c r="L768" s="19" t="s">
        <v>0</v>
      </c>
      <c r="M768" s="4" t="s">
        <v>109</v>
      </c>
      <c r="N768" s="11">
        <f>IFERROR(VLOOKUP(M768,ShipShapeEnum!$H:$I,2,FALSE),"-")</f>
        <v>3</v>
      </c>
      <c r="O768" s="11" t="s">
        <v>2688</v>
      </c>
      <c r="P768" s="30"/>
      <c r="Q768" s="11" t="str">
        <f>IFERROR(INDEX(SailPattern!$A:$A,MATCH(P768,SailPattern!$B:$B,0)),"-")</f>
        <v>-</v>
      </c>
      <c r="R768" s="30"/>
      <c r="S768" s="11" t="str">
        <f>IFERROR(INDEX(SailCrest!$A:$A,MATCH(R768,SailCrest!$B:$B,0)),"-")</f>
        <v>-</v>
      </c>
      <c r="T768" s="19" t="s">
        <v>0</v>
      </c>
      <c r="U768" s="19" t="s">
        <v>0</v>
      </c>
      <c r="V768" s="19" t="s">
        <v>0</v>
      </c>
      <c r="W768" s="19" t="s">
        <v>0</v>
      </c>
      <c r="X768" s="19" t="s">
        <v>0</v>
      </c>
      <c r="Y768" s="19" t="s">
        <v>0</v>
      </c>
      <c r="Z768" s="19" t="s">
        <v>0</v>
      </c>
      <c r="AA768" s="19" t="s">
        <v>0</v>
      </c>
    </row>
    <row r="769" spans="1:27" ht="15">
      <c r="A769" s="10">
        <f t="shared" si="24"/>
        <v>46600012</v>
      </c>
      <c r="B769" s="37" t="s">
        <v>1827</v>
      </c>
      <c r="C769" s="4" t="s">
        <v>570</v>
      </c>
      <c r="D769" s="11">
        <f>IFERROR(VLOOKUP(C769,ShipShapeEnum!$E:$F,2,FALSE),"-")</f>
        <v>92</v>
      </c>
      <c r="E769" s="19" t="s">
        <v>582</v>
      </c>
      <c r="F769" s="4" t="s">
        <v>66</v>
      </c>
      <c r="G769" s="11">
        <f>IFERROR(VLOOKUP(F769,ShipShapeEnum!$B:$C,2,FALSE),"-")</f>
        <v>3</v>
      </c>
      <c r="H769" s="19" t="s">
        <v>590</v>
      </c>
      <c r="I769" s="19">
        <v>1</v>
      </c>
      <c r="J769" s="19">
        <v>8</v>
      </c>
      <c r="K769" s="19" t="s">
        <v>0</v>
      </c>
      <c r="L769" s="19" t="s">
        <v>0</v>
      </c>
      <c r="M769" s="4" t="s">
        <v>109</v>
      </c>
      <c r="N769" s="11">
        <f>IFERROR(VLOOKUP(M769,ShipShapeEnum!$H:$I,2,FALSE),"-")</f>
        <v>3</v>
      </c>
      <c r="O769" s="11" t="s">
        <v>2688</v>
      </c>
      <c r="P769" s="30"/>
      <c r="Q769" s="11" t="str">
        <f>IFERROR(INDEX(SailPattern!$A:$A,MATCH(P769,SailPattern!$B:$B,0)),"-")</f>
        <v>-</v>
      </c>
      <c r="R769" s="30"/>
      <c r="S769" s="11" t="str">
        <f>IFERROR(INDEX(SailCrest!$A:$A,MATCH(R769,SailCrest!$B:$B,0)),"-")</f>
        <v>-</v>
      </c>
      <c r="T769" s="19" t="s">
        <v>0</v>
      </c>
      <c r="U769" s="19" t="s">
        <v>0</v>
      </c>
      <c r="V769" s="19" t="s">
        <v>0</v>
      </c>
      <c r="W769" s="19" t="s">
        <v>0</v>
      </c>
      <c r="X769" s="19" t="s">
        <v>0</v>
      </c>
      <c r="Y769" s="19" t="s">
        <v>0</v>
      </c>
      <c r="Z769" s="19" t="s">
        <v>0</v>
      </c>
      <c r="AA769" s="19" t="s">
        <v>0</v>
      </c>
    </row>
    <row r="770" spans="1:27" ht="15">
      <c r="A770" s="10">
        <f t="shared" si="24"/>
        <v>46600013</v>
      </c>
      <c r="B770" s="37" t="s">
        <v>1828</v>
      </c>
      <c r="C770" s="4" t="s">
        <v>626</v>
      </c>
      <c r="D770" s="11">
        <f>IFERROR(VLOOKUP(C770,ShipShapeEnum!$E:$F,2,FALSE),"-")</f>
        <v>93</v>
      </c>
      <c r="E770" s="19" t="s">
        <v>583</v>
      </c>
      <c r="F770" s="4" t="s">
        <v>66</v>
      </c>
      <c r="G770" s="11">
        <f>IFERROR(VLOOKUP(F770,ShipShapeEnum!$B:$C,2,FALSE),"-")</f>
        <v>3</v>
      </c>
      <c r="H770" s="19" t="s">
        <v>591</v>
      </c>
      <c r="I770" s="19">
        <v>1</v>
      </c>
      <c r="J770" s="19">
        <v>8</v>
      </c>
      <c r="K770" s="19" t="s">
        <v>0</v>
      </c>
      <c r="L770" s="19" t="s">
        <v>0</v>
      </c>
      <c r="M770" s="4" t="s">
        <v>109</v>
      </c>
      <c r="N770" s="11">
        <f>IFERROR(VLOOKUP(M770,ShipShapeEnum!$H:$I,2,FALSE),"-")</f>
        <v>3</v>
      </c>
      <c r="O770" s="11" t="s">
        <v>2688</v>
      </c>
      <c r="P770" s="30"/>
      <c r="Q770" s="11" t="str">
        <f>IFERROR(INDEX(SailPattern!$A:$A,MATCH(P770,SailPattern!$B:$B,0)),"-")</f>
        <v>-</v>
      </c>
      <c r="R770" s="30"/>
      <c r="S770" s="11" t="str">
        <f>IFERROR(INDEX(SailCrest!$A:$A,MATCH(R770,SailCrest!$B:$B,0)),"-")</f>
        <v>-</v>
      </c>
      <c r="T770" s="19" t="s">
        <v>0</v>
      </c>
      <c r="U770" s="19" t="s">
        <v>0</v>
      </c>
      <c r="V770" s="19" t="s">
        <v>0</v>
      </c>
      <c r="W770" s="19" t="s">
        <v>0</v>
      </c>
      <c r="X770" s="19" t="s">
        <v>0</v>
      </c>
      <c r="Y770" s="19" t="s">
        <v>0</v>
      </c>
      <c r="Z770" s="19" t="s">
        <v>0</v>
      </c>
      <c r="AA770" s="19" t="s">
        <v>0</v>
      </c>
    </row>
    <row r="771" spans="1:27" ht="15">
      <c r="A771" s="10">
        <f t="shared" si="24"/>
        <v>46600014</v>
      </c>
      <c r="B771" s="37" t="s">
        <v>1829</v>
      </c>
      <c r="C771" s="4" t="s">
        <v>627</v>
      </c>
      <c r="D771" s="11">
        <f>IFERROR(VLOOKUP(C771,ShipShapeEnum!$E:$F,2,FALSE),"-")</f>
        <v>94</v>
      </c>
      <c r="E771" s="19" t="s">
        <v>584</v>
      </c>
      <c r="F771" s="4" t="s">
        <v>66</v>
      </c>
      <c r="G771" s="11">
        <f>IFERROR(VLOOKUP(F771,ShipShapeEnum!$B:$C,2,FALSE),"-")</f>
        <v>3</v>
      </c>
      <c r="H771" s="19" t="s">
        <v>592</v>
      </c>
      <c r="I771" s="19">
        <v>1</v>
      </c>
      <c r="J771" s="19">
        <v>8</v>
      </c>
      <c r="K771" s="19" t="s">
        <v>0</v>
      </c>
      <c r="L771" s="19" t="s">
        <v>0</v>
      </c>
      <c r="M771" s="4" t="s">
        <v>109</v>
      </c>
      <c r="N771" s="11">
        <f>IFERROR(VLOOKUP(M771,ShipShapeEnum!$H:$I,2,FALSE),"-")</f>
        <v>3</v>
      </c>
      <c r="O771" s="11" t="s">
        <v>2688</v>
      </c>
      <c r="P771" s="30"/>
      <c r="Q771" s="11" t="str">
        <f>IFERROR(INDEX(SailPattern!$A:$A,MATCH(P771,SailPattern!$B:$B,0)),"-")</f>
        <v>-</v>
      </c>
      <c r="R771" s="30"/>
      <c r="S771" s="11" t="str">
        <f>IFERROR(INDEX(SailCrest!$A:$A,MATCH(R771,SailCrest!$B:$B,0)),"-")</f>
        <v>-</v>
      </c>
      <c r="T771" s="19" t="s">
        <v>0</v>
      </c>
      <c r="U771" s="19" t="s">
        <v>0</v>
      </c>
      <c r="V771" s="19" t="s">
        <v>0</v>
      </c>
      <c r="W771" s="19" t="s">
        <v>0</v>
      </c>
      <c r="X771" s="19" t="s">
        <v>0</v>
      </c>
      <c r="Y771" s="19" t="s">
        <v>0</v>
      </c>
      <c r="Z771" s="19" t="s">
        <v>0</v>
      </c>
      <c r="AA771" s="19" t="s">
        <v>0</v>
      </c>
    </row>
    <row r="772" spans="1:27" ht="15">
      <c r="A772" s="10">
        <f t="shared" si="24"/>
        <v>46600015</v>
      </c>
      <c r="B772" s="37" t="s">
        <v>1830</v>
      </c>
      <c r="C772" s="4" t="s">
        <v>628</v>
      </c>
      <c r="D772" s="11">
        <f>IFERROR(VLOOKUP(C772,ShipShapeEnum!$E:$F,2,FALSE),"-")</f>
        <v>95</v>
      </c>
      <c r="E772" s="19" t="s">
        <v>585</v>
      </c>
      <c r="F772" s="4" t="s">
        <v>66</v>
      </c>
      <c r="G772" s="11">
        <f>IFERROR(VLOOKUP(F772,ShipShapeEnum!$B:$C,2,FALSE),"-")</f>
        <v>3</v>
      </c>
      <c r="H772" s="19" t="s">
        <v>593</v>
      </c>
      <c r="I772" s="19">
        <v>1</v>
      </c>
      <c r="J772" s="19">
        <v>8</v>
      </c>
      <c r="K772" s="19" t="s">
        <v>0</v>
      </c>
      <c r="L772" s="19" t="s">
        <v>0</v>
      </c>
      <c r="M772" s="4" t="s">
        <v>109</v>
      </c>
      <c r="N772" s="11">
        <f>IFERROR(VLOOKUP(M772,ShipShapeEnum!$H:$I,2,FALSE),"-")</f>
        <v>3</v>
      </c>
      <c r="O772" s="11" t="s">
        <v>2688</v>
      </c>
      <c r="P772" s="30"/>
      <c r="Q772" s="11" t="str">
        <f>IFERROR(INDEX(SailPattern!$A:$A,MATCH(P772,SailPattern!$B:$B,0)),"-")</f>
        <v>-</v>
      </c>
      <c r="R772" s="30"/>
      <c r="S772" s="11" t="str">
        <f>IFERROR(INDEX(SailCrest!$A:$A,MATCH(R772,SailCrest!$B:$B,0)),"-")</f>
        <v>-</v>
      </c>
      <c r="T772" s="19" t="s">
        <v>0</v>
      </c>
      <c r="U772" s="19" t="s">
        <v>0</v>
      </c>
      <c r="V772" s="19" t="s">
        <v>0</v>
      </c>
      <c r="W772" s="19" t="s">
        <v>0</v>
      </c>
      <c r="X772" s="19" t="s">
        <v>0</v>
      </c>
      <c r="Y772" s="19" t="s">
        <v>0</v>
      </c>
      <c r="Z772" s="19" t="s">
        <v>0</v>
      </c>
      <c r="AA772" s="19" t="s">
        <v>0</v>
      </c>
    </row>
    <row r="773" spans="1:27" ht="15">
      <c r="A773" s="10">
        <f t="shared" si="24"/>
        <v>46600016</v>
      </c>
      <c r="B773" s="37" t="s">
        <v>1831</v>
      </c>
      <c r="C773" s="4" t="s">
        <v>755</v>
      </c>
      <c r="D773" s="11">
        <f>IFERROR(VLOOKUP(C773,ShipShapeEnum!$E:$F,2,FALSE),"-")</f>
        <v>96</v>
      </c>
      <c r="E773" s="19" t="s">
        <v>586</v>
      </c>
      <c r="F773" s="4" t="s">
        <v>66</v>
      </c>
      <c r="G773" s="11">
        <f>IFERROR(VLOOKUP(F773,ShipShapeEnum!$B:$C,2,FALSE),"-")</f>
        <v>3</v>
      </c>
      <c r="H773" s="19" t="s">
        <v>594</v>
      </c>
      <c r="I773" s="19">
        <v>1</v>
      </c>
      <c r="J773" s="19">
        <v>8</v>
      </c>
      <c r="K773" s="19" t="s">
        <v>0</v>
      </c>
      <c r="L773" s="19" t="s">
        <v>0</v>
      </c>
      <c r="M773" s="4" t="s">
        <v>109</v>
      </c>
      <c r="N773" s="11">
        <f>IFERROR(VLOOKUP(M773,ShipShapeEnum!$H:$I,2,FALSE),"-")</f>
        <v>3</v>
      </c>
      <c r="O773" s="11" t="s">
        <v>2688</v>
      </c>
      <c r="P773" s="30"/>
      <c r="Q773" s="11" t="str">
        <f>IFERROR(INDEX(SailPattern!$A:$A,MATCH(P773,SailPattern!$B:$B,0)),"-")</f>
        <v>-</v>
      </c>
      <c r="R773" s="30"/>
      <c r="S773" s="11" t="str">
        <f>IFERROR(INDEX(SailCrest!$A:$A,MATCH(R773,SailCrest!$B:$B,0)),"-")</f>
        <v>-</v>
      </c>
      <c r="T773" s="19" t="s">
        <v>0</v>
      </c>
      <c r="U773" s="19" t="s">
        <v>0</v>
      </c>
      <c r="V773" s="19" t="s">
        <v>0</v>
      </c>
      <c r="W773" s="19" t="s">
        <v>0</v>
      </c>
      <c r="X773" s="19" t="s">
        <v>0</v>
      </c>
      <c r="Y773" s="19" t="s">
        <v>0</v>
      </c>
      <c r="Z773" s="19" t="s">
        <v>0</v>
      </c>
      <c r="AA773" s="19" t="s">
        <v>0</v>
      </c>
    </row>
    <row r="774" spans="1:27" ht="15">
      <c r="A774" s="10">
        <f t="shared" si="24"/>
        <v>46600017</v>
      </c>
      <c r="B774" s="37" t="s">
        <v>1832</v>
      </c>
      <c r="C774" s="4" t="s">
        <v>756</v>
      </c>
      <c r="D774" s="11">
        <f>IFERROR(VLOOKUP(C774,ShipShapeEnum!$E:$F,2,FALSE),"-")</f>
        <v>97</v>
      </c>
      <c r="E774" s="19" t="s">
        <v>587</v>
      </c>
      <c r="F774" s="4" t="s">
        <v>66</v>
      </c>
      <c r="G774" s="11">
        <f>IFERROR(VLOOKUP(F774,ShipShapeEnum!$B:$C,2,FALSE),"-")</f>
        <v>3</v>
      </c>
      <c r="H774" s="19" t="s">
        <v>595</v>
      </c>
      <c r="I774" s="19">
        <v>1</v>
      </c>
      <c r="J774" s="19">
        <v>8</v>
      </c>
      <c r="K774" s="19" t="s">
        <v>0</v>
      </c>
      <c r="L774" s="19" t="s">
        <v>0</v>
      </c>
      <c r="M774" s="4" t="s">
        <v>109</v>
      </c>
      <c r="N774" s="11">
        <f>IFERROR(VLOOKUP(M774,ShipShapeEnum!$H:$I,2,FALSE),"-")</f>
        <v>3</v>
      </c>
      <c r="O774" s="11" t="s">
        <v>2688</v>
      </c>
      <c r="P774" s="30"/>
      <c r="Q774" s="11" t="str">
        <f>IFERROR(INDEX(SailPattern!$A:$A,MATCH(P774,SailPattern!$B:$B,0)),"-")</f>
        <v>-</v>
      </c>
      <c r="R774" s="30"/>
      <c r="S774" s="11" t="str">
        <f>IFERROR(INDEX(SailCrest!$A:$A,MATCH(R774,SailCrest!$B:$B,0)),"-")</f>
        <v>-</v>
      </c>
      <c r="T774" s="19" t="s">
        <v>0</v>
      </c>
      <c r="U774" s="19" t="s">
        <v>0</v>
      </c>
      <c r="V774" s="19" t="s">
        <v>0</v>
      </c>
      <c r="W774" s="19" t="s">
        <v>0</v>
      </c>
      <c r="X774" s="19" t="s">
        <v>0</v>
      </c>
      <c r="Y774" s="19" t="s">
        <v>0</v>
      </c>
      <c r="Z774" s="19" t="s">
        <v>0</v>
      </c>
      <c r="AA774" s="19" t="s">
        <v>0</v>
      </c>
    </row>
    <row r="775" spans="1:27" ht="15">
      <c r="A775" s="10">
        <f t="shared" si="24"/>
        <v>46600018</v>
      </c>
      <c r="B775" s="37" t="s">
        <v>1833</v>
      </c>
      <c r="C775" s="4" t="s">
        <v>757</v>
      </c>
      <c r="D775" s="11">
        <f>IFERROR(VLOOKUP(C775,ShipShapeEnum!$E:$F,2,FALSE),"-")</f>
        <v>98</v>
      </c>
      <c r="E775" s="19" t="s">
        <v>588</v>
      </c>
      <c r="F775" s="4" t="s">
        <v>66</v>
      </c>
      <c r="G775" s="11">
        <f>IFERROR(VLOOKUP(F775,ShipShapeEnum!$B:$C,2,FALSE),"-")</f>
        <v>3</v>
      </c>
      <c r="H775" s="19" t="s">
        <v>596</v>
      </c>
      <c r="I775" s="19">
        <v>1</v>
      </c>
      <c r="J775" s="19">
        <v>8</v>
      </c>
      <c r="K775" s="19" t="s">
        <v>0</v>
      </c>
      <c r="L775" s="19" t="s">
        <v>0</v>
      </c>
      <c r="M775" s="4" t="s">
        <v>109</v>
      </c>
      <c r="N775" s="11">
        <f>IFERROR(VLOOKUP(M775,ShipShapeEnum!$H:$I,2,FALSE),"-")</f>
        <v>3</v>
      </c>
      <c r="O775" s="11" t="s">
        <v>2688</v>
      </c>
      <c r="P775" s="30"/>
      <c r="Q775" s="11" t="str">
        <f>IFERROR(INDEX(SailPattern!$A:$A,MATCH(P775,SailPattern!$B:$B,0)),"-")</f>
        <v>-</v>
      </c>
      <c r="R775" s="30"/>
      <c r="S775" s="11" t="str">
        <f>IFERROR(INDEX(SailCrest!$A:$A,MATCH(R775,SailCrest!$B:$B,0)),"-")</f>
        <v>-</v>
      </c>
      <c r="T775" s="19" t="s">
        <v>0</v>
      </c>
      <c r="U775" s="19" t="s">
        <v>0</v>
      </c>
      <c r="V775" s="19" t="s">
        <v>0</v>
      </c>
      <c r="W775" s="19" t="s">
        <v>0</v>
      </c>
      <c r="X775" s="19" t="s">
        <v>0</v>
      </c>
      <c r="Y775" s="19" t="s">
        <v>0</v>
      </c>
      <c r="Z775" s="19" t="s">
        <v>0</v>
      </c>
      <c r="AA775" s="19" t="s">
        <v>0</v>
      </c>
    </row>
    <row r="776" spans="1:27" ht="15">
      <c r="A776" s="10">
        <f t="shared" si="24"/>
        <v>46600019</v>
      </c>
      <c r="B776" s="37" t="s">
        <v>1834</v>
      </c>
      <c r="C776" s="4" t="s">
        <v>758</v>
      </c>
      <c r="D776" s="11">
        <f>IFERROR(VLOOKUP(C776,ShipShapeEnum!$E:$F,2,FALSE),"-")</f>
        <v>99</v>
      </c>
      <c r="E776" s="19" t="s">
        <v>589</v>
      </c>
      <c r="F776" s="4" t="s">
        <v>66</v>
      </c>
      <c r="G776" s="11">
        <f>IFERROR(VLOOKUP(F776,ShipShapeEnum!$B:$C,2,FALSE),"-")</f>
        <v>3</v>
      </c>
      <c r="H776" s="19" t="s">
        <v>597</v>
      </c>
      <c r="I776" s="19">
        <v>1</v>
      </c>
      <c r="J776" s="19">
        <v>8</v>
      </c>
      <c r="K776" s="19" t="s">
        <v>0</v>
      </c>
      <c r="L776" s="19" t="s">
        <v>0</v>
      </c>
      <c r="M776" s="4" t="s">
        <v>109</v>
      </c>
      <c r="N776" s="11">
        <f>IFERROR(VLOOKUP(M776,ShipShapeEnum!$H:$I,2,FALSE),"-")</f>
        <v>3</v>
      </c>
      <c r="O776" s="11" t="s">
        <v>2688</v>
      </c>
      <c r="P776" s="30"/>
      <c r="Q776" s="11" t="str">
        <f>IFERROR(INDEX(SailPattern!$A:$A,MATCH(P776,SailPattern!$B:$B,0)),"-")</f>
        <v>-</v>
      </c>
      <c r="R776" s="30"/>
      <c r="S776" s="11" t="str">
        <f>IFERROR(INDEX(SailCrest!$A:$A,MATCH(R776,SailCrest!$B:$B,0)),"-")</f>
        <v>-</v>
      </c>
      <c r="T776" s="19" t="s">
        <v>0</v>
      </c>
      <c r="U776" s="19" t="s">
        <v>0</v>
      </c>
      <c r="V776" s="19" t="s">
        <v>0</v>
      </c>
      <c r="W776" s="19" t="s">
        <v>0</v>
      </c>
      <c r="X776" s="19" t="s">
        <v>0</v>
      </c>
      <c r="Y776" s="19" t="s">
        <v>0</v>
      </c>
      <c r="Z776" s="19" t="s">
        <v>0</v>
      </c>
      <c r="AA776" s="19" t="s">
        <v>0</v>
      </c>
    </row>
    <row r="777" spans="1:27" ht="15">
      <c r="A777" s="10">
        <v>46700001</v>
      </c>
      <c r="B777" s="24" t="s">
        <v>70</v>
      </c>
      <c r="C777" s="4" t="s">
        <v>202</v>
      </c>
      <c r="D777" s="11">
        <f>IFERROR(VLOOKUP(C777,ShipShapeEnum!$E:$F,2,FALSE),"-")</f>
        <v>51</v>
      </c>
      <c r="E777" s="19" t="s">
        <v>19</v>
      </c>
      <c r="F777" s="4" t="s">
        <v>66</v>
      </c>
      <c r="G777" s="11">
        <f>IFERROR(VLOOKUP(F777,ShipShapeEnum!$B:$C,2,FALSE),"-")</f>
        <v>3</v>
      </c>
      <c r="H777" s="19" t="s">
        <v>78</v>
      </c>
      <c r="I777" s="19" t="s">
        <v>101</v>
      </c>
      <c r="J777" s="19" t="s">
        <v>101</v>
      </c>
      <c r="K777" s="19" t="s">
        <v>211</v>
      </c>
      <c r="L777" s="19" t="s">
        <v>213</v>
      </c>
      <c r="M777" s="4" t="s">
        <v>109</v>
      </c>
      <c r="N777" s="11">
        <f>IFERROR(VLOOKUP(M777,ShipShapeEnum!$H:$I,2,FALSE),"-")</f>
        <v>3</v>
      </c>
      <c r="O777" s="11" t="s">
        <v>2688</v>
      </c>
      <c r="P777" s="30"/>
      <c r="Q777" s="11" t="str">
        <f>IFERROR(INDEX(SailPattern!$A:$A,MATCH(P777,SailPattern!$B:$B,0)),"-")</f>
        <v>-</v>
      </c>
      <c r="R777" s="30"/>
      <c r="S777" s="11" t="str">
        <f>IFERROR(INDEX(SailCrest!$A:$A,MATCH(R777,SailCrest!$B:$B,0)),"-")</f>
        <v>-</v>
      </c>
      <c r="T777" s="19" t="s">
        <v>0</v>
      </c>
      <c r="U777" s="19" t="s">
        <v>0</v>
      </c>
      <c r="V777" s="19" t="s">
        <v>0</v>
      </c>
      <c r="W777" s="19" t="s">
        <v>106</v>
      </c>
      <c r="X777" s="19" t="s">
        <v>78</v>
      </c>
      <c r="Y777" s="19" t="s">
        <v>94</v>
      </c>
      <c r="Z777" s="19" t="s">
        <v>91</v>
      </c>
      <c r="AA777" s="19" t="s">
        <v>78</v>
      </c>
    </row>
    <row r="778" spans="1:27" ht="15">
      <c r="A778" s="10">
        <f>A777+1</f>
        <v>46700002</v>
      </c>
      <c r="B778" s="24" t="s">
        <v>165</v>
      </c>
      <c r="C778" s="4" t="s">
        <v>202</v>
      </c>
      <c r="D778" s="11">
        <f>IFERROR(VLOOKUP(C778,ShipShapeEnum!$E:$F,2,FALSE),"-")</f>
        <v>51</v>
      </c>
      <c r="E778" s="19" t="s">
        <v>161</v>
      </c>
      <c r="F778" s="4" t="s">
        <v>66</v>
      </c>
      <c r="G778" s="11">
        <f>IFERROR(VLOOKUP(F778,ShipShapeEnum!$B:$C,2,FALSE),"-")</f>
        <v>3</v>
      </c>
      <c r="H778" s="19" t="s">
        <v>78</v>
      </c>
      <c r="I778" s="19">
        <v>1</v>
      </c>
      <c r="J778" s="19">
        <v>5</v>
      </c>
      <c r="K778" s="19" t="s">
        <v>211</v>
      </c>
      <c r="L778" s="19" t="s">
        <v>213</v>
      </c>
      <c r="M778" s="4" t="s">
        <v>109</v>
      </c>
      <c r="N778" s="11">
        <f>IFERROR(VLOOKUP(M778,ShipShapeEnum!$H:$I,2,FALSE),"-")</f>
        <v>3</v>
      </c>
      <c r="O778" s="11" t="s">
        <v>2688</v>
      </c>
      <c r="P778" s="30"/>
      <c r="Q778" s="11" t="str">
        <f>IFERROR(INDEX(SailPattern!$A:$A,MATCH(P778,SailPattern!$B:$B,0)),"-")</f>
        <v>-</v>
      </c>
      <c r="R778" s="30"/>
      <c r="S778" s="11" t="str">
        <f>IFERROR(INDEX(SailCrest!$A:$A,MATCH(R778,SailCrest!$B:$B,0)),"-")</f>
        <v>-</v>
      </c>
      <c r="T778" s="19" t="s">
        <v>0</v>
      </c>
      <c r="U778" s="19" t="s">
        <v>0</v>
      </c>
      <c r="V778" s="19" t="s">
        <v>0</v>
      </c>
      <c r="W778" s="19" t="s">
        <v>106</v>
      </c>
      <c r="X778" s="19" t="s">
        <v>78</v>
      </c>
      <c r="Y778" s="19" t="s">
        <v>94</v>
      </c>
      <c r="Z778" s="19" t="s">
        <v>91</v>
      </c>
      <c r="AA778" s="19" t="s">
        <v>78</v>
      </c>
    </row>
    <row r="779" spans="1:27" ht="15">
      <c r="A779" s="10">
        <f>A778+1</f>
        <v>46700003</v>
      </c>
      <c r="B779" s="24" t="s">
        <v>162</v>
      </c>
      <c r="C779" s="4" t="s">
        <v>202</v>
      </c>
      <c r="D779" s="11">
        <f>IFERROR(VLOOKUP(C779,ShipShapeEnum!$E:$F,2,FALSE),"-")</f>
        <v>51</v>
      </c>
      <c r="E779" s="19" t="s">
        <v>164</v>
      </c>
      <c r="F779" s="4" t="s">
        <v>66</v>
      </c>
      <c r="G779" s="11">
        <f>IFERROR(VLOOKUP(F779,ShipShapeEnum!$B:$C,2,FALSE),"-")</f>
        <v>3</v>
      </c>
      <c r="H779" s="19" t="s">
        <v>24</v>
      </c>
      <c r="I779" s="19">
        <v>1</v>
      </c>
      <c r="J779" s="19">
        <v>5</v>
      </c>
      <c r="K779" s="19" t="s">
        <v>211</v>
      </c>
      <c r="L779" s="19" t="s">
        <v>213</v>
      </c>
      <c r="M779" s="4" t="s">
        <v>109</v>
      </c>
      <c r="N779" s="11">
        <f>IFERROR(VLOOKUP(M779,ShipShapeEnum!$H:$I,2,FALSE),"-")</f>
        <v>3</v>
      </c>
      <c r="O779" s="11" t="s">
        <v>2688</v>
      </c>
      <c r="P779" s="30"/>
      <c r="Q779" s="11" t="str">
        <f>IFERROR(INDEX(SailPattern!$A:$A,MATCH(P779,SailPattern!$B:$B,0)),"-")</f>
        <v>-</v>
      </c>
      <c r="R779" s="30"/>
      <c r="S779" s="11" t="str">
        <f>IFERROR(INDEX(SailCrest!$A:$A,MATCH(R779,SailCrest!$B:$B,0)),"-")</f>
        <v>-</v>
      </c>
      <c r="T779" s="19" t="s">
        <v>0</v>
      </c>
      <c r="U779" s="19" t="s">
        <v>0</v>
      </c>
      <c r="V779" s="19" t="s">
        <v>0</v>
      </c>
      <c r="W779" s="19" t="s">
        <v>24</v>
      </c>
      <c r="X779" s="19" t="s">
        <v>24</v>
      </c>
      <c r="Y779" s="19" t="s">
        <v>24</v>
      </c>
      <c r="Z779" s="19" t="s">
        <v>24</v>
      </c>
      <c r="AA779" s="19" t="s">
        <v>24</v>
      </c>
    </row>
    <row r="780" spans="1:27" ht="15">
      <c r="A780" s="10">
        <f t="shared" ref="A780:A793" si="25">A779+1</f>
        <v>46700004</v>
      </c>
      <c r="B780" s="24" t="s">
        <v>1258</v>
      </c>
      <c r="C780" s="4" t="s">
        <v>202</v>
      </c>
      <c r="D780" s="11">
        <f>IFERROR(VLOOKUP(C780,ShipShapeEnum!$E:$F,2,FALSE),"-")</f>
        <v>51</v>
      </c>
      <c r="E780" s="19" t="s">
        <v>1198</v>
      </c>
      <c r="F780" s="4" t="s">
        <v>66</v>
      </c>
      <c r="G780" s="11">
        <f>IFERROR(VLOOKUP(F780,ShipShapeEnum!$B:$C,2,FALSE),"-")</f>
        <v>3</v>
      </c>
      <c r="H780" s="19" t="s">
        <v>0</v>
      </c>
      <c r="I780" s="19">
        <v>1</v>
      </c>
      <c r="J780" s="19">
        <v>5</v>
      </c>
      <c r="K780" s="19" t="s">
        <v>211</v>
      </c>
      <c r="L780" s="19" t="s">
        <v>1236</v>
      </c>
      <c r="M780" s="4" t="s">
        <v>109</v>
      </c>
      <c r="N780" s="11">
        <f>IFERROR(VLOOKUP(M780,ShipShapeEnum!$H:$I,2,FALSE),"-")</f>
        <v>3</v>
      </c>
      <c r="O780" s="11" t="s">
        <v>2688</v>
      </c>
      <c r="P780" s="30"/>
      <c r="Q780" s="11" t="str">
        <f>IFERROR(INDEX(SailPattern!$A:$A,MATCH(P780,SailPattern!$B:$B,0)),"-")</f>
        <v>-</v>
      </c>
      <c r="R780" s="30"/>
      <c r="S780" s="11" t="str">
        <f>IFERROR(INDEX(SailCrest!$A:$A,MATCH(R780,SailCrest!$B:$B,0)),"-")</f>
        <v>-</v>
      </c>
      <c r="T780" s="19" t="s">
        <v>0</v>
      </c>
      <c r="U780" s="19" t="s">
        <v>0</v>
      </c>
      <c r="V780" s="19" t="s">
        <v>0</v>
      </c>
      <c r="W780" s="19" t="s">
        <v>0</v>
      </c>
      <c r="X780" s="19" t="s">
        <v>0</v>
      </c>
      <c r="Y780" s="19" t="s">
        <v>0</v>
      </c>
      <c r="Z780" s="19" t="s">
        <v>0</v>
      </c>
      <c r="AA780" s="19" t="s">
        <v>0</v>
      </c>
    </row>
    <row r="781" spans="1:27" ht="15">
      <c r="A781" s="10">
        <f t="shared" si="25"/>
        <v>46700005</v>
      </c>
      <c r="B781" s="24" t="s">
        <v>1212</v>
      </c>
      <c r="C781" s="4" t="s">
        <v>202</v>
      </c>
      <c r="D781" s="11">
        <f>IFERROR(VLOOKUP(C781,ShipShapeEnum!$E:$F,2,FALSE),"-")</f>
        <v>51</v>
      </c>
      <c r="E781" s="19" t="s">
        <v>1199</v>
      </c>
      <c r="F781" s="4" t="s">
        <v>66</v>
      </c>
      <c r="G781" s="11">
        <f>IFERROR(VLOOKUP(F781,ShipShapeEnum!$B:$C,2,FALSE),"-")</f>
        <v>3</v>
      </c>
      <c r="H781" s="19" t="s">
        <v>0</v>
      </c>
      <c r="I781" s="19">
        <v>1</v>
      </c>
      <c r="J781" s="19">
        <v>5</v>
      </c>
      <c r="K781" s="19" t="s">
        <v>211</v>
      </c>
      <c r="L781" s="19" t="s">
        <v>1236</v>
      </c>
      <c r="M781" s="4" t="s">
        <v>109</v>
      </c>
      <c r="N781" s="11">
        <f>IFERROR(VLOOKUP(M781,ShipShapeEnum!$H:$I,2,FALSE),"-")</f>
        <v>3</v>
      </c>
      <c r="O781" s="11" t="s">
        <v>2688</v>
      </c>
      <c r="P781" s="30"/>
      <c r="Q781" s="11" t="str">
        <f>IFERROR(INDEX(SailPattern!$A:$A,MATCH(P781,SailPattern!$B:$B,0)),"-")</f>
        <v>-</v>
      </c>
      <c r="R781" s="30"/>
      <c r="S781" s="11" t="str">
        <f>IFERROR(INDEX(SailCrest!$A:$A,MATCH(R781,SailCrest!$B:$B,0)),"-")</f>
        <v>-</v>
      </c>
      <c r="T781" s="19" t="s">
        <v>0</v>
      </c>
      <c r="U781" s="19" t="s">
        <v>0</v>
      </c>
      <c r="V781" s="19" t="s">
        <v>0</v>
      </c>
      <c r="W781" s="19" t="s">
        <v>0</v>
      </c>
      <c r="X781" s="19" t="s">
        <v>0</v>
      </c>
      <c r="Y781" s="19" t="s">
        <v>0</v>
      </c>
      <c r="Z781" s="19" t="s">
        <v>0</v>
      </c>
      <c r="AA781" s="19" t="s">
        <v>0</v>
      </c>
    </row>
    <row r="782" spans="1:27" ht="15">
      <c r="A782" s="10">
        <f t="shared" si="25"/>
        <v>46700006</v>
      </c>
      <c r="B782" s="24" t="s">
        <v>1835</v>
      </c>
      <c r="C782" s="4" t="s">
        <v>202</v>
      </c>
      <c r="D782" s="11">
        <f>IFERROR(VLOOKUP(C782,ShipShapeEnum!$E:$F,2,FALSE),"-")</f>
        <v>51</v>
      </c>
      <c r="E782" s="19" t="s">
        <v>1200</v>
      </c>
      <c r="F782" s="4" t="s">
        <v>66</v>
      </c>
      <c r="G782" s="11">
        <f>IFERROR(VLOOKUP(F782,ShipShapeEnum!$B:$C,2,FALSE),"-")</f>
        <v>3</v>
      </c>
      <c r="H782" s="19" t="s">
        <v>0</v>
      </c>
      <c r="I782" s="19">
        <v>1</v>
      </c>
      <c r="J782" s="19">
        <v>5</v>
      </c>
      <c r="K782" s="19" t="s">
        <v>211</v>
      </c>
      <c r="L782" s="19" t="s">
        <v>1237</v>
      </c>
      <c r="M782" s="4" t="s">
        <v>109</v>
      </c>
      <c r="N782" s="11">
        <f>IFERROR(VLOOKUP(M782,ShipShapeEnum!$H:$I,2,FALSE),"-")</f>
        <v>3</v>
      </c>
      <c r="O782" s="11" t="s">
        <v>2688</v>
      </c>
      <c r="P782" s="30"/>
      <c r="Q782" s="11" t="str">
        <f>IFERROR(INDEX(SailPattern!$A:$A,MATCH(P782,SailPattern!$B:$B,0)),"-")</f>
        <v>-</v>
      </c>
      <c r="R782" s="30"/>
      <c r="S782" s="11" t="str">
        <f>IFERROR(INDEX(SailCrest!$A:$A,MATCH(R782,SailCrest!$B:$B,0)),"-")</f>
        <v>-</v>
      </c>
      <c r="T782" s="19" t="s">
        <v>0</v>
      </c>
      <c r="U782" s="19" t="s">
        <v>0</v>
      </c>
      <c r="V782" s="19" t="s">
        <v>0</v>
      </c>
      <c r="W782" s="19" t="s">
        <v>0</v>
      </c>
      <c r="X782" s="19" t="s">
        <v>0</v>
      </c>
      <c r="Y782" s="19" t="s">
        <v>0</v>
      </c>
      <c r="Z782" s="19" t="s">
        <v>0</v>
      </c>
      <c r="AA782" s="19" t="s">
        <v>0</v>
      </c>
    </row>
    <row r="783" spans="1:27" ht="15">
      <c r="A783" s="10">
        <f t="shared" si="25"/>
        <v>46700007</v>
      </c>
      <c r="B783" s="24" t="s">
        <v>1392</v>
      </c>
      <c r="C783" s="4" t="s">
        <v>202</v>
      </c>
      <c r="D783" s="11">
        <f>IFERROR(VLOOKUP(C783,ShipShapeEnum!$E:$F,2,FALSE),"-")</f>
        <v>51</v>
      </c>
      <c r="E783" s="19" t="s">
        <v>1201</v>
      </c>
      <c r="F783" s="4" t="s">
        <v>66</v>
      </c>
      <c r="G783" s="11">
        <f>IFERROR(VLOOKUP(F783,ShipShapeEnum!$B:$C,2,FALSE),"-")</f>
        <v>3</v>
      </c>
      <c r="H783" s="19" t="s">
        <v>0</v>
      </c>
      <c r="I783" s="19">
        <v>1</v>
      </c>
      <c r="J783" s="19">
        <v>5</v>
      </c>
      <c r="K783" s="19" t="s">
        <v>211</v>
      </c>
      <c r="L783" s="19" t="s">
        <v>1238</v>
      </c>
      <c r="M783" s="4" t="s">
        <v>109</v>
      </c>
      <c r="N783" s="11">
        <f>IFERROR(VLOOKUP(M783,ShipShapeEnum!$H:$I,2,FALSE),"-")</f>
        <v>3</v>
      </c>
      <c r="O783" s="11" t="s">
        <v>2688</v>
      </c>
      <c r="P783" s="30"/>
      <c r="Q783" s="11" t="str">
        <f>IFERROR(INDEX(SailPattern!$A:$A,MATCH(P783,SailPattern!$B:$B,0)),"-")</f>
        <v>-</v>
      </c>
      <c r="R783" s="30"/>
      <c r="S783" s="11" t="str">
        <f>IFERROR(INDEX(SailCrest!$A:$A,MATCH(R783,SailCrest!$B:$B,0)),"-")</f>
        <v>-</v>
      </c>
      <c r="T783" s="19" t="s">
        <v>0</v>
      </c>
      <c r="U783" s="19" t="s">
        <v>0</v>
      </c>
      <c r="V783" s="19" t="s">
        <v>0</v>
      </c>
      <c r="W783" s="19" t="s">
        <v>0</v>
      </c>
      <c r="X783" s="19" t="s">
        <v>0</v>
      </c>
      <c r="Y783" s="19" t="s">
        <v>0</v>
      </c>
      <c r="Z783" s="19" t="s">
        <v>0</v>
      </c>
      <c r="AA783" s="19" t="s">
        <v>0</v>
      </c>
    </row>
    <row r="784" spans="1:27" ht="15">
      <c r="A784" s="10">
        <f t="shared" si="25"/>
        <v>46700008</v>
      </c>
      <c r="B784" s="24" t="s">
        <v>1374</v>
      </c>
      <c r="C784" s="4" t="s">
        <v>202</v>
      </c>
      <c r="D784" s="11">
        <f>IFERROR(VLOOKUP(C784,ShipShapeEnum!$E:$F,2,FALSE),"-")</f>
        <v>51</v>
      </c>
      <c r="E784" s="19" t="s">
        <v>1202</v>
      </c>
      <c r="F784" s="4" t="s">
        <v>66</v>
      </c>
      <c r="G784" s="11">
        <f>IFERROR(VLOOKUP(F784,ShipShapeEnum!$B:$C,2,FALSE),"-")</f>
        <v>3</v>
      </c>
      <c r="H784" s="19" t="s">
        <v>0</v>
      </c>
      <c r="I784" s="19">
        <v>1</v>
      </c>
      <c r="J784" s="19">
        <v>5</v>
      </c>
      <c r="K784" s="19" t="s">
        <v>211</v>
      </c>
      <c r="L784" s="19" t="s">
        <v>1236</v>
      </c>
      <c r="M784" s="4" t="s">
        <v>109</v>
      </c>
      <c r="N784" s="11">
        <f>IFERROR(VLOOKUP(M784,ShipShapeEnum!$H:$I,2,FALSE),"-")</f>
        <v>3</v>
      </c>
      <c r="O784" s="11" t="s">
        <v>2688</v>
      </c>
      <c r="P784" s="30"/>
      <c r="Q784" s="11" t="str">
        <f>IFERROR(INDEX(SailPattern!$A:$A,MATCH(P784,SailPattern!$B:$B,0)),"-")</f>
        <v>-</v>
      </c>
      <c r="R784" s="30"/>
      <c r="S784" s="11" t="str">
        <f>IFERROR(INDEX(SailCrest!$A:$A,MATCH(R784,SailCrest!$B:$B,0)),"-")</f>
        <v>-</v>
      </c>
      <c r="T784" s="19" t="s">
        <v>0</v>
      </c>
      <c r="U784" s="19" t="s">
        <v>0</v>
      </c>
      <c r="V784" s="19" t="s">
        <v>0</v>
      </c>
      <c r="W784" s="19" t="s">
        <v>0</v>
      </c>
      <c r="X784" s="19" t="s">
        <v>0</v>
      </c>
      <c r="Y784" s="19" t="s">
        <v>0</v>
      </c>
      <c r="Z784" s="19" t="s">
        <v>0</v>
      </c>
      <c r="AA784" s="19" t="s">
        <v>0</v>
      </c>
    </row>
    <row r="785" spans="1:27" ht="15">
      <c r="A785" s="10">
        <f t="shared" si="25"/>
        <v>46700009</v>
      </c>
      <c r="B785" s="24" t="s">
        <v>1255</v>
      </c>
      <c r="C785" s="4" t="s">
        <v>202</v>
      </c>
      <c r="D785" s="11">
        <f>IFERROR(VLOOKUP(C785,ShipShapeEnum!$E:$F,2,FALSE),"-")</f>
        <v>51</v>
      </c>
      <c r="E785" s="19" t="s">
        <v>1203</v>
      </c>
      <c r="F785" s="4" t="s">
        <v>66</v>
      </c>
      <c r="G785" s="11">
        <f>IFERROR(VLOOKUP(F785,ShipShapeEnum!$B:$C,2,FALSE),"-")</f>
        <v>3</v>
      </c>
      <c r="H785" s="19" t="s">
        <v>0</v>
      </c>
      <c r="I785" s="19">
        <v>1</v>
      </c>
      <c r="J785" s="19">
        <v>5</v>
      </c>
      <c r="K785" s="19" t="s">
        <v>211</v>
      </c>
      <c r="L785" s="19" t="s">
        <v>1236</v>
      </c>
      <c r="M785" s="4" t="s">
        <v>109</v>
      </c>
      <c r="N785" s="11">
        <f>IFERROR(VLOOKUP(M785,ShipShapeEnum!$H:$I,2,FALSE),"-")</f>
        <v>3</v>
      </c>
      <c r="O785" s="11" t="s">
        <v>2688</v>
      </c>
      <c r="P785" s="30"/>
      <c r="Q785" s="11" t="str">
        <f>IFERROR(INDEX(SailPattern!$A:$A,MATCH(P785,SailPattern!$B:$B,0)),"-")</f>
        <v>-</v>
      </c>
      <c r="R785" s="30"/>
      <c r="S785" s="11" t="str">
        <f>IFERROR(INDEX(SailCrest!$A:$A,MATCH(R785,SailCrest!$B:$B,0)),"-")</f>
        <v>-</v>
      </c>
      <c r="T785" s="19" t="s">
        <v>0</v>
      </c>
      <c r="U785" s="19" t="s">
        <v>0</v>
      </c>
      <c r="V785" s="19" t="s">
        <v>0</v>
      </c>
      <c r="W785" s="19" t="s">
        <v>0</v>
      </c>
      <c r="X785" s="19" t="s">
        <v>0</v>
      </c>
      <c r="Y785" s="19" t="s">
        <v>0</v>
      </c>
      <c r="Z785" s="19" t="s">
        <v>0</v>
      </c>
      <c r="AA785" s="19" t="s">
        <v>0</v>
      </c>
    </row>
    <row r="786" spans="1:27" ht="15">
      <c r="A786" s="10">
        <f t="shared" si="25"/>
        <v>46700010</v>
      </c>
      <c r="B786" s="24" t="s">
        <v>1213</v>
      </c>
      <c r="C786" s="4" t="s">
        <v>202</v>
      </c>
      <c r="D786" s="11">
        <f>IFERROR(VLOOKUP(C786,ShipShapeEnum!$E:$F,2,FALSE),"-")</f>
        <v>51</v>
      </c>
      <c r="E786" s="19" t="s">
        <v>1204</v>
      </c>
      <c r="F786" s="4" t="s">
        <v>66</v>
      </c>
      <c r="G786" s="11">
        <f>IFERROR(VLOOKUP(F786,ShipShapeEnum!$B:$C,2,FALSE),"-")</f>
        <v>3</v>
      </c>
      <c r="H786" s="19" t="s">
        <v>0</v>
      </c>
      <c r="I786" s="19">
        <v>1</v>
      </c>
      <c r="J786" s="19">
        <v>5</v>
      </c>
      <c r="K786" s="19" t="s">
        <v>211</v>
      </c>
      <c r="L786" s="19" t="s">
        <v>1239</v>
      </c>
      <c r="M786" s="4" t="s">
        <v>109</v>
      </c>
      <c r="N786" s="11">
        <f>IFERROR(VLOOKUP(M786,ShipShapeEnum!$H:$I,2,FALSE),"-")</f>
        <v>3</v>
      </c>
      <c r="O786" s="11" t="s">
        <v>2688</v>
      </c>
      <c r="P786" s="30"/>
      <c r="Q786" s="11" t="str">
        <f>IFERROR(INDEX(SailPattern!$A:$A,MATCH(P786,SailPattern!$B:$B,0)),"-")</f>
        <v>-</v>
      </c>
      <c r="R786" s="30"/>
      <c r="S786" s="11" t="str">
        <f>IFERROR(INDEX(SailCrest!$A:$A,MATCH(R786,SailCrest!$B:$B,0)),"-")</f>
        <v>-</v>
      </c>
      <c r="T786" s="19" t="s">
        <v>0</v>
      </c>
      <c r="U786" s="19" t="s">
        <v>0</v>
      </c>
      <c r="V786" s="19" t="s">
        <v>0</v>
      </c>
      <c r="W786" s="19" t="s">
        <v>0</v>
      </c>
      <c r="X786" s="19" t="s">
        <v>0</v>
      </c>
      <c r="Y786" s="19" t="s">
        <v>0</v>
      </c>
      <c r="Z786" s="19" t="s">
        <v>0</v>
      </c>
      <c r="AA786" s="19" t="s">
        <v>0</v>
      </c>
    </row>
    <row r="787" spans="1:27" ht="15">
      <c r="A787" s="10">
        <f t="shared" si="25"/>
        <v>46700011</v>
      </c>
      <c r="B787" s="24" t="s">
        <v>1214</v>
      </c>
      <c r="C787" s="4" t="s">
        <v>202</v>
      </c>
      <c r="D787" s="11">
        <f>IFERROR(VLOOKUP(C787,ShipShapeEnum!$E:$F,2,FALSE),"-")</f>
        <v>51</v>
      </c>
      <c r="E787" s="19" t="s">
        <v>1205</v>
      </c>
      <c r="F787" s="4" t="s">
        <v>66</v>
      </c>
      <c r="G787" s="11">
        <f>IFERROR(VLOOKUP(F787,ShipShapeEnum!$B:$C,2,FALSE),"-")</f>
        <v>3</v>
      </c>
      <c r="H787" s="19" t="s">
        <v>0</v>
      </c>
      <c r="I787" s="19">
        <v>1</v>
      </c>
      <c r="J787" s="19">
        <v>5</v>
      </c>
      <c r="K787" s="19" t="s">
        <v>211</v>
      </c>
      <c r="L787" s="19" t="s">
        <v>1240</v>
      </c>
      <c r="M787" s="4" t="s">
        <v>109</v>
      </c>
      <c r="N787" s="11">
        <f>IFERROR(VLOOKUP(M787,ShipShapeEnum!$H:$I,2,FALSE),"-")</f>
        <v>3</v>
      </c>
      <c r="O787" s="11" t="s">
        <v>2688</v>
      </c>
      <c r="P787" s="30"/>
      <c r="Q787" s="11" t="str">
        <f>IFERROR(INDEX(SailPattern!$A:$A,MATCH(P787,SailPattern!$B:$B,0)),"-")</f>
        <v>-</v>
      </c>
      <c r="R787" s="30"/>
      <c r="S787" s="11" t="str">
        <f>IFERROR(INDEX(SailCrest!$A:$A,MATCH(R787,SailCrest!$B:$B,0)),"-")</f>
        <v>-</v>
      </c>
      <c r="T787" s="19" t="s">
        <v>0</v>
      </c>
      <c r="U787" s="19" t="s">
        <v>0</v>
      </c>
      <c r="V787" s="19" t="s">
        <v>0</v>
      </c>
      <c r="W787" s="19" t="s">
        <v>0</v>
      </c>
      <c r="X787" s="19" t="s">
        <v>0</v>
      </c>
      <c r="Y787" s="19" t="s">
        <v>0</v>
      </c>
      <c r="Z787" s="19" t="s">
        <v>0</v>
      </c>
      <c r="AA787" s="19" t="s">
        <v>0</v>
      </c>
    </row>
    <row r="788" spans="1:27" ht="15">
      <c r="A788" s="10">
        <f t="shared" si="25"/>
        <v>46700012</v>
      </c>
      <c r="B788" s="24" t="s">
        <v>1257</v>
      </c>
      <c r="C788" s="4" t="s">
        <v>202</v>
      </c>
      <c r="D788" s="11">
        <f>IFERROR(VLOOKUP(C788,ShipShapeEnum!$E:$F,2,FALSE),"-")</f>
        <v>51</v>
      </c>
      <c r="E788" s="19" t="s">
        <v>1206</v>
      </c>
      <c r="F788" s="4" t="s">
        <v>66</v>
      </c>
      <c r="G788" s="11">
        <f>IFERROR(VLOOKUP(F788,ShipShapeEnum!$B:$C,2,FALSE),"-")</f>
        <v>3</v>
      </c>
      <c r="H788" s="19" t="s">
        <v>0</v>
      </c>
      <c r="I788" s="19">
        <v>1</v>
      </c>
      <c r="J788" s="19">
        <v>5</v>
      </c>
      <c r="K788" s="19" t="s">
        <v>211</v>
      </c>
      <c r="L788" s="19" t="s">
        <v>213</v>
      </c>
      <c r="M788" s="4" t="s">
        <v>109</v>
      </c>
      <c r="N788" s="11">
        <f>IFERROR(VLOOKUP(M788,ShipShapeEnum!$H:$I,2,FALSE),"-")</f>
        <v>3</v>
      </c>
      <c r="O788" s="11" t="s">
        <v>2688</v>
      </c>
      <c r="P788" s="30"/>
      <c r="Q788" s="11" t="str">
        <f>IFERROR(INDEX(SailPattern!$A:$A,MATCH(P788,SailPattern!$B:$B,0)),"-")</f>
        <v>-</v>
      </c>
      <c r="R788" s="30"/>
      <c r="S788" s="11" t="str">
        <f>IFERROR(INDEX(SailCrest!$A:$A,MATCH(R788,SailCrest!$B:$B,0)),"-")</f>
        <v>-</v>
      </c>
      <c r="T788" s="19" t="s">
        <v>0</v>
      </c>
      <c r="U788" s="19" t="s">
        <v>0</v>
      </c>
      <c r="V788" s="19" t="s">
        <v>0</v>
      </c>
      <c r="W788" s="19" t="s">
        <v>0</v>
      </c>
      <c r="X788" s="19" t="s">
        <v>0</v>
      </c>
      <c r="Y788" s="19" t="s">
        <v>0</v>
      </c>
      <c r="Z788" s="19" t="s">
        <v>0</v>
      </c>
      <c r="AA788" s="19" t="s">
        <v>0</v>
      </c>
    </row>
    <row r="789" spans="1:27" ht="15">
      <c r="A789" s="10">
        <f t="shared" si="25"/>
        <v>46700013</v>
      </c>
      <c r="B789" s="24" t="s">
        <v>1215</v>
      </c>
      <c r="C789" s="4" t="s">
        <v>202</v>
      </c>
      <c r="D789" s="11">
        <f>IFERROR(VLOOKUP(C789,ShipShapeEnum!$E:$F,2,FALSE),"-")</f>
        <v>51</v>
      </c>
      <c r="E789" s="19" t="s">
        <v>1207</v>
      </c>
      <c r="F789" s="4" t="s">
        <v>66</v>
      </c>
      <c r="G789" s="11">
        <f>IFERROR(VLOOKUP(F789,ShipShapeEnum!$B:$C,2,FALSE),"-")</f>
        <v>3</v>
      </c>
      <c r="H789" s="19" t="s">
        <v>0</v>
      </c>
      <c r="I789" s="19">
        <v>1</v>
      </c>
      <c r="J789" s="19">
        <v>5</v>
      </c>
      <c r="K789" s="19" t="s">
        <v>211</v>
      </c>
      <c r="L789" s="19" t="s">
        <v>213</v>
      </c>
      <c r="M789" s="4" t="s">
        <v>109</v>
      </c>
      <c r="N789" s="11">
        <f>IFERROR(VLOOKUP(M789,ShipShapeEnum!$H:$I,2,FALSE),"-")</f>
        <v>3</v>
      </c>
      <c r="O789" s="11" t="s">
        <v>2688</v>
      </c>
      <c r="P789" s="30"/>
      <c r="Q789" s="11" t="str">
        <f>IFERROR(INDEX(SailPattern!$A:$A,MATCH(P789,SailPattern!$B:$B,0)),"-")</f>
        <v>-</v>
      </c>
      <c r="R789" s="30"/>
      <c r="S789" s="11" t="str">
        <f>IFERROR(INDEX(SailCrest!$A:$A,MATCH(R789,SailCrest!$B:$B,0)),"-")</f>
        <v>-</v>
      </c>
      <c r="T789" s="19" t="s">
        <v>0</v>
      </c>
      <c r="U789" s="19" t="s">
        <v>0</v>
      </c>
      <c r="V789" s="19" t="s">
        <v>0</v>
      </c>
      <c r="W789" s="19" t="s">
        <v>0</v>
      </c>
      <c r="X789" s="19" t="s">
        <v>0</v>
      </c>
      <c r="Y789" s="19" t="s">
        <v>0</v>
      </c>
      <c r="Z789" s="19" t="s">
        <v>0</v>
      </c>
      <c r="AA789" s="19" t="s">
        <v>0</v>
      </c>
    </row>
    <row r="790" spans="1:27" ht="15">
      <c r="A790" s="10">
        <f t="shared" si="25"/>
        <v>46700014</v>
      </c>
      <c r="B790" s="24" t="s">
        <v>1216</v>
      </c>
      <c r="C790" s="4" t="s">
        <v>202</v>
      </c>
      <c r="D790" s="11">
        <f>IFERROR(VLOOKUP(C790,ShipShapeEnum!$E:$F,2,FALSE),"-")</f>
        <v>51</v>
      </c>
      <c r="E790" s="19" t="s">
        <v>1208</v>
      </c>
      <c r="F790" s="4" t="s">
        <v>66</v>
      </c>
      <c r="G790" s="11">
        <f>IFERROR(VLOOKUP(F790,ShipShapeEnum!$B:$C,2,FALSE),"-")</f>
        <v>3</v>
      </c>
      <c r="H790" s="19" t="s">
        <v>0</v>
      </c>
      <c r="I790" s="19">
        <v>1</v>
      </c>
      <c r="J790" s="19">
        <v>5</v>
      </c>
      <c r="K790" s="19" t="s">
        <v>1220</v>
      </c>
      <c r="L790" s="19" t="s">
        <v>1219</v>
      </c>
      <c r="M790" s="4" t="s">
        <v>109</v>
      </c>
      <c r="N790" s="11">
        <f>IFERROR(VLOOKUP(M790,ShipShapeEnum!$H:$I,2,FALSE),"-")</f>
        <v>3</v>
      </c>
      <c r="O790" s="11" t="s">
        <v>2688</v>
      </c>
      <c r="P790" s="30"/>
      <c r="Q790" s="11" t="str">
        <f>IFERROR(INDEX(SailPattern!$A:$A,MATCH(P790,SailPattern!$B:$B,0)),"-")</f>
        <v>-</v>
      </c>
      <c r="R790" s="30"/>
      <c r="S790" s="11" t="str">
        <f>IFERROR(INDEX(SailCrest!$A:$A,MATCH(R790,SailCrest!$B:$B,0)),"-")</f>
        <v>-</v>
      </c>
      <c r="T790" s="19" t="s">
        <v>0</v>
      </c>
      <c r="U790" s="19" t="s">
        <v>0</v>
      </c>
      <c r="V790" s="19" t="s">
        <v>0</v>
      </c>
      <c r="W790" s="19" t="s">
        <v>0</v>
      </c>
      <c r="X790" s="19" t="s">
        <v>0</v>
      </c>
      <c r="Y790" s="19" t="s">
        <v>0</v>
      </c>
      <c r="Z790" s="19" t="s">
        <v>0</v>
      </c>
      <c r="AA790" s="19" t="s">
        <v>0</v>
      </c>
    </row>
    <row r="791" spans="1:27" ht="15">
      <c r="A791" s="10">
        <f t="shared" si="25"/>
        <v>46700015</v>
      </c>
      <c r="B791" s="24" t="s">
        <v>1256</v>
      </c>
      <c r="C791" s="4" t="s">
        <v>202</v>
      </c>
      <c r="D791" s="11">
        <f>IFERROR(VLOOKUP(C791,ShipShapeEnum!$E:$F,2,FALSE),"-")</f>
        <v>51</v>
      </c>
      <c r="E791" s="19" t="s">
        <v>1209</v>
      </c>
      <c r="F791" s="4" t="s">
        <v>66</v>
      </c>
      <c r="G791" s="11">
        <f>IFERROR(VLOOKUP(F791,ShipShapeEnum!$B:$C,2,FALSE),"-")</f>
        <v>3</v>
      </c>
      <c r="H791" s="19" t="s">
        <v>0</v>
      </c>
      <c r="I791" s="19">
        <v>1</v>
      </c>
      <c r="J791" s="19">
        <v>5</v>
      </c>
      <c r="K791" s="19" t="s">
        <v>211</v>
      </c>
      <c r="L791" s="19" t="s">
        <v>1241</v>
      </c>
      <c r="M791" s="4" t="s">
        <v>109</v>
      </c>
      <c r="N791" s="11">
        <f>IFERROR(VLOOKUP(M791,ShipShapeEnum!$H:$I,2,FALSE),"-")</f>
        <v>3</v>
      </c>
      <c r="O791" s="11" t="s">
        <v>2688</v>
      </c>
      <c r="P791" s="30"/>
      <c r="Q791" s="11" t="str">
        <f>IFERROR(INDEX(SailPattern!$A:$A,MATCH(P791,SailPattern!$B:$B,0)),"-")</f>
        <v>-</v>
      </c>
      <c r="R791" s="30"/>
      <c r="S791" s="11" t="str">
        <f>IFERROR(INDEX(SailCrest!$A:$A,MATCH(R791,SailCrest!$B:$B,0)),"-")</f>
        <v>-</v>
      </c>
      <c r="T791" s="19" t="s">
        <v>0</v>
      </c>
      <c r="U791" s="19" t="s">
        <v>0</v>
      </c>
      <c r="V791" s="19" t="s">
        <v>0</v>
      </c>
      <c r="W791" s="19" t="s">
        <v>0</v>
      </c>
      <c r="X791" s="19" t="s">
        <v>0</v>
      </c>
      <c r="Y791" s="19" t="s">
        <v>0</v>
      </c>
      <c r="Z791" s="19" t="s">
        <v>0</v>
      </c>
      <c r="AA791" s="19" t="s">
        <v>0</v>
      </c>
    </row>
    <row r="792" spans="1:27" ht="15">
      <c r="A792" s="10">
        <f t="shared" si="25"/>
        <v>46700016</v>
      </c>
      <c r="B792" s="24" t="s">
        <v>1217</v>
      </c>
      <c r="C792" s="4" t="s">
        <v>202</v>
      </c>
      <c r="D792" s="11">
        <f>IFERROR(VLOOKUP(C792,ShipShapeEnum!$E:$F,2,FALSE),"-")</f>
        <v>51</v>
      </c>
      <c r="E792" s="19" t="s">
        <v>1210</v>
      </c>
      <c r="F792" s="4" t="s">
        <v>66</v>
      </c>
      <c r="G792" s="11">
        <f>IFERROR(VLOOKUP(F792,ShipShapeEnum!$B:$C,2,FALSE),"-")</f>
        <v>3</v>
      </c>
      <c r="H792" s="19" t="s">
        <v>0</v>
      </c>
      <c r="I792" s="19">
        <v>1</v>
      </c>
      <c r="J792" s="19">
        <v>5</v>
      </c>
      <c r="K792" s="19" t="s">
        <v>1220</v>
      </c>
      <c r="L792" s="19" t="s">
        <v>1219</v>
      </c>
      <c r="M792" s="4" t="s">
        <v>109</v>
      </c>
      <c r="N792" s="11">
        <f>IFERROR(VLOOKUP(M792,ShipShapeEnum!$H:$I,2,FALSE),"-")</f>
        <v>3</v>
      </c>
      <c r="O792" s="11" t="s">
        <v>2688</v>
      </c>
      <c r="P792" s="30"/>
      <c r="Q792" s="11" t="str">
        <f>IFERROR(INDEX(SailPattern!$A:$A,MATCH(P792,SailPattern!$B:$B,0)),"-")</f>
        <v>-</v>
      </c>
      <c r="R792" s="30"/>
      <c r="S792" s="11" t="str">
        <f>IFERROR(INDEX(SailCrest!$A:$A,MATCH(R792,SailCrest!$B:$B,0)),"-")</f>
        <v>-</v>
      </c>
      <c r="T792" s="19" t="s">
        <v>0</v>
      </c>
      <c r="U792" s="19" t="s">
        <v>0</v>
      </c>
      <c r="V792" s="19" t="s">
        <v>0</v>
      </c>
      <c r="W792" s="19" t="s">
        <v>0</v>
      </c>
      <c r="X792" s="19" t="s">
        <v>0</v>
      </c>
      <c r="Y792" s="19" t="s">
        <v>0</v>
      </c>
      <c r="Z792" s="19" t="s">
        <v>0</v>
      </c>
      <c r="AA792" s="19" t="s">
        <v>0</v>
      </c>
    </row>
    <row r="793" spans="1:27" ht="15">
      <c r="A793" s="10">
        <f t="shared" si="25"/>
        <v>46700017</v>
      </c>
      <c r="B793" s="24" t="s">
        <v>1218</v>
      </c>
      <c r="C793" s="4" t="s">
        <v>202</v>
      </c>
      <c r="D793" s="11">
        <f>IFERROR(VLOOKUP(C793,ShipShapeEnum!$E:$F,2,FALSE),"-")</f>
        <v>51</v>
      </c>
      <c r="E793" s="19" t="s">
        <v>1211</v>
      </c>
      <c r="F793" s="4" t="s">
        <v>66</v>
      </c>
      <c r="G793" s="11">
        <f>IFERROR(VLOOKUP(F793,ShipShapeEnum!$B:$C,2,FALSE),"-")</f>
        <v>3</v>
      </c>
      <c r="H793" s="19" t="s">
        <v>0</v>
      </c>
      <c r="I793" s="19">
        <v>1</v>
      </c>
      <c r="J793" s="19">
        <v>5</v>
      </c>
      <c r="K793" s="19" t="s">
        <v>211</v>
      </c>
      <c r="L793" s="19" t="s">
        <v>1241</v>
      </c>
      <c r="M793" s="4" t="s">
        <v>109</v>
      </c>
      <c r="N793" s="11">
        <f>IFERROR(VLOOKUP(M793,ShipShapeEnum!$H:$I,2,FALSE),"-")</f>
        <v>3</v>
      </c>
      <c r="O793" s="11" t="s">
        <v>2688</v>
      </c>
      <c r="P793" s="30"/>
      <c r="Q793" s="11" t="str">
        <f>IFERROR(INDEX(SailPattern!$A:$A,MATCH(P793,SailPattern!$B:$B,0)),"-")</f>
        <v>-</v>
      </c>
      <c r="R793" s="30"/>
      <c r="S793" s="11" t="str">
        <f>IFERROR(INDEX(SailCrest!$A:$A,MATCH(R793,SailCrest!$B:$B,0)),"-")</f>
        <v>-</v>
      </c>
      <c r="T793" s="19" t="s">
        <v>0</v>
      </c>
      <c r="U793" s="19" t="s">
        <v>0</v>
      </c>
      <c r="V793" s="19" t="s">
        <v>0</v>
      </c>
      <c r="W793" s="19" t="s">
        <v>0</v>
      </c>
      <c r="X793" s="19" t="s">
        <v>0</v>
      </c>
      <c r="Y793" s="19" t="s">
        <v>0</v>
      </c>
      <c r="Z793" s="19" t="s">
        <v>0</v>
      </c>
      <c r="AA793" s="19" t="s">
        <v>0</v>
      </c>
    </row>
    <row r="794" spans="1:27" ht="15">
      <c r="A794" s="10">
        <f>A793+1</f>
        <v>46700018</v>
      </c>
      <c r="B794" s="24" t="s">
        <v>2949</v>
      </c>
      <c r="C794" s="4" t="s">
        <v>202</v>
      </c>
      <c r="D794" s="11">
        <f>IFERROR(VLOOKUP(C794,ShipShapeEnum!$E:$F,2,FALSE),"-")</f>
        <v>51</v>
      </c>
      <c r="E794" s="19" t="s">
        <v>2950</v>
      </c>
      <c r="F794" s="4" t="s">
        <v>66</v>
      </c>
      <c r="G794" s="11">
        <f>IFERROR(VLOOKUP(F794,ShipShapeEnum!$B:$C,2,FALSE),"-")</f>
        <v>3</v>
      </c>
      <c r="H794" s="19" t="s">
        <v>0</v>
      </c>
      <c r="I794" s="19">
        <v>1</v>
      </c>
      <c r="J794" s="19">
        <v>6</v>
      </c>
      <c r="K794" s="19" t="s">
        <v>211</v>
      </c>
      <c r="L794" s="19" t="s">
        <v>213</v>
      </c>
      <c r="M794" s="4" t="s">
        <v>109</v>
      </c>
      <c r="N794" s="11">
        <f>IFERROR(VLOOKUP(M794,ShipShapeEnum!$H:$I,2,FALSE),"-")</f>
        <v>3</v>
      </c>
      <c r="O794" s="11" t="s">
        <v>0</v>
      </c>
      <c r="P794" s="30"/>
      <c r="Q794" s="11" t="str">
        <f>IFERROR(INDEX(SailPattern!$A:$A,MATCH(P794,SailPattern!$B:$B,0)),"-")</f>
        <v>-</v>
      </c>
      <c r="R794" s="30"/>
      <c r="S794" s="11" t="str">
        <f>IFERROR(INDEX(SailCrest!$A:$A,MATCH(R794,SailCrest!$B:$B,0)),"-")</f>
        <v>-</v>
      </c>
      <c r="T794" s="19" t="s">
        <v>0</v>
      </c>
      <c r="U794" s="19" t="s">
        <v>0</v>
      </c>
      <c r="V794" s="19" t="s">
        <v>0</v>
      </c>
      <c r="W794" s="19" t="s">
        <v>0</v>
      </c>
      <c r="X794" s="19" t="s">
        <v>0</v>
      </c>
      <c r="Y794" s="19" t="s">
        <v>0</v>
      </c>
      <c r="Z794" s="19" t="s">
        <v>0</v>
      </c>
      <c r="AA794" s="19" t="s">
        <v>0</v>
      </c>
    </row>
    <row r="795" spans="1:27" ht="15">
      <c r="A795" s="10">
        <v>46800001</v>
      </c>
      <c r="B795" s="206" t="s">
        <v>2693</v>
      </c>
      <c r="C795" s="4" t="s">
        <v>2691</v>
      </c>
      <c r="D795" s="11">
        <f>IFERROR(VLOOKUP(C795,ShipShapeEnum!$E:$F,2,FALSE),"-")</f>
        <v>105</v>
      </c>
      <c r="E795" s="19" t="s">
        <v>2695</v>
      </c>
      <c r="F795" s="4" t="s">
        <v>2694</v>
      </c>
      <c r="G795" s="11">
        <f>IFERROR(VLOOKUP(F795,ShipShapeEnum!$B:$C,2,FALSE),"-")</f>
        <v>4</v>
      </c>
      <c r="H795" s="19" t="s">
        <v>2696</v>
      </c>
      <c r="I795" s="19" t="s">
        <v>0</v>
      </c>
      <c r="J795" s="19" t="s">
        <v>0</v>
      </c>
      <c r="K795" s="19" t="s">
        <v>0</v>
      </c>
      <c r="L795" s="19" t="s">
        <v>0</v>
      </c>
      <c r="M795" s="4" t="s">
        <v>109</v>
      </c>
      <c r="N795" s="11">
        <f>IFERROR(VLOOKUP(M795,ShipShapeEnum!$H:$I,2,FALSE),"-")</f>
        <v>3</v>
      </c>
      <c r="O795" s="11">
        <v>3000</v>
      </c>
      <c r="P795" s="30"/>
      <c r="Q795" s="11" t="str">
        <f>IFERROR(INDEX(SailPattern!$A:$A,MATCH(P795,SailPattern!$B:$B,0)),"-")</f>
        <v>-</v>
      </c>
      <c r="R795" s="30"/>
      <c r="S795" s="11" t="str">
        <f>IFERROR(INDEX(SailCrest!$A:$A,MATCH(R795,SailCrest!$B:$B,0)),"-")</f>
        <v>-</v>
      </c>
      <c r="T795" s="19" t="s">
        <v>0</v>
      </c>
      <c r="U795" s="19" t="s">
        <v>0</v>
      </c>
      <c r="V795" s="19" t="s">
        <v>0</v>
      </c>
      <c r="W795" s="19" t="s">
        <v>0</v>
      </c>
      <c r="X795" s="19" t="s">
        <v>0</v>
      </c>
      <c r="Y795" s="19" t="s">
        <v>0</v>
      </c>
      <c r="Z795" s="19" t="s">
        <v>0</v>
      </c>
      <c r="AA795" s="19" t="s">
        <v>0</v>
      </c>
    </row>
    <row r="796" spans="1:27" ht="15">
      <c r="A796" s="10">
        <v>46800002</v>
      </c>
      <c r="B796" s="206" t="s">
        <v>2705</v>
      </c>
      <c r="C796" s="4" t="s">
        <v>2706</v>
      </c>
      <c r="D796" s="11">
        <f>IFERROR(VLOOKUP(C796,ShipShapeEnum!$E:$F,2,FALSE),"-")</f>
        <v>104</v>
      </c>
      <c r="E796" s="19" t="s">
        <v>2707</v>
      </c>
      <c r="F796" s="4" t="s">
        <v>2694</v>
      </c>
      <c r="G796" s="11">
        <f>IFERROR(VLOOKUP(F796,ShipShapeEnum!$B:$C,2,FALSE),"-")</f>
        <v>4</v>
      </c>
      <c r="H796" s="19" t="s">
        <v>2696</v>
      </c>
      <c r="I796" s="19" t="s">
        <v>0</v>
      </c>
      <c r="J796" s="19" t="s">
        <v>0</v>
      </c>
      <c r="K796" s="19" t="s">
        <v>0</v>
      </c>
      <c r="L796" s="19" t="s">
        <v>0</v>
      </c>
      <c r="M796" s="4" t="s">
        <v>109</v>
      </c>
      <c r="N796" s="11">
        <f>IFERROR(VLOOKUP(M796,ShipShapeEnum!$H:$I,2,FALSE),"-")</f>
        <v>3</v>
      </c>
      <c r="O796" s="11">
        <v>7000</v>
      </c>
      <c r="P796" s="30"/>
      <c r="Q796" s="11" t="str">
        <f>IFERROR(INDEX(SailPattern!$A:$A,MATCH(P796,SailPattern!$B:$B,0)),"-")</f>
        <v>-</v>
      </c>
      <c r="R796" s="30"/>
      <c r="S796" s="11" t="str">
        <f>IFERROR(INDEX(SailCrest!$A:$A,MATCH(R796,SailCrest!$B:$B,0)),"-")</f>
        <v>-</v>
      </c>
      <c r="T796" s="19" t="s">
        <v>0</v>
      </c>
      <c r="U796" s="19" t="s">
        <v>0</v>
      </c>
      <c r="V796" s="19" t="s">
        <v>0</v>
      </c>
      <c r="W796" s="19" t="s">
        <v>0</v>
      </c>
      <c r="X796" s="19" t="s">
        <v>0</v>
      </c>
      <c r="Y796" s="19" t="s">
        <v>0</v>
      </c>
      <c r="Z796" s="19" t="s">
        <v>0</v>
      </c>
      <c r="AA796" s="19" t="s">
        <v>0</v>
      </c>
    </row>
    <row r="797" spans="1:27" ht="15">
      <c r="A797" s="10">
        <v>46800003</v>
      </c>
      <c r="B797" s="206" t="s">
        <v>2858</v>
      </c>
      <c r="C797" s="4" t="s">
        <v>2850</v>
      </c>
      <c r="D797" s="11">
        <f>IFERROR(VLOOKUP(C797,ShipShapeEnum!$E:$F,2,FALSE),"-")</f>
        <v>103</v>
      </c>
      <c r="E797" s="19" t="s">
        <v>2851</v>
      </c>
      <c r="F797" s="4" t="s">
        <v>2694</v>
      </c>
      <c r="G797" s="11">
        <f>IFERROR(VLOOKUP(F797,ShipShapeEnum!$B:$C,2,FALSE),"-")</f>
        <v>4</v>
      </c>
      <c r="H797" s="19" t="s">
        <v>2696</v>
      </c>
      <c r="I797" s="19" t="s">
        <v>0</v>
      </c>
      <c r="J797" s="19" t="s">
        <v>0</v>
      </c>
      <c r="K797" s="19" t="s">
        <v>0</v>
      </c>
      <c r="L797" s="19" t="s">
        <v>0</v>
      </c>
      <c r="M797" s="4" t="s">
        <v>109</v>
      </c>
      <c r="N797" s="11">
        <f>IFERROR(VLOOKUP(M797,ShipShapeEnum!$H:$I,2,FALSE),"-")</f>
        <v>3</v>
      </c>
      <c r="O797" s="11">
        <v>7000</v>
      </c>
      <c r="P797" s="30"/>
      <c r="Q797" s="11" t="str">
        <f>IFERROR(INDEX(SailPattern!$A:$A,MATCH(P797,SailPattern!$B:$B,0)),"-")</f>
        <v>-</v>
      </c>
      <c r="R797" s="30"/>
      <c r="S797" s="11" t="str">
        <f>IFERROR(INDEX(SailCrest!$A:$A,MATCH(R797,SailCrest!$B:$B,0)),"-")</f>
        <v>-</v>
      </c>
      <c r="T797" s="19" t="s">
        <v>0</v>
      </c>
      <c r="U797" s="19" t="s">
        <v>0</v>
      </c>
      <c r="V797" s="19" t="s">
        <v>0</v>
      </c>
      <c r="W797" s="19" t="s">
        <v>0</v>
      </c>
      <c r="X797" s="19" t="s">
        <v>0</v>
      </c>
      <c r="Y797" s="19" t="s">
        <v>0</v>
      </c>
      <c r="Z797" s="19" t="s">
        <v>0</v>
      </c>
      <c r="AA797" s="19" t="s">
        <v>0</v>
      </c>
    </row>
    <row r="798" spans="1:27" ht="15">
      <c r="A798" s="10">
        <v>46800004</v>
      </c>
      <c r="B798" s="206" t="s">
        <v>2962</v>
      </c>
      <c r="C798" s="4" t="s">
        <v>2691</v>
      </c>
      <c r="D798" s="11">
        <f>IFERROR(VLOOKUP(C798,ShipShapeEnum!$E:$F,2,FALSE),"-")</f>
        <v>105</v>
      </c>
      <c r="E798" s="19" t="s">
        <v>2963</v>
      </c>
      <c r="F798" s="4" t="s">
        <v>2694</v>
      </c>
      <c r="G798" s="11">
        <f>IFERROR(VLOOKUP(F798,ShipShapeEnum!$B:$C,2,FALSE),"-")</f>
        <v>4</v>
      </c>
      <c r="H798" s="19" t="s">
        <v>2696</v>
      </c>
      <c r="I798" s="19" t="s">
        <v>0</v>
      </c>
      <c r="J798" s="19" t="s">
        <v>0</v>
      </c>
      <c r="K798" s="19" t="s">
        <v>0</v>
      </c>
      <c r="L798" s="19" t="s">
        <v>0</v>
      </c>
      <c r="M798" s="4" t="s">
        <v>109</v>
      </c>
      <c r="N798" s="11">
        <f>IFERROR(VLOOKUP(M798,ShipShapeEnum!$H:$I,2,FALSE),"-")</f>
        <v>3</v>
      </c>
      <c r="O798" s="11">
        <v>7000</v>
      </c>
      <c r="P798" s="30"/>
      <c r="Q798" s="11" t="str">
        <f>IFERROR(INDEX(SailPattern!$A:$A,MATCH(P798,SailPattern!$B:$B,0)),"-")</f>
        <v>-</v>
      </c>
      <c r="R798" s="30"/>
      <c r="S798" s="11" t="str">
        <f>IFERROR(INDEX(SailCrest!$A:$A,MATCH(R798,SailCrest!$B:$B,0)),"-")</f>
        <v>-</v>
      </c>
      <c r="T798" s="19" t="s">
        <v>0</v>
      </c>
      <c r="U798" s="19" t="s">
        <v>0</v>
      </c>
      <c r="V798" s="19" t="s">
        <v>0</v>
      </c>
      <c r="W798" s="19" t="s">
        <v>0</v>
      </c>
      <c r="X798" s="19" t="s">
        <v>0</v>
      </c>
      <c r="Y798" s="19" t="s">
        <v>0</v>
      </c>
      <c r="Z798" s="19" t="s">
        <v>0</v>
      </c>
      <c r="AA798" s="19" t="s">
        <v>0</v>
      </c>
    </row>
    <row r="799" spans="1:27" ht="15">
      <c r="A799" s="10">
        <v>46800005</v>
      </c>
      <c r="B799" s="206" t="s">
        <v>3134</v>
      </c>
      <c r="C799" s="4" t="s">
        <v>2691</v>
      </c>
      <c r="D799" s="11">
        <f>IFERROR(VLOOKUP(C799,ShipShapeEnum!$E:$F,2,FALSE),"-")</f>
        <v>105</v>
      </c>
      <c r="E799" s="19" t="s">
        <v>3132</v>
      </c>
      <c r="F799" s="4" t="s">
        <v>2694</v>
      </c>
      <c r="G799" s="11">
        <f>IFERROR(VLOOKUP(F799,ShipShapeEnum!$B:$C,2,FALSE),"-")</f>
        <v>4</v>
      </c>
      <c r="H799" s="19" t="s">
        <v>2696</v>
      </c>
      <c r="I799" s="19" t="s">
        <v>0</v>
      </c>
      <c r="J799" s="19" t="s">
        <v>0</v>
      </c>
      <c r="K799" s="19" t="s">
        <v>0</v>
      </c>
      <c r="L799" s="19" t="s">
        <v>0</v>
      </c>
      <c r="M799" s="4" t="s">
        <v>109</v>
      </c>
      <c r="N799" s="11">
        <f>IFERROR(VLOOKUP(M799,ShipShapeEnum!$H:$I,2,FALSE),"-")</f>
        <v>3</v>
      </c>
      <c r="O799" s="11">
        <v>7000</v>
      </c>
      <c r="P799" s="30"/>
      <c r="Q799" s="11" t="str">
        <f>IFERROR(INDEX(SailPattern!$A:$A,MATCH(P799,SailPattern!$B:$B,0)),"-")</f>
        <v>-</v>
      </c>
      <c r="R799" s="30"/>
      <c r="S799" s="11" t="str">
        <f>IFERROR(INDEX(SailCrest!$A:$A,MATCH(R799,SailCrest!$B:$B,0)),"-")</f>
        <v>-</v>
      </c>
      <c r="T799" s="19" t="s">
        <v>0</v>
      </c>
      <c r="U799" s="19" t="s">
        <v>0</v>
      </c>
      <c r="V799" s="19" t="s">
        <v>0</v>
      </c>
      <c r="W799" s="19" t="s">
        <v>0</v>
      </c>
      <c r="X799" s="19" t="s">
        <v>0</v>
      </c>
      <c r="Y799" s="19" t="s">
        <v>0</v>
      </c>
      <c r="Z799" s="19" t="s">
        <v>0</v>
      </c>
      <c r="AA799" s="19" t="s">
        <v>0</v>
      </c>
    </row>
    <row r="800" spans="1:27" ht="15">
      <c r="A800" s="10">
        <v>46800006</v>
      </c>
      <c r="B800" s="206" t="s">
        <v>3293</v>
      </c>
      <c r="C800" s="4" t="s">
        <v>2691</v>
      </c>
      <c r="D800" s="11">
        <f>IFERROR(VLOOKUP(C800,ShipShapeEnum!$E:$F,2,FALSE),"-")</f>
        <v>105</v>
      </c>
      <c r="E800" s="19" t="s">
        <v>3294</v>
      </c>
      <c r="F800" s="4" t="s">
        <v>2694</v>
      </c>
      <c r="G800" s="11">
        <f>IFERROR(VLOOKUP(F800,ShipShapeEnum!$B:$C,2,FALSE),"-")</f>
        <v>4</v>
      </c>
      <c r="H800" s="19" t="s">
        <v>2696</v>
      </c>
      <c r="I800" s="19" t="s">
        <v>0</v>
      </c>
      <c r="J800" s="19" t="s">
        <v>0</v>
      </c>
      <c r="K800" s="19" t="s">
        <v>0</v>
      </c>
      <c r="L800" s="19" t="s">
        <v>0</v>
      </c>
      <c r="M800" s="4" t="s">
        <v>109</v>
      </c>
      <c r="N800" s="11">
        <f>IFERROR(VLOOKUP(M800,ShipShapeEnum!$H:$I,2,FALSE),"-")</f>
        <v>3</v>
      </c>
      <c r="O800" s="11">
        <v>7000</v>
      </c>
      <c r="P800" s="30"/>
      <c r="Q800" s="11" t="str">
        <f>IFERROR(INDEX(SailPattern!$A:$A,MATCH(P800,SailPattern!$B:$B,0)),"-")</f>
        <v>-</v>
      </c>
      <c r="R800" s="30"/>
      <c r="S800" s="11" t="str">
        <f>IFERROR(INDEX(SailCrest!$A:$A,MATCH(R800,SailCrest!$B:$B,0)),"-")</f>
        <v>-</v>
      </c>
      <c r="T800" s="19" t="s">
        <v>0</v>
      </c>
      <c r="U800" s="19" t="s">
        <v>0</v>
      </c>
      <c r="V800" s="19" t="s">
        <v>0</v>
      </c>
      <c r="W800" s="19" t="s">
        <v>0</v>
      </c>
      <c r="X800" s="19" t="s">
        <v>0</v>
      </c>
      <c r="Y800" s="19" t="s">
        <v>0</v>
      </c>
      <c r="Z800" s="19" t="s">
        <v>0</v>
      </c>
      <c r="AA800" s="19" t="s">
        <v>0</v>
      </c>
    </row>
    <row r="801" spans="1:27" ht="15">
      <c r="A801" s="10">
        <v>46800007</v>
      </c>
      <c r="B801" s="206" t="s">
        <v>3411</v>
      </c>
      <c r="C801" s="4" t="s">
        <v>2691</v>
      </c>
      <c r="D801" s="11">
        <f>IFERROR(VLOOKUP(C801,ShipShapeEnum!$E:$F,2,FALSE),"-")</f>
        <v>105</v>
      </c>
      <c r="E801" s="19" t="s">
        <v>3409</v>
      </c>
      <c r="F801" s="4" t="s">
        <v>65</v>
      </c>
      <c r="G801" s="11">
        <f>IFERROR(VLOOKUP(F801,ShipShapeEnum!$B:$C,2,FALSE),"-")</f>
        <v>2</v>
      </c>
      <c r="H801" s="19" t="s">
        <v>3412</v>
      </c>
      <c r="I801" s="19" t="s">
        <v>0</v>
      </c>
      <c r="J801" s="19" t="s">
        <v>0</v>
      </c>
      <c r="K801" s="19" t="s">
        <v>0</v>
      </c>
      <c r="L801" s="19" t="s">
        <v>0</v>
      </c>
      <c r="M801" s="4" t="s">
        <v>109</v>
      </c>
      <c r="N801" s="11">
        <f>IFERROR(VLOOKUP(M801,ShipShapeEnum!$H:$I,2,FALSE),"-")</f>
        <v>3</v>
      </c>
      <c r="O801" s="11">
        <v>7000</v>
      </c>
      <c r="P801" s="30"/>
      <c r="Q801" s="11" t="str">
        <f>IFERROR(INDEX(SailPattern!$A:$A,MATCH(P801,SailPattern!$B:$B,0)),"-")</f>
        <v>-</v>
      </c>
      <c r="R801" s="30"/>
      <c r="S801" s="11" t="str">
        <f>IFERROR(INDEX(SailCrest!$A:$A,MATCH(R801,SailCrest!$B:$B,0)),"-")</f>
        <v>-</v>
      </c>
      <c r="T801" s="19" t="s">
        <v>0</v>
      </c>
      <c r="U801" s="19" t="s">
        <v>0</v>
      </c>
      <c r="V801" s="19" t="s">
        <v>0</v>
      </c>
      <c r="W801" s="19" t="s">
        <v>0</v>
      </c>
      <c r="X801" s="19" t="s">
        <v>0</v>
      </c>
      <c r="Y801" s="19" t="s">
        <v>0</v>
      </c>
      <c r="Z801" s="19" t="s">
        <v>0</v>
      </c>
      <c r="AA801" s="19" t="s">
        <v>0</v>
      </c>
    </row>
    <row r="802" spans="1:27" ht="15">
      <c r="A802" s="10">
        <v>46800008</v>
      </c>
      <c r="B802" s="206" t="s">
        <v>3805</v>
      </c>
      <c r="C802" s="4" t="s">
        <v>2691</v>
      </c>
      <c r="D802" s="11">
        <f>IFERROR(VLOOKUP(C802,ShipShapeEnum!$E:$F,2,FALSE),"-")</f>
        <v>105</v>
      </c>
      <c r="E802" s="19" t="s">
        <v>3804</v>
      </c>
      <c r="F802" s="4" t="s">
        <v>2694</v>
      </c>
      <c r="G802" s="11">
        <f>IFERROR(VLOOKUP(F802,ShipShapeEnum!$B:$C,2,FALSE),"-")</f>
        <v>4</v>
      </c>
      <c r="H802" s="19" t="s">
        <v>2696</v>
      </c>
      <c r="I802" s="19" t="s">
        <v>0</v>
      </c>
      <c r="J802" s="19" t="s">
        <v>0</v>
      </c>
      <c r="K802" s="19" t="s">
        <v>0</v>
      </c>
      <c r="L802" s="19" t="s">
        <v>0</v>
      </c>
      <c r="M802" s="4" t="s">
        <v>109</v>
      </c>
      <c r="N802" s="11">
        <f>IFERROR(VLOOKUP(M802,ShipShapeEnum!$H:$I,2,FALSE),"-")</f>
        <v>3</v>
      </c>
      <c r="O802" s="11">
        <v>7000</v>
      </c>
      <c r="P802" s="30"/>
      <c r="Q802" s="11" t="str">
        <f>IFERROR(INDEX(SailPattern!$A:$A,MATCH(P802,SailPattern!$B:$B,0)),"-")</f>
        <v>-</v>
      </c>
      <c r="R802" s="30"/>
      <c r="S802" s="11" t="str">
        <f>IFERROR(INDEX(SailCrest!$A:$A,MATCH(R802,SailCrest!$B:$B,0)),"-")</f>
        <v>-</v>
      </c>
      <c r="T802" s="19" t="s">
        <v>0</v>
      </c>
      <c r="U802" s="19" t="s">
        <v>0</v>
      </c>
      <c r="V802" s="19" t="s">
        <v>0</v>
      </c>
      <c r="W802" s="19" t="s">
        <v>0</v>
      </c>
      <c r="X802" s="19" t="s">
        <v>0</v>
      </c>
      <c r="Y802" s="19" t="s">
        <v>0</v>
      </c>
      <c r="Z802" s="19" t="s">
        <v>0</v>
      </c>
      <c r="AA802" s="19" t="s">
        <v>0</v>
      </c>
    </row>
    <row r="803" spans="1:27" ht="15">
      <c r="A803" s="10">
        <v>46900001</v>
      </c>
      <c r="B803" s="206" t="s">
        <v>3424</v>
      </c>
      <c r="C803" s="4" t="s">
        <v>3421</v>
      </c>
      <c r="D803" s="11">
        <f>IFERROR(VLOOKUP(C803,ShipShapeEnum!$E:$F,2,FALSE),"-")</f>
        <v>7</v>
      </c>
      <c r="E803" s="19" t="s">
        <v>3485</v>
      </c>
      <c r="F803" s="4" t="s">
        <v>61</v>
      </c>
      <c r="G803" s="11">
        <f>IFERROR(VLOOKUP(F803,ShipShapeEnum!$B:$C,2,FALSE),"-")</f>
        <v>1</v>
      </c>
      <c r="H803" s="19" t="s">
        <v>3408</v>
      </c>
      <c r="I803" s="19" t="s">
        <v>0</v>
      </c>
      <c r="J803" s="19" t="s">
        <v>0</v>
      </c>
      <c r="K803" s="19" t="s">
        <v>0</v>
      </c>
      <c r="L803" s="19" t="s">
        <v>0</v>
      </c>
      <c r="M803" s="4" t="s">
        <v>109</v>
      </c>
      <c r="N803" s="11">
        <f>IFERROR(VLOOKUP(M803,ShipShapeEnum!$H:$I,2,FALSE),"-")</f>
        <v>3</v>
      </c>
      <c r="O803" s="11">
        <v>7000</v>
      </c>
      <c r="P803" s="30"/>
      <c r="Q803" s="11" t="str">
        <f>IFERROR(INDEX(SailPattern!$A:$A,MATCH(P803,SailPattern!$B:$B,0)),"-")</f>
        <v>-</v>
      </c>
      <c r="R803" s="30"/>
      <c r="S803" s="11" t="str">
        <f>IFERROR(INDEX(SailCrest!$A:$A,MATCH(R803,SailCrest!$B:$B,0)),"-")</f>
        <v>-</v>
      </c>
      <c r="T803" s="19">
        <v>0</v>
      </c>
      <c r="U803" s="19" t="s">
        <v>3468</v>
      </c>
      <c r="V803" s="19" t="s">
        <v>0</v>
      </c>
      <c r="W803" s="19" t="s">
        <v>0</v>
      </c>
      <c r="X803" s="19" t="s">
        <v>0</v>
      </c>
      <c r="Y803" s="19" t="s">
        <v>0</v>
      </c>
      <c r="Z803" s="19" t="s">
        <v>0</v>
      </c>
      <c r="AA803" s="19" t="s">
        <v>0</v>
      </c>
    </row>
    <row r="804" spans="1:27" ht="15">
      <c r="A804" s="10">
        <v>46900002</v>
      </c>
      <c r="B804" s="206" t="s">
        <v>3425</v>
      </c>
      <c r="C804" s="4" t="s">
        <v>3421</v>
      </c>
      <c r="D804" s="11">
        <f>IFERROR(VLOOKUP(C804,ShipShapeEnum!$E:$F,2,FALSE),"-")</f>
        <v>7</v>
      </c>
      <c r="E804" s="19" t="s">
        <v>3484</v>
      </c>
      <c r="F804" s="4" t="s">
        <v>61</v>
      </c>
      <c r="G804" s="11">
        <f>IFERROR(VLOOKUP(F804,ShipShapeEnum!$B:$C,2,FALSE),"-")</f>
        <v>1</v>
      </c>
      <c r="H804" s="19" t="s">
        <v>3408</v>
      </c>
      <c r="I804" s="19" t="s">
        <v>0</v>
      </c>
      <c r="J804" s="19" t="s">
        <v>0</v>
      </c>
      <c r="K804" s="19" t="s">
        <v>0</v>
      </c>
      <c r="L804" s="19" t="s">
        <v>0</v>
      </c>
      <c r="M804" s="4" t="s">
        <v>109</v>
      </c>
      <c r="N804" s="11">
        <f>IFERROR(VLOOKUP(M804,ShipShapeEnum!$H:$I,2,FALSE),"-")</f>
        <v>3</v>
      </c>
      <c r="O804" s="11">
        <v>7000</v>
      </c>
      <c r="P804" s="30"/>
      <c r="Q804" s="11" t="str">
        <f>IFERROR(INDEX(SailPattern!$A:$A,MATCH(P804,SailPattern!$B:$B,0)),"-")</f>
        <v>-</v>
      </c>
      <c r="R804" s="30"/>
      <c r="S804" s="11" t="str">
        <f>IFERROR(INDEX(SailCrest!$A:$A,MATCH(R804,SailCrest!$B:$B,0)),"-")</f>
        <v>-</v>
      </c>
      <c r="T804" s="19">
        <v>0</v>
      </c>
      <c r="U804" s="19" t="s">
        <v>3469</v>
      </c>
      <c r="V804" s="19" t="s">
        <v>0</v>
      </c>
      <c r="W804" s="19" t="s">
        <v>0</v>
      </c>
      <c r="X804" s="19" t="s">
        <v>0</v>
      </c>
      <c r="Y804" s="19" t="s">
        <v>0</v>
      </c>
      <c r="Z804" s="19" t="s">
        <v>0</v>
      </c>
      <c r="AA804" s="19" t="s">
        <v>0</v>
      </c>
    </row>
    <row r="805" spans="1:27" ht="15">
      <c r="A805" s="10">
        <v>46900003</v>
      </c>
      <c r="B805" s="206" t="s">
        <v>3426</v>
      </c>
      <c r="C805" s="4" t="s">
        <v>3421</v>
      </c>
      <c r="D805" s="11">
        <f>IFERROR(VLOOKUP(C805,ShipShapeEnum!$E:$F,2,FALSE),"-")</f>
        <v>7</v>
      </c>
      <c r="E805" s="19" t="s">
        <v>3484</v>
      </c>
      <c r="F805" s="4" t="s">
        <v>61</v>
      </c>
      <c r="G805" s="11">
        <f>IFERROR(VLOOKUP(F805,ShipShapeEnum!$B:$C,2,FALSE),"-")</f>
        <v>1</v>
      </c>
      <c r="H805" s="19" t="s">
        <v>3408</v>
      </c>
      <c r="I805" s="19" t="s">
        <v>0</v>
      </c>
      <c r="J805" s="19" t="s">
        <v>0</v>
      </c>
      <c r="K805" s="19" t="s">
        <v>0</v>
      </c>
      <c r="L805" s="19" t="s">
        <v>0</v>
      </c>
      <c r="M805" s="4" t="s">
        <v>109</v>
      </c>
      <c r="N805" s="11">
        <f>IFERROR(VLOOKUP(M805,ShipShapeEnum!$H:$I,2,FALSE),"-")</f>
        <v>3</v>
      </c>
      <c r="O805" s="11">
        <v>7000</v>
      </c>
      <c r="P805" s="30"/>
      <c r="Q805" s="11" t="str">
        <f>IFERROR(INDEX(SailPattern!$A:$A,MATCH(P805,SailPattern!$B:$B,0)),"-")</f>
        <v>-</v>
      </c>
      <c r="R805" s="30"/>
      <c r="S805" s="11" t="str">
        <f>IFERROR(INDEX(SailCrest!$A:$A,MATCH(R805,SailCrest!$B:$B,0)),"-")</f>
        <v>-</v>
      </c>
      <c r="T805" s="19">
        <v>0</v>
      </c>
      <c r="U805" s="19" t="s">
        <v>3470</v>
      </c>
      <c r="V805" s="19" t="s">
        <v>0</v>
      </c>
      <c r="W805" s="19" t="s">
        <v>0</v>
      </c>
      <c r="X805" s="19" t="s">
        <v>0</v>
      </c>
      <c r="Y805" s="19" t="s">
        <v>0</v>
      </c>
      <c r="Z805" s="19" t="s">
        <v>0</v>
      </c>
      <c r="AA805" s="19" t="s">
        <v>0</v>
      </c>
    </row>
    <row r="806" spans="1:27" ht="15">
      <c r="A806" s="10">
        <v>46900004</v>
      </c>
      <c r="B806" s="206" t="s">
        <v>3427</v>
      </c>
      <c r="C806" s="4" t="s">
        <v>3421</v>
      </c>
      <c r="D806" s="11">
        <f>IFERROR(VLOOKUP(C806,ShipShapeEnum!$E:$F,2,FALSE),"-")</f>
        <v>7</v>
      </c>
      <c r="E806" s="19" t="s">
        <v>3484</v>
      </c>
      <c r="F806" s="4" t="s">
        <v>61</v>
      </c>
      <c r="G806" s="11">
        <f>IFERROR(VLOOKUP(F806,ShipShapeEnum!$B:$C,2,FALSE),"-")</f>
        <v>1</v>
      </c>
      <c r="H806" s="19" t="s">
        <v>3408</v>
      </c>
      <c r="I806" s="19" t="s">
        <v>0</v>
      </c>
      <c r="J806" s="19" t="s">
        <v>0</v>
      </c>
      <c r="K806" s="19" t="s">
        <v>0</v>
      </c>
      <c r="L806" s="19" t="s">
        <v>0</v>
      </c>
      <c r="M806" s="4" t="s">
        <v>109</v>
      </c>
      <c r="N806" s="11">
        <f>IFERROR(VLOOKUP(M806,ShipShapeEnum!$H:$I,2,FALSE),"-")</f>
        <v>3</v>
      </c>
      <c r="O806" s="11">
        <v>7000</v>
      </c>
      <c r="P806" s="30"/>
      <c r="Q806" s="11" t="str">
        <f>IFERROR(INDEX(SailPattern!$A:$A,MATCH(P806,SailPattern!$B:$B,0)),"-")</f>
        <v>-</v>
      </c>
      <c r="R806" s="30"/>
      <c r="S806" s="11" t="str">
        <f>IFERROR(INDEX(SailCrest!$A:$A,MATCH(R806,SailCrest!$B:$B,0)),"-")</f>
        <v>-</v>
      </c>
      <c r="T806" s="19">
        <v>0</v>
      </c>
      <c r="U806" s="19" t="s">
        <v>3471</v>
      </c>
      <c r="V806" s="19" t="s">
        <v>0</v>
      </c>
      <c r="W806" s="19" t="s">
        <v>0</v>
      </c>
      <c r="X806" s="19" t="s">
        <v>0</v>
      </c>
      <c r="Y806" s="19" t="s">
        <v>0</v>
      </c>
      <c r="Z806" s="19" t="s">
        <v>0</v>
      </c>
      <c r="AA806" s="19" t="s">
        <v>0</v>
      </c>
    </row>
    <row r="807" spans="1:27" ht="15">
      <c r="A807" s="10">
        <v>46900005</v>
      </c>
      <c r="B807" s="206" t="s">
        <v>3428</v>
      </c>
      <c r="C807" s="4" t="s">
        <v>3421</v>
      </c>
      <c r="D807" s="11">
        <f>IFERROR(VLOOKUP(C807,ShipShapeEnum!$E:$F,2,FALSE),"-")</f>
        <v>7</v>
      </c>
      <c r="E807" s="19" t="s">
        <v>3484</v>
      </c>
      <c r="F807" s="4" t="s">
        <v>61</v>
      </c>
      <c r="G807" s="11">
        <f>IFERROR(VLOOKUP(F807,ShipShapeEnum!$B:$C,2,FALSE),"-")</f>
        <v>1</v>
      </c>
      <c r="H807" s="19" t="s">
        <v>3408</v>
      </c>
      <c r="I807" s="19" t="s">
        <v>0</v>
      </c>
      <c r="J807" s="19" t="s">
        <v>0</v>
      </c>
      <c r="K807" s="19" t="s">
        <v>0</v>
      </c>
      <c r="L807" s="19" t="s">
        <v>0</v>
      </c>
      <c r="M807" s="4" t="s">
        <v>109</v>
      </c>
      <c r="N807" s="11">
        <f>IFERROR(VLOOKUP(M807,ShipShapeEnum!$H:$I,2,FALSE),"-")</f>
        <v>3</v>
      </c>
      <c r="O807" s="11">
        <v>7000</v>
      </c>
      <c r="P807" s="30"/>
      <c r="Q807" s="11" t="str">
        <f>IFERROR(INDEX(SailPattern!$A:$A,MATCH(P807,SailPattern!$B:$B,0)),"-")</f>
        <v>-</v>
      </c>
      <c r="R807" s="30"/>
      <c r="S807" s="11" t="str">
        <f>IFERROR(INDEX(SailCrest!$A:$A,MATCH(R807,SailCrest!$B:$B,0)),"-")</f>
        <v>-</v>
      </c>
      <c r="T807" s="19">
        <v>0</v>
      </c>
      <c r="U807" s="19" t="s">
        <v>3472</v>
      </c>
      <c r="V807" s="19" t="s">
        <v>0</v>
      </c>
      <c r="W807" s="19" t="s">
        <v>0</v>
      </c>
      <c r="X807" s="19" t="s">
        <v>0</v>
      </c>
      <c r="Y807" s="19" t="s">
        <v>0</v>
      </c>
      <c r="Z807" s="19" t="s">
        <v>0</v>
      </c>
      <c r="AA807" s="19" t="s">
        <v>0</v>
      </c>
    </row>
    <row r="808" spans="1:27" ht="15">
      <c r="A808" s="10">
        <v>46900006</v>
      </c>
      <c r="B808" s="206" t="s">
        <v>3429</v>
      </c>
      <c r="C808" s="4" t="s">
        <v>3421</v>
      </c>
      <c r="D808" s="11">
        <f>IFERROR(VLOOKUP(C808,ShipShapeEnum!$E:$F,2,FALSE),"-")</f>
        <v>7</v>
      </c>
      <c r="E808" s="19" t="s">
        <v>3484</v>
      </c>
      <c r="F808" s="4" t="s">
        <v>61</v>
      </c>
      <c r="G808" s="11">
        <f>IFERROR(VLOOKUP(F808,ShipShapeEnum!$B:$C,2,FALSE),"-")</f>
        <v>1</v>
      </c>
      <c r="H808" s="19" t="s">
        <v>3408</v>
      </c>
      <c r="I808" s="19" t="s">
        <v>0</v>
      </c>
      <c r="J808" s="19" t="s">
        <v>0</v>
      </c>
      <c r="K808" s="19" t="s">
        <v>0</v>
      </c>
      <c r="L808" s="19" t="s">
        <v>0</v>
      </c>
      <c r="M808" s="4" t="s">
        <v>109</v>
      </c>
      <c r="N808" s="11">
        <f>IFERROR(VLOOKUP(M808,ShipShapeEnum!$H:$I,2,FALSE),"-")</f>
        <v>3</v>
      </c>
      <c r="O808" s="11">
        <v>7000</v>
      </c>
      <c r="P808" s="30"/>
      <c r="Q808" s="11" t="str">
        <f>IFERROR(INDEX(SailPattern!$A:$A,MATCH(P808,SailPattern!$B:$B,0)),"-")</f>
        <v>-</v>
      </c>
      <c r="R808" s="30"/>
      <c r="S808" s="11" t="str">
        <f>IFERROR(INDEX(SailCrest!$A:$A,MATCH(R808,SailCrest!$B:$B,0)),"-")</f>
        <v>-</v>
      </c>
      <c r="T808" s="19">
        <v>0</v>
      </c>
      <c r="U808" s="19" t="s">
        <v>3473</v>
      </c>
      <c r="V808" s="19" t="s">
        <v>0</v>
      </c>
      <c r="W808" s="19" t="s">
        <v>0</v>
      </c>
      <c r="X808" s="19" t="s">
        <v>0</v>
      </c>
      <c r="Y808" s="19" t="s">
        <v>0</v>
      </c>
      <c r="Z808" s="19" t="s">
        <v>0</v>
      </c>
      <c r="AA808" s="19" t="s">
        <v>0</v>
      </c>
    </row>
    <row r="809" spans="1:27" ht="15">
      <c r="A809" s="10">
        <v>46900007</v>
      </c>
      <c r="B809" s="206" t="s">
        <v>3430</v>
      </c>
      <c r="C809" s="4" t="s">
        <v>3421</v>
      </c>
      <c r="D809" s="11">
        <f>IFERROR(VLOOKUP(C809,ShipShapeEnum!$E:$F,2,FALSE),"-")</f>
        <v>7</v>
      </c>
      <c r="E809" s="19" t="s">
        <v>3484</v>
      </c>
      <c r="F809" s="4" t="s">
        <v>61</v>
      </c>
      <c r="G809" s="11">
        <f>IFERROR(VLOOKUP(F809,ShipShapeEnum!$B:$C,2,FALSE),"-")</f>
        <v>1</v>
      </c>
      <c r="H809" s="19" t="s">
        <v>3408</v>
      </c>
      <c r="I809" s="19" t="s">
        <v>0</v>
      </c>
      <c r="J809" s="19" t="s">
        <v>0</v>
      </c>
      <c r="K809" s="19" t="s">
        <v>0</v>
      </c>
      <c r="L809" s="19" t="s">
        <v>0</v>
      </c>
      <c r="M809" s="4" t="s">
        <v>109</v>
      </c>
      <c r="N809" s="11">
        <f>IFERROR(VLOOKUP(M809,ShipShapeEnum!$H:$I,2,FALSE),"-")</f>
        <v>3</v>
      </c>
      <c r="O809" s="11">
        <v>7000</v>
      </c>
      <c r="P809" s="30"/>
      <c r="Q809" s="11" t="str">
        <f>IFERROR(INDEX(SailPattern!$A:$A,MATCH(P809,SailPattern!$B:$B,0)),"-")</f>
        <v>-</v>
      </c>
      <c r="R809" s="30"/>
      <c r="S809" s="11" t="str">
        <f>IFERROR(INDEX(SailCrest!$A:$A,MATCH(R809,SailCrest!$B:$B,0)),"-")</f>
        <v>-</v>
      </c>
      <c r="T809" s="19">
        <v>0</v>
      </c>
      <c r="U809" s="19" t="s">
        <v>3474</v>
      </c>
      <c r="V809" s="19" t="s">
        <v>0</v>
      </c>
      <c r="W809" s="19" t="s">
        <v>0</v>
      </c>
      <c r="X809" s="19" t="s">
        <v>0</v>
      </c>
      <c r="Y809" s="19" t="s">
        <v>0</v>
      </c>
      <c r="Z809" s="19" t="s">
        <v>0</v>
      </c>
      <c r="AA809" s="19" t="s">
        <v>0</v>
      </c>
    </row>
    <row r="810" spans="1:27" ht="15">
      <c r="A810" s="10">
        <v>46900008</v>
      </c>
      <c r="B810" s="206" t="s">
        <v>3431</v>
      </c>
      <c r="C810" s="4" t="s">
        <v>3421</v>
      </c>
      <c r="D810" s="11">
        <f>IFERROR(VLOOKUP(C810,ShipShapeEnum!$E:$F,2,FALSE),"-")</f>
        <v>7</v>
      </c>
      <c r="E810" s="19" t="s">
        <v>3484</v>
      </c>
      <c r="F810" s="4" t="s">
        <v>61</v>
      </c>
      <c r="G810" s="11">
        <f>IFERROR(VLOOKUP(F810,ShipShapeEnum!$B:$C,2,FALSE),"-")</f>
        <v>1</v>
      </c>
      <c r="H810" s="19" t="s">
        <v>3408</v>
      </c>
      <c r="I810" s="19" t="s">
        <v>0</v>
      </c>
      <c r="J810" s="19" t="s">
        <v>0</v>
      </c>
      <c r="K810" s="19" t="s">
        <v>0</v>
      </c>
      <c r="L810" s="19" t="s">
        <v>0</v>
      </c>
      <c r="M810" s="4" t="s">
        <v>109</v>
      </c>
      <c r="N810" s="11">
        <f>IFERROR(VLOOKUP(M810,ShipShapeEnum!$H:$I,2,FALSE),"-")</f>
        <v>3</v>
      </c>
      <c r="O810" s="11">
        <v>7000</v>
      </c>
      <c r="P810" s="30"/>
      <c r="Q810" s="11" t="str">
        <f>IFERROR(INDEX(SailPattern!$A:$A,MATCH(P810,SailPattern!$B:$B,0)),"-")</f>
        <v>-</v>
      </c>
      <c r="R810" s="30"/>
      <c r="S810" s="11" t="str">
        <f>IFERROR(INDEX(SailCrest!$A:$A,MATCH(R810,SailCrest!$B:$B,0)),"-")</f>
        <v>-</v>
      </c>
      <c r="T810" s="19">
        <v>0</v>
      </c>
      <c r="U810" s="19" t="s">
        <v>3475</v>
      </c>
      <c r="V810" s="19" t="s">
        <v>0</v>
      </c>
      <c r="W810" s="19" t="s">
        <v>0</v>
      </c>
      <c r="X810" s="19" t="s">
        <v>0</v>
      </c>
      <c r="Y810" s="19" t="s">
        <v>0</v>
      </c>
      <c r="Z810" s="19" t="s">
        <v>0</v>
      </c>
      <c r="AA810" s="19" t="s">
        <v>0</v>
      </c>
    </row>
    <row r="811" spans="1:27" ht="15">
      <c r="A811" s="10">
        <v>46900009</v>
      </c>
      <c r="B811" s="206" t="s">
        <v>3432</v>
      </c>
      <c r="C811" s="4" t="s">
        <v>3421</v>
      </c>
      <c r="D811" s="11">
        <f>IFERROR(VLOOKUP(C811,ShipShapeEnum!$E:$F,2,FALSE),"-")</f>
        <v>7</v>
      </c>
      <c r="E811" s="19" t="s">
        <v>3484</v>
      </c>
      <c r="F811" s="4" t="s">
        <v>61</v>
      </c>
      <c r="G811" s="11">
        <f>IFERROR(VLOOKUP(F811,ShipShapeEnum!$B:$C,2,FALSE),"-")</f>
        <v>1</v>
      </c>
      <c r="H811" s="19" t="s">
        <v>3408</v>
      </c>
      <c r="I811" s="19" t="s">
        <v>0</v>
      </c>
      <c r="J811" s="19" t="s">
        <v>0</v>
      </c>
      <c r="K811" s="19" t="s">
        <v>0</v>
      </c>
      <c r="L811" s="19" t="s">
        <v>0</v>
      </c>
      <c r="M811" s="4" t="s">
        <v>109</v>
      </c>
      <c r="N811" s="11">
        <f>IFERROR(VLOOKUP(M811,ShipShapeEnum!$H:$I,2,FALSE),"-")</f>
        <v>3</v>
      </c>
      <c r="O811" s="11">
        <v>7000</v>
      </c>
      <c r="P811" s="30"/>
      <c r="Q811" s="11" t="str">
        <f>IFERROR(INDEX(SailPattern!$A:$A,MATCH(P811,SailPattern!$B:$B,0)),"-")</f>
        <v>-</v>
      </c>
      <c r="R811" s="30"/>
      <c r="S811" s="11" t="str">
        <f>IFERROR(INDEX(SailCrest!$A:$A,MATCH(R811,SailCrest!$B:$B,0)),"-")</f>
        <v>-</v>
      </c>
      <c r="T811" s="19">
        <v>0</v>
      </c>
      <c r="U811" s="19" t="s">
        <v>3466</v>
      </c>
      <c r="V811" s="19" t="s">
        <v>0</v>
      </c>
      <c r="W811" s="19" t="s">
        <v>0</v>
      </c>
      <c r="X811" s="19" t="s">
        <v>0</v>
      </c>
      <c r="Y811" s="19" t="s">
        <v>0</v>
      </c>
      <c r="Z811" s="19" t="s">
        <v>0</v>
      </c>
      <c r="AA811" s="19" t="s">
        <v>0</v>
      </c>
    </row>
    <row r="812" spans="1:27" ht="15">
      <c r="A812" s="10">
        <v>46900010</v>
      </c>
      <c r="B812" s="206" t="s">
        <v>3433</v>
      </c>
      <c r="C812" s="4" t="s">
        <v>3421</v>
      </c>
      <c r="D812" s="11">
        <f>IFERROR(VLOOKUP(C812,ShipShapeEnum!$E:$F,2,FALSE),"-")</f>
        <v>7</v>
      </c>
      <c r="E812" s="19" t="s">
        <v>3484</v>
      </c>
      <c r="F812" s="4" t="s">
        <v>61</v>
      </c>
      <c r="G812" s="11">
        <f>IFERROR(VLOOKUP(F812,ShipShapeEnum!$B:$C,2,FALSE),"-")</f>
        <v>1</v>
      </c>
      <c r="H812" s="19" t="s">
        <v>3408</v>
      </c>
      <c r="I812" s="19" t="s">
        <v>0</v>
      </c>
      <c r="J812" s="19" t="s">
        <v>0</v>
      </c>
      <c r="K812" s="19" t="s">
        <v>0</v>
      </c>
      <c r="L812" s="19" t="s">
        <v>0</v>
      </c>
      <c r="M812" s="4" t="s">
        <v>109</v>
      </c>
      <c r="N812" s="11">
        <f>IFERROR(VLOOKUP(M812,ShipShapeEnum!$H:$I,2,FALSE),"-")</f>
        <v>3</v>
      </c>
      <c r="O812" s="11">
        <v>7000</v>
      </c>
      <c r="P812" s="30"/>
      <c r="Q812" s="11" t="str">
        <f>IFERROR(INDEX(SailPattern!$A:$A,MATCH(P812,SailPattern!$B:$B,0)),"-")</f>
        <v>-</v>
      </c>
      <c r="R812" s="30"/>
      <c r="S812" s="11" t="str">
        <f>IFERROR(INDEX(SailCrest!$A:$A,MATCH(R812,SailCrest!$B:$B,0)),"-")</f>
        <v>-</v>
      </c>
      <c r="T812" s="19">
        <v>0</v>
      </c>
      <c r="U812" s="19" t="s">
        <v>3467</v>
      </c>
      <c r="V812" s="19" t="s">
        <v>0</v>
      </c>
      <c r="W812" s="19" t="s">
        <v>0</v>
      </c>
      <c r="X812" s="19" t="s">
        <v>0</v>
      </c>
      <c r="Y812" s="19" t="s">
        <v>0</v>
      </c>
      <c r="Z812" s="19" t="s">
        <v>0</v>
      </c>
      <c r="AA812" s="19" t="s">
        <v>0</v>
      </c>
    </row>
    <row r="813" spans="1:27" ht="15">
      <c r="A813" s="10">
        <v>46900011</v>
      </c>
      <c r="B813" s="206" t="s">
        <v>3434</v>
      </c>
      <c r="C813" s="4" t="s">
        <v>3421</v>
      </c>
      <c r="D813" s="11">
        <f>IFERROR(VLOOKUP(C813,ShipShapeEnum!$E:$F,2,FALSE),"-")</f>
        <v>7</v>
      </c>
      <c r="E813" s="19" t="s">
        <v>3484</v>
      </c>
      <c r="F813" s="4" t="s">
        <v>61</v>
      </c>
      <c r="G813" s="11">
        <f>IFERROR(VLOOKUP(F813,ShipShapeEnum!$B:$C,2,FALSE),"-")</f>
        <v>1</v>
      </c>
      <c r="H813" s="19" t="s">
        <v>3408</v>
      </c>
      <c r="I813" s="19" t="s">
        <v>0</v>
      </c>
      <c r="J813" s="19" t="s">
        <v>0</v>
      </c>
      <c r="K813" s="19" t="s">
        <v>0</v>
      </c>
      <c r="L813" s="19" t="s">
        <v>0</v>
      </c>
      <c r="M813" s="4" t="s">
        <v>109</v>
      </c>
      <c r="N813" s="11">
        <f>IFERROR(VLOOKUP(M813,ShipShapeEnum!$H:$I,2,FALSE),"-")</f>
        <v>3</v>
      </c>
      <c r="O813" s="11">
        <v>7000</v>
      </c>
      <c r="P813" s="30"/>
      <c r="Q813" s="11" t="str">
        <f>IFERROR(INDEX(SailPattern!$A:$A,MATCH(P813,SailPattern!$B:$B,0)),"-")</f>
        <v>-</v>
      </c>
      <c r="R813" s="30"/>
      <c r="S813" s="11" t="str">
        <f>IFERROR(INDEX(SailCrest!$A:$A,MATCH(R813,SailCrest!$B:$B,0)),"-")</f>
        <v>-</v>
      </c>
      <c r="T813" s="19">
        <v>0</v>
      </c>
      <c r="U813" s="19" t="s">
        <v>3476</v>
      </c>
      <c r="V813" s="19" t="s">
        <v>0</v>
      </c>
      <c r="W813" s="19" t="s">
        <v>0</v>
      </c>
      <c r="X813" s="19" t="s">
        <v>0</v>
      </c>
      <c r="Y813" s="19" t="s">
        <v>0</v>
      </c>
      <c r="Z813" s="19" t="s">
        <v>0</v>
      </c>
      <c r="AA813" s="19" t="s">
        <v>0</v>
      </c>
    </row>
    <row r="814" spans="1:27" ht="15">
      <c r="A814" s="10">
        <v>46900012</v>
      </c>
      <c r="B814" s="206" t="s">
        <v>3435</v>
      </c>
      <c r="C814" s="4" t="s">
        <v>3421</v>
      </c>
      <c r="D814" s="11">
        <f>IFERROR(VLOOKUP(C814,ShipShapeEnum!$E:$F,2,FALSE),"-")</f>
        <v>7</v>
      </c>
      <c r="E814" s="19" t="s">
        <v>3484</v>
      </c>
      <c r="F814" s="4" t="s">
        <v>61</v>
      </c>
      <c r="G814" s="11">
        <f>IFERROR(VLOOKUP(F814,ShipShapeEnum!$B:$C,2,FALSE),"-")</f>
        <v>1</v>
      </c>
      <c r="H814" s="19" t="s">
        <v>3408</v>
      </c>
      <c r="I814" s="19" t="s">
        <v>0</v>
      </c>
      <c r="J814" s="19" t="s">
        <v>0</v>
      </c>
      <c r="K814" s="19" t="s">
        <v>0</v>
      </c>
      <c r="L814" s="19" t="s">
        <v>0</v>
      </c>
      <c r="M814" s="4" t="s">
        <v>109</v>
      </c>
      <c r="N814" s="11">
        <f>IFERROR(VLOOKUP(M814,ShipShapeEnum!$H:$I,2,FALSE),"-")</f>
        <v>3</v>
      </c>
      <c r="O814" s="11">
        <v>7000</v>
      </c>
      <c r="P814" s="30"/>
      <c r="Q814" s="11" t="str">
        <f>IFERROR(INDEX(SailPattern!$A:$A,MATCH(P814,SailPattern!$B:$B,0)),"-")</f>
        <v>-</v>
      </c>
      <c r="R814" s="30"/>
      <c r="S814" s="11" t="str">
        <f>IFERROR(INDEX(SailCrest!$A:$A,MATCH(R814,SailCrest!$B:$B,0)),"-")</f>
        <v>-</v>
      </c>
      <c r="T814" s="19">
        <v>0</v>
      </c>
      <c r="U814" s="19" t="s">
        <v>3477</v>
      </c>
      <c r="V814" s="19" t="s">
        <v>0</v>
      </c>
      <c r="W814" s="19" t="s">
        <v>0</v>
      </c>
      <c r="X814" s="19" t="s">
        <v>0</v>
      </c>
      <c r="Y814" s="19" t="s">
        <v>0</v>
      </c>
      <c r="Z814" s="19" t="s">
        <v>0</v>
      </c>
      <c r="AA814" s="19" t="s">
        <v>0</v>
      </c>
    </row>
    <row r="815" spans="1:27" ht="15">
      <c r="A815" s="10">
        <v>46900013</v>
      </c>
      <c r="B815" s="206" t="s">
        <v>3436</v>
      </c>
      <c r="C815" s="4" t="s">
        <v>3421</v>
      </c>
      <c r="D815" s="11">
        <f>IFERROR(VLOOKUP(C815,ShipShapeEnum!$E:$F,2,FALSE),"-")</f>
        <v>7</v>
      </c>
      <c r="E815" s="19" t="s">
        <v>3484</v>
      </c>
      <c r="F815" s="4" t="s">
        <v>61</v>
      </c>
      <c r="G815" s="11">
        <f>IFERROR(VLOOKUP(F815,ShipShapeEnum!$B:$C,2,FALSE),"-")</f>
        <v>1</v>
      </c>
      <c r="H815" s="19" t="s">
        <v>3408</v>
      </c>
      <c r="I815" s="19" t="s">
        <v>0</v>
      </c>
      <c r="J815" s="19" t="s">
        <v>0</v>
      </c>
      <c r="K815" s="19" t="s">
        <v>0</v>
      </c>
      <c r="L815" s="19" t="s">
        <v>0</v>
      </c>
      <c r="M815" s="4" t="s">
        <v>109</v>
      </c>
      <c r="N815" s="11">
        <f>IFERROR(VLOOKUP(M815,ShipShapeEnum!$H:$I,2,FALSE),"-")</f>
        <v>3</v>
      </c>
      <c r="O815" s="11">
        <v>7000</v>
      </c>
      <c r="P815" s="30"/>
      <c r="Q815" s="11" t="str">
        <f>IFERROR(INDEX(SailPattern!$A:$A,MATCH(P815,SailPattern!$B:$B,0)),"-")</f>
        <v>-</v>
      </c>
      <c r="R815" s="30"/>
      <c r="S815" s="11" t="str">
        <f>IFERROR(INDEX(SailCrest!$A:$A,MATCH(R815,SailCrest!$B:$B,0)),"-")</f>
        <v>-</v>
      </c>
      <c r="T815" s="19">
        <v>0</v>
      </c>
      <c r="U815" s="19" t="s">
        <v>3478</v>
      </c>
      <c r="V815" s="19" t="s">
        <v>0</v>
      </c>
      <c r="W815" s="19" t="s">
        <v>0</v>
      </c>
      <c r="X815" s="19" t="s">
        <v>0</v>
      </c>
      <c r="Y815" s="19" t="s">
        <v>0</v>
      </c>
      <c r="Z815" s="19" t="s">
        <v>0</v>
      </c>
      <c r="AA815" s="19" t="s">
        <v>0</v>
      </c>
    </row>
    <row r="816" spans="1:27" ht="15">
      <c r="A816" s="10">
        <v>46900014</v>
      </c>
      <c r="B816" s="206" t="s">
        <v>3439</v>
      </c>
      <c r="C816" s="4" t="s">
        <v>3421</v>
      </c>
      <c r="D816" s="11">
        <f>IFERROR(VLOOKUP(C816,ShipShapeEnum!$E:$F,2,FALSE),"-")</f>
        <v>7</v>
      </c>
      <c r="E816" s="19" t="s">
        <v>3484</v>
      </c>
      <c r="F816" s="4" t="s">
        <v>61</v>
      </c>
      <c r="G816" s="11">
        <f>IFERROR(VLOOKUP(F816,ShipShapeEnum!$B:$C,2,FALSE),"-")</f>
        <v>1</v>
      </c>
      <c r="H816" s="19" t="s">
        <v>3408</v>
      </c>
      <c r="I816" s="19" t="s">
        <v>0</v>
      </c>
      <c r="J816" s="19" t="s">
        <v>0</v>
      </c>
      <c r="K816" s="19" t="s">
        <v>0</v>
      </c>
      <c r="L816" s="19" t="s">
        <v>0</v>
      </c>
      <c r="M816" s="4" t="s">
        <v>109</v>
      </c>
      <c r="N816" s="11">
        <f>IFERROR(VLOOKUP(M816,ShipShapeEnum!$H:$I,2,FALSE),"-")</f>
        <v>3</v>
      </c>
      <c r="O816" s="11">
        <v>7000</v>
      </c>
      <c r="P816" s="30"/>
      <c r="Q816" s="11" t="str">
        <f>IFERROR(INDEX(SailPattern!$A:$A,MATCH(P816,SailPattern!$B:$B,0)),"-")</f>
        <v>-</v>
      </c>
      <c r="R816" s="30"/>
      <c r="S816" s="11" t="str">
        <f>IFERROR(INDEX(SailCrest!$A:$A,MATCH(R816,SailCrest!$B:$B,0)),"-")</f>
        <v>-</v>
      </c>
      <c r="T816" s="19">
        <v>0</v>
      </c>
      <c r="U816" s="19" t="s">
        <v>3479</v>
      </c>
      <c r="V816" s="19" t="s">
        <v>0</v>
      </c>
      <c r="W816" s="19" t="s">
        <v>0</v>
      </c>
      <c r="X816" s="19" t="s">
        <v>0</v>
      </c>
      <c r="Y816" s="19" t="s">
        <v>0</v>
      </c>
      <c r="Z816" s="19" t="s">
        <v>0</v>
      </c>
      <c r="AA816" s="19" t="s">
        <v>0</v>
      </c>
    </row>
    <row r="817" spans="1:27" ht="15">
      <c r="A817" s="10">
        <v>46900015</v>
      </c>
      <c r="B817" s="206" t="s">
        <v>3438</v>
      </c>
      <c r="C817" s="4" t="s">
        <v>3421</v>
      </c>
      <c r="D817" s="11">
        <f>IFERROR(VLOOKUP(C817,ShipShapeEnum!$E:$F,2,FALSE),"-")</f>
        <v>7</v>
      </c>
      <c r="E817" s="19" t="s">
        <v>3484</v>
      </c>
      <c r="F817" s="4" t="s">
        <v>61</v>
      </c>
      <c r="G817" s="11">
        <f>IFERROR(VLOOKUP(F817,ShipShapeEnum!$B:$C,2,FALSE),"-")</f>
        <v>1</v>
      </c>
      <c r="H817" s="19" t="s">
        <v>3408</v>
      </c>
      <c r="I817" s="19" t="s">
        <v>0</v>
      </c>
      <c r="J817" s="19" t="s">
        <v>0</v>
      </c>
      <c r="K817" s="19" t="s">
        <v>0</v>
      </c>
      <c r="L817" s="19" t="s">
        <v>0</v>
      </c>
      <c r="M817" s="4" t="s">
        <v>109</v>
      </c>
      <c r="N817" s="11">
        <f>IFERROR(VLOOKUP(M817,ShipShapeEnum!$H:$I,2,FALSE),"-")</f>
        <v>3</v>
      </c>
      <c r="O817" s="11">
        <v>7000</v>
      </c>
      <c r="P817" s="30"/>
      <c r="Q817" s="11" t="str">
        <f>IFERROR(INDEX(SailPattern!$A:$A,MATCH(P817,SailPattern!$B:$B,0)),"-")</f>
        <v>-</v>
      </c>
      <c r="R817" s="30"/>
      <c r="S817" s="11" t="str">
        <f>IFERROR(INDEX(SailCrest!$A:$A,MATCH(R817,SailCrest!$B:$B,0)),"-")</f>
        <v>-</v>
      </c>
      <c r="T817" s="19">
        <v>0</v>
      </c>
      <c r="U817" s="19" t="s">
        <v>3480</v>
      </c>
      <c r="V817" s="19" t="s">
        <v>0</v>
      </c>
      <c r="W817" s="19" t="s">
        <v>0</v>
      </c>
      <c r="X817" s="19" t="s">
        <v>0</v>
      </c>
      <c r="Y817" s="19" t="s">
        <v>0</v>
      </c>
      <c r="Z817" s="19" t="s">
        <v>0</v>
      </c>
      <c r="AA817" s="19" t="s">
        <v>0</v>
      </c>
    </row>
    <row r="818" spans="1:27" ht="15">
      <c r="A818" s="10">
        <v>46900016</v>
      </c>
      <c r="B818" s="206" t="s">
        <v>3437</v>
      </c>
      <c r="C818" s="4" t="s">
        <v>3421</v>
      </c>
      <c r="D818" s="11">
        <f>IFERROR(VLOOKUP(C818,ShipShapeEnum!$E:$F,2,FALSE),"-")</f>
        <v>7</v>
      </c>
      <c r="E818" s="19" t="s">
        <v>3484</v>
      </c>
      <c r="F818" s="4" t="s">
        <v>61</v>
      </c>
      <c r="G818" s="11">
        <f>IFERROR(VLOOKUP(F818,ShipShapeEnum!$B:$C,2,FALSE),"-")</f>
        <v>1</v>
      </c>
      <c r="H818" s="19" t="s">
        <v>3408</v>
      </c>
      <c r="I818" s="19" t="s">
        <v>0</v>
      </c>
      <c r="J818" s="19" t="s">
        <v>0</v>
      </c>
      <c r="K818" s="19" t="s">
        <v>0</v>
      </c>
      <c r="L818" s="19" t="s">
        <v>0</v>
      </c>
      <c r="M818" s="4" t="s">
        <v>109</v>
      </c>
      <c r="N818" s="11">
        <f>IFERROR(VLOOKUP(M818,ShipShapeEnum!$H:$I,2,FALSE),"-")</f>
        <v>3</v>
      </c>
      <c r="O818" s="11">
        <v>7000</v>
      </c>
      <c r="P818" s="30"/>
      <c r="Q818" s="11" t="str">
        <f>IFERROR(INDEX(SailPattern!$A:$A,MATCH(P818,SailPattern!$B:$B,0)),"-")</f>
        <v>-</v>
      </c>
      <c r="R818" s="30"/>
      <c r="S818" s="11" t="str">
        <f>IFERROR(INDEX(SailCrest!$A:$A,MATCH(R818,SailCrest!$B:$B,0)),"-")</f>
        <v>-</v>
      </c>
      <c r="T818" s="19">
        <v>0</v>
      </c>
      <c r="U818" s="19" t="s">
        <v>3481</v>
      </c>
      <c r="V818" s="19" t="s">
        <v>0</v>
      </c>
      <c r="W818" s="19" t="s">
        <v>0</v>
      </c>
      <c r="X818" s="19" t="s">
        <v>0</v>
      </c>
      <c r="Y818" s="19" t="s">
        <v>0</v>
      </c>
      <c r="Z818" s="19" t="s">
        <v>0</v>
      </c>
      <c r="AA818" s="19" t="s">
        <v>0</v>
      </c>
    </row>
    <row r="819" spans="1:27" ht="15">
      <c r="A819" s="10">
        <v>46900017</v>
      </c>
      <c r="B819" s="206" t="s">
        <v>3455</v>
      </c>
      <c r="C819" s="4" t="s">
        <v>3421</v>
      </c>
      <c r="D819" s="11">
        <f>IFERROR(VLOOKUP(C819,ShipShapeEnum!$E:$F,2,FALSE),"-")</f>
        <v>7</v>
      </c>
      <c r="E819" s="19" t="s">
        <v>3484</v>
      </c>
      <c r="F819" s="4" t="s">
        <v>61</v>
      </c>
      <c r="G819" s="11">
        <f>IFERROR(VLOOKUP(F819,ShipShapeEnum!$B:$C,2,FALSE),"-")</f>
        <v>1</v>
      </c>
      <c r="H819" s="19" t="s">
        <v>3408</v>
      </c>
      <c r="I819" s="19" t="s">
        <v>0</v>
      </c>
      <c r="J819" s="19" t="s">
        <v>0</v>
      </c>
      <c r="K819" s="19" t="s">
        <v>0</v>
      </c>
      <c r="L819" s="19" t="s">
        <v>0</v>
      </c>
      <c r="M819" s="4" t="s">
        <v>109</v>
      </c>
      <c r="N819" s="11">
        <f>IFERROR(VLOOKUP(M819,ShipShapeEnum!$H:$I,2,FALSE),"-")</f>
        <v>3</v>
      </c>
      <c r="O819" s="11">
        <v>7000</v>
      </c>
      <c r="P819" s="30"/>
      <c r="Q819" s="11" t="str">
        <f>IFERROR(INDEX(SailPattern!$A:$A,MATCH(P819,SailPattern!$B:$B,0)),"-")</f>
        <v>-</v>
      </c>
      <c r="R819" s="30"/>
      <c r="S819" s="11" t="str">
        <f>IFERROR(INDEX(SailCrest!$A:$A,MATCH(R819,SailCrest!$B:$B,0)),"-")</f>
        <v>-</v>
      </c>
      <c r="T819" s="19">
        <v>0</v>
      </c>
      <c r="U819" s="19" t="s">
        <v>3482</v>
      </c>
      <c r="V819" s="19" t="s">
        <v>0</v>
      </c>
      <c r="W819" s="19" t="s">
        <v>0</v>
      </c>
      <c r="X819" s="19" t="s">
        <v>0</v>
      </c>
      <c r="Y819" s="19" t="s">
        <v>0</v>
      </c>
      <c r="Z819" s="19" t="s">
        <v>0</v>
      </c>
      <c r="AA819" s="19" t="s">
        <v>0</v>
      </c>
    </row>
    <row r="820" spans="1:27" ht="15">
      <c r="A820" s="10">
        <v>46900018</v>
      </c>
      <c r="B820" s="206" t="s">
        <v>3456</v>
      </c>
      <c r="C820" s="4" t="s">
        <v>3421</v>
      </c>
      <c r="D820" s="11">
        <f>IFERROR(VLOOKUP(C820,ShipShapeEnum!$E:$F,2,FALSE),"-")</f>
        <v>7</v>
      </c>
      <c r="E820" s="19" t="s">
        <v>3484</v>
      </c>
      <c r="F820" s="4" t="s">
        <v>61</v>
      </c>
      <c r="G820" s="11">
        <f>IFERROR(VLOOKUP(F820,ShipShapeEnum!$B:$C,2,FALSE),"-")</f>
        <v>1</v>
      </c>
      <c r="H820" s="19" t="s">
        <v>3408</v>
      </c>
      <c r="I820" s="19" t="s">
        <v>0</v>
      </c>
      <c r="J820" s="19" t="s">
        <v>0</v>
      </c>
      <c r="K820" s="19" t="s">
        <v>0</v>
      </c>
      <c r="L820" s="19" t="s">
        <v>0</v>
      </c>
      <c r="M820" s="4" t="s">
        <v>109</v>
      </c>
      <c r="N820" s="11">
        <f>IFERROR(VLOOKUP(M820,ShipShapeEnum!$H:$I,2,FALSE),"-")</f>
        <v>3</v>
      </c>
      <c r="O820" s="11">
        <v>7000</v>
      </c>
      <c r="P820" s="30"/>
      <c r="Q820" s="11" t="str">
        <f>IFERROR(INDEX(SailPattern!$A:$A,MATCH(P820,SailPattern!$B:$B,0)),"-")</f>
        <v>-</v>
      </c>
      <c r="R820" s="30"/>
      <c r="S820" s="11" t="str">
        <f>IFERROR(INDEX(SailCrest!$A:$A,MATCH(R820,SailCrest!$B:$B,0)),"-")</f>
        <v>-</v>
      </c>
      <c r="T820" s="19">
        <v>0</v>
      </c>
      <c r="U820" s="19" t="s">
        <v>3483</v>
      </c>
      <c r="V820" s="19" t="s">
        <v>0</v>
      </c>
      <c r="W820" s="19" t="s">
        <v>0</v>
      </c>
      <c r="X820" s="19" t="s">
        <v>0</v>
      </c>
      <c r="Y820" s="19" t="s">
        <v>0</v>
      </c>
      <c r="Z820" s="19" t="s">
        <v>0</v>
      </c>
      <c r="AA820" s="19" t="s">
        <v>0</v>
      </c>
    </row>
    <row r="821" spans="1:27" ht="15">
      <c r="A821" s="10">
        <v>46900019</v>
      </c>
      <c r="B821" s="206" t="s">
        <v>3568</v>
      </c>
      <c r="C821" s="4" t="s">
        <v>3421</v>
      </c>
      <c r="D821" s="11">
        <f>IFERROR(VLOOKUP(C821,ShipShapeEnum!$E:$F,2,FALSE),"-")</f>
        <v>7</v>
      </c>
      <c r="E821" s="19" t="s">
        <v>3484</v>
      </c>
      <c r="F821" s="4" t="s">
        <v>61</v>
      </c>
      <c r="G821" s="11">
        <f>IFERROR(VLOOKUP(F821,ShipShapeEnum!$B:$C,2,FALSE),"-")</f>
        <v>1</v>
      </c>
      <c r="H821" s="19" t="s">
        <v>3408</v>
      </c>
      <c r="I821" s="19" t="s">
        <v>0</v>
      </c>
      <c r="J821" s="19" t="s">
        <v>0</v>
      </c>
      <c r="K821" s="19" t="s">
        <v>0</v>
      </c>
      <c r="L821" s="19" t="s">
        <v>0</v>
      </c>
      <c r="M821" s="4" t="s">
        <v>109</v>
      </c>
      <c r="N821" s="11">
        <f>IFERROR(VLOOKUP(M821,ShipShapeEnum!$H:$I,2,FALSE),"-")</f>
        <v>3</v>
      </c>
      <c r="O821" s="11">
        <v>7000</v>
      </c>
      <c r="P821" s="30"/>
      <c r="Q821" s="11" t="str">
        <f>IFERROR(INDEX(SailPattern!$A:$A,MATCH(P821,SailPattern!$B:$B,0)),"-")</f>
        <v>-</v>
      </c>
      <c r="R821" s="30"/>
      <c r="S821" s="11" t="str">
        <f>IFERROR(INDEX(SailCrest!$A:$A,MATCH(R821,SailCrest!$B:$B,0)),"-")</f>
        <v>-</v>
      </c>
      <c r="T821" s="19">
        <v>0</v>
      </c>
      <c r="U821" s="19" t="s">
        <v>3571</v>
      </c>
      <c r="V821" s="19" t="s">
        <v>0</v>
      </c>
      <c r="W821" s="19" t="s">
        <v>0</v>
      </c>
      <c r="X821" s="19" t="s">
        <v>0</v>
      </c>
      <c r="Y821" s="19" t="s">
        <v>0</v>
      </c>
      <c r="Z821" s="19" t="s">
        <v>0</v>
      </c>
      <c r="AA821" s="19" t="s">
        <v>0</v>
      </c>
    </row>
    <row r="822" spans="1:27" ht="15">
      <c r="A822" s="10">
        <v>46900020</v>
      </c>
      <c r="B822" s="206" t="s">
        <v>3569</v>
      </c>
      <c r="C822" s="4" t="s">
        <v>3421</v>
      </c>
      <c r="D822" s="11">
        <f>IFERROR(VLOOKUP(C822,ShipShapeEnum!$E:$F,2,FALSE),"-")</f>
        <v>7</v>
      </c>
      <c r="E822" s="19" t="s">
        <v>3484</v>
      </c>
      <c r="F822" s="4" t="s">
        <v>61</v>
      </c>
      <c r="G822" s="11">
        <f>IFERROR(VLOOKUP(F822,ShipShapeEnum!$B:$C,2,FALSE),"-")</f>
        <v>1</v>
      </c>
      <c r="H822" s="19" t="s">
        <v>3408</v>
      </c>
      <c r="I822" s="19" t="s">
        <v>0</v>
      </c>
      <c r="J822" s="19" t="s">
        <v>0</v>
      </c>
      <c r="K822" s="19" t="s">
        <v>0</v>
      </c>
      <c r="L822" s="19" t="s">
        <v>0</v>
      </c>
      <c r="M822" s="4" t="s">
        <v>109</v>
      </c>
      <c r="N822" s="11">
        <f>IFERROR(VLOOKUP(M822,ShipShapeEnum!$H:$I,2,FALSE),"-")</f>
        <v>3</v>
      </c>
      <c r="O822" s="11">
        <v>7000</v>
      </c>
      <c r="P822" s="30"/>
      <c r="Q822" s="11" t="str">
        <f>IFERROR(INDEX(SailPattern!$A:$A,MATCH(P822,SailPattern!$B:$B,0)),"-")</f>
        <v>-</v>
      </c>
      <c r="R822" s="30"/>
      <c r="S822" s="11" t="str">
        <f>IFERROR(INDEX(SailCrest!$A:$A,MATCH(R822,SailCrest!$B:$B,0)),"-")</f>
        <v>-</v>
      </c>
      <c r="T822" s="19">
        <v>0</v>
      </c>
      <c r="U822" s="19" t="s">
        <v>3572</v>
      </c>
      <c r="V822" s="19" t="s">
        <v>0</v>
      </c>
      <c r="W822" s="19" t="s">
        <v>0</v>
      </c>
      <c r="X822" s="19" t="s">
        <v>0</v>
      </c>
      <c r="Y822" s="19" t="s">
        <v>0</v>
      </c>
      <c r="Z822" s="19" t="s">
        <v>0</v>
      </c>
      <c r="AA822" s="19" t="s">
        <v>0</v>
      </c>
    </row>
    <row r="823" spans="1:27" ht="15">
      <c r="A823" s="10">
        <v>46900021</v>
      </c>
      <c r="B823" s="206" t="s">
        <v>3570</v>
      </c>
      <c r="C823" s="4" t="s">
        <v>3421</v>
      </c>
      <c r="D823" s="11">
        <f>IFERROR(VLOOKUP(C823,ShipShapeEnum!$E:$F,2,FALSE),"-")</f>
        <v>7</v>
      </c>
      <c r="E823" s="19" t="s">
        <v>3484</v>
      </c>
      <c r="F823" s="4" t="s">
        <v>61</v>
      </c>
      <c r="G823" s="11">
        <f>IFERROR(VLOOKUP(F823,ShipShapeEnum!$B:$C,2,FALSE),"-")</f>
        <v>1</v>
      </c>
      <c r="H823" s="19" t="s">
        <v>3408</v>
      </c>
      <c r="I823" s="19" t="s">
        <v>0</v>
      </c>
      <c r="J823" s="19" t="s">
        <v>0</v>
      </c>
      <c r="K823" s="19" t="s">
        <v>0</v>
      </c>
      <c r="L823" s="19" t="s">
        <v>0</v>
      </c>
      <c r="M823" s="4" t="s">
        <v>109</v>
      </c>
      <c r="N823" s="11">
        <f>IFERROR(VLOOKUP(M823,ShipShapeEnum!$H:$I,2,FALSE),"-")</f>
        <v>3</v>
      </c>
      <c r="O823" s="11">
        <v>7000</v>
      </c>
      <c r="P823" s="30"/>
      <c r="Q823" s="11" t="str">
        <f>IFERROR(INDEX(SailPattern!$A:$A,MATCH(P823,SailPattern!$B:$B,0)),"-")</f>
        <v>-</v>
      </c>
      <c r="R823" s="30"/>
      <c r="S823" s="11" t="str">
        <f>IFERROR(INDEX(SailCrest!$A:$A,MATCH(R823,SailCrest!$B:$B,0)),"-")</f>
        <v>-</v>
      </c>
      <c r="T823" s="19">
        <v>0</v>
      </c>
      <c r="U823" s="19" t="s">
        <v>3573</v>
      </c>
      <c r="V823" s="19" t="s">
        <v>0</v>
      </c>
      <c r="W823" s="19" t="s">
        <v>0</v>
      </c>
      <c r="X823" s="19" t="s">
        <v>0</v>
      </c>
      <c r="Y823" s="19" t="s">
        <v>0</v>
      </c>
      <c r="Z823" s="19" t="s">
        <v>0</v>
      </c>
      <c r="AA823" s="19" t="s">
        <v>0</v>
      </c>
    </row>
    <row r="824" spans="1:27" ht="15">
      <c r="A824" s="10">
        <v>46900022</v>
      </c>
      <c r="B824" s="206" t="s">
        <v>3660</v>
      </c>
      <c r="C824" s="4" t="s">
        <v>3421</v>
      </c>
      <c r="D824" s="11">
        <f>IFERROR(VLOOKUP(C824,ShipShapeEnum!$E:$F,2,FALSE),"-")</f>
        <v>7</v>
      </c>
      <c r="E824" s="19" t="s">
        <v>3484</v>
      </c>
      <c r="F824" s="4" t="s">
        <v>61</v>
      </c>
      <c r="G824" s="11">
        <f>IFERROR(VLOOKUP(F824,ShipShapeEnum!$B:$C,2,FALSE),"-")</f>
        <v>1</v>
      </c>
      <c r="H824" s="19" t="s">
        <v>3408</v>
      </c>
      <c r="I824" s="19" t="s">
        <v>0</v>
      </c>
      <c r="J824" s="19" t="s">
        <v>0</v>
      </c>
      <c r="K824" s="19" t="s">
        <v>0</v>
      </c>
      <c r="L824" s="19" t="s">
        <v>0</v>
      </c>
      <c r="M824" s="4" t="s">
        <v>109</v>
      </c>
      <c r="N824" s="11">
        <f>IFERROR(VLOOKUP(M824,ShipShapeEnum!$H:$I,2,FALSE),"-")</f>
        <v>3</v>
      </c>
      <c r="O824" s="11">
        <v>7000</v>
      </c>
      <c r="P824" s="30"/>
      <c r="Q824" s="11" t="str">
        <f>IFERROR(INDEX(SailPattern!$A:$A,MATCH(P824,SailPattern!$B:$B,0)),"-")</f>
        <v>-</v>
      </c>
      <c r="R824" s="30"/>
      <c r="S824" s="11" t="str">
        <f>IFERROR(INDEX(SailCrest!$A:$A,MATCH(R824,SailCrest!$B:$B,0)),"-")</f>
        <v>-</v>
      </c>
      <c r="T824" s="19">
        <v>0</v>
      </c>
      <c r="U824" s="19" t="s">
        <v>3663</v>
      </c>
      <c r="V824" s="19" t="s">
        <v>0</v>
      </c>
      <c r="W824" s="19" t="s">
        <v>0</v>
      </c>
      <c r="X824" s="19" t="s">
        <v>0</v>
      </c>
      <c r="Y824" s="19" t="s">
        <v>0</v>
      </c>
      <c r="Z824" s="19" t="s">
        <v>0</v>
      </c>
      <c r="AA824" s="19" t="s">
        <v>0</v>
      </c>
    </row>
    <row r="825" spans="1:27" ht="15">
      <c r="A825" s="10">
        <v>46900023</v>
      </c>
      <c r="B825" s="206" t="s">
        <v>3661</v>
      </c>
      <c r="C825" s="4" t="s">
        <v>3421</v>
      </c>
      <c r="D825" s="11">
        <f>IFERROR(VLOOKUP(C825,ShipShapeEnum!$E:$F,2,FALSE),"-")</f>
        <v>7</v>
      </c>
      <c r="E825" s="19" t="s">
        <v>3484</v>
      </c>
      <c r="F825" s="4" t="s">
        <v>61</v>
      </c>
      <c r="G825" s="11">
        <f>IFERROR(VLOOKUP(F825,ShipShapeEnum!$B:$C,2,FALSE),"-")</f>
        <v>1</v>
      </c>
      <c r="H825" s="19" t="s">
        <v>3408</v>
      </c>
      <c r="I825" s="19" t="s">
        <v>0</v>
      </c>
      <c r="J825" s="19" t="s">
        <v>0</v>
      </c>
      <c r="K825" s="19" t="s">
        <v>0</v>
      </c>
      <c r="L825" s="19" t="s">
        <v>0</v>
      </c>
      <c r="M825" s="4" t="s">
        <v>109</v>
      </c>
      <c r="N825" s="11">
        <f>IFERROR(VLOOKUP(M825,ShipShapeEnum!$H:$I,2,FALSE),"-")</f>
        <v>3</v>
      </c>
      <c r="O825" s="11">
        <v>7000</v>
      </c>
      <c r="P825" s="30"/>
      <c r="Q825" s="11" t="str">
        <f>IFERROR(INDEX(SailPattern!$A:$A,MATCH(P825,SailPattern!$B:$B,0)),"-")</f>
        <v>-</v>
      </c>
      <c r="R825" s="30"/>
      <c r="S825" s="11" t="str">
        <f>IFERROR(INDEX(SailCrest!$A:$A,MATCH(R825,SailCrest!$B:$B,0)),"-")</f>
        <v>-</v>
      </c>
      <c r="T825" s="19">
        <v>0</v>
      </c>
      <c r="U825" s="19" t="s">
        <v>3664</v>
      </c>
      <c r="V825" s="19" t="s">
        <v>0</v>
      </c>
      <c r="W825" s="19" t="s">
        <v>0</v>
      </c>
      <c r="X825" s="19" t="s">
        <v>0</v>
      </c>
      <c r="Y825" s="19" t="s">
        <v>0</v>
      </c>
      <c r="Z825" s="19" t="s">
        <v>0</v>
      </c>
      <c r="AA825" s="19" t="s">
        <v>0</v>
      </c>
    </row>
    <row r="826" spans="1:27" ht="15">
      <c r="A826" s="10">
        <v>46900024</v>
      </c>
      <c r="B826" s="206" t="s">
        <v>3662</v>
      </c>
      <c r="C826" s="4" t="s">
        <v>3421</v>
      </c>
      <c r="D826" s="11">
        <f>IFERROR(VLOOKUP(C826,ShipShapeEnum!$E:$F,2,FALSE),"-")</f>
        <v>7</v>
      </c>
      <c r="E826" s="19" t="s">
        <v>3484</v>
      </c>
      <c r="F826" s="4" t="s">
        <v>61</v>
      </c>
      <c r="G826" s="11">
        <f>IFERROR(VLOOKUP(F826,ShipShapeEnum!$B:$C,2,FALSE),"-")</f>
        <v>1</v>
      </c>
      <c r="H826" s="19" t="s">
        <v>3408</v>
      </c>
      <c r="I826" s="19" t="s">
        <v>0</v>
      </c>
      <c r="J826" s="19" t="s">
        <v>0</v>
      </c>
      <c r="K826" s="19" t="s">
        <v>0</v>
      </c>
      <c r="L826" s="19" t="s">
        <v>0</v>
      </c>
      <c r="M826" s="4" t="s">
        <v>109</v>
      </c>
      <c r="N826" s="11">
        <f>IFERROR(VLOOKUP(M826,ShipShapeEnum!$H:$I,2,FALSE),"-")</f>
        <v>3</v>
      </c>
      <c r="O826" s="11">
        <v>7000</v>
      </c>
      <c r="P826" s="30"/>
      <c r="Q826" s="11" t="str">
        <f>IFERROR(INDEX(SailPattern!$A:$A,MATCH(P826,SailPattern!$B:$B,0)),"-")</f>
        <v>-</v>
      </c>
      <c r="R826" s="30"/>
      <c r="S826" s="11" t="str">
        <f>IFERROR(INDEX(SailCrest!$A:$A,MATCH(R826,SailCrest!$B:$B,0)),"-")</f>
        <v>-</v>
      </c>
      <c r="T826" s="19">
        <v>0</v>
      </c>
      <c r="U826" s="19" t="s">
        <v>3665</v>
      </c>
      <c r="V826" s="19" t="s">
        <v>0</v>
      </c>
      <c r="W826" s="19" t="s">
        <v>0</v>
      </c>
      <c r="X826" s="19" t="s">
        <v>0</v>
      </c>
      <c r="Y826" s="19" t="s">
        <v>0</v>
      </c>
      <c r="Z826" s="19" t="s">
        <v>0</v>
      </c>
      <c r="AA826" s="19" t="s">
        <v>0</v>
      </c>
    </row>
    <row r="827" spans="1:27" ht="15">
      <c r="A827" s="10">
        <v>46900025</v>
      </c>
      <c r="B827" s="206" t="s">
        <v>3706</v>
      </c>
      <c r="C827" s="4" t="s">
        <v>3421</v>
      </c>
      <c r="D827" s="11">
        <f>IFERROR(VLOOKUP(C827,ShipShapeEnum!$E:$F,2,FALSE),"-")</f>
        <v>7</v>
      </c>
      <c r="E827" s="19" t="s">
        <v>3707</v>
      </c>
      <c r="F827" s="4" t="s">
        <v>61</v>
      </c>
      <c r="G827" s="11">
        <f>IFERROR(VLOOKUP(F827,ShipShapeEnum!$B:$C,2,FALSE),"-")</f>
        <v>1</v>
      </c>
      <c r="H827" s="19" t="s">
        <v>3408</v>
      </c>
      <c r="I827" s="19" t="s">
        <v>0</v>
      </c>
      <c r="J827" s="19" t="s">
        <v>0</v>
      </c>
      <c r="K827" s="19" t="s">
        <v>0</v>
      </c>
      <c r="L827" s="19" t="s">
        <v>0</v>
      </c>
      <c r="M827" s="4" t="s">
        <v>109</v>
      </c>
      <c r="N827" s="11">
        <f>IFERROR(VLOOKUP(M827,ShipShapeEnum!$H:$I,2,FALSE),"-")</f>
        <v>3</v>
      </c>
      <c r="O827" s="11">
        <v>7000</v>
      </c>
      <c r="P827" s="30"/>
      <c r="Q827" s="11" t="str">
        <f>IFERROR(INDEX(SailPattern!$A:$A,MATCH(P827,SailPattern!$B:$B,0)),"-")</f>
        <v>-</v>
      </c>
      <c r="R827" s="30"/>
      <c r="S827" s="11" t="str">
        <f>IFERROR(INDEX(SailCrest!$A:$A,MATCH(R827,SailCrest!$B:$B,0)),"-")</f>
        <v>-</v>
      </c>
      <c r="T827" s="19" t="s">
        <v>0</v>
      </c>
      <c r="U827" s="19" t="s">
        <v>0</v>
      </c>
      <c r="V827" s="19" t="s">
        <v>0</v>
      </c>
      <c r="W827" s="19" t="s">
        <v>0</v>
      </c>
      <c r="X827" s="19" t="s">
        <v>0</v>
      </c>
      <c r="Y827" s="19" t="s">
        <v>0</v>
      </c>
      <c r="Z827" s="19" t="s">
        <v>0</v>
      </c>
      <c r="AA827" s="19" t="s">
        <v>0</v>
      </c>
    </row>
    <row r="828" spans="1:27" ht="15">
      <c r="A828" s="10">
        <v>46900026</v>
      </c>
      <c r="B828" s="206" t="s">
        <v>3710</v>
      </c>
      <c r="C828" s="4" t="s">
        <v>3421</v>
      </c>
      <c r="D828" s="11">
        <f>IFERROR(VLOOKUP(C828,ShipShapeEnum!$E:$F,2,FALSE),"-")</f>
        <v>7</v>
      </c>
      <c r="E828" s="19" t="s">
        <v>3484</v>
      </c>
      <c r="F828" s="4" t="s">
        <v>61</v>
      </c>
      <c r="G828" s="11">
        <f>IFERROR(VLOOKUP(F828,ShipShapeEnum!$B:$C,2,FALSE),"-")</f>
        <v>1</v>
      </c>
      <c r="H828" s="19" t="s">
        <v>3408</v>
      </c>
      <c r="I828" s="19" t="s">
        <v>0</v>
      </c>
      <c r="J828" s="19" t="s">
        <v>0</v>
      </c>
      <c r="K828" s="19" t="s">
        <v>0</v>
      </c>
      <c r="L828" s="19" t="s">
        <v>0</v>
      </c>
      <c r="M828" s="4" t="s">
        <v>109</v>
      </c>
      <c r="N828" s="11">
        <f>IFERROR(VLOOKUP(M828,ShipShapeEnum!$H:$I,2,FALSE),"-")</f>
        <v>3</v>
      </c>
      <c r="O828" s="11">
        <v>7000</v>
      </c>
      <c r="P828" s="30"/>
      <c r="Q828" s="11" t="str">
        <f>IFERROR(INDEX(SailPattern!$A:$A,MATCH(P828,SailPattern!$B:$B,0)),"-")</f>
        <v>-</v>
      </c>
      <c r="R828" s="30"/>
      <c r="S828" s="11" t="str">
        <f>IFERROR(INDEX(SailCrest!$A:$A,MATCH(R828,SailCrest!$B:$B,0)),"-")</f>
        <v>-</v>
      </c>
      <c r="T828" s="19">
        <v>0</v>
      </c>
      <c r="U828" s="19" t="s">
        <v>3790</v>
      </c>
      <c r="V828" s="19" t="s">
        <v>0</v>
      </c>
      <c r="W828" s="19" t="s">
        <v>0</v>
      </c>
      <c r="X828" s="19" t="s">
        <v>0</v>
      </c>
      <c r="Y828" s="19" t="s">
        <v>0</v>
      </c>
      <c r="Z828" s="19" t="s">
        <v>0</v>
      </c>
      <c r="AA828" s="19" t="s">
        <v>0</v>
      </c>
    </row>
    <row r="829" spans="1:27" ht="15">
      <c r="A829" s="10">
        <v>46900027</v>
      </c>
      <c r="B829" s="206" t="s">
        <v>3739</v>
      </c>
      <c r="C829" s="4" t="s">
        <v>3421</v>
      </c>
      <c r="D829" s="11">
        <f>IFERROR(VLOOKUP(C829,ShipShapeEnum!$E:$F,2,FALSE),"-")</f>
        <v>7</v>
      </c>
      <c r="E829" s="19" t="s">
        <v>3484</v>
      </c>
      <c r="F829" s="4" t="s">
        <v>61</v>
      </c>
      <c r="G829" s="11">
        <f>IFERROR(VLOOKUP(F829,ShipShapeEnum!$B:$C,2,FALSE),"-")</f>
        <v>1</v>
      </c>
      <c r="H829" s="19" t="s">
        <v>3408</v>
      </c>
      <c r="I829" s="19" t="s">
        <v>0</v>
      </c>
      <c r="J829" s="19" t="s">
        <v>0</v>
      </c>
      <c r="K829" s="19" t="s">
        <v>0</v>
      </c>
      <c r="L829" s="19" t="s">
        <v>0</v>
      </c>
      <c r="M829" s="4" t="s">
        <v>109</v>
      </c>
      <c r="N829" s="11">
        <f>IFERROR(VLOOKUP(M829,ShipShapeEnum!$H:$I,2,FALSE),"-")</f>
        <v>3</v>
      </c>
      <c r="O829" s="11">
        <v>7000</v>
      </c>
      <c r="P829" s="30"/>
      <c r="Q829" s="11" t="str">
        <f>IFERROR(INDEX(SailPattern!$A:$A,MATCH(P829,SailPattern!$B:$B,0)),"-")</f>
        <v>-</v>
      </c>
      <c r="R829" s="30"/>
      <c r="S829" s="11" t="str">
        <f>IFERROR(INDEX(SailCrest!$A:$A,MATCH(R829,SailCrest!$B:$B,0)),"-")</f>
        <v>-</v>
      </c>
      <c r="T829" s="19">
        <v>0</v>
      </c>
      <c r="U829" s="19" t="s">
        <v>3742</v>
      </c>
      <c r="V829" s="19" t="s">
        <v>0</v>
      </c>
      <c r="W829" s="19" t="s">
        <v>0</v>
      </c>
      <c r="X829" s="19" t="s">
        <v>0</v>
      </c>
      <c r="Y829" s="19" t="s">
        <v>0</v>
      </c>
      <c r="Z829" s="19" t="s">
        <v>0</v>
      </c>
      <c r="AA829" s="19" t="s">
        <v>0</v>
      </c>
    </row>
    <row r="830" spans="1:27" ht="15">
      <c r="A830" s="10">
        <v>46900028</v>
      </c>
      <c r="B830" s="206" t="s">
        <v>3740</v>
      </c>
      <c r="C830" s="4" t="s">
        <v>3421</v>
      </c>
      <c r="D830" s="11">
        <f>IFERROR(VLOOKUP(C830,ShipShapeEnum!$E:$F,2,FALSE),"-")</f>
        <v>7</v>
      </c>
      <c r="E830" s="19" t="s">
        <v>3484</v>
      </c>
      <c r="F830" s="4" t="s">
        <v>61</v>
      </c>
      <c r="G830" s="11">
        <f>IFERROR(VLOOKUP(F830,ShipShapeEnum!$B:$C,2,FALSE),"-")</f>
        <v>1</v>
      </c>
      <c r="H830" s="19" t="s">
        <v>3408</v>
      </c>
      <c r="I830" s="19" t="s">
        <v>0</v>
      </c>
      <c r="J830" s="19" t="s">
        <v>0</v>
      </c>
      <c r="K830" s="19" t="s">
        <v>0</v>
      </c>
      <c r="L830" s="19" t="s">
        <v>0</v>
      </c>
      <c r="M830" s="4" t="s">
        <v>109</v>
      </c>
      <c r="N830" s="11">
        <f>IFERROR(VLOOKUP(M830,ShipShapeEnum!$H:$I,2,FALSE),"-")</f>
        <v>3</v>
      </c>
      <c r="O830" s="11">
        <v>7000</v>
      </c>
      <c r="P830" s="30"/>
      <c r="Q830" s="11" t="str">
        <f>IFERROR(INDEX(SailPattern!$A:$A,MATCH(P830,SailPattern!$B:$B,0)),"-")</f>
        <v>-</v>
      </c>
      <c r="R830" s="30"/>
      <c r="S830" s="11" t="str">
        <f>IFERROR(INDEX(SailCrest!$A:$A,MATCH(R830,SailCrest!$B:$B,0)),"-")</f>
        <v>-</v>
      </c>
      <c r="T830" s="19">
        <v>0</v>
      </c>
      <c r="U830" s="19" t="s">
        <v>3743</v>
      </c>
      <c r="V830" s="19" t="s">
        <v>0</v>
      </c>
      <c r="W830" s="19" t="s">
        <v>0</v>
      </c>
      <c r="X830" s="19" t="s">
        <v>0</v>
      </c>
      <c r="Y830" s="19" t="s">
        <v>0</v>
      </c>
      <c r="Z830" s="19" t="s">
        <v>0</v>
      </c>
      <c r="AA830" s="19" t="s">
        <v>0</v>
      </c>
    </row>
    <row r="831" spans="1:27" ht="15">
      <c r="A831" s="10">
        <v>46900029</v>
      </c>
      <c r="B831" s="206" t="s">
        <v>3741</v>
      </c>
      <c r="C831" s="4" t="s">
        <v>3421</v>
      </c>
      <c r="D831" s="11">
        <f>IFERROR(VLOOKUP(C831,ShipShapeEnum!$E:$F,2,FALSE),"-")</f>
        <v>7</v>
      </c>
      <c r="E831" s="19" t="s">
        <v>3484</v>
      </c>
      <c r="F831" s="4" t="s">
        <v>61</v>
      </c>
      <c r="G831" s="11">
        <f>IFERROR(VLOOKUP(F831,ShipShapeEnum!$B:$C,2,FALSE),"-")</f>
        <v>1</v>
      </c>
      <c r="H831" s="19" t="s">
        <v>3408</v>
      </c>
      <c r="I831" s="19" t="s">
        <v>0</v>
      </c>
      <c r="J831" s="19" t="s">
        <v>0</v>
      </c>
      <c r="K831" s="19" t="s">
        <v>0</v>
      </c>
      <c r="L831" s="19" t="s">
        <v>0</v>
      </c>
      <c r="M831" s="4" t="s">
        <v>109</v>
      </c>
      <c r="N831" s="11">
        <f>IFERROR(VLOOKUP(M831,ShipShapeEnum!$H:$I,2,FALSE),"-")</f>
        <v>3</v>
      </c>
      <c r="O831" s="11">
        <v>7000</v>
      </c>
      <c r="P831" s="30"/>
      <c r="Q831" s="11" t="str">
        <f>IFERROR(INDEX(SailPattern!$A:$A,MATCH(P831,SailPattern!$B:$B,0)),"-")</f>
        <v>-</v>
      </c>
      <c r="R831" s="30"/>
      <c r="S831" s="11" t="str">
        <f>IFERROR(INDEX(SailCrest!$A:$A,MATCH(R831,SailCrest!$B:$B,0)),"-")</f>
        <v>-</v>
      </c>
      <c r="T831" s="19">
        <v>0</v>
      </c>
      <c r="U831" s="19" t="s">
        <v>3744</v>
      </c>
      <c r="V831" s="19" t="s">
        <v>0</v>
      </c>
      <c r="W831" s="19" t="s">
        <v>0</v>
      </c>
      <c r="X831" s="19" t="s">
        <v>0</v>
      </c>
      <c r="Y831" s="19" t="s">
        <v>0</v>
      </c>
      <c r="Z831" s="19" t="s">
        <v>0</v>
      </c>
      <c r="AA831" s="19" t="s">
        <v>0</v>
      </c>
    </row>
    <row r="832" spans="1:27" ht="15">
      <c r="A832" s="10">
        <v>46900030</v>
      </c>
      <c r="B832" s="206" t="s">
        <v>3837</v>
      </c>
      <c r="C832" s="4" t="s">
        <v>3421</v>
      </c>
      <c r="D832" s="11">
        <f>IFERROR(VLOOKUP(C832,ShipShapeEnum!$E:$F,2,FALSE),"-")</f>
        <v>7</v>
      </c>
      <c r="E832" s="19" t="s">
        <v>3484</v>
      </c>
      <c r="F832" s="4" t="s">
        <v>61</v>
      </c>
      <c r="G832" s="11">
        <f>IFERROR(VLOOKUP(F832,ShipShapeEnum!$B:$C,2,FALSE),"-")</f>
        <v>1</v>
      </c>
      <c r="H832" s="19" t="s">
        <v>3408</v>
      </c>
      <c r="I832" s="19" t="s">
        <v>0</v>
      </c>
      <c r="J832" s="19" t="s">
        <v>0</v>
      </c>
      <c r="K832" s="19" t="s">
        <v>0</v>
      </c>
      <c r="L832" s="19" t="s">
        <v>0</v>
      </c>
      <c r="M832" s="4" t="s">
        <v>109</v>
      </c>
      <c r="N832" s="11">
        <f>IFERROR(VLOOKUP(M832,ShipShapeEnum!$H:$I,2,FALSE),"-")</f>
        <v>3</v>
      </c>
      <c r="O832" s="11">
        <v>7000</v>
      </c>
      <c r="P832" s="30"/>
      <c r="Q832" s="11" t="str">
        <f>IFERROR(INDEX(SailPattern!$A:$A,MATCH(P832,SailPattern!$B:$B,0)),"-")</f>
        <v>-</v>
      </c>
      <c r="R832" s="30"/>
      <c r="S832" s="11" t="str">
        <f>IFERROR(INDEX(SailCrest!$A:$A,MATCH(R832,SailCrest!$B:$B,0)),"-")</f>
        <v>-</v>
      </c>
      <c r="T832" s="19">
        <v>0</v>
      </c>
      <c r="U832" s="19" t="s">
        <v>3840</v>
      </c>
      <c r="V832" s="19" t="s">
        <v>0</v>
      </c>
      <c r="W832" s="19" t="s">
        <v>0</v>
      </c>
      <c r="X832" s="19" t="s">
        <v>0</v>
      </c>
      <c r="Y832" s="19" t="s">
        <v>0</v>
      </c>
      <c r="Z832" s="19" t="s">
        <v>0</v>
      </c>
      <c r="AA832" s="19" t="s">
        <v>0</v>
      </c>
    </row>
    <row r="833" spans="1:28" ht="15">
      <c r="A833" s="10">
        <v>46900031</v>
      </c>
      <c r="B833" s="206" t="s">
        <v>3838</v>
      </c>
      <c r="C833" s="4" t="s">
        <v>3421</v>
      </c>
      <c r="D833" s="11">
        <f>IFERROR(VLOOKUP(C833,ShipShapeEnum!$E:$F,2,FALSE),"-")</f>
        <v>7</v>
      </c>
      <c r="E833" s="19" t="s">
        <v>3484</v>
      </c>
      <c r="F833" s="4" t="s">
        <v>61</v>
      </c>
      <c r="G833" s="11">
        <f>IFERROR(VLOOKUP(F833,ShipShapeEnum!$B:$C,2,FALSE),"-")</f>
        <v>1</v>
      </c>
      <c r="H833" s="19" t="s">
        <v>3408</v>
      </c>
      <c r="I833" s="19" t="s">
        <v>0</v>
      </c>
      <c r="J833" s="19" t="s">
        <v>0</v>
      </c>
      <c r="K833" s="19" t="s">
        <v>0</v>
      </c>
      <c r="L833" s="19" t="s">
        <v>0</v>
      </c>
      <c r="M833" s="4" t="s">
        <v>109</v>
      </c>
      <c r="N833" s="11">
        <f>IFERROR(VLOOKUP(M833,ShipShapeEnum!$H:$I,2,FALSE),"-")</f>
        <v>3</v>
      </c>
      <c r="O833" s="11">
        <v>7000</v>
      </c>
      <c r="P833" s="30"/>
      <c r="Q833" s="11" t="str">
        <f>IFERROR(INDEX(SailPattern!$A:$A,MATCH(P833,SailPattern!$B:$B,0)),"-")</f>
        <v>-</v>
      </c>
      <c r="R833" s="30"/>
      <c r="S833" s="11" t="str">
        <f>IFERROR(INDEX(SailCrest!$A:$A,MATCH(R833,SailCrest!$B:$B,0)),"-")</f>
        <v>-</v>
      </c>
      <c r="T833" s="19">
        <v>0</v>
      </c>
      <c r="U833" s="19" t="s">
        <v>3841</v>
      </c>
      <c r="V833" s="19" t="s">
        <v>0</v>
      </c>
      <c r="W833" s="19" t="s">
        <v>0</v>
      </c>
      <c r="X833" s="19" t="s">
        <v>0</v>
      </c>
      <c r="Y833" s="19" t="s">
        <v>0</v>
      </c>
      <c r="Z833" s="19" t="s">
        <v>0</v>
      </c>
      <c r="AA833" s="19" t="s">
        <v>0</v>
      </c>
    </row>
    <row r="834" spans="1:28" ht="15">
      <c r="A834" s="10">
        <v>46900032</v>
      </c>
      <c r="B834" s="206" t="s">
        <v>3839</v>
      </c>
      <c r="C834" s="4" t="s">
        <v>3421</v>
      </c>
      <c r="D834" s="11">
        <f>IFERROR(VLOOKUP(C834,ShipShapeEnum!$E:$F,2,FALSE),"-")</f>
        <v>7</v>
      </c>
      <c r="E834" s="19" t="s">
        <v>3484</v>
      </c>
      <c r="F834" s="4" t="s">
        <v>61</v>
      </c>
      <c r="G834" s="11">
        <f>IFERROR(VLOOKUP(F834,ShipShapeEnum!$B:$C,2,FALSE),"-")</f>
        <v>1</v>
      </c>
      <c r="H834" s="19" t="s">
        <v>3408</v>
      </c>
      <c r="I834" s="19" t="s">
        <v>0</v>
      </c>
      <c r="J834" s="19" t="s">
        <v>0</v>
      </c>
      <c r="K834" s="19" t="s">
        <v>0</v>
      </c>
      <c r="L834" s="19" t="s">
        <v>0</v>
      </c>
      <c r="M834" s="4" t="s">
        <v>109</v>
      </c>
      <c r="N834" s="11">
        <f>IFERROR(VLOOKUP(M834,ShipShapeEnum!$H:$I,2,FALSE),"-")</f>
        <v>3</v>
      </c>
      <c r="O834" s="11">
        <v>7000</v>
      </c>
      <c r="P834" s="30"/>
      <c r="Q834" s="11" t="str">
        <f>IFERROR(INDEX(SailPattern!$A:$A,MATCH(P834,SailPattern!$B:$B,0)),"-")</f>
        <v>-</v>
      </c>
      <c r="R834" s="30"/>
      <c r="S834" s="11" t="str">
        <f>IFERROR(INDEX(SailCrest!$A:$A,MATCH(R834,SailCrest!$B:$B,0)),"-")</f>
        <v>-</v>
      </c>
      <c r="T834" s="19">
        <v>0</v>
      </c>
      <c r="U834" s="19" t="s">
        <v>3842</v>
      </c>
      <c r="V834" s="19" t="s">
        <v>0</v>
      </c>
      <c r="W834" s="19" t="s">
        <v>0</v>
      </c>
      <c r="X834" s="19" t="s">
        <v>0</v>
      </c>
      <c r="Y834" s="19" t="s">
        <v>0</v>
      </c>
      <c r="Z834" s="19" t="s">
        <v>0</v>
      </c>
      <c r="AA834" s="19" t="s">
        <v>0</v>
      </c>
    </row>
    <row r="835" spans="1:28" ht="15">
      <c r="A835" s="10">
        <v>46900033</v>
      </c>
      <c r="B835" s="206" t="s">
        <v>3946</v>
      </c>
      <c r="C835" s="4" t="s">
        <v>3421</v>
      </c>
      <c r="D835" s="11">
        <f>IFERROR(VLOOKUP(C835,ShipShapeEnum!$E:$F,2,FALSE),"-")</f>
        <v>7</v>
      </c>
      <c r="E835" s="19" t="s">
        <v>3484</v>
      </c>
      <c r="F835" s="4" t="s">
        <v>61</v>
      </c>
      <c r="G835" s="11">
        <f>IFERROR(VLOOKUP(F835,ShipShapeEnum!$B:$C,2,FALSE),"-")</f>
        <v>1</v>
      </c>
      <c r="H835" s="19" t="s">
        <v>3408</v>
      </c>
      <c r="I835" s="19" t="s">
        <v>0</v>
      </c>
      <c r="J835" s="19" t="s">
        <v>0</v>
      </c>
      <c r="K835" s="19" t="s">
        <v>0</v>
      </c>
      <c r="L835" s="19" t="s">
        <v>0</v>
      </c>
      <c r="M835" s="4" t="s">
        <v>109</v>
      </c>
      <c r="N835" s="11">
        <f>IFERROR(VLOOKUP(M835,ShipShapeEnum!$H:$I,2,FALSE),"-")</f>
        <v>3</v>
      </c>
      <c r="O835" s="11">
        <v>7000</v>
      </c>
      <c r="P835" s="30"/>
      <c r="Q835" s="11" t="str">
        <f>IFERROR(INDEX(SailPattern!$A:$A,MATCH(P835,SailPattern!$B:$B,0)),"-")</f>
        <v>-</v>
      </c>
      <c r="R835" s="30"/>
      <c r="S835" s="11" t="str">
        <f>IFERROR(INDEX(SailCrest!$A:$A,MATCH(R835,SailCrest!$B:$B,0)),"-")</f>
        <v>-</v>
      </c>
      <c r="T835" s="19">
        <v>0</v>
      </c>
      <c r="U835" s="19" t="s">
        <v>3947</v>
      </c>
      <c r="V835" s="19" t="s">
        <v>0</v>
      </c>
      <c r="W835" s="19" t="s">
        <v>0</v>
      </c>
      <c r="X835" s="19" t="s">
        <v>0</v>
      </c>
      <c r="Y835" s="19" t="s">
        <v>0</v>
      </c>
      <c r="Z835" s="19" t="s">
        <v>0</v>
      </c>
      <c r="AA835" s="19" t="s">
        <v>0</v>
      </c>
    </row>
    <row r="836" spans="1:28" ht="15">
      <c r="A836" s="12"/>
      <c r="B836" s="13"/>
      <c r="C836" s="13"/>
      <c r="D836" s="13"/>
      <c r="E836" s="13"/>
      <c r="F836" s="13"/>
      <c r="G836" s="13"/>
      <c r="H836" s="13"/>
      <c r="I836" s="13"/>
      <c r="J836" s="13"/>
      <c r="K836" s="13"/>
      <c r="L836" s="13"/>
      <c r="M836" s="13"/>
      <c r="N836" s="13"/>
      <c r="O836" s="13"/>
      <c r="P836" s="13"/>
      <c r="Q836" s="13"/>
      <c r="R836" s="13"/>
      <c r="S836" s="13"/>
      <c r="T836" s="13"/>
      <c r="U836" s="13"/>
      <c r="V836" s="13"/>
      <c r="W836" s="13"/>
      <c r="X836" s="13"/>
      <c r="Y836" s="13"/>
      <c r="Z836" s="13"/>
      <c r="AA836" s="13"/>
      <c r="AB836" s="5" t="s">
        <v>8</v>
      </c>
    </row>
    <row r="837" spans="1:28" ht="111.75" customHeight="1">
      <c r="B837" s="18"/>
      <c r="C837" s="18"/>
      <c r="D837" s="18"/>
      <c r="E837" s="18"/>
      <c r="F837" s="18"/>
      <c r="G837" s="18"/>
      <c r="H837" s="18" t="s">
        <v>37</v>
      </c>
      <c r="I837" s="234" t="s">
        <v>206</v>
      </c>
      <c r="J837" s="235"/>
      <c r="K837" s="21" t="s">
        <v>214</v>
      </c>
      <c r="L837" s="21" t="s">
        <v>215</v>
      </c>
      <c r="M837" s="18"/>
      <c r="N837" s="18" t="s">
        <v>41</v>
      </c>
      <c r="O837" s="18" t="s">
        <v>2690</v>
      </c>
      <c r="P837" s="18"/>
      <c r="Q837" s="18"/>
      <c r="R837" s="18"/>
      <c r="S837" s="18"/>
    </row>
    <row r="844" spans="1:28" ht="15">
      <c r="AB844" s="5"/>
    </row>
    <row r="853" spans="2:2" ht="14.25">
      <c r="B853"/>
    </row>
    <row r="854" spans="2:2" ht="14.25">
      <c r="B854"/>
    </row>
    <row r="855" spans="2:2" ht="14.25">
      <c r="B855"/>
    </row>
    <row r="856" spans="2:2" ht="14.25">
      <c r="B856"/>
    </row>
    <row r="857" spans="2:2" ht="14.25">
      <c r="B857"/>
    </row>
    <row r="858" spans="2:2" ht="14.25">
      <c r="B858"/>
    </row>
    <row r="859" spans="2:2" ht="14.25">
      <c r="B859"/>
    </row>
  </sheetData>
  <autoFilter ref="A9:AG837" xr:uid="{00000000-0009-0000-0000-000001000000}"/>
  <mergeCells count="1">
    <mergeCell ref="I837:J837"/>
  </mergeCells>
  <phoneticPr fontId="5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00000000-0002-0000-0100-000003000000}">
          <x14:formula1>
            <xm:f>OFFSET(SailPattern!$B:$B,8,0,COUNTA(SailPattern!$B:$B),1)</xm:f>
          </x14:formula1>
          <xm:sqref>P10:P111 P757:P835 P198:P249 P349:P699</xm:sqref>
        </x14:dataValidation>
        <x14:dataValidation type="list" allowBlank="1" showInputMessage="1" showErrorMessage="1" xr:uid="{00000000-0002-0000-0100-000000000000}">
          <x14:formula1>
            <xm:f>OFFSET(ShipShapeEnum!$B:$B,1,0,COUNTA(ShipShapeEnum!$B:$B)-1,1)</xm:f>
          </x14:formula1>
          <xm:sqref>F757:F835 F10:F111 F197:F249 F349:F366 F532:F699</xm:sqref>
        </x14:dataValidation>
        <x14:dataValidation type="list" allowBlank="1" showInputMessage="1" showErrorMessage="1" xr:uid="{00000000-0002-0000-0100-000001000000}">
          <x14:formula1>
            <xm:f>OFFSET(ShipShapeEnum!$E:$E,1,0,COUNTA(ShipShapeEnum!$E:$E)-1,1)</xm:f>
          </x14:formula1>
          <xm:sqref>C757:C835 C10:C111 C197:C249 C349:C366 C532:C699</xm:sqref>
        </x14:dataValidation>
        <x14:dataValidation type="list" allowBlank="1" showInputMessage="1" showErrorMessage="1" xr:uid="{00000000-0002-0000-0100-000002000000}">
          <x14:formula1>
            <xm:f>OFFSET(ShipShapeEnum!$H:$H,1,0,COUNTA(ShipShapeEnum!$H:$H)-1,1)</xm:f>
          </x14:formula1>
          <xm:sqref>M757:M835 M10:M111 M197:M249 M349:M366 M532:M699</xm:sqref>
        </x14:dataValidation>
        <x14:dataValidation type="list" allowBlank="1" showInputMessage="1" showErrorMessage="1" xr:uid="{00000000-0002-0000-0100-000004000000}">
          <x14:formula1>
            <xm:f>OFFSET(SailCrest!$B:$B,8,0,COUNTA(SailCrest!$B:$B),1)</xm:f>
          </x14:formula1>
          <xm:sqref>R10:R111 R757:R835 R197:R249 R347:R699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35FC7B-3716-41A2-BDBC-C026585650C8}">
  <dimension ref="A1:AC117"/>
  <sheetViews>
    <sheetView zoomScale="85" zoomScaleNormal="85" workbookViewId="0">
      <pane xSplit="2" ySplit="2" topLeftCell="C59" activePane="bottomRight" state="frozen"/>
      <selection pane="topRight" activeCell="C1" sqref="C1"/>
      <selection pane="bottomLeft" activeCell="A3" sqref="A3"/>
      <selection pane="bottomRight" activeCell="B68" sqref="B68"/>
    </sheetView>
  </sheetViews>
  <sheetFormatPr defaultColWidth="9.140625" defaultRowHeight="13.5"/>
  <cols>
    <col min="1" max="1" width="16.7109375" style="1" customWidth="1"/>
    <col min="2" max="2" width="35" style="1" bestFit="1" customWidth="1"/>
    <col min="3" max="3" width="39.140625" style="1" bestFit="1" customWidth="1"/>
    <col min="4" max="4" width="20.28515625" style="1" bestFit="1" customWidth="1"/>
    <col min="5" max="5" width="13.28515625" style="1" customWidth="1"/>
    <col min="6" max="6" width="38.28515625" style="1" bestFit="1" customWidth="1"/>
    <col min="7" max="11" width="10.7109375" style="1" customWidth="1"/>
    <col min="12" max="12" width="13.7109375" style="1" customWidth="1"/>
    <col min="13" max="13" width="16.7109375" style="1" customWidth="1"/>
    <col min="14" max="14" width="38.5703125" style="1" customWidth="1"/>
    <col min="15" max="15" width="19.7109375" style="1" customWidth="1"/>
    <col min="16" max="16" width="38.7109375" style="1" customWidth="1"/>
    <col min="17" max="17" width="19.7109375" style="1" customWidth="1"/>
    <col min="18" max="18" width="38.28515625" style="1" customWidth="1"/>
    <col min="19" max="19" width="19.7109375" style="1" customWidth="1"/>
    <col min="20" max="20" width="35.7109375" style="1" customWidth="1"/>
    <col min="21" max="21" width="19.7109375" style="1" customWidth="1"/>
    <col min="22" max="22" width="35.7109375" style="1" customWidth="1"/>
    <col min="23" max="23" width="19.7109375" style="1" customWidth="1"/>
    <col min="24" max="24" width="20" style="1" customWidth="1"/>
    <col min="25" max="25" width="31.42578125" style="1" customWidth="1"/>
    <col min="26" max="26" width="11" style="1" bestFit="1" customWidth="1"/>
    <col min="27" max="27" width="9.140625" style="1"/>
    <col min="28" max="28" width="24.7109375" style="2" customWidth="1"/>
    <col min="29" max="29" width="22.5703125" style="2" customWidth="1"/>
    <col min="30" max="16384" width="9.140625" style="1"/>
  </cols>
  <sheetData>
    <row r="1" spans="1:25" ht="15">
      <c r="A1" s="6" t="s">
        <v>5</v>
      </c>
      <c r="B1" s="3"/>
      <c r="C1" s="7" t="s">
        <v>21</v>
      </c>
      <c r="D1" s="3"/>
      <c r="E1" s="7" t="s">
        <v>14</v>
      </c>
      <c r="F1" s="7" t="s">
        <v>12</v>
      </c>
      <c r="G1" s="7" t="s">
        <v>2742</v>
      </c>
      <c r="H1" s="7" t="s">
        <v>2743</v>
      </c>
      <c r="I1" s="7" t="s">
        <v>2744</v>
      </c>
      <c r="J1" s="7" t="s">
        <v>2745</v>
      </c>
      <c r="K1" s="3"/>
      <c r="L1" s="7" t="s">
        <v>39</v>
      </c>
      <c r="M1" s="7" t="s">
        <v>2689</v>
      </c>
      <c r="N1" s="7" t="s">
        <v>2867</v>
      </c>
      <c r="O1" s="7" t="s">
        <v>2868</v>
      </c>
      <c r="P1" s="7" t="s">
        <v>2869</v>
      </c>
      <c r="Q1" s="7" t="s">
        <v>2870</v>
      </c>
      <c r="R1" s="7" t="s">
        <v>2871</v>
      </c>
      <c r="S1" s="7" t="s">
        <v>2872</v>
      </c>
      <c r="T1" s="7" t="s">
        <v>2873</v>
      </c>
      <c r="U1" s="7" t="s">
        <v>2874</v>
      </c>
      <c r="V1" s="7" t="s">
        <v>2875</v>
      </c>
      <c r="W1" s="7" t="s">
        <v>2876</v>
      </c>
      <c r="X1" s="5"/>
      <c r="Y1" s="5"/>
    </row>
    <row r="2" spans="1:25" ht="27">
      <c r="A2" s="6" t="s">
        <v>2727</v>
      </c>
      <c r="B2" s="3"/>
      <c r="C2" s="7" t="s">
        <v>6</v>
      </c>
      <c r="D2" s="3"/>
      <c r="E2" s="7" t="s">
        <v>7</v>
      </c>
      <c r="F2" s="7" t="s">
        <v>6</v>
      </c>
      <c r="G2" s="7" t="s">
        <v>7</v>
      </c>
      <c r="H2" s="7" t="s">
        <v>7</v>
      </c>
      <c r="I2" s="7" t="s">
        <v>7</v>
      </c>
      <c r="J2" s="7" t="s">
        <v>7</v>
      </c>
      <c r="K2" s="3"/>
      <c r="L2" s="7" t="s">
        <v>7</v>
      </c>
      <c r="M2" s="7" t="s">
        <v>7</v>
      </c>
      <c r="N2" s="7" t="s">
        <v>6</v>
      </c>
      <c r="O2" s="7" t="s">
        <v>6</v>
      </c>
      <c r="P2" s="7" t="s">
        <v>6</v>
      </c>
      <c r="Q2" s="7" t="s">
        <v>6</v>
      </c>
      <c r="R2" s="7" t="s">
        <v>6</v>
      </c>
      <c r="S2" s="7" t="s">
        <v>6</v>
      </c>
      <c r="T2" s="7" t="s">
        <v>6</v>
      </c>
      <c r="U2" s="7" t="s">
        <v>6</v>
      </c>
      <c r="V2" s="7" t="s">
        <v>6</v>
      </c>
      <c r="W2" s="7" t="s">
        <v>6</v>
      </c>
      <c r="X2" s="5"/>
      <c r="Y2" s="5"/>
    </row>
    <row r="3" spans="1:25" ht="15">
      <c r="A3" s="8" t="s">
        <v>1</v>
      </c>
      <c r="B3" s="3" t="s">
        <v>0</v>
      </c>
      <c r="C3" s="9" t="s">
        <v>0</v>
      </c>
      <c r="D3" s="3" t="s">
        <v>0</v>
      </c>
      <c r="E3" s="9">
        <v>1</v>
      </c>
      <c r="F3" s="9" t="s">
        <v>0</v>
      </c>
      <c r="G3" s="9" t="s">
        <v>0</v>
      </c>
      <c r="H3" s="9" t="s">
        <v>0</v>
      </c>
      <c r="I3" s="9" t="s">
        <v>0</v>
      </c>
      <c r="J3" s="9" t="s">
        <v>0</v>
      </c>
      <c r="K3" s="3" t="s">
        <v>0</v>
      </c>
      <c r="L3" s="9" t="s">
        <v>0</v>
      </c>
      <c r="M3" s="9" t="s">
        <v>0</v>
      </c>
      <c r="N3" s="9" t="s">
        <v>0</v>
      </c>
      <c r="O3" s="9" t="s">
        <v>0</v>
      </c>
      <c r="P3" s="9" t="s">
        <v>0</v>
      </c>
      <c r="Q3" s="9" t="s">
        <v>0</v>
      </c>
      <c r="R3" s="9" t="s">
        <v>0</v>
      </c>
      <c r="S3" s="9" t="s">
        <v>0</v>
      </c>
      <c r="T3" s="9" t="s">
        <v>0</v>
      </c>
      <c r="U3" s="9" t="s">
        <v>0</v>
      </c>
      <c r="V3" s="9" t="s">
        <v>0</v>
      </c>
      <c r="W3" s="9" t="s">
        <v>0</v>
      </c>
      <c r="X3" s="5"/>
      <c r="Y3" s="5"/>
    </row>
    <row r="4" spans="1:25" ht="15">
      <c r="A4" s="8" t="s">
        <v>560</v>
      </c>
      <c r="B4" s="3" t="s">
        <v>0</v>
      </c>
      <c r="C4" s="9" t="s">
        <v>0</v>
      </c>
      <c r="D4" s="3" t="s">
        <v>0</v>
      </c>
      <c r="E4" s="9" t="s">
        <v>0</v>
      </c>
      <c r="F4" s="9" t="s">
        <v>0</v>
      </c>
      <c r="G4" s="9" t="s">
        <v>0</v>
      </c>
      <c r="H4" s="9" t="s">
        <v>0</v>
      </c>
      <c r="I4" s="9" t="s">
        <v>0</v>
      </c>
      <c r="J4" s="9" t="s">
        <v>0</v>
      </c>
      <c r="K4" s="3" t="s">
        <v>0</v>
      </c>
      <c r="L4" s="9" t="s">
        <v>0</v>
      </c>
      <c r="M4" s="9" t="s">
        <v>0</v>
      </c>
      <c r="N4" s="9" t="s">
        <v>0</v>
      </c>
      <c r="O4" s="9" t="s">
        <v>0</v>
      </c>
      <c r="P4" s="9" t="s">
        <v>0</v>
      </c>
      <c r="Q4" s="9" t="s">
        <v>0</v>
      </c>
      <c r="R4" s="9" t="s">
        <v>0</v>
      </c>
      <c r="S4" s="9" t="s">
        <v>0</v>
      </c>
      <c r="T4" s="9" t="s">
        <v>0</v>
      </c>
      <c r="U4" s="9" t="s">
        <v>0</v>
      </c>
      <c r="V4" s="9" t="s">
        <v>0</v>
      </c>
      <c r="W4" s="9" t="s">
        <v>0</v>
      </c>
      <c r="X4" s="5"/>
      <c r="Y4" s="5"/>
    </row>
    <row r="5" spans="1:25" ht="15">
      <c r="A5" s="8" t="s">
        <v>2</v>
      </c>
      <c r="B5" s="3" t="s">
        <v>0</v>
      </c>
      <c r="C5" s="9" t="s">
        <v>0</v>
      </c>
      <c r="D5" s="3" t="s">
        <v>0</v>
      </c>
      <c r="E5" s="9" t="s">
        <v>0</v>
      </c>
      <c r="F5" s="9" t="s">
        <v>0</v>
      </c>
      <c r="G5" s="9" t="s">
        <v>0</v>
      </c>
      <c r="H5" s="9" t="s">
        <v>0</v>
      </c>
      <c r="I5" s="9" t="s">
        <v>0</v>
      </c>
      <c r="J5" s="9" t="s">
        <v>0</v>
      </c>
      <c r="K5" s="3" t="s">
        <v>0</v>
      </c>
      <c r="L5" s="9" t="s">
        <v>0</v>
      </c>
      <c r="M5" s="9" t="s">
        <v>0</v>
      </c>
      <c r="N5" s="9" t="s">
        <v>0</v>
      </c>
      <c r="O5" s="9" t="s">
        <v>0</v>
      </c>
      <c r="P5" s="9" t="s">
        <v>0</v>
      </c>
      <c r="Q5" s="9" t="s">
        <v>0</v>
      </c>
      <c r="R5" s="9" t="s">
        <v>0</v>
      </c>
      <c r="S5" s="9" t="s">
        <v>0</v>
      </c>
      <c r="T5" s="9" t="s">
        <v>0</v>
      </c>
      <c r="U5" s="9" t="s">
        <v>0</v>
      </c>
      <c r="V5" s="9" t="s">
        <v>0</v>
      </c>
      <c r="W5" s="9" t="s">
        <v>0</v>
      </c>
      <c r="X5" s="5"/>
      <c r="Y5" s="5"/>
    </row>
    <row r="6" spans="1:25" ht="15">
      <c r="A6" s="8" t="s">
        <v>3</v>
      </c>
      <c r="B6" s="3" t="s">
        <v>0</v>
      </c>
      <c r="C6" s="9" t="s">
        <v>0</v>
      </c>
      <c r="D6" s="3" t="s">
        <v>0</v>
      </c>
      <c r="E6" s="9" t="s">
        <v>0</v>
      </c>
      <c r="F6" s="9" t="s">
        <v>0</v>
      </c>
      <c r="G6" s="9" t="s">
        <v>0</v>
      </c>
      <c r="H6" s="9" t="s">
        <v>0</v>
      </c>
      <c r="I6" s="9" t="s">
        <v>0</v>
      </c>
      <c r="J6" s="9" t="s">
        <v>0</v>
      </c>
      <c r="K6" s="3" t="s">
        <v>0</v>
      </c>
      <c r="L6" s="9" t="s">
        <v>0</v>
      </c>
      <c r="M6" s="9" t="s">
        <v>0</v>
      </c>
      <c r="N6" s="9" t="s">
        <v>0</v>
      </c>
      <c r="O6" s="9" t="s">
        <v>0</v>
      </c>
      <c r="P6" s="9" t="s">
        <v>0</v>
      </c>
      <c r="Q6" s="9" t="s">
        <v>0</v>
      </c>
      <c r="R6" s="9" t="s">
        <v>0</v>
      </c>
      <c r="S6" s="9" t="s">
        <v>0</v>
      </c>
      <c r="T6" s="9" t="s">
        <v>0</v>
      </c>
      <c r="U6" s="9" t="s">
        <v>0</v>
      </c>
      <c r="V6" s="9" t="s">
        <v>0</v>
      </c>
      <c r="W6" s="9" t="s">
        <v>0</v>
      </c>
      <c r="X6" s="5"/>
      <c r="Y6" s="5"/>
    </row>
    <row r="7" spans="1:25" ht="15">
      <c r="A7" s="8" t="s">
        <v>4</v>
      </c>
      <c r="B7" s="3" t="s">
        <v>0</v>
      </c>
      <c r="C7" s="9" t="s">
        <v>0</v>
      </c>
      <c r="D7" s="3" t="s">
        <v>0</v>
      </c>
      <c r="E7" s="9" t="s">
        <v>0</v>
      </c>
      <c r="F7" s="9" t="s">
        <v>0</v>
      </c>
      <c r="G7" s="9" t="s">
        <v>0</v>
      </c>
      <c r="H7" s="9" t="s">
        <v>0</v>
      </c>
      <c r="I7" s="9" t="s">
        <v>0</v>
      </c>
      <c r="J7" s="9" t="s">
        <v>0</v>
      </c>
      <c r="K7" s="3" t="s">
        <v>0</v>
      </c>
      <c r="L7" s="9" t="s">
        <v>0</v>
      </c>
      <c r="M7" s="9" t="s">
        <v>0</v>
      </c>
      <c r="N7" s="9" t="s">
        <v>0</v>
      </c>
      <c r="O7" s="9" t="s">
        <v>0</v>
      </c>
      <c r="P7" s="9" t="s">
        <v>0</v>
      </c>
      <c r="Q7" s="9" t="s">
        <v>0</v>
      </c>
      <c r="R7" s="9" t="s">
        <v>0</v>
      </c>
      <c r="S7" s="9" t="s">
        <v>0</v>
      </c>
      <c r="T7" s="9" t="s">
        <v>0</v>
      </c>
      <c r="U7" s="9" t="s">
        <v>0</v>
      </c>
      <c r="V7" s="9" t="s">
        <v>0</v>
      </c>
      <c r="W7" s="9" t="s">
        <v>0</v>
      </c>
      <c r="X7" s="5"/>
      <c r="Y7" s="5"/>
    </row>
    <row r="8" spans="1:25" ht="15">
      <c r="A8" s="8" t="s">
        <v>10</v>
      </c>
      <c r="B8" s="3" t="s">
        <v>0</v>
      </c>
      <c r="C8" s="9" t="s">
        <v>0</v>
      </c>
      <c r="D8" s="3" t="s">
        <v>0</v>
      </c>
      <c r="E8" s="9" t="s">
        <v>0</v>
      </c>
      <c r="F8" s="9" t="s">
        <v>0</v>
      </c>
      <c r="G8" s="9" t="s">
        <v>0</v>
      </c>
      <c r="H8" s="9" t="s">
        <v>0</v>
      </c>
      <c r="I8" s="9" t="s">
        <v>0</v>
      </c>
      <c r="J8" s="9" t="s">
        <v>0</v>
      </c>
      <c r="K8" s="3" t="s">
        <v>0</v>
      </c>
      <c r="L8" s="9" t="s">
        <v>0</v>
      </c>
      <c r="M8" s="9" t="s">
        <v>0</v>
      </c>
      <c r="N8" s="9" t="s">
        <v>0</v>
      </c>
      <c r="O8" s="9" t="s">
        <v>0</v>
      </c>
      <c r="P8" s="9" t="s">
        <v>0</v>
      </c>
      <c r="Q8" s="9" t="s">
        <v>0</v>
      </c>
      <c r="R8" s="9" t="s">
        <v>0</v>
      </c>
      <c r="S8" s="9" t="s">
        <v>0</v>
      </c>
      <c r="T8" s="9" t="s">
        <v>0</v>
      </c>
      <c r="U8" s="9" t="s">
        <v>0</v>
      </c>
      <c r="V8" s="9" t="s">
        <v>0</v>
      </c>
      <c r="W8" s="9" t="s">
        <v>0</v>
      </c>
      <c r="X8" s="5"/>
      <c r="Y8" s="5"/>
    </row>
    <row r="9" spans="1:25" ht="15">
      <c r="A9" s="8" t="s">
        <v>556</v>
      </c>
      <c r="B9" s="3" t="s">
        <v>0</v>
      </c>
      <c r="C9" s="9">
        <v>1</v>
      </c>
      <c r="D9" s="3" t="s">
        <v>0</v>
      </c>
      <c r="E9" s="9" t="s">
        <v>0</v>
      </c>
      <c r="F9" s="9" t="s">
        <v>0</v>
      </c>
      <c r="G9" s="9" t="s">
        <v>0</v>
      </c>
      <c r="H9" s="9" t="s">
        <v>0</v>
      </c>
      <c r="I9" s="9" t="s">
        <v>0</v>
      </c>
      <c r="J9" s="9" t="s">
        <v>0</v>
      </c>
      <c r="K9" s="3" t="s">
        <v>0</v>
      </c>
      <c r="L9" s="9" t="s">
        <v>0</v>
      </c>
      <c r="M9" s="9" t="s">
        <v>0</v>
      </c>
      <c r="N9" s="9" t="s">
        <v>0</v>
      </c>
      <c r="O9" s="9" t="s">
        <v>0</v>
      </c>
      <c r="P9" s="9" t="s">
        <v>0</v>
      </c>
      <c r="Q9" s="9" t="s">
        <v>0</v>
      </c>
      <c r="R9" s="9" t="s">
        <v>0</v>
      </c>
      <c r="S9" s="9" t="s">
        <v>0</v>
      </c>
      <c r="T9" s="9" t="s">
        <v>0</v>
      </c>
      <c r="U9" s="9" t="s">
        <v>0</v>
      </c>
      <c r="V9" s="9" t="s">
        <v>0</v>
      </c>
      <c r="W9" s="9" t="s">
        <v>0</v>
      </c>
      <c r="X9" s="5"/>
      <c r="Y9" s="5"/>
    </row>
    <row r="10" spans="1:25" ht="15">
      <c r="A10" s="10">
        <v>48000001</v>
      </c>
      <c r="B10" s="4" t="s">
        <v>2729</v>
      </c>
      <c r="C10" s="19" t="s">
        <v>2843</v>
      </c>
      <c r="D10" s="4" t="s">
        <v>2694</v>
      </c>
      <c r="E10" s="11">
        <f>IFERROR(VLOOKUP(D10,ShipShapeEnum!$B:$C,2,FALSE),"-")</f>
        <v>4</v>
      </c>
      <c r="F10" s="19" t="s">
        <v>2696</v>
      </c>
      <c r="G10" s="19">
        <v>0.65</v>
      </c>
      <c r="H10" s="19">
        <v>0.8</v>
      </c>
      <c r="I10" s="19">
        <v>0.95</v>
      </c>
      <c r="J10" s="19">
        <v>1.2</v>
      </c>
      <c r="K10" s="4" t="s">
        <v>81</v>
      </c>
      <c r="L10" s="11">
        <f>IFERROR(VLOOKUP(K10,ShipShapeEnum!$H:$I,2,FALSE),"-")</f>
        <v>1</v>
      </c>
      <c r="M10" s="11">
        <v>0</v>
      </c>
      <c r="N10" s="11" t="s">
        <v>0</v>
      </c>
      <c r="O10" s="11" t="s">
        <v>0</v>
      </c>
      <c r="P10" s="11" t="s">
        <v>0</v>
      </c>
      <c r="Q10" s="11" t="s">
        <v>0</v>
      </c>
      <c r="R10" s="11" t="s">
        <v>0</v>
      </c>
      <c r="S10" s="11" t="s">
        <v>0</v>
      </c>
      <c r="T10" s="11" t="s">
        <v>0</v>
      </c>
      <c r="U10" s="11" t="s">
        <v>0</v>
      </c>
      <c r="V10" s="11" t="s">
        <v>0</v>
      </c>
      <c r="W10" s="11" t="s">
        <v>0</v>
      </c>
      <c r="Y10" s="5"/>
    </row>
    <row r="11" spans="1:25" ht="15">
      <c r="A11" s="10">
        <v>48000002</v>
      </c>
      <c r="B11" s="4" t="s">
        <v>2730</v>
      </c>
      <c r="C11" s="19" t="s">
        <v>2843</v>
      </c>
      <c r="D11" s="4" t="s">
        <v>2694</v>
      </c>
      <c r="E11" s="11">
        <f>IFERROR(VLOOKUP(D11,ShipShapeEnum!$B:$C,2,FALSE),"-")</f>
        <v>4</v>
      </c>
      <c r="F11" s="19" t="s">
        <v>2696</v>
      </c>
      <c r="G11" s="19">
        <v>0.65</v>
      </c>
      <c r="H11" s="19">
        <v>0.8</v>
      </c>
      <c r="I11" s="19">
        <v>0.95</v>
      </c>
      <c r="J11" s="19">
        <v>1.2</v>
      </c>
      <c r="K11" s="4" t="s">
        <v>81</v>
      </c>
      <c r="L11" s="11">
        <f>IFERROR(VLOOKUP(K11,ShipShapeEnum!$H:$I,2,FALSE),"-")</f>
        <v>1</v>
      </c>
      <c r="M11" s="11">
        <v>0</v>
      </c>
      <c r="N11" s="11" t="s">
        <v>0</v>
      </c>
      <c r="O11" s="11" t="s">
        <v>0</v>
      </c>
      <c r="P11" s="11" t="s">
        <v>0</v>
      </c>
      <c r="Q11" s="11" t="s">
        <v>0</v>
      </c>
      <c r="R11" s="11" t="s">
        <v>0</v>
      </c>
      <c r="S11" s="11" t="s">
        <v>0</v>
      </c>
      <c r="T11" s="11" t="s">
        <v>0</v>
      </c>
      <c r="U11" s="11" t="s">
        <v>0</v>
      </c>
      <c r="V11" s="11" t="s">
        <v>0</v>
      </c>
      <c r="W11" s="11" t="s">
        <v>0</v>
      </c>
      <c r="Y11" s="5"/>
    </row>
    <row r="12" spans="1:25" ht="15">
      <c r="A12" s="10">
        <v>48000003</v>
      </c>
      <c r="B12" s="4" t="s">
        <v>2731</v>
      </c>
      <c r="C12" s="19" t="s">
        <v>2843</v>
      </c>
      <c r="D12" s="4" t="s">
        <v>2694</v>
      </c>
      <c r="E12" s="11">
        <f>IFERROR(VLOOKUP(D12,ShipShapeEnum!$B:$C,2,FALSE),"-")</f>
        <v>4</v>
      </c>
      <c r="F12" s="19" t="s">
        <v>2696</v>
      </c>
      <c r="G12" s="19">
        <v>0.65</v>
      </c>
      <c r="H12" s="19">
        <v>0.8</v>
      </c>
      <c r="I12" s="19">
        <v>0.95</v>
      </c>
      <c r="J12" s="19">
        <v>1.2</v>
      </c>
      <c r="K12" s="4" t="s">
        <v>81</v>
      </c>
      <c r="L12" s="11">
        <f>IFERROR(VLOOKUP(K12,ShipShapeEnum!$H:$I,2,FALSE),"-")</f>
        <v>1</v>
      </c>
      <c r="M12" s="11">
        <v>0</v>
      </c>
      <c r="N12" s="11" t="s">
        <v>0</v>
      </c>
      <c r="O12" s="11" t="s">
        <v>0</v>
      </c>
      <c r="P12" s="11" t="s">
        <v>0</v>
      </c>
      <c r="Q12" s="11" t="s">
        <v>0</v>
      </c>
      <c r="R12" s="11" t="s">
        <v>0</v>
      </c>
      <c r="S12" s="11" t="s">
        <v>0</v>
      </c>
      <c r="T12" s="11" t="s">
        <v>0</v>
      </c>
      <c r="U12" s="11" t="s">
        <v>0</v>
      </c>
      <c r="V12" s="11" t="s">
        <v>0</v>
      </c>
      <c r="W12" s="11" t="s">
        <v>0</v>
      </c>
      <c r="Y12" s="5"/>
    </row>
    <row r="13" spans="1:25" ht="15">
      <c r="A13" s="10">
        <v>48000004</v>
      </c>
      <c r="B13" s="4" t="s">
        <v>2732</v>
      </c>
      <c r="C13" s="19" t="s">
        <v>2844</v>
      </c>
      <c r="D13" s="4" t="s">
        <v>2694</v>
      </c>
      <c r="E13" s="11">
        <f>IFERROR(VLOOKUP(D13,ShipShapeEnum!$B:$C,2,FALSE),"-")</f>
        <v>4</v>
      </c>
      <c r="F13" s="19" t="s">
        <v>2696</v>
      </c>
      <c r="G13" s="19">
        <v>0.55000000000000004</v>
      </c>
      <c r="H13" s="19">
        <v>0.7</v>
      </c>
      <c r="I13" s="19">
        <v>0.85</v>
      </c>
      <c r="J13" s="19">
        <v>1</v>
      </c>
      <c r="K13" s="4" t="s">
        <v>81</v>
      </c>
      <c r="L13" s="11">
        <f>IFERROR(VLOOKUP(K13,ShipShapeEnum!$H:$I,2,FALSE),"-")</f>
        <v>1</v>
      </c>
      <c r="M13" s="11">
        <v>0</v>
      </c>
      <c r="N13" s="11" t="s">
        <v>0</v>
      </c>
      <c r="O13" s="11" t="s">
        <v>0</v>
      </c>
      <c r="P13" s="11" t="s">
        <v>0</v>
      </c>
      <c r="Q13" s="11" t="s">
        <v>0</v>
      </c>
      <c r="R13" s="11" t="s">
        <v>0</v>
      </c>
      <c r="S13" s="11" t="s">
        <v>0</v>
      </c>
      <c r="T13" s="11" t="s">
        <v>0</v>
      </c>
      <c r="U13" s="11" t="s">
        <v>0</v>
      </c>
      <c r="V13" s="11" t="s">
        <v>0</v>
      </c>
      <c r="W13" s="11" t="s">
        <v>0</v>
      </c>
      <c r="Y13" s="5"/>
    </row>
    <row r="14" spans="1:25" ht="15">
      <c r="A14" s="10">
        <v>48000005</v>
      </c>
      <c r="B14" s="209" t="s">
        <v>2740</v>
      </c>
      <c r="C14" s="19" t="s">
        <v>2738</v>
      </c>
      <c r="D14" s="4" t="s">
        <v>2694</v>
      </c>
      <c r="E14" s="11">
        <f>IFERROR(VLOOKUP(D14,ShipShapeEnum!$B:$C,2,FALSE),"-")</f>
        <v>4</v>
      </c>
      <c r="F14" s="19" t="s">
        <v>2762</v>
      </c>
      <c r="G14" s="19">
        <v>0.5</v>
      </c>
      <c r="H14" s="19">
        <v>0.65</v>
      </c>
      <c r="I14" s="19">
        <v>0.8</v>
      </c>
      <c r="J14" s="19">
        <v>1</v>
      </c>
      <c r="K14" s="4" t="s">
        <v>81</v>
      </c>
      <c r="L14" s="11">
        <f>IFERROR(VLOOKUP(K14,ShipShapeEnum!$H:$I,2,FALSE),"-")</f>
        <v>1</v>
      </c>
      <c r="M14" s="11">
        <v>0</v>
      </c>
      <c r="N14" s="11" t="s">
        <v>0</v>
      </c>
      <c r="O14" s="11" t="s">
        <v>0</v>
      </c>
      <c r="P14" s="11" t="s">
        <v>0</v>
      </c>
      <c r="Q14" s="11" t="s">
        <v>0</v>
      </c>
      <c r="R14" s="11" t="s">
        <v>0</v>
      </c>
      <c r="S14" s="11" t="s">
        <v>0</v>
      </c>
      <c r="T14" s="11" t="s">
        <v>0</v>
      </c>
      <c r="U14" s="11" t="s">
        <v>0</v>
      </c>
      <c r="V14" s="11" t="s">
        <v>0</v>
      </c>
      <c r="W14" s="11" t="s">
        <v>0</v>
      </c>
      <c r="Y14" s="5"/>
    </row>
    <row r="15" spans="1:25" ht="15">
      <c r="A15" s="10">
        <v>48000006</v>
      </c>
      <c r="B15" s="209" t="s">
        <v>2741</v>
      </c>
      <c r="C15" s="19" t="s">
        <v>2739</v>
      </c>
      <c r="D15" s="4" t="s">
        <v>2694</v>
      </c>
      <c r="E15" s="11">
        <f>IFERROR(VLOOKUP(D15,ShipShapeEnum!$B:$C,2,FALSE),"-")</f>
        <v>4</v>
      </c>
      <c r="F15" s="19" t="s">
        <v>2762</v>
      </c>
      <c r="G15" s="19">
        <v>0.55000000000000004</v>
      </c>
      <c r="H15" s="19">
        <v>0.65</v>
      </c>
      <c r="I15" s="19">
        <v>0.8</v>
      </c>
      <c r="J15" s="19">
        <v>1</v>
      </c>
      <c r="K15" s="4" t="s">
        <v>81</v>
      </c>
      <c r="L15" s="11">
        <f>IFERROR(VLOOKUP(K15,ShipShapeEnum!$H:$I,2,FALSE),"-")</f>
        <v>1</v>
      </c>
      <c r="M15" s="11">
        <v>0</v>
      </c>
      <c r="N15" s="11" t="s">
        <v>0</v>
      </c>
      <c r="O15" s="11" t="s">
        <v>0</v>
      </c>
      <c r="P15" s="11" t="s">
        <v>0</v>
      </c>
      <c r="Q15" s="11" t="s">
        <v>0</v>
      </c>
      <c r="R15" s="11" t="s">
        <v>0</v>
      </c>
      <c r="S15" s="11" t="s">
        <v>0</v>
      </c>
      <c r="T15" s="11" t="s">
        <v>0</v>
      </c>
      <c r="U15" s="11" t="s">
        <v>0</v>
      </c>
      <c r="V15" s="11" t="s">
        <v>0</v>
      </c>
      <c r="W15" s="11" t="s">
        <v>0</v>
      </c>
      <c r="Y15" s="5"/>
    </row>
    <row r="16" spans="1:25" ht="15">
      <c r="A16" s="10">
        <v>48000007</v>
      </c>
      <c r="B16" s="209" t="s">
        <v>2824</v>
      </c>
      <c r="C16" s="19" t="s">
        <v>2788</v>
      </c>
      <c r="D16" s="4" t="s">
        <v>2694</v>
      </c>
      <c r="E16" s="11">
        <f>IFERROR(VLOOKUP(D16,ShipShapeEnum!$B:$C,2,FALSE),"-")</f>
        <v>4</v>
      </c>
      <c r="F16" s="19" t="s">
        <v>2762</v>
      </c>
      <c r="G16" s="19">
        <v>0.55000000000000004</v>
      </c>
      <c r="H16" s="19">
        <v>0.65</v>
      </c>
      <c r="I16" s="19">
        <v>0.8</v>
      </c>
      <c r="J16" s="19">
        <v>1</v>
      </c>
      <c r="K16" s="4" t="s">
        <v>81</v>
      </c>
      <c r="L16" s="11">
        <f>IFERROR(VLOOKUP(K16,ShipShapeEnum!$H:$I,2,FALSE),"-")</f>
        <v>1</v>
      </c>
      <c r="M16" s="11">
        <v>0</v>
      </c>
      <c r="N16" s="11" t="s">
        <v>0</v>
      </c>
      <c r="O16" s="11" t="s">
        <v>0</v>
      </c>
      <c r="P16" s="11" t="s">
        <v>0</v>
      </c>
      <c r="Q16" s="11" t="s">
        <v>0</v>
      </c>
      <c r="R16" s="11" t="s">
        <v>0</v>
      </c>
      <c r="S16" s="11" t="s">
        <v>0</v>
      </c>
      <c r="T16" s="11" t="s">
        <v>0</v>
      </c>
      <c r="U16" s="11" t="s">
        <v>0</v>
      </c>
      <c r="V16" s="11" t="s">
        <v>0</v>
      </c>
      <c r="W16" s="11" t="s">
        <v>0</v>
      </c>
      <c r="Y16" s="5"/>
    </row>
    <row r="17" spans="1:25" ht="15">
      <c r="A17" s="10">
        <v>48000008</v>
      </c>
      <c r="B17" s="209" t="s">
        <v>2792</v>
      </c>
      <c r="C17" s="19" t="s">
        <v>2795</v>
      </c>
      <c r="D17" s="4" t="s">
        <v>2694</v>
      </c>
      <c r="E17" s="11">
        <f>IFERROR(VLOOKUP(D17,ShipShapeEnum!$B:$C,2,FALSE),"-")</f>
        <v>4</v>
      </c>
      <c r="F17" s="19" t="s">
        <v>2762</v>
      </c>
      <c r="G17" s="19">
        <v>0.65</v>
      </c>
      <c r="H17" s="19">
        <v>0.8</v>
      </c>
      <c r="I17" s="19">
        <v>0.95</v>
      </c>
      <c r="J17" s="19">
        <v>1.2</v>
      </c>
      <c r="K17" s="4" t="s">
        <v>81</v>
      </c>
      <c r="L17" s="11">
        <f>IFERROR(VLOOKUP(K17,ShipShapeEnum!$H:$I,2,FALSE),"-")</f>
        <v>1</v>
      </c>
      <c r="M17" s="11">
        <v>0</v>
      </c>
      <c r="N17" s="11" t="s">
        <v>0</v>
      </c>
      <c r="O17" s="11" t="s">
        <v>0</v>
      </c>
      <c r="P17" s="11" t="s">
        <v>0</v>
      </c>
      <c r="Q17" s="11" t="s">
        <v>0</v>
      </c>
      <c r="R17" s="11" t="s">
        <v>0</v>
      </c>
      <c r="S17" s="11" t="s">
        <v>0</v>
      </c>
      <c r="T17" s="11" t="s">
        <v>0</v>
      </c>
      <c r="U17" s="11" t="s">
        <v>0</v>
      </c>
      <c r="V17" s="11" t="s">
        <v>0</v>
      </c>
      <c r="W17" s="11" t="s">
        <v>0</v>
      </c>
      <c r="Y17" s="5"/>
    </row>
    <row r="18" spans="1:25" ht="15">
      <c r="A18" s="10">
        <v>48000009</v>
      </c>
      <c r="B18" s="209" t="s">
        <v>2789</v>
      </c>
      <c r="C18" s="19" t="s">
        <v>2823</v>
      </c>
      <c r="D18" s="4" t="s">
        <v>2694</v>
      </c>
      <c r="E18" s="11">
        <f>IFERROR(VLOOKUP(D18,ShipShapeEnum!$B:$C,2,FALSE),"-")</f>
        <v>4</v>
      </c>
      <c r="F18" s="19" t="s">
        <v>2762</v>
      </c>
      <c r="G18" s="19">
        <v>0.65</v>
      </c>
      <c r="H18" s="19">
        <v>0.75</v>
      </c>
      <c r="I18" s="19">
        <v>0.9</v>
      </c>
      <c r="J18" s="19">
        <v>1.1499999999999999</v>
      </c>
      <c r="K18" s="4" t="s">
        <v>81</v>
      </c>
      <c r="L18" s="11">
        <f>IFERROR(VLOOKUP(K18,ShipShapeEnum!$H:$I,2,FALSE),"-")</f>
        <v>1</v>
      </c>
      <c r="M18" s="11">
        <v>0</v>
      </c>
      <c r="N18" s="11" t="s">
        <v>0</v>
      </c>
      <c r="O18" s="11" t="s">
        <v>0</v>
      </c>
      <c r="P18" s="11" t="s">
        <v>0</v>
      </c>
      <c r="Q18" s="11" t="s">
        <v>0</v>
      </c>
      <c r="R18" s="11" t="s">
        <v>0</v>
      </c>
      <c r="S18" s="11" t="s">
        <v>0</v>
      </c>
      <c r="T18" s="11" t="s">
        <v>0</v>
      </c>
      <c r="U18" s="11" t="s">
        <v>0</v>
      </c>
      <c r="V18" s="11" t="s">
        <v>0</v>
      </c>
      <c r="W18" s="11" t="s">
        <v>0</v>
      </c>
      <c r="Y18" s="5"/>
    </row>
    <row r="19" spans="1:25" ht="15">
      <c r="A19" s="10">
        <v>48000010</v>
      </c>
      <c r="B19" s="209" t="s">
        <v>2841</v>
      </c>
      <c r="C19" s="19" t="s">
        <v>2842</v>
      </c>
      <c r="D19" s="4" t="s">
        <v>2694</v>
      </c>
      <c r="E19" s="11">
        <f>IFERROR(VLOOKUP(D19,ShipShapeEnum!$B:$C,2,FALSE),"-")</f>
        <v>4</v>
      </c>
      <c r="F19" s="19" t="s">
        <v>2762</v>
      </c>
      <c r="G19" s="19">
        <v>0.55000000000000004</v>
      </c>
      <c r="H19" s="19">
        <v>0.7</v>
      </c>
      <c r="I19" s="19">
        <v>0.85</v>
      </c>
      <c r="J19" s="19">
        <v>1</v>
      </c>
      <c r="K19" s="4" t="s">
        <v>81</v>
      </c>
      <c r="L19" s="11">
        <f>IFERROR(VLOOKUP(K19,ShipShapeEnum!$H:$I,2,FALSE),"-")</f>
        <v>1</v>
      </c>
      <c r="M19" s="11">
        <v>0</v>
      </c>
      <c r="N19" s="11" t="s">
        <v>0</v>
      </c>
      <c r="O19" s="11" t="s">
        <v>0</v>
      </c>
      <c r="P19" s="11" t="s">
        <v>0</v>
      </c>
      <c r="Q19" s="11" t="s">
        <v>0</v>
      </c>
      <c r="R19" s="11" t="s">
        <v>0</v>
      </c>
      <c r="S19" s="11" t="s">
        <v>0</v>
      </c>
      <c r="T19" s="11" t="s">
        <v>0</v>
      </c>
      <c r="U19" s="11" t="s">
        <v>0</v>
      </c>
      <c r="V19" s="11" t="s">
        <v>0</v>
      </c>
      <c r="W19" s="11" t="s">
        <v>0</v>
      </c>
      <c r="Y19" s="5"/>
    </row>
    <row r="20" spans="1:25" ht="15">
      <c r="A20" s="10">
        <v>48000011</v>
      </c>
      <c r="B20" s="209" t="s">
        <v>2848</v>
      </c>
      <c r="C20" s="19" t="s">
        <v>2849</v>
      </c>
      <c r="D20" s="4" t="s">
        <v>2694</v>
      </c>
      <c r="E20" s="11">
        <f>IFERROR(VLOOKUP(D20,ShipShapeEnum!$B:$C,2,FALSE),"-")</f>
        <v>4</v>
      </c>
      <c r="F20" s="19" t="s">
        <v>2762</v>
      </c>
      <c r="G20" s="19">
        <v>0.55000000000000004</v>
      </c>
      <c r="H20" s="19">
        <v>0.7</v>
      </c>
      <c r="I20" s="19">
        <v>0.85</v>
      </c>
      <c r="J20" s="19">
        <v>1</v>
      </c>
      <c r="K20" s="4" t="s">
        <v>81</v>
      </c>
      <c r="L20" s="11">
        <f>IFERROR(VLOOKUP(K20,ShipShapeEnum!$H:$I,2,FALSE),"-")</f>
        <v>1</v>
      </c>
      <c r="M20" s="11">
        <v>0</v>
      </c>
      <c r="N20" s="11" t="s">
        <v>0</v>
      </c>
      <c r="O20" s="11" t="s">
        <v>0</v>
      </c>
      <c r="P20" s="11" t="s">
        <v>0</v>
      </c>
      <c r="Q20" s="11" t="s">
        <v>0</v>
      </c>
      <c r="R20" s="11" t="s">
        <v>0</v>
      </c>
      <c r="S20" s="11" t="s">
        <v>0</v>
      </c>
      <c r="T20" s="11" t="s">
        <v>0</v>
      </c>
      <c r="U20" s="11" t="s">
        <v>0</v>
      </c>
      <c r="V20" s="11" t="s">
        <v>0</v>
      </c>
      <c r="W20" s="11" t="s">
        <v>0</v>
      </c>
      <c r="Y20" s="5"/>
    </row>
    <row r="21" spans="1:25" ht="15">
      <c r="A21" s="10">
        <v>48000012</v>
      </c>
      <c r="B21" s="209" t="s">
        <v>2861</v>
      </c>
      <c r="C21" s="19" t="s">
        <v>2860</v>
      </c>
      <c r="D21" s="4" t="s">
        <v>2694</v>
      </c>
      <c r="E21" s="11">
        <f>IFERROR(VLOOKUP(D21,ShipShapeEnum!$B:$C,2,FALSE),"-")</f>
        <v>4</v>
      </c>
      <c r="F21" s="19" t="s">
        <v>2762</v>
      </c>
      <c r="G21" s="19">
        <v>0.55000000000000004</v>
      </c>
      <c r="H21" s="19">
        <v>0.7</v>
      </c>
      <c r="I21" s="19">
        <v>0.85</v>
      </c>
      <c r="J21" s="19">
        <v>1</v>
      </c>
      <c r="K21" s="4" t="s">
        <v>81</v>
      </c>
      <c r="L21" s="11">
        <f>IFERROR(VLOOKUP(K21,ShipShapeEnum!$H:$I,2,FALSE),"-")</f>
        <v>1</v>
      </c>
      <c r="M21" s="11">
        <v>0</v>
      </c>
      <c r="N21" s="11" t="s">
        <v>0</v>
      </c>
      <c r="O21" s="11" t="s">
        <v>0</v>
      </c>
      <c r="P21" s="11" t="s">
        <v>0</v>
      </c>
      <c r="Q21" s="11" t="s">
        <v>0</v>
      </c>
      <c r="R21" s="11" t="s">
        <v>0</v>
      </c>
      <c r="S21" s="11" t="s">
        <v>0</v>
      </c>
      <c r="T21" s="11" t="s">
        <v>0</v>
      </c>
      <c r="U21" s="11" t="s">
        <v>0</v>
      </c>
      <c r="V21" s="11" t="s">
        <v>0</v>
      </c>
      <c r="W21" s="11" t="s">
        <v>0</v>
      </c>
      <c r="Y21" s="5"/>
    </row>
    <row r="22" spans="1:25" ht="15">
      <c r="A22" s="10">
        <v>48000013</v>
      </c>
      <c r="B22" s="209" t="s">
        <v>2879</v>
      </c>
      <c r="C22" s="19" t="s">
        <v>0</v>
      </c>
      <c r="D22" s="4" t="s">
        <v>2694</v>
      </c>
      <c r="E22" s="11">
        <f>IFERROR(VLOOKUP(D22,ShipShapeEnum!$B:$C,2,FALSE),"-")</f>
        <v>4</v>
      </c>
      <c r="F22" s="19" t="s">
        <v>0</v>
      </c>
      <c r="G22" s="19">
        <v>0.5</v>
      </c>
      <c r="H22" s="19">
        <v>0.65</v>
      </c>
      <c r="I22" s="19">
        <v>0.8</v>
      </c>
      <c r="J22" s="19">
        <v>1</v>
      </c>
      <c r="K22" s="4" t="s">
        <v>81</v>
      </c>
      <c r="L22" s="11">
        <f>IFERROR(VLOOKUP(K22,ShipShapeEnum!$H:$I,2,FALSE),"-")</f>
        <v>1</v>
      </c>
      <c r="M22" s="11">
        <v>0</v>
      </c>
      <c r="N22" s="11" t="s">
        <v>2877</v>
      </c>
      <c r="O22" s="11" t="s">
        <v>2898</v>
      </c>
      <c r="P22" s="11" t="s">
        <v>2878</v>
      </c>
      <c r="Q22" s="11" t="s">
        <v>0</v>
      </c>
      <c r="R22" s="11" t="s">
        <v>2897</v>
      </c>
      <c r="S22" s="11" t="s">
        <v>0</v>
      </c>
      <c r="T22" s="11" t="s">
        <v>2897</v>
      </c>
      <c r="U22" s="11" t="s">
        <v>0</v>
      </c>
      <c r="V22" s="11" t="s">
        <v>0</v>
      </c>
      <c r="W22" s="11" t="s">
        <v>0</v>
      </c>
      <c r="Y22" s="5"/>
    </row>
    <row r="23" spans="1:25" ht="15">
      <c r="A23" s="10">
        <v>48000014</v>
      </c>
      <c r="B23" s="209" t="s">
        <v>2880</v>
      </c>
      <c r="C23" s="19" t="s">
        <v>2881</v>
      </c>
      <c r="D23" s="4" t="s">
        <v>2694</v>
      </c>
      <c r="E23" s="11">
        <f>IFERROR(VLOOKUP(D23,ShipShapeEnum!$B:$C,2,FALSE),"-")</f>
        <v>4</v>
      </c>
      <c r="F23" s="19" t="s">
        <v>2762</v>
      </c>
      <c r="G23" s="19">
        <v>0.5</v>
      </c>
      <c r="H23" s="19">
        <v>0.6</v>
      </c>
      <c r="I23" s="19">
        <v>0.75</v>
      </c>
      <c r="J23" s="19">
        <v>1</v>
      </c>
      <c r="K23" s="4" t="s">
        <v>81</v>
      </c>
      <c r="L23" s="11">
        <f>IFERROR(VLOOKUP(K23,ShipShapeEnum!$H:$I,2,FALSE),"-")</f>
        <v>1</v>
      </c>
      <c r="M23" s="11">
        <v>0</v>
      </c>
      <c r="N23" s="11" t="s">
        <v>0</v>
      </c>
      <c r="O23" s="11" t="s">
        <v>0</v>
      </c>
      <c r="P23" s="11" t="s">
        <v>0</v>
      </c>
      <c r="Q23" s="11" t="s">
        <v>0</v>
      </c>
      <c r="R23" s="11" t="s">
        <v>0</v>
      </c>
      <c r="S23" s="11" t="s">
        <v>0</v>
      </c>
      <c r="T23" s="11" t="s">
        <v>0</v>
      </c>
      <c r="U23" s="11" t="s">
        <v>0</v>
      </c>
      <c r="V23" s="11" t="s">
        <v>0</v>
      </c>
      <c r="W23" s="11" t="s">
        <v>0</v>
      </c>
      <c r="Y23" s="5"/>
    </row>
    <row r="24" spans="1:25" ht="15">
      <c r="A24" s="10">
        <v>48000015</v>
      </c>
      <c r="B24" s="213" t="s">
        <v>2892</v>
      </c>
      <c r="C24" s="19" t="s">
        <v>2896</v>
      </c>
      <c r="D24" s="4" t="s">
        <v>2694</v>
      </c>
      <c r="E24" s="11">
        <f>IFERROR(VLOOKUP(D24,ShipShapeEnum!$B:$C,2,FALSE),"-")</f>
        <v>4</v>
      </c>
      <c r="F24" s="19" t="s">
        <v>2882</v>
      </c>
      <c r="G24" s="19">
        <v>0.5</v>
      </c>
      <c r="H24" s="19">
        <v>0.6</v>
      </c>
      <c r="I24" s="19">
        <v>0.75</v>
      </c>
      <c r="J24" s="19">
        <v>1</v>
      </c>
      <c r="K24" s="4" t="s">
        <v>81</v>
      </c>
      <c r="L24" s="11">
        <f>IFERROR(VLOOKUP(K24,ShipShapeEnum!$H:$I,2,FALSE),"-")</f>
        <v>1</v>
      </c>
      <c r="M24" s="11">
        <v>0</v>
      </c>
      <c r="N24" s="11" t="s">
        <v>0</v>
      </c>
      <c r="O24" s="11" t="s">
        <v>0</v>
      </c>
      <c r="P24" s="11" t="s">
        <v>0</v>
      </c>
      <c r="Q24" s="11" t="s">
        <v>0</v>
      </c>
      <c r="R24" s="11" t="s">
        <v>0</v>
      </c>
      <c r="S24" s="11" t="s">
        <v>0</v>
      </c>
      <c r="T24" s="11" t="s">
        <v>0</v>
      </c>
      <c r="U24" s="11" t="s">
        <v>0</v>
      </c>
      <c r="V24" s="11" t="s">
        <v>0</v>
      </c>
      <c r="W24" s="11" t="s">
        <v>0</v>
      </c>
      <c r="Y24" s="5"/>
    </row>
    <row r="25" spans="1:25" ht="15">
      <c r="A25" s="10">
        <v>48000016</v>
      </c>
      <c r="B25" s="213" t="s">
        <v>2889</v>
      </c>
      <c r="C25" s="19" t="s">
        <v>2896</v>
      </c>
      <c r="D25" s="4" t="s">
        <v>2694</v>
      </c>
      <c r="E25" s="11">
        <f>IFERROR(VLOOKUP(D25,ShipShapeEnum!$B:$C,2,FALSE),"-")</f>
        <v>4</v>
      </c>
      <c r="F25" s="19" t="s">
        <v>2883</v>
      </c>
      <c r="G25" s="19">
        <v>0.5</v>
      </c>
      <c r="H25" s="19">
        <v>0.6</v>
      </c>
      <c r="I25" s="19">
        <v>0.75</v>
      </c>
      <c r="J25" s="19">
        <v>1</v>
      </c>
      <c r="K25" s="4" t="s">
        <v>81</v>
      </c>
      <c r="L25" s="11">
        <f>IFERROR(VLOOKUP(K25,ShipShapeEnum!$H:$I,2,FALSE),"-")</f>
        <v>1</v>
      </c>
      <c r="M25" s="11">
        <v>0</v>
      </c>
      <c r="N25" s="11" t="s">
        <v>0</v>
      </c>
      <c r="O25" s="11" t="s">
        <v>0</v>
      </c>
      <c r="P25" s="11" t="s">
        <v>0</v>
      </c>
      <c r="Q25" s="11" t="s">
        <v>0</v>
      </c>
      <c r="R25" s="11" t="s">
        <v>0</v>
      </c>
      <c r="S25" s="11" t="s">
        <v>0</v>
      </c>
      <c r="T25" s="11" t="s">
        <v>0</v>
      </c>
      <c r="U25" s="11" t="s">
        <v>0</v>
      </c>
      <c r="V25" s="11" t="s">
        <v>0</v>
      </c>
      <c r="W25" s="11" t="s">
        <v>0</v>
      </c>
      <c r="Y25" s="5"/>
    </row>
    <row r="26" spans="1:25" ht="15">
      <c r="A26" s="10">
        <v>48000017</v>
      </c>
      <c r="B26" s="213" t="s">
        <v>2890</v>
      </c>
      <c r="C26" s="19" t="s">
        <v>2896</v>
      </c>
      <c r="D26" s="4" t="s">
        <v>2694</v>
      </c>
      <c r="E26" s="11">
        <f>IFERROR(VLOOKUP(D26,ShipShapeEnum!$B:$C,2,FALSE),"-")</f>
        <v>4</v>
      </c>
      <c r="F26" s="19" t="s">
        <v>2884</v>
      </c>
      <c r="G26" s="19">
        <v>0.5</v>
      </c>
      <c r="H26" s="19">
        <v>0.6</v>
      </c>
      <c r="I26" s="19">
        <v>0.75</v>
      </c>
      <c r="J26" s="19">
        <v>1</v>
      </c>
      <c r="K26" s="4" t="s">
        <v>81</v>
      </c>
      <c r="L26" s="11">
        <f>IFERROR(VLOOKUP(K26,ShipShapeEnum!$H:$I,2,FALSE),"-")</f>
        <v>1</v>
      </c>
      <c r="M26" s="11">
        <v>0</v>
      </c>
      <c r="N26" s="11" t="s">
        <v>0</v>
      </c>
      <c r="O26" s="11" t="s">
        <v>0</v>
      </c>
      <c r="P26" s="11" t="s">
        <v>0</v>
      </c>
      <c r="Q26" s="11" t="s">
        <v>0</v>
      </c>
      <c r="R26" s="11" t="s">
        <v>0</v>
      </c>
      <c r="S26" s="11" t="s">
        <v>0</v>
      </c>
      <c r="T26" s="11" t="s">
        <v>0</v>
      </c>
      <c r="U26" s="11" t="s">
        <v>0</v>
      </c>
      <c r="V26" s="11" t="s">
        <v>0</v>
      </c>
      <c r="W26" s="11" t="s">
        <v>0</v>
      </c>
      <c r="Y26" s="5"/>
    </row>
    <row r="27" spans="1:25" ht="15">
      <c r="A27" s="10">
        <v>48000018</v>
      </c>
      <c r="B27" s="213" t="s">
        <v>2891</v>
      </c>
      <c r="C27" s="19" t="s">
        <v>2896</v>
      </c>
      <c r="D27" s="4" t="s">
        <v>2694</v>
      </c>
      <c r="E27" s="11">
        <f>IFERROR(VLOOKUP(D27,ShipShapeEnum!$B:$C,2,FALSE),"-")</f>
        <v>4</v>
      </c>
      <c r="F27" s="19" t="s">
        <v>2885</v>
      </c>
      <c r="G27" s="19">
        <v>0.5</v>
      </c>
      <c r="H27" s="19">
        <v>0.6</v>
      </c>
      <c r="I27" s="19">
        <v>0.75</v>
      </c>
      <c r="J27" s="19">
        <v>1</v>
      </c>
      <c r="K27" s="4" t="s">
        <v>81</v>
      </c>
      <c r="L27" s="11">
        <f>IFERROR(VLOOKUP(K27,ShipShapeEnum!$H:$I,2,FALSE),"-")</f>
        <v>1</v>
      </c>
      <c r="M27" s="11">
        <v>0</v>
      </c>
      <c r="N27" s="11" t="s">
        <v>0</v>
      </c>
      <c r="O27" s="11" t="s">
        <v>0</v>
      </c>
      <c r="P27" s="11" t="s">
        <v>0</v>
      </c>
      <c r="Q27" s="11" t="s">
        <v>0</v>
      </c>
      <c r="R27" s="11" t="s">
        <v>0</v>
      </c>
      <c r="S27" s="11" t="s">
        <v>0</v>
      </c>
      <c r="T27" s="11" t="s">
        <v>0</v>
      </c>
      <c r="U27" s="11" t="s">
        <v>0</v>
      </c>
      <c r="V27" s="11" t="s">
        <v>0</v>
      </c>
      <c r="W27" s="11" t="s">
        <v>0</v>
      </c>
      <c r="Y27" s="5"/>
    </row>
    <row r="28" spans="1:25" ht="15">
      <c r="A28" s="10">
        <v>48000019</v>
      </c>
      <c r="B28" s="213" t="s">
        <v>2893</v>
      </c>
      <c r="C28" s="19" t="s">
        <v>2896</v>
      </c>
      <c r="D28" s="4" t="s">
        <v>2694</v>
      </c>
      <c r="E28" s="11">
        <f>IFERROR(VLOOKUP(D28,ShipShapeEnum!$B:$C,2,FALSE),"-")</f>
        <v>4</v>
      </c>
      <c r="F28" s="19" t="s">
        <v>2886</v>
      </c>
      <c r="G28" s="19">
        <v>0.5</v>
      </c>
      <c r="H28" s="19">
        <v>0.6</v>
      </c>
      <c r="I28" s="19">
        <v>0.75</v>
      </c>
      <c r="J28" s="19">
        <v>1</v>
      </c>
      <c r="K28" s="4" t="s">
        <v>81</v>
      </c>
      <c r="L28" s="11">
        <f>IFERROR(VLOOKUP(K28,ShipShapeEnum!$H:$I,2,FALSE),"-")</f>
        <v>1</v>
      </c>
      <c r="M28" s="11">
        <v>0</v>
      </c>
      <c r="N28" s="11" t="s">
        <v>0</v>
      </c>
      <c r="O28" s="11" t="s">
        <v>0</v>
      </c>
      <c r="P28" s="11" t="s">
        <v>0</v>
      </c>
      <c r="Q28" s="11" t="s">
        <v>0</v>
      </c>
      <c r="R28" s="11" t="s">
        <v>0</v>
      </c>
      <c r="S28" s="11" t="s">
        <v>0</v>
      </c>
      <c r="T28" s="11" t="s">
        <v>0</v>
      </c>
      <c r="U28" s="11" t="s">
        <v>0</v>
      </c>
      <c r="V28" s="11" t="s">
        <v>0</v>
      </c>
      <c r="W28" s="11" t="s">
        <v>0</v>
      </c>
      <c r="Y28" s="5"/>
    </row>
    <row r="29" spans="1:25" ht="15">
      <c r="A29" s="10">
        <v>48000020</v>
      </c>
      <c r="B29" s="213" t="s">
        <v>2894</v>
      </c>
      <c r="C29" s="19" t="s">
        <v>2896</v>
      </c>
      <c r="D29" s="4" t="s">
        <v>2694</v>
      </c>
      <c r="E29" s="11">
        <f>IFERROR(VLOOKUP(D29,ShipShapeEnum!$B:$C,2,FALSE),"-")</f>
        <v>4</v>
      </c>
      <c r="F29" s="19" t="s">
        <v>2887</v>
      </c>
      <c r="G29" s="19">
        <v>0.5</v>
      </c>
      <c r="H29" s="19">
        <v>0.6</v>
      </c>
      <c r="I29" s="19">
        <v>0.75</v>
      </c>
      <c r="J29" s="19">
        <v>1</v>
      </c>
      <c r="K29" s="4" t="s">
        <v>81</v>
      </c>
      <c r="L29" s="11">
        <f>IFERROR(VLOOKUP(K29,ShipShapeEnum!$H:$I,2,FALSE),"-")</f>
        <v>1</v>
      </c>
      <c r="M29" s="11">
        <v>0</v>
      </c>
      <c r="N29" s="11" t="s">
        <v>0</v>
      </c>
      <c r="O29" s="11" t="s">
        <v>0</v>
      </c>
      <c r="P29" s="11" t="s">
        <v>0</v>
      </c>
      <c r="Q29" s="11" t="s">
        <v>0</v>
      </c>
      <c r="R29" s="11" t="s">
        <v>0</v>
      </c>
      <c r="S29" s="11" t="s">
        <v>0</v>
      </c>
      <c r="T29" s="11" t="s">
        <v>0</v>
      </c>
      <c r="U29" s="11" t="s">
        <v>0</v>
      </c>
      <c r="V29" s="11" t="s">
        <v>0</v>
      </c>
      <c r="W29" s="11" t="s">
        <v>0</v>
      </c>
      <c r="Y29" s="5"/>
    </row>
    <row r="30" spans="1:25" ht="15">
      <c r="A30" s="10">
        <v>48000021</v>
      </c>
      <c r="B30" s="213" t="s">
        <v>2895</v>
      </c>
      <c r="C30" s="19" t="s">
        <v>2896</v>
      </c>
      <c r="D30" s="4" t="s">
        <v>2694</v>
      </c>
      <c r="E30" s="11">
        <f>IFERROR(VLOOKUP(D30,ShipShapeEnum!$B:$C,2,FALSE),"-")</f>
        <v>4</v>
      </c>
      <c r="F30" s="19" t="s">
        <v>2888</v>
      </c>
      <c r="G30" s="19">
        <v>0.5</v>
      </c>
      <c r="H30" s="19">
        <v>0.6</v>
      </c>
      <c r="I30" s="19">
        <v>0.75</v>
      </c>
      <c r="J30" s="19">
        <v>1</v>
      </c>
      <c r="K30" s="4" t="s">
        <v>81</v>
      </c>
      <c r="L30" s="11">
        <f>IFERROR(VLOOKUP(K30,ShipShapeEnum!$H:$I,2,FALSE),"-")</f>
        <v>1</v>
      </c>
      <c r="M30" s="11">
        <v>0</v>
      </c>
      <c r="N30" s="11" t="s">
        <v>0</v>
      </c>
      <c r="O30" s="11" t="s">
        <v>0</v>
      </c>
      <c r="P30" s="11" t="s">
        <v>0</v>
      </c>
      <c r="Q30" s="11" t="s">
        <v>0</v>
      </c>
      <c r="R30" s="11" t="s">
        <v>0</v>
      </c>
      <c r="S30" s="11" t="s">
        <v>0</v>
      </c>
      <c r="T30" s="11" t="s">
        <v>0</v>
      </c>
      <c r="U30" s="11" t="s">
        <v>0</v>
      </c>
      <c r="V30" s="11" t="s">
        <v>0</v>
      </c>
      <c r="W30" s="11" t="s">
        <v>0</v>
      </c>
      <c r="Y30" s="5"/>
    </row>
    <row r="31" spans="1:25" ht="15">
      <c r="A31" s="10">
        <v>48000022</v>
      </c>
      <c r="B31" s="209" t="s">
        <v>2908</v>
      </c>
      <c r="C31" s="19" t="s">
        <v>0</v>
      </c>
      <c r="D31" s="4" t="s">
        <v>2694</v>
      </c>
      <c r="E31" s="11">
        <f>IFERROR(VLOOKUP(D31,ShipShapeEnum!$B:$C,2,FALSE),"-")</f>
        <v>4</v>
      </c>
      <c r="F31" s="19" t="s">
        <v>2882</v>
      </c>
      <c r="G31" s="19">
        <v>0.5</v>
      </c>
      <c r="H31" s="19">
        <v>0.65</v>
      </c>
      <c r="I31" s="19">
        <v>0.8</v>
      </c>
      <c r="J31" s="19">
        <v>1</v>
      </c>
      <c r="K31" s="4" t="s">
        <v>81</v>
      </c>
      <c r="L31" s="11">
        <f>IFERROR(VLOOKUP(K31,ShipShapeEnum!$H:$I,2,FALSE),"-")</f>
        <v>1</v>
      </c>
      <c r="M31" s="11">
        <v>0</v>
      </c>
      <c r="N31" s="11" t="s">
        <v>2907</v>
      </c>
      <c r="O31" s="11" t="s">
        <v>2906</v>
      </c>
      <c r="P31" s="11" t="s">
        <v>0</v>
      </c>
      <c r="Q31" s="11" t="s">
        <v>0</v>
      </c>
      <c r="R31" s="11" t="s">
        <v>0</v>
      </c>
      <c r="S31" s="11" t="s">
        <v>0</v>
      </c>
      <c r="T31" s="11" t="s">
        <v>0</v>
      </c>
      <c r="U31" s="11" t="s">
        <v>0</v>
      </c>
      <c r="V31" s="11" t="s">
        <v>0</v>
      </c>
      <c r="W31" s="11" t="s">
        <v>0</v>
      </c>
      <c r="Y31" s="5"/>
    </row>
    <row r="32" spans="1:25" ht="15">
      <c r="A32" s="10">
        <v>48000023</v>
      </c>
      <c r="B32" s="209" t="s">
        <v>2909</v>
      </c>
      <c r="C32" s="19" t="s">
        <v>2912</v>
      </c>
      <c r="D32" s="4" t="s">
        <v>2694</v>
      </c>
      <c r="E32" s="11">
        <f>IFERROR(VLOOKUP(D32,ShipShapeEnum!$B:$C,2,FALSE),"-")</f>
        <v>4</v>
      </c>
      <c r="F32" s="19" t="s">
        <v>2762</v>
      </c>
      <c r="G32" s="19">
        <v>0.5</v>
      </c>
      <c r="H32" s="19">
        <v>0.6</v>
      </c>
      <c r="I32" s="19">
        <v>0.75</v>
      </c>
      <c r="J32" s="19">
        <v>1</v>
      </c>
      <c r="K32" s="4" t="s">
        <v>81</v>
      </c>
      <c r="L32" s="11">
        <f>IFERROR(VLOOKUP(K32,ShipShapeEnum!$H:$I,2,FALSE),"-")</f>
        <v>1</v>
      </c>
      <c r="M32" s="11">
        <v>0</v>
      </c>
      <c r="N32" s="11" t="s">
        <v>0</v>
      </c>
      <c r="O32" s="11" t="s">
        <v>0</v>
      </c>
      <c r="P32" s="11" t="s">
        <v>0</v>
      </c>
      <c r="Q32" s="11" t="s">
        <v>0</v>
      </c>
      <c r="R32" s="11" t="s">
        <v>0</v>
      </c>
      <c r="S32" s="11" t="s">
        <v>0</v>
      </c>
      <c r="T32" s="11" t="s">
        <v>0</v>
      </c>
      <c r="U32" s="11" t="s">
        <v>0</v>
      </c>
      <c r="V32" s="11" t="s">
        <v>0</v>
      </c>
      <c r="W32" s="11" t="s">
        <v>0</v>
      </c>
      <c r="Y32" s="5"/>
    </row>
    <row r="33" spans="1:25" ht="15">
      <c r="A33" s="10">
        <v>48000024</v>
      </c>
      <c r="B33" s="209" t="s">
        <v>2910</v>
      </c>
      <c r="C33" s="19" t="s">
        <v>2911</v>
      </c>
      <c r="D33" s="4" t="s">
        <v>2694</v>
      </c>
      <c r="E33" s="11">
        <f>IFERROR(VLOOKUP(D33,ShipShapeEnum!$B:$C,2,FALSE),"-")</f>
        <v>4</v>
      </c>
      <c r="F33" s="19" t="s">
        <v>2762</v>
      </c>
      <c r="G33" s="19">
        <v>0.5</v>
      </c>
      <c r="H33" s="19">
        <v>0.6</v>
      </c>
      <c r="I33" s="19">
        <v>0.75</v>
      </c>
      <c r="J33" s="19">
        <v>1</v>
      </c>
      <c r="K33" s="4" t="s">
        <v>81</v>
      </c>
      <c r="L33" s="11">
        <f>IFERROR(VLOOKUP(K33,ShipShapeEnum!$H:$I,2,FALSE),"-")</f>
        <v>1</v>
      </c>
      <c r="M33" s="11">
        <v>0</v>
      </c>
      <c r="N33" s="11" t="s">
        <v>0</v>
      </c>
      <c r="O33" s="11" t="s">
        <v>0</v>
      </c>
      <c r="P33" s="11" t="s">
        <v>0</v>
      </c>
      <c r="Q33" s="11" t="s">
        <v>0</v>
      </c>
      <c r="R33" s="11" t="s">
        <v>0</v>
      </c>
      <c r="S33" s="11" t="s">
        <v>0</v>
      </c>
      <c r="T33" s="11" t="s">
        <v>0</v>
      </c>
      <c r="U33" s="11" t="s">
        <v>0</v>
      </c>
      <c r="V33" s="11" t="s">
        <v>0</v>
      </c>
      <c r="W33" s="11" t="s">
        <v>0</v>
      </c>
      <c r="Y33" s="5"/>
    </row>
    <row r="34" spans="1:25" ht="15">
      <c r="A34" s="10">
        <v>48000025</v>
      </c>
      <c r="B34" s="209" t="s">
        <v>2913</v>
      </c>
      <c r="C34" s="19" t="s">
        <v>2914</v>
      </c>
      <c r="D34" s="4" t="s">
        <v>2694</v>
      </c>
      <c r="E34" s="11">
        <f>IFERROR(VLOOKUP(D34,ShipShapeEnum!$B:$C,2,FALSE),"-")</f>
        <v>4</v>
      </c>
      <c r="F34" s="19" t="s">
        <v>2696</v>
      </c>
      <c r="G34" s="19">
        <v>0.5</v>
      </c>
      <c r="H34" s="19">
        <v>0.6</v>
      </c>
      <c r="I34" s="19">
        <v>0.75</v>
      </c>
      <c r="J34" s="19">
        <v>1</v>
      </c>
      <c r="K34" s="4" t="s">
        <v>81</v>
      </c>
      <c r="L34" s="11">
        <f>IFERROR(VLOOKUP(K34,ShipShapeEnum!$H:$I,2,FALSE),"-")</f>
        <v>1</v>
      </c>
      <c r="M34" s="11">
        <v>0</v>
      </c>
      <c r="N34" s="11" t="s">
        <v>0</v>
      </c>
      <c r="O34" s="11" t="s">
        <v>0</v>
      </c>
      <c r="P34" s="11" t="s">
        <v>0</v>
      </c>
      <c r="Q34" s="11" t="s">
        <v>0</v>
      </c>
      <c r="R34" s="11" t="s">
        <v>0</v>
      </c>
      <c r="S34" s="11" t="s">
        <v>0</v>
      </c>
      <c r="T34" s="11" t="s">
        <v>0</v>
      </c>
      <c r="U34" s="11" t="s">
        <v>0</v>
      </c>
      <c r="V34" s="11" t="s">
        <v>0</v>
      </c>
      <c r="W34" s="11" t="s">
        <v>0</v>
      </c>
      <c r="Y34" s="5"/>
    </row>
    <row r="35" spans="1:25" ht="15">
      <c r="A35" s="10">
        <v>48000026</v>
      </c>
      <c r="B35" s="209" t="s">
        <v>2988</v>
      </c>
      <c r="C35" s="19" t="s">
        <v>2986</v>
      </c>
      <c r="D35" s="4" t="s">
        <v>2694</v>
      </c>
      <c r="E35" s="11">
        <f>IFERROR(VLOOKUP(D35,ShipShapeEnum!$B:$C,2,FALSE),"-")</f>
        <v>4</v>
      </c>
      <c r="F35" s="19" t="s">
        <v>2696</v>
      </c>
      <c r="G35" s="19">
        <v>0.5</v>
      </c>
      <c r="H35" s="19">
        <v>0.6</v>
      </c>
      <c r="I35" s="19">
        <v>0.75</v>
      </c>
      <c r="J35" s="19">
        <v>1</v>
      </c>
      <c r="K35" s="4" t="s">
        <v>81</v>
      </c>
      <c r="L35" s="11">
        <f>IFERROR(VLOOKUP(K35,ShipShapeEnum!$H:$I,2,FALSE),"-")</f>
        <v>1</v>
      </c>
      <c r="M35" s="11">
        <v>0</v>
      </c>
      <c r="N35" s="11" t="s">
        <v>2979</v>
      </c>
      <c r="O35" s="11" t="s">
        <v>2987</v>
      </c>
      <c r="P35" s="11" t="s">
        <v>0</v>
      </c>
      <c r="Q35" s="11" t="s">
        <v>0</v>
      </c>
      <c r="R35" s="11" t="s">
        <v>0</v>
      </c>
      <c r="S35" s="11" t="s">
        <v>0</v>
      </c>
      <c r="T35" s="11" t="s">
        <v>0</v>
      </c>
      <c r="U35" s="11" t="s">
        <v>0</v>
      </c>
      <c r="V35" s="11" t="s">
        <v>0</v>
      </c>
      <c r="W35" s="11" t="s">
        <v>0</v>
      </c>
      <c r="Y35" s="5"/>
    </row>
    <row r="36" spans="1:25" ht="15">
      <c r="A36" s="10">
        <v>48000027</v>
      </c>
      <c r="B36" s="209" t="s">
        <v>2989</v>
      </c>
      <c r="C36" s="19" t="s">
        <v>2986</v>
      </c>
      <c r="D36" s="4" t="s">
        <v>2694</v>
      </c>
      <c r="E36" s="11">
        <f>IFERROR(VLOOKUP(D36,ShipShapeEnum!$B:$C,2,FALSE),"-")</f>
        <v>4</v>
      </c>
      <c r="F36" s="19" t="s">
        <v>2696</v>
      </c>
      <c r="G36" s="19">
        <v>0.5</v>
      </c>
      <c r="H36" s="19">
        <v>0.6</v>
      </c>
      <c r="I36" s="19">
        <v>0.75</v>
      </c>
      <c r="J36" s="19">
        <v>1</v>
      </c>
      <c r="K36" s="4" t="s">
        <v>81</v>
      </c>
      <c r="L36" s="11">
        <f>IFERROR(VLOOKUP(K36,ShipShapeEnum!$H:$I,2,FALSE),"-")</f>
        <v>1</v>
      </c>
      <c r="M36" s="11">
        <v>0</v>
      </c>
      <c r="N36" s="11" t="s">
        <v>2980</v>
      </c>
      <c r="O36" s="11" t="s">
        <v>2987</v>
      </c>
      <c r="P36" s="11" t="s">
        <v>0</v>
      </c>
      <c r="Q36" s="11" t="s">
        <v>0</v>
      </c>
      <c r="R36" s="11" t="s">
        <v>0</v>
      </c>
      <c r="S36" s="11" t="s">
        <v>0</v>
      </c>
      <c r="T36" s="11" t="s">
        <v>0</v>
      </c>
      <c r="U36" s="11" t="s">
        <v>0</v>
      </c>
      <c r="V36" s="11" t="s">
        <v>0</v>
      </c>
      <c r="W36" s="11" t="s">
        <v>0</v>
      </c>
      <c r="Y36" s="5"/>
    </row>
    <row r="37" spans="1:25" ht="15">
      <c r="A37" s="10">
        <v>48000028</v>
      </c>
      <c r="B37" s="209" t="s">
        <v>2990</v>
      </c>
      <c r="C37" s="19" t="s">
        <v>2986</v>
      </c>
      <c r="D37" s="4" t="s">
        <v>2694</v>
      </c>
      <c r="E37" s="11">
        <f>IFERROR(VLOOKUP(D37,ShipShapeEnum!$B:$C,2,FALSE),"-")</f>
        <v>4</v>
      </c>
      <c r="F37" s="19" t="s">
        <v>2696</v>
      </c>
      <c r="G37" s="19">
        <v>0.5</v>
      </c>
      <c r="H37" s="19">
        <v>0.6</v>
      </c>
      <c r="I37" s="19">
        <v>0.75</v>
      </c>
      <c r="J37" s="19">
        <v>1</v>
      </c>
      <c r="K37" s="4" t="s">
        <v>81</v>
      </c>
      <c r="L37" s="11">
        <f>IFERROR(VLOOKUP(K37,ShipShapeEnum!$H:$I,2,FALSE),"-")</f>
        <v>1</v>
      </c>
      <c r="M37" s="11">
        <v>0</v>
      </c>
      <c r="N37" s="11" t="s">
        <v>2981</v>
      </c>
      <c r="O37" s="11" t="s">
        <v>2987</v>
      </c>
      <c r="P37" s="11" t="s">
        <v>0</v>
      </c>
      <c r="Q37" s="11" t="s">
        <v>0</v>
      </c>
      <c r="R37" s="11" t="s">
        <v>0</v>
      </c>
      <c r="S37" s="11" t="s">
        <v>0</v>
      </c>
      <c r="T37" s="11" t="s">
        <v>0</v>
      </c>
      <c r="U37" s="11" t="s">
        <v>0</v>
      </c>
      <c r="V37" s="11" t="s">
        <v>0</v>
      </c>
      <c r="W37" s="11" t="s">
        <v>0</v>
      </c>
      <c r="Y37" s="5"/>
    </row>
    <row r="38" spans="1:25" ht="15">
      <c r="A38" s="10">
        <v>48000029</v>
      </c>
      <c r="B38" s="209" t="s">
        <v>2991</v>
      </c>
      <c r="C38" s="19" t="s">
        <v>2986</v>
      </c>
      <c r="D38" s="4" t="s">
        <v>2694</v>
      </c>
      <c r="E38" s="11">
        <f>IFERROR(VLOOKUP(D38,ShipShapeEnum!$B:$C,2,FALSE),"-")</f>
        <v>4</v>
      </c>
      <c r="F38" s="19" t="s">
        <v>2696</v>
      </c>
      <c r="G38" s="19">
        <v>0.5</v>
      </c>
      <c r="H38" s="19">
        <v>0.6</v>
      </c>
      <c r="I38" s="19">
        <v>0.75</v>
      </c>
      <c r="J38" s="19">
        <v>1</v>
      </c>
      <c r="K38" s="4" t="s">
        <v>81</v>
      </c>
      <c r="L38" s="11">
        <f>IFERROR(VLOOKUP(K38,ShipShapeEnum!$H:$I,2,FALSE),"-")</f>
        <v>1</v>
      </c>
      <c r="M38" s="11">
        <v>0</v>
      </c>
      <c r="N38" s="11" t="s">
        <v>2982</v>
      </c>
      <c r="O38" s="11" t="s">
        <v>2987</v>
      </c>
      <c r="P38" s="11" t="s">
        <v>0</v>
      </c>
      <c r="Q38" s="11" t="s">
        <v>0</v>
      </c>
      <c r="R38" s="11" t="s">
        <v>0</v>
      </c>
      <c r="S38" s="11" t="s">
        <v>0</v>
      </c>
      <c r="T38" s="11" t="s">
        <v>0</v>
      </c>
      <c r="U38" s="11" t="s">
        <v>0</v>
      </c>
      <c r="V38" s="11" t="s">
        <v>0</v>
      </c>
      <c r="W38" s="11" t="s">
        <v>0</v>
      </c>
      <c r="Y38" s="5"/>
    </row>
    <row r="39" spans="1:25" ht="15">
      <c r="A39" s="10">
        <v>48000030</v>
      </c>
      <c r="B39" s="209" t="s">
        <v>2992</v>
      </c>
      <c r="C39" s="19" t="s">
        <v>2986</v>
      </c>
      <c r="D39" s="4" t="s">
        <v>2694</v>
      </c>
      <c r="E39" s="11">
        <f>IFERROR(VLOOKUP(D39,ShipShapeEnum!$B:$C,2,FALSE),"-")</f>
        <v>4</v>
      </c>
      <c r="F39" s="19" t="s">
        <v>2696</v>
      </c>
      <c r="G39" s="19">
        <v>0.5</v>
      </c>
      <c r="H39" s="19">
        <v>0.6</v>
      </c>
      <c r="I39" s="19">
        <v>0.75</v>
      </c>
      <c r="J39" s="19">
        <v>1</v>
      </c>
      <c r="K39" s="4" t="s">
        <v>81</v>
      </c>
      <c r="L39" s="11">
        <f>IFERROR(VLOOKUP(K39,ShipShapeEnum!$H:$I,2,FALSE),"-")</f>
        <v>1</v>
      </c>
      <c r="M39" s="11">
        <v>0</v>
      </c>
      <c r="N39" s="11" t="s">
        <v>2983</v>
      </c>
      <c r="O39" s="11" t="s">
        <v>2987</v>
      </c>
      <c r="P39" s="11" t="s">
        <v>0</v>
      </c>
      <c r="Q39" s="11" t="s">
        <v>0</v>
      </c>
      <c r="R39" s="11" t="s">
        <v>0</v>
      </c>
      <c r="S39" s="11" t="s">
        <v>0</v>
      </c>
      <c r="T39" s="11" t="s">
        <v>0</v>
      </c>
      <c r="U39" s="11" t="s">
        <v>0</v>
      </c>
      <c r="V39" s="11" t="s">
        <v>0</v>
      </c>
      <c r="W39" s="11" t="s">
        <v>0</v>
      </c>
      <c r="Y39" s="5"/>
    </row>
    <row r="40" spans="1:25" ht="15">
      <c r="A40" s="10">
        <v>48000031</v>
      </c>
      <c r="B40" s="209" t="s">
        <v>2993</v>
      </c>
      <c r="C40" s="19" t="s">
        <v>2986</v>
      </c>
      <c r="D40" s="4" t="s">
        <v>2694</v>
      </c>
      <c r="E40" s="11">
        <f>IFERROR(VLOOKUP(D40,ShipShapeEnum!$B:$C,2,FALSE),"-")</f>
        <v>4</v>
      </c>
      <c r="F40" s="19" t="s">
        <v>2696</v>
      </c>
      <c r="G40" s="19">
        <v>0.5</v>
      </c>
      <c r="H40" s="19">
        <v>0.6</v>
      </c>
      <c r="I40" s="19">
        <v>0.75</v>
      </c>
      <c r="J40" s="19">
        <v>1</v>
      </c>
      <c r="K40" s="4" t="s">
        <v>81</v>
      </c>
      <c r="L40" s="11">
        <f>IFERROR(VLOOKUP(K40,ShipShapeEnum!$H:$I,2,FALSE),"-")</f>
        <v>1</v>
      </c>
      <c r="M40" s="11">
        <v>0</v>
      </c>
      <c r="N40" s="11" t="s">
        <v>2984</v>
      </c>
      <c r="O40" s="11" t="s">
        <v>2987</v>
      </c>
      <c r="P40" s="11" t="s">
        <v>0</v>
      </c>
      <c r="Q40" s="11" t="s">
        <v>0</v>
      </c>
      <c r="R40" s="11" t="s">
        <v>0</v>
      </c>
      <c r="S40" s="11" t="s">
        <v>0</v>
      </c>
      <c r="T40" s="11" t="s">
        <v>0</v>
      </c>
      <c r="U40" s="11" t="s">
        <v>0</v>
      </c>
      <c r="V40" s="11" t="s">
        <v>0</v>
      </c>
      <c r="W40" s="11" t="s">
        <v>0</v>
      </c>
      <c r="Y40" s="5"/>
    </row>
    <row r="41" spans="1:25" ht="15">
      <c r="A41" s="10">
        <v>48000032</v>
      </c>
      <c r="B41" s="209" t="s">
        <v>2994</v>
      </c>
      <c r="C41" s="19" t="s">
        <v>2986</v>
      </c>
      <c r="D41" s="4" t="s">
        <v>2694</v>
      </c>
      <c r="E41" s="11">
        <f>IFERROR(VLOOKUP(D41,ShipShapeEnum!$B:$C,2,FALSE),"-")</f>
        <v>4</v>
      </c>
      <c r="F41" s="19" t="s">
        <v>2696</v>
      </c>
      <c r="G41" s="19">
        <v>0.5</v>
      </c>
      <c r="H41" s="19">
        <v>0.6</v>
      </c>
      <c r="I41" s="19">
        <v>0.75</v>
      </c>
      <c r="J41" s="19">
        <v>1</v>
      </c>
      <c r="K41" s="4" t="s">
        <v>81</v>
      </c>
      <c r="L41" s="11">
        <f>IFERROR(VLOOKUP(K41,ShipShapeEnum!$H:$I,2,FALSE),"-")</f>
        <v>1</v>
      </c>
      <c r="M41" s="11">
        <v>0</v>
      </c>
      <c r="N41" s="11" t="s">
        <v>2985</v>
      </c>
      <c r="O41" s="11" t="s">
        <v>2987</v>
      </c>
      <c r="P41" s="11" t="s">
        <v>0</v>
      </c>
      <c r="Q41" s="11" t="s">
        <v>0</v>
      </c>
      <c r="R41" s="11" t="s">
        <v>0</v>
      </c>
      <c r="S41" s="11" t="s">
        <v>0</v>
      </c>
      <c r="T41" s="11" t="s">
        <v>0</v>
      </c>
      <c r="U41" s="11" t="s">
        <v>0</v>
      </c>
      <c r="V41" s="11" t="s">
        <v>0</v>
      </c>
      <c r="W41" s="11" t="s">
        <v>0</v>
      </c>
      <c r="Y41" s="5"/>
    </row>
    <row r="42" spans="1:25" ht="15">
      <c r="A42" s="10">
        <v>48000033</v>
      </c>
      <c r="B42" s="209" t="s">
        <v>2995</v>
      </c>
      <c r="C42" s="19" t="s">
        <v>2986</v>
      </c>
      <c r="D42" s="4" t="s">
        <v>2694</v>
      </c>
      <c r="E42" s="11">
        <f>IFERROR(VLOOKUP(D42,ShipShapeEnum!$B:$C,2,FALSE),"-")</f>
        <v>4</v>
      </c>
      <c r="F42" s="19" t="s">
        <v>2696</v>
      </c>
      <c r="G42" s="19">
        <v>0.5</v>
      </c>
      <c r="H42" s="19">
        <v>0.6</v>
      </c>
      <c r="I42" s="19">
        <v>0.75</v>
      </c>
      <c r="J42" s="19">
        <v>1</v>
      </c>
      <c r="K42" s="4" t="s">
        <v>81</v>
      </c>
      <c r="L42" s="11">
        <f>IFERROR(VLOOKUP(K42,ShipShapeEnum!$H:$I,2,FALSE),"-")</f>
        <v>1</v>
      </c>
      <c r="M42" s="11">
        <v>0</v>
      </c>
      <c r="N42" s="11" t="s">
        <v>2996</v>
      </c>
      <c r="O42" s="11" t="s">
        <v>2987</v>
      </c>
      <c r="P42" s="11" t="s">
        <v>0</v>
      </c>
      <c r="Q42" s="11" t="s">
        <v>0</v>
      </c>
      <c r="R42" s="11" t="s">
        <v>0</v>
      </c>
      <c r="S42" s="11" t="s">
        <v>0</v>
      </c>
      <c r="T42" s="11" t="s">
        <v>0</v>
      </c>
      <c r="U42" s="11" t="s">
        <v>0</v>
      </c>
      <c r="V42" s="11" t="s">
        <v>0</v>
      </c>
      <c r="W42" s="11" t="s">
        <v>0</v>
      </c>
      <c r="Y42" s="5"/>
    </row>
    <row r="43" spans="1:25" ht="15">
      <c r="A43" s="10">
        <v>48000034</v>
      </c>
      <c r="B43" s="209" t="s">
        <v>3020</v>
      </c>
      <c r="C43" s="19" t="s">
        <v>3021</v>
      </c>
      <c r="D43" s="4" t="s">
        <v>2694</v>
      </c>
      <c r="E43" s="11">
        <f>IFERROR(VLOOKUP(D43,ShipShapeEnum!$B:$C,2,FALSE),"-")</f>
        <v>4</v>
      </c>
      <c r="F43" s="19" t="s">
        <v>2696</v>
      </c>
      <c r="G43" s="19">
        <v>0.5</v>
      </c>
      <c r="H43" s="19">
        <v>0.6</v>
      </c>
      <c r="I43" s="19">
        <v>0.75</v>
      </c>
      <c r="J43" s="19">
        <v>1</v>
      </c>
      <c r="K43" s="4" t="s">
        <v>81</v>
      </c>
      <c r="L43" s="11">
        <f>IFERROR(VLOOKUP(K43,ShipShapeEnum!$H:$I,2,FALSE),"-")</f>
        <v>1</v>
      </c>
      <c r="M43" s="11">
        <v>0</v>
      </c>
      <c r="N43" s="11" t="s">
        <v>0</v>
      </c>
      <c r="O43" s="11" t="s">
        <v>0</v>
      </c>
      <c r="P43" s="11" t="s">
        <v>0</v>
      </c>
      <c r="Q43" s="11" t="s">
        <v>0</v>
      </c>
      <c r="R43" s="11" t="s">
        <v>0</v>
      </c>
      <c r="S43" s="11" t="s">
        <v>0</v>
      </c>
      <c r="T43" s="11" t="s">
        <v>0</v>
      </c>
      <c r="U43" s="11" t="s">
        <v>0</v>
      </c>
      <c r="V43" s="11" t="s">
        <v>0</v>
      </c>
      <c r="W43" s="11" t="s">
        <v>0</v>
      </c>
      <c r="Y43" s="5"/>
    </row>
    <row r="44" spans="1:25" ht="15">
      <c r="A44" s="10">
        <v>48000035</v>
      </c>
      <c r="B44" s="209" t="s">
        <v>3027</v>
      </c>
      <c r="C44" s="19" t="s">
        <v>3028</v>
      </c>
      <c r="D44" s="4" t="s">
        <v>2694</v>
      </c>
      <c r="E44" s="11">
        <f>IFERROR(VLOOKUP(D44,ShipShapeEnum!$B:$C,2,FALSE),"-")</f>
        <v>4</v>
      </c>
      <c r="F44" s="19" t="s">
        <v>2696</v>
      </c>
      <c r="G44" s="19">
        <v>0.5</v>
      </c>
      <c r="H44" s="19">
        <v>0.6</v>
      </c>
      <c r="I44" s="19">
        <v>0.75</v>
      </c>
      <c r="J44" s="19">
        <v>1</v>
      </c>
      <c r="K44" s="4" t="s">
        <v>81</v>
      </c>
      <c r="L44" s="11">
        <f>IFERROR(VLOOKUP(K44,ShipShapeEnum!$H:$I,2,FALSE),"-")</f>
        <v>1</v>
      </c>
      <c r="M44" s="11">
        <v>0</v>
      </c>
      <c r="N44" s="11" t="s">
        <v>0</v>
      </c>
      <c r="O44" s="11" t="s">
        <v>0</v>
      </c>
      <c r="P44" s="11" t="s">
        <v>0</v>
      </c>
      <c r="Q44" s="11" t="s">
        <v>0</v>
      </c>
      <c r="R44" s="11" t="s">
        <v>0</v>
      </c>
      <c r="S44" s="11" t="s">
        <v>0</v>
      </c>
      <c r="T44" s="11" t="s">
        <v>0</v>
      </c>
      <c r="U44" s="11" t="s">
        <v>0</v>
      </c>
      <c r="V44" s="11" t="s">
        <v>0</v>
      </c>
      <c r="W44" s="11" t="s">
        <v>0</v>
      </c>
      <c r="Y44" s="5"/>
    </row>
    <row r="45" spans="1:25" ht="15">
      <c r="A45" s="10">
        <v>48000036</v>
      </c>
      <c r="B45" s="209" t="s">
        <v>3029</v>
      </c>
      <c r="C45" s="218" t="s">
        <v>3030</v>
      </c>
      <c r="D45" s="4" t="s">
        <v>2694</v>
      </c>
      <c r="E45" s="11">
        <f>IFERROR(VLOOKUP(D45,ShipShapeEnum!$B:$C,2,FALSE),"-")</f>
        <v>4</v>
      </c>
      <c r="F45" s="19" t="s">
        <v>2696</v>
      </c>
      <c r="G45" s="19">
        <v>0.45</v>
      </c>
      <c r="H45" s="19">
        <v>0.55000000000000004</v>
      </c>
      <c r="I45" s="19">
        <v>0.7</v>
      </c>
      <c r="J45" s="19">
        <v>1</v>
      </c>
      <c r="K45" s="4" t="s">
        <v>81</v>
      </c>
      <c r="L45" s="11">
        <f>IFERROR(VLOOKUP(K45,ShipShapeEnum!$H:$I,2,FALSE),"-")</f>
        <v>1</v>
      </c>
      <c r="M45" s="11">
        <v>0</v>
      </c>
      <c r="N45" s="11" t="s">
        <v>0</v>
      </c>
      <c r="O45" s="11" t="s">
        <v>0</v>
      </c>
      <c r="P45" s="11" t="s">
        <v>0</v>
      </c>
      <c r="Q45" s="11" t="s">
        <v>0</v>
      </c>
      <c r="R45" s="11" t="s">
        <v>0</v>
      </c>
      <c r="S45" s="11" t="s">
        <v>0</v>
      </c>
      <c r="T45" s="11" t="s">
        <v>0</v>
      </c>
      <c r="U45" s="11" t="s">
        <v>0</v>
      </c>
      <c r="V45" s="11" t="s">
        <v>0</v>
      </c>
      <c r="W45" s="11" t="s">
        <v>0</v>
      </c>
      <c r="Y45" s="5"/>
    </row>
    <row r="46" spans="1:25" ht="15">
      <c r="A46" s="10">
        <v>48000037</v>
      </c>
      <c r="B46" s="209" t="s">
        <v>3145</v>
      </c>
      <c r="C46" s="223" t="s">
        <v>0</v>
      </c>
      <c r="D46" s="4" t="s">
        <v>2694</v>
      </c>
      <c r="E46" s="11">
        <f>IFERROR(VLOOKUP(D46,ShipShapeEnum!$B:$C,2,FALSE),"-")</f>
        <v>4</v>
      </c>
      <c r="F46" s="19" t="s">
        <v>0</v>
      </c>
      <c r="G46" s="19">
        <v>0.5</v>
      </c>
      <c r="H46" s="19">
        <v>0.65</v>
      </c>
      <c r="I46" s="19">
        <v>0.8</v>
      </c>
      <c r="J46" s="19">
        <v>1</v>
      </c>
      <c r="K46" s="4" t="s">
        <v>81</v>
      </c>
      <c r="L46" s="11">
        <f>IFERROR(VLOOKUP(K46,ShipShapeEnum!$H:$I,2,FALSE),"-")</f>
        <v>1</v>
      </c>
      <c r="M46" s="11">
        <v>0</v>
      </c>
      <c r="N46" s="11" t="s">
        <v>3146</v>
      </c>
      <c r="O46" s="11" t="s">
        <v>2898</v>
      </c>
      <c r="P46" s="11" t="s">
        <v>3164</v>
      </c>
      <c r="Q46" s="11" t="s">
        <v>0</v>
      </c>
      <c r="R46" s="11" t="s">
        <v>3164</v>
      </c>
      <c r="S46" s="11" t="s">
        <v>0</v>
      </c>
      <c r="T46" s="11" t="s">
        <v>0</v>
      </c>
      <c r="U46" s="11" t="s">
        <v>0</v>
      </c>
      <c r="V46" s="11" t="s">
        <v>0</v>
      </c>
      <c r="W46" s="11" t="s">
        <v>0</v>
      </c>
      <c r="Y46" s="5"/>
    </row>
    <row r="47" spans="1:25" ht="15">
      <c r="A47" s="10">
        <v>48000038</v>
      </c>
      <c r="B47" s="216" t="s">
        <v>3153</v>
      </c>
      <c r="C47" s="219" t="s">
        <v>3167</v>
      </c>
      <c r="D47" s="215" t="s">
        <v>2694</v>
      </c>
      <c r="E47" s="11">
        <f>IFERROR(VLOOKUP(D47,ShipShapeEnum!$B:$C,2,FALSE),"-")</f>
        <v>4</v>
      </c>
      <c r="F47" s="19" t="s">
        <v>2888</v>
      </c>
      <c r="G47" s="19">
        <v>0.5</v>
      </c>
      <c r="H47" s="19">
        <v>0.6</v>
      </c>
      <c r="I47" s="19">
        <v>0.75</v>
      </c>
      <c r="J47" s="19">
        <v>1</v>
      </c>
      <c r="K47" s="4" t="s">
        <v>81</v>
      </c>
      <c r="L47" s="11">
        <f>IFERROR(VLOOKUP(K47,ShipShapeEnum!$H:$I,2,FALSE),"-")</f>
        <v>1</v>
      </c>
      <c r="M47" s="11">
        <v>0</v>
      </c>
      <c r="N47" s="11" t="s">
        <v>0</v>
      </c>
      <c r="O47" s="11" t="s">
        <v>0</v>
      </c>
      <c r="P47" s="11" t="s">
        <v>0</v>
      </c>
      <c r="Q47" s="11" t="s">
        <v>0</v>
      </c>
      <c r="R47" s="11" t="s">
        <v>0</v>
      </c>
      <c r="S47" s="11" t="s">
        <v>0</v>
      </c>
      <c r="T47" s="11" t="s">
        <v>0</v>
      </c>
      <c r="U47" s="11" t="s">
        <v>0</v>
      </c>
      <c r="V47" s="11" t="s">
        <v>0</v>
      </c>
      <c r="W47" s="11" t="s">
        <v>0</v>
      </c>
      <c r="Y47" s="5"/>
    </row>
    <row r="48" spans="1:25" ht="15">
      <c r="A48" s="10">
        <v>48000039</v>
      </c>
      <c r="B48" s="216" t="s">
        <v>3152</v>
      </c>
      <c r="C48" s="219" t="s">
        <v>3168</v>
      </c>
      <c r="D48" s="222" t="s">
        <v>2694</v>
      </c>
      <c r="E48" s="11">
        <f>IFERROR(VLOOKUP(D48,ShipShapeEnum!$B:$C,2,FALSE),"-")</f>
        <v>4</v>
      </c>
      <c r="F48" s="19" t="s">
        <v>2696</v>
      </c>
      <c r="G48" s="19">
        <v>0.5</v>
      </c>
      <c r="H48" s="19">
        <v>0.6</v>
      </c>
      <c r="I48" s="19">
        <v>0.75</v>
      </c>
      <c r="J48" s="19">
        <v>1</v>
      </c>
      <c r="K48" s="4" t="s">
        <v>81</v>
      </c>
      <c r="L48" s="11">
        <f>IFERROR(VLOOKUP(K48,ShipShapeEnum!$H:$I,2,FALSE),"-")</f>
        <v>1</v>
      </c>
      <c r="M48" s="11">
        <v>0</v>
      </c>
      <c r="N48" s="11" t="s">
        <v>0</v>
      </c>
      <c r="O48" s="11" t="s">
        <v>0</v>
      </c>
      <c r="P48" s="11" t="s">
        <v>0</v>
      </c>
      <c r="Q48" s="11" t="s">
        <v>0</v>
      </c>
      <c r="R48" s="11" t="s">
        <v>0</v>
      </c>
      <c r="S48" s="11" t="s">
        <v>0</v>
      </c>
      <c r="T48" s="11" t="s">
        <v>0</v>
      </c>
      <c r="U48" s="11" t="s">
        <v>0</v>
      </c>
      <c r="V48" s="11" t="s">
        <v>0</v>
      </c>
      <c r="W48" s="11" t="s">
        <v>0</v>
      </c>
      <c r="Y48" s="5"/>
    </row>
    <row r="49" spans="1:25" ht="15">
      <c r="A49" s="10">
        <v>48000040</v>
      </c>
      <c r="B49" s="216" t="s">
        <v>3165</v>
      </c>
      <c r="C49" s="219" t="s">
        <v>3167</v>
      </c>
      <c r="D49" s="221" t="s">
        <v>2694</v>
      </c>
      <c r="E49" s="11">
        <f>IFERROR(VLOOKUP(D49,ShipShapeEnum!$B:$C,2,FALSE),"-")</f>
        <v>4</v>
      </c>
      <c r="F49" s="19" t="s">
        <v>2888</v>
      </c>
      <c r="G49" s="19">
        <v>0.5</v>
      </c>
      <c r="H49" s="19">
        <v>0.6</v>
      </c>
      <c r="I49" s="19">
        <v>0.75</v>
      </c>
      <c r="J49" s="19">
        <v>1</v>
      </c>
      <c r="K49" s="4" t="s">
        <v>81</v>
      </c>
      <c r="L49" s="11">
        <f>IFERROR(VLOOKUP(K49,ShipShapeEnum!$H:$I,2,FALSE),"-")</f>
        <v>1</v>
      </c>
      <c r="M49" s="11">
        <v>0</v>
      </c>
      <c r="N49" s="11" t="s">
        <v>0</v>
      </c>
      <c r="O49" s="11" t="s">
        <v>0</v>
      </c>
      <c r="P49" s="11" t="s">
        <v>0</v>
      </c>
      <c r="Q49" s="11" t="s">
        <v>0</v>
      </c>
      <c r="R49" s="11" t="s">
        <v>0</v>
      </c>
      <c r="S49" s="11" t="s">
        <v>0</v>
      </c>
      <c r="T49" s="11" t="s">
        <v>0</v>
      </c>
      <c r="U49" s="11" t="s">
        <v>0</v>
      </c>
      <c r="V49" s="11" t="s">
        <v>0</v>
      </c>
      <c r="W49" s="11" t="s">
        <v>0</v>
      </c>
      <c r="Y49" s="5"/>
    </row>
    <row r="50" spans="1:25" ht="15">
      <c r="A50" s="10">
        <v>48000041</v>
      </c>
      <c r="B50" s="216" t="s">
        <v>3166</v>
      </c>
      <c r="C50" s="219" t="s">
        <v>3168</v>
      </c>
      <c r="D50" s="215" t="s">
        <v>2694</v>
      </c>
      <c r="E50" s="11">
        <f>IFERROR(VLOOKUP(D50,ShipShapeEnum!$B:$C,2,FALSE),"-")</f>
        <v>4</v>
      </c>
      <c r="F50" s="19" t="s">
        <v>3169</v>
      </c>
      <c r="G50" s="19">
        <v>0.5</v>
      </c>
      <c r="H50" s="19">
        <v>0.6</v>
      </c>
      <c r="I50" s="19">
        <v>0.75</v>
      </c>
      <c r="J50" s="19">
        <v>1</v>
      </c>
      <c r="K50" s="4" t="s">
        <v>81</v>
      </c>
      <c r="L50" s="11">
        <f>IFERROR(VLOOKUP(K50,ShipShapeEnum!$H:$I,2,FALSE),"-")</f>
        <v>1</v>
      </c>
      <c r="M50" s="11">
        <v>0</v>
      </c>
      <c r="N50" s="11" t="s">
        <v>0</v>
      </c>
      <c r="O50" s="11" t="s">
        <v>0</v>
      </c>
      <c r="P50" s="11" t="s">
        <v>0</v>
      </c>
      <c r="Q50" s="11" t="s">
        <v>0</v>
      </c>
      <c r="R50" s="11" t="s">
        <v>0</v>
      </c>
      <c r="S50" s="11" t="s">
        <v>0</v>
      </c>
      <c r="T50" s="11" t="s">
        <v>0</v>
      </c>
      <c r="U50" s="11" t="s">
        <v>0</v>
      </c>
      <c r="V50" s="11" t="s">
        <v>0</v>
      </c>
      <c r="W50" s="11" t="s">
        <v>0</v>
      </c>
      <c r="Y50" s="5"/>
    </row>
    <row r="51" spans="1:25" ht="15">
      <c r="A51" s="10">
        <v>48000042</v>
      </c>
      <c r="B51" s="216" t="s">
        <v>3184</v>
      </c>
      <c r="C51" s="220" t="s">
        <v>3185</v>
      </c>
      <c r="D51" s="215" t="s">
        <v>2694</v>
      </c>
      <c r="E51" s="11">
        <f>IFERROR(VLOOKUP(D51,ShipShapeEnum!$B:$C,2,FALSE),"-")</f>
        <v>4</v>
      </c>
      <c r="F51" s="19" t="s">
        <v>2888</v>
      </c>
      <c r="G51" s="19">
        <v>0.5</v>
      </c>
      <c r="H51" s="19">
        <v>0.6</v>
      </c>
      <c r="I51" s="19">
        <v>0.75</v>
      </c>
      <c r="J51" s="19">
        <v>1</v>
      </c>
      <c r="K51" s="4" t="s">
        <v>81</v>
      </c>
      <c r="L51" s="11">
        <f>IFERROR(VLOOKUP(K51,ShipShapeEnum!$H:$I,2,FALSE),"-")</f>
        <v>1</v>
      </c>
      <c r="M51" s="11">
        <v>0</v>
      </c>
      <c r="N51" s="11" t="s">
        <v>0</v>
      </c>
      <c r="O51" s="11" t="s">
        <v>0</v>
      </c>
      <c r="P51" s="11" t="s">
        <v>0</v>
      </c>
      <c r="Q51" s="11" t="s">
        <v>0</v>
      </c>
      <c r="R51" s="11" t="s">
        <v>0</v>
      </c>
      <c r="S51" s="11" t="s">
        <v>0</v>
      </c>
      <c r="T51" s="11" t="s">
        <v>0</v>
      </c>
      <c r="U51" s="11" t="s">
        <v>0</v>
      </c>
      <c r="V51" s="11" t="s">
        <v>0</v>
      </c>
      <c r="W51" s="11" t="s">
        <v>0</v>
      </c>
      <c r="Y51" s="5"/>
    </row>
    <row r="52" spans="1:25" ht="15">
      <c r="A52" s="10">
        <v>48000043</v>
      </c>
      <c r="B52" s="216" t="s">
        <v>3214</v>
      </c>
      <c r="C52" s="220" t="s">
        <v>3215</v>
      </c>
      <c r="D52" s="215" t="s">
        <v>2694</v>
      </c>
      <c r="E52" s="11">
        <f>IFERROR(VLOOKUP(D52,ShipShapeEnum!$B:$C,2,FALSE),"-")</f>
        <v>4</v>
      </c>
      <c r="F52" s="19" t="s">
        <v>2696</v>
      </c>
      <c r="G52" s="19">
        <v>0.5</v>
      </c>
      <c r="H52" s="19">
        <v>0.6</v>
      </c>
      <c r="I52" s="19">
        <v>0.8</v>
      </c>
      <c r="J52" s="19">
        <v>1</v>
      </c>
      <c r="K52" s="4" t="s">
        <v>81</v>
      </c>
      <c r="L52" s="11">
        <f>IFERROR(VLOOKUP(K52,ShipShapeEnum!$H:$I,2,FALSE),"-")</f>
        <v>1</v>
      </c>
      <c r="M52" s="11">
        <v>0</v>
      </c>
      <c r="N52" s="11" t="s">
        <v>0</v>
      </c>
      <c r="O52" s="11" t="s">
        <v>0</v>
      </c>
      <c r="P52" s="11" t="s">
        <v>0</v>
      </c>
      <c r="Q52" s="11" t="s">
        <v>0</v>
      </c>
      <c r="R52" s="11" t="s">
        <v>0</v>
      </c>
      <c r="S52" s="11" t="s">
        <v>0</v>
      </c>
      <c r="T52" s="11" t="s">
        <v>0</v>
      </c>
      <c r="U52" s="11" t="s">
        <v>0</v>
      </c>
      <c r="V52" s="11" t="s">
        <v>0</v>
      </c>
      <c r="W52" s="11" t="s">
        <v>0</v>
      </c>
      <c r="Y52" s="5"/>
    </row>
    <row r="53" spans="1:25" ht="15">
      <c r="A53" s="10">
        <v>48000044</v>
      </c>
      <c r="B53" s="216" t="s">
        <v>3233</v>
      </c>
      <c r="C53" s="223" t="s">
        <v>0</v>
      </c>
      <c r="D53" s="215" t="s">
        <v>2694</v>
      </c>
      <c r="E53" s="11">
        <f>IFERROR(VLOOKUP(D53,ShipShapeEnum!$B:$C,2,FALSE),"-")</f>
        <v>4</v>
      </c>
      <c r="F53" s="19" t="s">
        <v>0</v>
      </c>
      <c r="G53" s="19">
        <v>0.5</v>
      </c>
      <c r="H53" s="19">
        <v>0.6</v>
      </c>
      <c r="I53" s="19">
        <v>0.75</v>
      </c>
      <c r="J53" s="19">
        <v>1</v>
      </c>
      <c r="K53" s="4" t="s">
        <v>81</v>
      </c>
      <c r="L53" s="11">
        <f>IFERROR(VLOOKUP(K53,ShipShapeEnum!$H:$I,2,FALSE),"-")</f>
        <v>1</v>
      </c>
      <c r="M53" s="11">
        <v>0</v>
      </c>
      <c r="N53" s="11" t="s">
        <v>3234</v>
      </c>
      <c r="O53" s="11" t="s">
        <v>2987</v>
      </c>
      <c r="P53" s="11" t="s">
        <v>0</v>
      </c>
      <c r="Q53" s="11" t="s">
        <v>0</v>
      </c>
      <c r="R53" s="11" t="s">
        <v>0</v>
      </c>
      <c r="S53" s="11" t="s">
        <v>0</v>
      </c>
      <c r="T53" s="11" t="s">
        <v>0</v>
      </c>
      <c r="U53" s="11" t="s">
        <v>0</v>
      </c>
      <c r="V53" s="11" t="s">
        <v>0</v>
      </c>
      <c r="W53" s="11" t="s">
        <v>0</v>
      </c>
      <c r="Y53" s="5"/>
    </row>
    <row r="54" spans="1:25" ht="15">
      <c r="A54" s="10">
        <v>48000045</v>
      </c>
      <c r="B54" s="216" t="s">
        <v>3241</v>
      </c>
      <c r="C54" s="223" t="s">
        <v>0</v>
      </c>
      <c r="D54" s="215" t="s">
        <v>2694</v>
      </c>
      <c r="E54" s="11">
        <f>IFERROR(VLOOKUP(D54,ShipShapeEnum!$B:$C,2,FALSE),"-")</f>
        <v>4</v>
      </c>
      <c r="F54" s="19" t="s">
        <v>0</v>
      </c>
      <c r="G54" s="19">
        <v>0.5</v>
      </c>
      <c r="H54" s="19">
        <v>0.6</v>
      </c>
      <c r="I54" s="19">
        <v>0.75</v>
      </c>
      <c r="J54" s="19">
        <v>1</v>
      </c>
      <c r="K54" s="4" t="s">
        <v>81</v>
      </c>
      <c r="L54" s="11">
        <f>IFERROR(VLOOKUP(K54,ShipShapeEnum!$H:$I,2,FALSE),"-")</f>
        <v>1</v>
      </c>
      <c r="M54" s="11">
        <v>0</v>
      </c>
      <c r="N54" s="11" t="s">
        <v>3242</v>
      </c>
      <c r="O54" s="11" t="s">
        <v>3243</v>
      </c>
      <c r="P54" s="11" t="s">
        <v>3244</v>
      </c>
      <c r="Q54" s="11" t="s">
        <v>3245</v>
      </c>
      <c r="R54" s="11" t="s">
        <v>0</v>
      </c>
      <c r="S54" s="11" t="s">
        <v>0</v>
      </c>
      <c r="T54" s="11" t="s">
        <v>0</v>
      </c>
      <c r="U54" s="11" t="s">
        <v>0</v>
      </c>
      <c r="V54" s="11" t="s">
        <v>0</v>
      </c>
      <c r="W54" s="11" t="s">
        <v>0</v>
      </c>
      <c r="Y54" s="5"/>
    </row>
    <row r="55" spans="1:25" ht="15">
      <c r="A55" s="10">
        <v>48000046</v>
      </c>
      <c r="B55" s="216" t="s">
        <v>3246</v>
      </c>
      <c r="C55" s="223" t="s">
        <v>0</v>
      </c>
      <c r="D55" s="215" t="s">
        <v>2694</v>
      </c>
      <c r="E55" s="11">
        <f>IFERROR(VLOOKUP(D55,ShipShapeEnum!$B:$C,2,FALSE),"-")</f>
        <v>4</v>
      </c>
      <c r="F55" s="19" t="s">
        <v>0</v>
      </c>
      <c r="G55" s="19">
        <v>0.5</v>
      </c>
      <c r="H55" s="19">
        <v>0.6</v>
      </c>
      <c r="I55" s="19">
        <v>0.75</v>
      </c>
      <c r="J55" s="19">
        <v>1</v>
      </c>
      <c r="K55" s="4" t="s">
        <v>81</v>
      </c>
      <c r="L55" s="11">
        <f>IFERROR(VLOOKUP(K55,ShipShapeEnum!$H:$I,2,FALSE),"-")</f>
        <v>1</v>
      </c>
      <c r="M55" s="11">
        <v>0</v>
      </c>
      <c r="N55" s="11" t="s">
        <v>3247</v>
      </c>
      <c r="O55" s="11" t="s">
        <v>2906</v>
      </c>
      <c r="P55" s="11" t="s">
        <v>0</v>
      </c>
      <c r="Q55" s="11" t="s">
        <v>0</v>
      </c>
      <c r="R55" s="11" t="s">
        <v>0</v>
      </c>
      <c r="S55" s="11" t="s">
        <v>0</v>
      </c>
      <c r="T55" s="11" t="s">
        <v>0</v>
      </c>
      <c r="U55" s="11" t="s">
        <v>0</v>
      </c>
      <c r="V55" s="11" t="s">
        <v>0</v>
      </c>
      <c r="W55" s="11" t="s">
        <v>0</v>
      </c>
      <c r="Y55" s="5"/>
    </row>
    <row r="56" spans="1:25" ht="15">
      <c r="A56" s="10">
        <v>48000047</v>
      </c>
      <c r="B56" s="216" t="s">
        <v>3313</v>
      </c>
      <c r="C56" s="223" t="s">
        <v>3314</v>
      </c>
      <c r="D56" s="215" t="s">
        <v>2694</v>
      </c>
      <c r="E56" s="11">
        <f>IFERROR(VLOOKUP(D56,ShipShapeEnum!$B:$C,2,FALSE),"-")</f>
        <v>4</v>
      </c>
      <c r="F56" s="19" t="s">
        <v>460</v>
      </c>
      <c r="G56" s="19">
        <v>0.55000000000000004</v>
      </c>
      <c r="H56" s="19">
        <v>0.65</v>
      </c>
      <c r="I56" s="19">
        <v>0.8</v>
      </c>
      <c r="J56" s="19">
        <v>1</v>
      </c>
      <c r="K56" s="4" t="s">
        <v>81</v>
      </c>
      <c r="L56" s="11">
        <f>IFERROR(VLOOKUP(K56,ShipShapeEnum!$H:$I,2,FALSE),"-")</f>
        <v>1</v>
      </c>
      <c r="M56" s="11">
        <v>0</v>
      </c>
      <c r="N56" s="11" t="s">
        <v>0</v>
      </c>
      <c r="O56" s="11" t="s">
        <v>0</v>
      </c>
      <c r="P56" s="11" t="s">
        <v>0</v>
      </c>
      <c r="Q56" s="11" t="s">
        <v>0</v>
      </c>
      <c r="R56" s="11" t="s">
        <v>0</v>
      </c>
      <c r="S56" s="11" t="s">
        <v>0</v>
      </c>
      <c r="T56" s="11" t="s">
        <v>0</v>
      </c>
      <c r="U56" s="11" t="s">
        <v>0</v>
      </c>
      <c r="V56" s="11" t="s">
        <v>0</v>
      </c>
      <c r="W56" s="11" t="s">
        <v>0</v>
      </c>
      <c r="Y56" s="5"/>
    </row>
    <row r="57" spans="1:25" ht="15">
      <c r="A57" s="10">
        <v>48000048</v>
      </c>
      <c r="B57" s="216" t="s">
        <v>3331</v>
      </c>
      <c r="C57" s="226" t="s">
        <v>3332</v>
      </c>
      <c r="D57" s="215" t="s">
        <v>2694</v>
      </c>
      <c r="E57" s="11">
        <f>IFERROR(VLOOKUP(D57,ShipShapeEnum!$B:$C,2,FALSE),"-")</f>
        <v>4</v>
      </c>
      <c r="F57" s="19" t="s">
        <v>2884</v>
      </c>
      <c r="G57" s="19">
        <v>0.55000000000000004</v>
      </c>
      <c r="H57" s="19">
        <v>0.6</v>
      </c>
      <c r="I57" s="19">
        <v>0.75</v>
      </c>
      <c r="J57" s="19">
        <v>1</v>
      </c>
      <c r="K57" s="4" t="s">
        <v>81</v>
      </c>
      <c r="L57" s="11">
        <f>IFERROR(VLOOKUP(K57,ShipShapeEnum!$H:$I,2,FALSE),"-")</f>
        <v>1</v>
      </c>
      <c r="M57" s="11">
        <v>0</v>
      </c>
      <c r="N57" s="11" t="s">
        <v>0</v>
      </c>
      <c r="O57" s="11" t="s">
        <v>0</v>
      </c>
      <c r="P57" s="11" t="s">
        <v>0</v>
      </c>
      <c r="Q57" s="11" t="s">
        <v>0</v>
      </c>
      <c r="R57" s="11" t="s">
        <v>0</v>
      </c>
      <c r="S57" s="11" t="s">
        <v>0</v>
      </c>
      <c r="T57" s="11" t="s">
        <v>0</v>
      </c>
      <c r="U57" s="11" t="s">
        <v>0</v>
      </c>
      <c r="V57" s="11" t="s">
        <v>0</v>
      </c>
      <c r="W57" s="11" t="s">
        <v>0</v>
      </c>
      <c r="Y57" s="5"/>
    </row>
    <row r="58" spans="1:25" ht="15">
      <c r="A58" s="10">
        <v>48000049</v>
      </c>
      <c r="B58" s="216" t="s">
        <v>3361</v>
      </c>
      <c r="C58" s="227" t="s">
        <v>0</v>
      </c>
      <c r="D58" s="215" t="s">
        <v>2694</v>
      </c>
      <c r="E58" s="11">
        <f>IFERROR(VLOOKUP(D58,ShipShapeEnum!$B:$C,2,FALSE),"-")</f>
        <v>4</v>
      </c>
      <c r="F58" s="19" t="s">
        <v>0</v>
      </c>
      <c r="G58" s="19">
        <v>0.6</v>
      </c>
      <c r="H58" s="19">
        <v>0.7</v>
      </c>
      <c r="I58" s="19">
        <v>0.8</v>
      </c>
      <c r="J58" s="19">
        <v>0.8</v>
      </c>
      <c r="K58" s="4" t="s">
        <v>81</v>
      </c>
      <c r="L58" s="11">
        <f>IFERROR(VLOOKUP(K58,ShipShapeEnum!$H:$I,2,FALSE),"-")</f>
        <v>1</v>
      </c>
      <c r="M58" s="11">
        <v>0</v>
      </c>
      <c r="N58" s="11" t="s">
        <v>3359</v>
      </c>
      <c r="O58" s="11" t="s">
        <v>2898</v>
      </c>
      <c r="P58" s="11" t="s">
        <v>3366</v>
      </c>
      <c r="Q58" s="11" t="s">
        <v>0</v>
      </c>
      <c r="R58" s="11" t="s">
        <v>0</v>
      </c>
      <c r="S58" s="11" t="s">
        <v>0</v>
      </c>
      <c r="T58" s="11" t="s">
        <v>0</v>
      </c>
      <c r="U58" s="11" t="s">
        <v>0</v>
      </c>
      <c r="V58" s="11" t="s">
        <v>0</v>
      </c>
      <c r="W58" s="11" t="s">
        <v>0</v>
      </c>
      <c r="Y58" s="5"/>
    </row>
    <row r="59" spans="1:25" ht="15">
      <c r="A59" s="10">
        <v>48000050</v>
      </c>
      <c r="B59" s="216" t="s">
        <v>3363</v>
      </c>
      <c r="C59" s="223" t="s">
        <v>3360</v>
      </c>
      <c r="D59" s="215" t="s">
        <v>2694</v>
      </c>
      <c r="E59" s="11">
        <f>IFERROR(VLOOKUP(D59,ShipShapeEnum!$B:$C,2,FALSE),"-")</f>
        <v>4</v>
      </c>
      <c r="F59" s="19" t="s">
        <v>2696</v>
      </c>
      <c r="G59" s="19">
        <v>0.5</v>
      </c>
      <c r="H59" s="19">
        <v>0.7</v>
      </c>
      <c r="I59" s="19">
        <v>0.8</v>
      </c>
      <c r="J59" s="19">
        <v>1</v>
      </c>
      <c r="K59" s="4" t="s">
        <v>81</v>
      </c>
      <c r="L59" s="11">
        <f>IFERROR(VLOOKUP(K59,ShipShapeEnum!$H:$I,2,FALSE),"-")</f>
        <v>1</v>
      </c>
      <c r="M59" s="11">
        <v>0</v>
      </c>
      <c r="N59" s="11" t="s">
        <v>0</v>
      </c>
      <c r="O59" s="11" t="s">
        <v>0</v>
      </c>
      <c r="P59" s="11" t="s">
        <v>0</v>
      </c>
      <c r="Q59" s="11" t="s">
        <v>0</v>
      </c>
      <c r="R59" s="11" t="s">
        <v>0</v>
      </c>
      <c r="S59" s="11" t="s">
        <v>0</v>
      </c>
      <c r="T59" s="11" t="s">
        <v>0</v>
      </c>
      <c r="U59" s="11" t="s">
        <v>0</v>
      </c>
      <c r="V59" s="11" t="s">
        <v>0</v>
      </c>
      <c r="W59" s="11" t="s">
        <v>0</v>
      </c>
      <c r="Y59" s="5"/>
    </row>
    <row r="60" spans="1:25" ht="15">
      <c r="A60" s="10">
        <v>48000051</v>
      </c>
      <c r="B60" s="216" t="s">
        <v>3364</v>
      </c>
      <c r="C60" s="223" t="s">
        <v>0</v>
      </c>
      <c r="D60" s="215" t="s">
        <v>2694</v>
      </c>
      <c r="E60" s="11">
        <f>IFERROR(VLOOKUP(D60,ShipShapeEnum!$B:$C,2,FALSE),"-")</f>
        <v>4</v>
      </c>
      <c r="F60" s="19" t="s">
        <v>0</v>
      </c>
      <c r="G60" s="19">
        <v>0.5</v>
      </c>
      <c r="H60" s="19">
        <v>0.65</v>
      </c>
      <c r="I60" s="19">
        <v>0.8</v>
      </c>
      <c r="J60" s="19">
        <v>1</v>
      </c>
      <c r="K60" s="4" t="s">
        <v>81</v>
      </c>
      <c r="L60" s="11">
        <f>IFERROR(VLOOKUP(K60,ShipShapeEnum!$H:$I,2,FALSE),"-")</f>
        <v>1</v>
      </c>
      <c r="M60" s="11">
        <v>0</v>
      </c>
      <c r="N60" s="11" t="s">
        <v>3362</v>
      </c>
      <c r="O60" s="11" t="s">
        <v>3365</v>
      </c>
      <c r="P60" s="11" t="s">
        <v>0</v>
      </c>
      <c r="Q60" s="11" t="s">
        <v>0</v>
      </c>
      <c r="R60" s="11" t="s">
        <v>0</v>
      </c>
      <c r="S60" s="11" t="s">
        <v>0</v>
      </c>
      <c r="T60" s="11" t="s">
        <v>0</v>
      </c>
      <c r="U60" s="11" t="s">
        <v>0</v>
      </c>
      <c r="V60" s="11" t="s">
        <v>0</v>
      </c>
      <c r="W60" s="11" t="s">
        <v>0</v>
      </c>
      <c r="Y60" s="5"/>
    </row>
    <row r="61" spans="1:25" ht="15">
      <c r="A61" s="10">
        <v>48000052</v>
      </c>
      <c r="B61" s="216" t="s">
        <v>3414</v>
      </c>
      <c r="C61" s="223" t="s">
        <v>0</v>
      </c>
      <c r="D61" s="215" t="s">
        <v>2694</v>
      </c>
      <c r="E61" s="11">
        <f>IFERROR(VLOOKUP(D61,ShipShapeEnum!$B:$C,2,FALSE),"-")</f>
        <v>4</v>
      </c>
      <c r="F61" s="19" t="s">
        <v>0</v>
      </c>
      <c r="G61" s="19">
        <v>0.7</v>
      </c>
      <c r="H61" s="19">
        <v>0.9</v>
      </c>
      <c r="I61" s="19">
        <v>1</v>
      </c>
      <c r="J61" s="19">
        <v>1</v>
      </c>
      <c r="K61" s="4" t="s">
        <v>81</v>
      </c>
      <c r="L61" s="11">
        <f>IFERROR(VLOOKUP(K61,ShipShapeEnum!$H:$I,2,FALSE),"-")</f>
        <v>1</v>
      </c>
      <c r="M61" s="11">
        <v>0</v>
      </c>
      <c r="N61" s="11" t="s">
        <v>3417</v>
      </c>
      <c r="O61" s="11" t="s">
        <v>3419</v>
      </c>
      <c r="P61" s="11" t="s">
        <v>0</v>
      </c>
      <c r="Q61" s="11" t="s">
        <v>0</v>
      </c>
      <c r="R61" s="11" t="s">
        <v>0</v>
      </c>
      <c r="S61" s="11" t="s">
        <v>0</v>
      </c>
      <c r="T61" s="11" t="s">
        <v>0</v>
      </c>
      <c r="U61" s="11" t="s">
        <v>0</v>
      </c>
      <c r="V61" s="11" t="s">
        <v>0</v>
      </c>
      <c r="W61" s="11" t="s">
        <v>0</v>
      </c>
      <c r="Y61" s="5"/>
    </row>
    <row r="62" spans="1:25" ht="15">
      <c r="A62" s="10">
        <v>48000053</v>
      </c>
      <c r="B62" s="216" t="s">
        <v>3415</v>
      </c>
      <c r="C62" s="223" t="s">
        <v>0</v>
      </c>
      <c r="D62" s="215" t="s">
        <v>2694</v>
      </c>
      <c r="E62" s="11">
        <f>IFERROR(VLOOKUP(D62,ShipShapeEnum!$B:$C,2,FALSE),"-")</f>
        <v>4</v>
      </c>
      <c r="F62" s="19" t="s">
        <v>0</v>
      </c>
      <c r="G62" s="19">
        <v>0.5</v>
      </c>
      <c r="H62" s="19">
        <v>0.7</v>
      </c>
      <c r="I62" s="19">
        <v>0.8</v>
      </c>
      <c r="J62" s="19">
        <v>1</v>
      </c>
      <c r="K62" s="4" t="s">
        <v>81</v>
      </c>
      <c r="L62" s="11">
        <f>IFERROR(VLOOKUP(K62,ShipShapeEnum!$H:$I,2,FALSE),"-")</f>
        <v>1</v>
      </c>
      <c r="M62" s="11">
        <v>0</v>
      </c>
      <c r="N62" s="11" t="s">
        <v>3418</v>
      </c>
      <c r="O62" s="11" t="s">
        <v>3365</v>
      </c>
      <c r="P62" s="11" t="s">
        <v>0</v>
      </c>
      <c r="Q62" s="11" t="s">
        <v>0</v>
      </c>
      <c r="R62" s="11" t="s">
        <v>0</v>
      </c>
      <c r="S62" s="11" t="s">
        <v>0</v>
      </c>
      <c r="T62" s="11" t="s">
        <v>0</v>
      </c>
      <c r="U62" s="11" t="s">
        <v>0</v>
      </c>
      <c r="V62" s="11" t="s">
        <v>0</v>
      </c>
      <c r="W62" s="11" t="s">
        <v>0</v>
      </c>
      <c r="Y62" s="5"/>
    </row>
    <row r="63" spans="1:25" ht="15">
      <c r="A63" s="10">
        <v>48000054</v>
      </c>
      <c r="B63" s="216" t="s">
        <v>3416</v>
      </c>
      <c r="C63" s="223" t="s">
        <v>0</v>
      </c>
      <c r="D63" s="215" t="s">
        <v>2694</v>
      </c>
      <c r="E63" s="11">
        <f>IFERROR(VLOOKUP(D63,ShipShapeEnum!$B:$C,2,FALSE),"-")</f>
        <v>4</v>
      </c>
      <c r="F63" s="19" t="s">
        <v>0</v>
      </c>
      <c r="G63" s="19">
        <v>0.6</v>
      </c>
      <c r="H63" s="19">
        <v>0.7</v>
      </c>
      <c r="I63" s="19">
        <v>0.8</v>
      </c>
      <c r="J63" s="19">
        <v>0.9</v>
      </c>
      <c r="K63" s="4" t="s">
        <v>81</v>
      </c>
      <c r="L63" s="11">
        <f>IFERROR(VLOOKUP(K63,ShipShapeEnum!$H:$I,2,FALSE),"-")</f>
        <v>1</v>
      </c>
      <c r="M63" s="11">
        <v>0</v>
      </c>
      <c r="N63" s="11" t="s">
        <v>3420</v>
      </c>
      <c r="O63" s="11" t="s">
        <v>2898</v>
      </c>
      <c r="P63" s="11" t="s">
        <v>0</v>
      </c>
      <c r="Q63" s="11" t="s">
        <v>0</v>
      </c>
      <c r="R63" s="11" t="s">
        <v>0</v>
      </c>
      <c r="S63" s="11" t="s">
        <v>0</v>
      </c>
      <c r="T63" s="11" t="s">
        <v>0</v>
      </c>
      <c r="U63" s="11" t="s">
        <v>0</v>
      </c>
      <c r="V63" s="11" t="s">
        <v>0</v>
      </c>
      <c r="W63" s="11" t="s">
        <v>0</v>
      </c>
      <c r="Y63" s="5"/>
    </row>
    <row r="64" spans="1:25" ht="15">
      <c r="A64" s="10">
        <v>48000055</v>
      </c>
      <c r="B64" s="216" t="s">
        <v>3488</v>
      </c>
      <c r="C64" s="223" t="s">
        <v>0</v>
      </c>
      <c r="D64" s="215" t="s">
        <v>2694</v>
      </c>
      <c r="E64" s="11">
        <f>IFERROR(VLOOKUP(D64,ShipShapeEnum!$B:$C,2,FALSE),"-")</f>
        <v>4</v>
      </c>
      <c r="F64" s="19" t="s">
        <v>0</v>
      </c>
      <c r="G64" s="19">
        <v>0.5</v>
      </c>
      <c r="H64" s="19">
        <v>0.7</v>
      </c>
      <c r="I64" s="19">
        <v>0.8</v>
      </c>
      <c r="J64" s="19">
        <v>1</v>
      </c>
      <c r="K64" s="4" t="s">
        <v>81</v>
      </c>
      <c r="L64" s="11">
        <f>IFERROR(VLOOKUP(K64,ShipShapeEnum!$H:$I,2,FALSE),"-")</f>
        <v>1</v>
      </c>
      <c r="M64" s="11">
        <v>0</v>
      </c>
      <c r="N64" s="11" t="s">
        <v>3491</v>
      </c>
      <c r="O64" s="11" t="s">
        <v>3365</v>
      </c>
      <c r="P64" s="11" t="s">
        <v>0</v>
      </c>
      <c r="Q64" s="11" t="s">
        <v>0</v>
      </c>
      <c r="R64" s="11" t="s">
        <v>0</v>
      </c>
      <c r="S64" s="11" t="s">
        <v>0</v>
      </c>
      <c r="T64" s="11" t="s">
        <v>0</v>
      </c>
      <c r="U64" s="11" t="s">
        <v>0</v>
      </c>
      <c r="V64" s="11" t="s">
        <v>0</v>
      </c>
      <c r="W64" s="11" t="s">
        <v>0</v>
      </c>
      <c r="Y64" s="5"/>
    </row>
    <row r="65" spans="1:25" ht="15">
      <c r="A65" s="10">
        <v>48000056</v>
      </c>
      <c r="B65" s="216" t="s">
        <v>3489</v>
      </c>
      <c r="C65" s="223" t="s">
        <v>0</v>
      </c>
      <c r="D65" s="215" t="s">
        <v>2694</v>
      </c>
      <c r="E65" s="11">
        <f>IFERROR(VLOOKUP(D65,ShipShapeEnum!$B:$C,2,FALSE),"-")</f>
        <v>4</v>
      </c>
      <c r="F65" s="19" t="s">
        <v>0</v>
      </c>
      <c r="G65" s="19">
        <v>0.5</v>
      </c>
      <c r="H65" s="19">
        <v>0.7</v>
      </c>
      <c r="I65" s="19">
        <v>0.8</v>
      </c>
      <c r="J65" s="19">
        <v>1</v>
      </c>
      <c r="K65" s="4" t="s">
        <v>81</v>
      </c>
      <c r="L65" s="11">
        <f>IFERROR(VLOOKUP(K65,ShipShapeEnum!$H:$I,2,FALSE),"-")</f>
        <v>1</v>
      </c>
      <c r="M65" s="11">
        <v>0</v>
      </c>
      <c r="N65" s="11" t="s">
        <v>3492</v>
      </c>
      <c r="O65" s="11" t="s">
        <v>3365</v>
      </c>
      <c r="P65" s="11" t="s">
        <v>0</v>
      </c>
      <c r="Q65" s="11" t="s">
        <v>0</v>
      </c>
      <c r="R65" s="11" t="s">
        <v>0</v>
      </c>
      <c r="S65" s="11" t="s">
        <v>0</v>
      </c>
      <c r="T65" s="11" t="s">
        <v>0</v>
      </c>
      <c r="U65" s="11" t="s">
        <v>0</v>
      </c>
      <c r="V65" s="11" t="s">
        <v>0</v>
      </c>
      <c r="W65" s="11" t="s">
        <v>0</v>
      </c>
      <c r="Y65" s="5"/>
    </row>
    <row r="66" spans="1:25" ht="15">
      <c r="A66" s="10">
        <v>48000057</v>
      </c>
      <c r="B66" s="216" t="s">
        <v>3490</v>
      </c>
      <c r="C66" s="223" t="s">
        <v>0</v>
      </c>
      <c r="D66" s="215" t="s">
        <v>2694</v>
      </c>
      <c r="E66" s="11">
        <f>IFERROR(VLOOKUP(D66,ShipShapeEnum!$B:$C,2,FALSE),"-")</f>
        <v>4</v>
      </c>
      <c r="F66" s="19" t="s">
        <v>0</v>
      </c>
      <c r="G66" s="19">
        <v>0.5</v>
      </c>
      <c r="H66" s="19">
        <v>0.7</v>
      </c>
      <c r="I66" s="19">
        <v>0.8</v>
      </c>
      <c r="J66" s="19">
        <v>1</v>
      </c>
      <c r="K66" s="4" t="s">
        <v>81</v>
      </c>
      <c r="L66" s="11">
        <f>IFERROR(VLOOKUP(K66,ShipShapeEnum!$H:$I,2,FALSE),"-")</f>
        <v>1</v>
      </c>
      <c r="M66" s="11">
        <v>0</v>
      </c>
      <c r="N66" s="11" t="s">
        <v>3493</v>
      </c>
      <c r="O66" s="11" t="s">
        <v>3365</v>
      </c>
      <c r="P66" s="11" t="s">
        <v>0</v>
      </c>
      <c r="Q66" s="11" t="s">
        <v>0</v>
      </c>
      <c r="R66" s="11" t="s">
        <v>0</v>
      </c>
      <c r="S66" s="11" t="s">
        <v>0</v>
      </c>
      <c r="T66" s="11" t="s">
        <v>0</v>
      </c>
      <c r="U66" s="11" t="s">
        <v>0</v>
      </c>
      <c r="V66" s="11" t="s">
        <v>0</v>
      </c>
      <c r="W66" s="11" t="s">
        <v>0</v>
      </c>
      <c r="Y66" s="5"/>
    </row>
    <row r="67" spans="1:25" ht="15">
      <c r="A67" s="10">
        <v>48000058</v>
      </c>
      <c r="B67" s="216" t="s">
        <v>3494</v>
      </c>
      <c r="C67" s="223" t="s">
        <v>3495</v>
      </c>
      <c r="D67" s="215" t="s">
        <v>2694</v>
      </c>
      <c r="E67" s="11">
        <f>IFERROR(VLOOKUP(D67,ShipShapeEnum!$B:$C,2,FALSE),"-")</f>
        <v>4</v>
      </c>
      <c r="F67" s="19" t="s">
        <v>2886</v>
      </c>
      <c r="G67" s="19">
        <v>1</v>
      </c>
      <c r="H67" s="19">
        <v>1</v>
      </c>
      <c r="I67" s="19">
        <v>1</v>
      </c>
      <c r="J67" s="19">
        <v>1</v>
      </c>
      <c r="K67" s="4" t="s">
        <v>81</v>
      </c>
      <c r="L67" s="11">
        <f>IFERROR(VLOOKUP(K67,ShipShapeEnum!$H:$I,2,FALSE),"-")</f>
        <v>1</v>
      </c>
      <c r="M67" s="11">
        <v>0</v>
      </c>
      <c r="N67" s="11" t="s">
        <v>0</v>
      </c>
      <c r="O67" s="11" t="s">
        <v>0</v>
      </c>
      <c r="P67" s="11" t="s">
        <v>0</v>
      </c>
      <c r="Q67" s="11" t="s">
        <v>0</v>
      </c>
      <c r="R67" s="11" t="s">
        <v>0</v>
      </c>
      <c r="S67" s="11" t="s">
        <v>0</v>
      </c>
      <c r="T67" s="11" t="s">
        <v>0</v>
      </c>
      <c r="U67" s="11" t="s">
        <v>0</v>
      </c>
      <c r="V67" s="11" t="s">
        <v>0</v>
      </c>
      <c r="W67" s="11" t="s">
        <v>0</v>
      </c>
      <c r="Y67" s="5"/>
    </row>
    <row r="68" spans="1:25" ht="15">
      <c r="A68" s="10">
        <v>48000059</v>
      </c>
      <c r="B68" s="216" t="s">
        <v>3496</v>
      </c>
      <c r="C68" s="223" t="s">
        <v>0</v>
      </c>
      <c r="D68" s="215" t="s">
        <v>2694</v>
      </c>
      <c r="E68" s="11">
        <f>IFERROR(VLOOKUP(D68,ShipShapeEnum!$B:$C,2,FALSE),"-")</f>
        <v>4</v>
      </c>
      <c r="F68" s="19" t="s">
        <v>0</v>
      </c>
      <c r="G68" s="19">
        <v>0.7</v>
      </c>
      <c r="H68" s="19">
        <v>0.9</v>
      </c>
      <c r="I68" s="19">
        <v>1</v>
      </c>
      <c r="J68" s="19">
        <v>1</v>
      </c>
      <c r="K68" s="4" t="s">
        <v>81</v>
      </c>
      <c r="L68" s="11">
        <f>IFERROR(VLOOKUP(K68,ShipShapeEnum!$H:$I,2,FALSE),"-")</f>
        <v>1</v>
      </c>
      <c r="M68" s="11">
        <v>0</v>
      </c>
      <c r="N68" s="11" t="s">
        <v>3497</v>
      </c>
      <c r="O68" s="11" t="s">
        <v>3419</v>
      </c>
      <c r="P68" s="11" t="s">
        <v>0</v>
      </c>
      <c r="Q68" s="11" t="s">
        <v>0</v>
      </c>
      <c r="R68" s="11" t="s">
        <v>0</v>
      </c>
      <c r="S68" s="11" t="s">
        <v>0</v>
      </c>
      <c r="T68" s="11" t="s">
        <v>0</v>
      </c>
      <c r="U68" s="11" t="s">
        <v>0</v>
      </c>
      <c r="V68" s="11" t="s">
        <v>0</v>
      </c>
      <c r="W68" s="11" t="s">
        <v>0</v>
      </c>
      <c r="Y68" s="5"/>
    </row>
    <row r="69" spans="1:25" ht="15">
      <c r="A69" s="10">
        <v>48000060</v>
      </c>
      <c r="B69" s="216" t="s">
        <v>3514</v>
      </c>
      <c r="C69" s="223" t="s">
        <v>0</v>
      </c>
      <c r="D69" s="215" t="s">
        <v>2694</v>
      </c>
      <c r="E69" s="11">
        <f>IFERROR(VLOOKUP(D69,ShipShapeEnum!$B:$C,2,FALSE),"-")</f>
        <v>4</v>
      </c>
      <c r="F69" s="19" t="s">
        <v>0</v>
      </c>
      <c r="G69" s="19">
        <v>0.6</v>
      </c>
      <c r="H69" s="19">
        <v>0.75</v>
      </c>
      <c r="I69" s="19">
        <v>0.85</v>
      </c>
      <c r="J69" s="19">
        <v>1</v>
      </c>
      <c r="K69" s="4" t="s">
        <v>81</v>
      </c>
      <c r="L69" s="11">
        <f>IFERROR(VLOOKUP(K69,ShipShapeEnum!$H:$I,2,FALSE),"-")</f>
        <v>1</v>
      </c>
      <c r="M69" s="11">
        <v>0</v>
      </c>
      <c r="N69" s="11" t="s">
        <v>3516</v>
      </c>
      <c r="O69" s="11" t="s">
        <v>3517</v>
      </c>
      <c r="P69" s="11" t="s">
        <v>3516</v>
      </c>
      <c r="Q69" s="11" t="s">
        <v>3518</v>
      </c>
      <c r="R69" s="11" t="s">
        <v>3516</v>
      </c>
      <c r="S69" s="11" t="s">
        <v>3519</v>
      </c>
      <c r="T69" s="11" t="s">
        <v>0</v>
      </c>
      <c r="U69" s="11" t="s">
        <v>0</v>
      </c>
      <c r="V69" s="11" t="s">
        <v>0</v>
      </c>
      <c r="W69" s="11" t="s">
        <v>0</v>
      </c>
      <c r="Y69" s="5"/>
    </row>
    <row r="70" spans="1:25" ht="15">
      <c r="A70" s="10">
        <v>48000061</v>
      </c>
      <c r="B70" s="216" t="s">
        <v>3515</v>
      </c>
      <c r="C70" s="223" t="s">
        <v>0</v>
      </c>
      <c r="D70" s="215" t="s">
        <v>2694</v>
      </c>
      <c r="E70" s="11">
        <f>IFERROR(VLOOKUP(D70,ShipShapeEnum!$B:$C,2,FALSE),"-")</f>
        <v>4</v>
      </c>
      <c r="F70" s="19" t="s">
        <v>0</v>
      </c>
      <c r="G70" s="19">
        <v>0.6</v>
      </c>
      <c r="H70" s="19">
        <v>0.75</v>
      </c>
      <c r="I70" s="19">
        <v>0.85</v>
      </c>
      <c r="J70" s="19">
        <v>1</v>
      </c>
      <c r="K70" s="4" t="s">
        <v>81</v>
      </c>
      <c r="L70" s="11">
        <f>IFERROR(VLOOKUP(K70,ShipShapeEnum!$H:$I,2,FALSE),"-")</f>
        <v>1</v>
      </c>
      <c r="M70" s="11">
        <v>0</v>
      </c>
      <c r="N70" s="11" t="s">
        <v>3520</v>
      </c>
      <c r="O70" s="11" t="s">
        <v>3521</v>
      </c>
      <c r="P70" s="11" t="s">
        <v>3520</v>
      </c>
      <c r="Q70" s="11" t="s">
        <v>3523</v>
      </c>
      <c r="R70" s="11" t="s">
        <v>3520</v>
      </c>
      <c r="S70" s="11" t="s">
        <v>3522</v>
      </c>
      <c r="T70" s="11" t="s">
        <v>0</v>
      </c>
      <c r="U70" s="11" t="s">
        <v>0</v>
      </c>
      <c r="V70" s="11" t="s">
        <v>0</v>
      </c>
      <c r="W70" s="11" t="s">
        <v>0</v>
      </c>
      <c r="Y70" s="5"/>
    </row>
    <row r="71" spans="1:25" ht="15">
      <c r="A71" s="10">
        <v>48000062</v>
      </c>
      <c r="B71" s="216" t="s">
        <v>3524</v>
      </c>
      <c r="C71" s="223" t="s">
        <v>3525</v>
      </c>
      <c r="D71" s="215" t="s">
        <v>2694</v>
      </c>
      <c r="E71" s="11">
        <f>IFERROR(VLOOKUP(D71,ShipShapeEnum!$B:$C,2,FALSE),"-")</f>
        <v>4</v>
      </c>
      <c r="F71" s="19" t="s">
        <v>3526</v>
      </c>
      <c r="G71" s="19">
        <v>0.7</v>
      </c>
      <c r="H71" s="19">
        <v>0.9</v>
      </c>
      <c r="I71" s="19">
        <v>1</v>
      </c>
      <c r="J71" s="19">
        <v>1</v>
      </c>
      <c r="K71" s="4" t="s">
        <v>81</v>
      </c>
      <c r="L71" s="11">
        <f>IFERROR(VLOOKUP(K71,ShipShapeEnum!$H:$I,2,FALSE),"-")</f>
        <v>1</v>
      </c>
      <c r="M71" s="11">
        <v>0</v>
      </c>
      <c r="N71" s="11" t="s">
        <v>0</v>
      </c>
      <c r="O71" s="11" t="s">
        <v>0</v>
      </c>
      <c r="P71" s="11" t="s">
        <v>0</v>
      </c>
      <c r="Q71" s="11" t="s">
        <v>0</v>
      </c>
      <c r="R71" s="11" t="s">
        <v>0</v>
      </c>
      <c r="S71" s="11" t="s">
        <v>0</v>
      </c>
      <c r="T71" s="11" t="s">
        <v>0</v>
      </c>
      <c r="U71" s="11" t="s">
        <v>0</v>
      </c>
      <c r="V71" s="11" t="s">
        <v>0</v>
      </c>
      <c r="W71" s="11" t="s">
        <v>0</v>
      </c>
      <c r="Y71" s="5"/>
    </row>
    <row r="72" spans="1:25" ht="15">
      <c r="A72" s="10">
        <v>48000063</v>
      </c>
      <c r="B72" s="216" t="s">
        <v>3612</v>
      </c>
      <c r="C72" s="223" t="s">
        <v>0</v>
      </c>
      <c r="D72" s="215" t="s">
        <v>2694</v>
      </c>
      <c r="E72" s="11">
        <f>IFERROR(VLOOKUP(D72,ShipShapeEnum!$B:$C,2,FALSE),"-")</f>
        <v>4</v>
      </c>
      <c r="F72" s="19" t="s">
        <v>0</v>
      </c>
      <c r="G72" s="19">
        <v>0.5</v>
      </c>
      <c r="H72" s="19">
        <v>0.7</v>
      </c>
      <c r="I72" s="19">
        <v>0.8</v>
      </c>
      <c r="J72" s="19">
        <v>1</v>
      </c>
      <c r="K72" s="4" t="s">
        <v>81</v>
      </c>
      <c r="L72" s="11">
        <f>IFERROR(VLOOKUP(K72,ShipShapeEnum!$H:$I,2,FALSE),"-")</f>
        <v>1</v>
      </c>
      <c r="M72" s="11">
        <v>0</v>
      </c>
      <c r="N72" s="11" t="s">
        <v>3610</v>
      </c>
      <c r="O72" s="11" t="s">
        <v>3611</v>
      </c>
      <c r="P72" s="11" t="s">
        <v>0</v>
      </c>
      <c r="Q72" s="11" t="s">
        <v>0</v>
      </c>
      <c r="R72" s="11" t="s">
        <v>0</v>
      </c>
      <c r="S72" s="11" t="s">
        <v>0</v>
      </c>
      <c r="T72" s="11" t="s">
        <v>0</v>
      </c>
      <c r="U72" s="11" t="s">
        <v>0</v>
      </c>
      <c r="V72" s="11" t="s">
        <v>0</v>
      </c>
      <c r="W72" s="11" t="s">
        <v>0</v>
      </c>
      <c r="Y72" s="5"/>
    </row>
    <row r="73" spans="1:25" ht="15">
      <c r="A73" s="10">
        <v>48000064</v>
      </c>
      <c r="B73" s="216" t="s">
        <v>3613</v>
      </c>
      <c r="C73" s="223" t="s">
        <v>3619</v>
      </c>
      <c r="D73" s="215" t="s">
        <v>2694</v>
      </c>
      <c r="E73" s="11">
        <f>IFERROR(VLOOKUP(D73,ShipShapeEnum!$B:$C,2,FALSE),"-")</f>
        <v>4</v>
      </c>
      <c r="F73" s="19" t="s">
        <v>2696</v>
      </c>
      <c r="G73" s="19">
        <v>1</v>
      </c>
      <c r="H73" s="19">
        <v>1</v>
      </c>
      <c r="I73" s="19">
        <v>1.2</v>
      </c>
      <c r="J73" s="19">
        <v>1.2</v>
      </c>
      <c r="K73" s="4" t="s">
        <v>81</v>
      </c>
      <c r="L73" s="11">
        <f>IFERROR(VLOOKUP(K73,ShipShapeEnum!$H:$I,2,FALSE),"-")</f>
        <v>1</v>
      </c>
      <c r="M73" s="11">
        <v>0</v>
      </c>
      <c r="N73" s="11" t="s">
        <v>0</v>
      </c>
      <c r="O73" s="11" t="s">
        <v>0</v>
      </c>
      <c r="P73" s="11" t="s">
        <v>0</v>
      </c>
      <c r="Q73" s="11" t="s">
        <v>0</v>
      </c>
      <c r="R73" s="11" t="s">
        <v>0</v>
      </c>
      <c r="S73" s="11" t="s">
        <v>0</v>
      </c>
      <c r="T73" s="11" t="s">
        <v>0</v>
      </c>
      <c r="U73" s="11" t="s">
        <v>0</v>
      </c>
      <c r="V73" s="11" t="s">
        <v>0</v>
      </c>
      <c r="W73" s="11" t="s">
        <v>0</v>
      </c>
      <c r="Y73" s="5"/>
    </row>
    <row r="74" spans="1:25" ht="15">
      <c r="A74" s="10">
        <v>48000065</v>
      </c>
      <c r="B74" s="216" t="s">
        <v>3620</v>
      </c>
      <c r="C74" s="227" t="s">
        <v>0</v>
      </c>
      <c r="D74" s="215" t="s">
        <v>2694</v>
      </c>
      <c r="E74" s="11">
        <f>IFERROR(VLOOKUP(D74,ShipShapeEnum!$B:$C,2,FALSE),"-")</f>
        <v>4</v>
      </c>
      <c r="F74" s="19" t="s">
        <v>0</v>
      </c>
      <c r="G74" s="19">
        <v>0.6</v>
      </c>
      <c r="H74" s="19">
        <v>0.7</v>
      </c>
      <c r="I74" s="19">
        <v>0.8</v>
      </c>
      <c r="J74" s="19">
        <v>0.8</v>
      </c>
      <c r="K74" s="4" t="s">
        <v>81</v>
      </c>
      <c r="L74" s="11">
        <f>IFERROR(VLOOKUP(K74,ShipShapeEnum!$H:$I,2,FALSE),"-")</f>
        <v>1</v>
      </c>
      <c r="M74" s="11">
        <v>0</v>
      </c>
      <c r="N74" s="11" t="s">
        <v>3621</v>
      </c>
      <c r="O74" s="11" t="s">
        <v>2898</v>
      </c>
      <c r="P74" s="11" t="s">
        <v>3622</v>
      </c>
      <c r="Q74" s="11" t="s">
        <v>0</v>
      </c>
      <c r="R74" s="11" t="s">
        <v>0</v>
      </c>
      <c r="S74" s="11" t="s">
        <v>0</v>
      </c>
      <c r="T74" s="11" t="s">
        <v>0</v>
      </c>
      <c r="U74" s="11" t="s">
        <v>0</v>
      </c>
      <c r="V74" s="11" t="s">
        <v>0</v>
      </c>
      <c r="W74" s="11" t="s">
        <v>0</v>
      </c>
      <c r="Y74" s="5"/>
    </row>
    <row r="75" spans="1:25" ht="15">
      <c r="A75" s="10">
        <v>48000066</v>
      </c>
      <c r="B75" s="216" t="s">
        <v>3623</v>
      </c>
      <c r="C75" s="227" t="s">
        <v>0</v>
      </c>
      <c r="D75" s="215" t="s">
        <v>2694</v>
      </c>
      <c r="E75" s="11">
        <f>IFERROR(VLOOKUP(D75,ShipShapeEnum!$B:$C,2,FALSE),"-")</f>
        <v>4</v>
      </c>
      <c r="F75" s="19" t="s">
        <v>0</v>
      </c>
      <c r="G75" s="19">
        <v>0.8</v>
      </c>
      <c r="H75" s="19">
        <v>0.8</v>
      </c>
      <c r="I75" s="19">
        <v>1</v>
      </c>
      <c r="J75" s="19">
        <v>1.2</v>
      </c>
      <c r="K75" s="4" t="s">
        <v>81</v>
      </c>
      <c r="L75" s="11">
        <f>IFERROR(VLOOKUP(K75,ShipShapeEnum!$H:$I,2,FALSE),"-")</f>
        <v>1</v>
      </c>
      <c r="M75" s="11">
        <v>0</v>
      </c>
      <c r="N75" s="11" t="s">
        <v>3624</v>
      </c>
      <c r="O75" s="11" t="s">
        <v>2898</v>
      </c>
      <c r="P75" s="11" t="s">
        <v>0</v>
      </c>
      <c r="Q75" s="11" t="s">
        <v>0</v>
      </c>
      <c r="R75" s="11" t="s">
        <v>0</v>
      </c>
      <c r="S75" s="11" t="s">
        <v>0</v>
      </c>
      <c r="T75" s="11" t="s">
        <v>0</v>
      </c>
      <c r="U75" s="11" t="s">
        <v>0</v>
      </c>
      <c r="V75" s="11" t="s">
        <v>0</v>
      </c>
      <c r="W75" s="11" t="s">
        <v>0</v>
      </c>
      <c r="Y75" s="5"/>
    </row>
    <row r="76" spans="1:25" ht="15">
      <c r="A76" s="10">
        <v>48000067</v>
      </c>
      <c r="B76" s="216" t="s">
        <v>3668</v>
      </c>
      <c r="C76" s="227" t="s">
        <v>0</v>
      </c>
      <c r="D76" s="215" t="s">
        <v>2694</v>
      </c>
      <c r="E76" s="11">
        <f>IFERROR(VLOOKUP(D76,ShipShapeEnum!$B:$C,2,FALSE),"-")</f>
        <v>4</v>
      </c>
      <c r="F76" s="19" t="s">
        <v>0</v>
      </c>
      <c r="G76" s="19">
        <v>0.5</v>
      </c>
      <c r="H76" s="19">
        <v>0.6</v>
      </c>
      <c r="I76" s="19">
        <v>0.75</v>
      </c>
      <c r="J76" s="19">
        <v>1</v>
      </c>
      <c r="K76" s="4" t="s">
        <v>81</v>
      </c>
      <c r="L76" s="11">
        <f>IFERROR(VLOOKUP(K76,ShipShapeEnum!$H:$I,2,FALSE),"-")</f>
        <v>1</v>
      </c>
      <c r="M76" s="11">
        <v>0</v>
      </c>
      <c r="N76" s="11" t="s">
        <v>3669</v>
      </c>
      <c r="O76" s="11" t="s">
        <v>3243</v>
      </c>
      <c r="P76" s="11" t="s">
        <v>3670</v>
      </c>
      <c r="Q76" s="11" t="s">
        <v>3245</v>
      </c>
      <c r="R76" s="11" t="s">
        <v>0</v>
      </c>
      <c r="S76" s="11" t="s">
        <v>0</v>
      </c>
      <c r="T76" s="11" t="s">
        <v>0</v>
      </c>
      <c r="U76" s="11" t="s">
        <v>0</v>
      </c>
      <c r="V76" s="11" t="s">
        <v>0</v>
      </c>
      <c r="W76" s="11" t="s">
        <v>0</v>
      </c>
      <c r="Y76" s="5"/>
    </row>
    <row r="77" spans="1:25" ht="15">
      <c r="A77" s="10">
        <v>48000068</v>
      </c>
      <c r="B77" s="216" t="s">
        <v>3703</v>
      </c>
      <c r="C77" s="227" t="s">
        <v>0</v>
      </c>
      <c r="D77" s="215" t="s">
        <v>2694</v>
      </c>
      <c r="E77" s="11">
        <f>IFERROR(VLOOKUP(D77,ShipShapeEnum!$B:$C,2,FALSE),"-")</f>
        <v>4</v>
      </c>
      <c r="F77" s="19" t="s">
        <v>0</v>
      </c>
      <c r="G77" s="19">
        <v>0.6</v>
      </c>
      <c r="H77" s="19">
        <v>0.7</v>
      </c>
      <c r="I77" s="19">
        <v>0.8</v>
      </c>
      <c r="J77" s="19">
        <v>0.8</v>
      </c>
      <c r="K77" s="4" t="s">
        <v>81</v>
      </c>
      <c r="L77" s="11">
        <f>IFERROR(VLOOKUP(K77,ShipShapeEnum!$H:$I,2,FALSE),"-")</f>
        <v>1</v>
      </c>
      <c r="M77" s="11">
        <v>0</v>
      </c>
      <c r="N77" s="11" t="s">
        <v>3704</v>
      </c>
      <c r="O77" s="11" t="s">
        <v>2898</v>
      </c>
      <c r="P77" s="11" t="s">
        <v>3705</v>
      </c>
      <c r="Q77" s="11" t="s">
        <v>0</v>
      </c>
      <c r="R77" s="11" t="s">
        <v>0</v>
      </c>
      <c r="S77" s="11" t="s">
        <v>0</v>
      </c>
      <c r="T77" s="11" t="s">
        <v>0</v>
      </c>
      <c r="U77" s="11" t="s">
        <v>0</v>
      </c>
      <c r="V77" s="11" t="s">
        <v>0</v>
      </c>
      <c r="W77" s="11" t="s">
        <v>0</v>
      </c>
      <c r="Y77" s="5"/>
    </row>
    <row r="78" spans="1:25" ht="15">
      <c r="A78" s="10">
        <v>48000069</v>
      </c>
      <c r="B78" s="216" t="s">
        <v>3791</v>
      </c>
      <c r="C78" s="223" t="s">
        <v>0</v>
      </c>
      <c r="D78" s="215" t="s">
        <v>2694</v>
      </c>
      <c r="E78" s="11">
        <f>IFERROR(VLOOKUP(D78,ShipShapeEnum!$B:$C,2,FALSE),"-")</f>
        <v>4</v>
      </c>
      <c r="F78" s="19" t="s">
        <v>0</v>
      </c>
      <c r="G78" s="19">
        <v>0.5</v>
      </c>
      <c r="H78" s="19">
        <v>0.7</v>
      </c>
      <c r="I78" s="19">
        <v>0.8</v>
      </c>
      <c r="J78" s="19">
        <v>1</v>
      </c>
      <c r="K78" s="4" t="s">
        <v>81</v>
      </c>
      <c r="L78" s="11">
        <f>IFERROR(VLOOKUP(K78,ShipShapeEnum!$H:$I,2,FALSE),"-")</f>
        <v>1</v>
      </c>
      <c r="M78" s="11">
        <v>0</v>
      </c>
      <c r="N78" s="11" t="s">
        <v>3792</v>
      </c>
      <c r="O78" s="11" t="s">
        <v>3365</v>
      </c>
      <c r="P78" s="11" t="s">
        <v>0</v>
      </c>
      <c r="Q78" s="11" t="s">
        <v>0</v>
      </c>
      <c r="R78" s="11" t="s">
        <v>0</v>
      </c>
      <c r="S78" s="11" t="s">
        <v>0</v>
      </c>
      <c r="T78" s="11" t="s">
        <v>0</v>
      </c>
      <c r="U78" s="11" t="s">
        <v>0</v>
      </c>
      <c r="V78" s="11" t="s">
        <v>0</v>
      </c>
      <c r="W78" s="11" t="s">
        <v>0</v>
      </c>
      <c r="Y78" s="5"/>
    </row>
    <row r="79" spans="1:25" ht="15">
      <c r="A79" s="10">
        <v>48000070</v>
      </c>
      <c r="B79" s="216" t="s">
        <v>3793</v>
      </c>
      <c r="C79" s="223" t="s">
        <v>0</v>
      </c>
      <c r="D79" s="215" t="s">
        <v>2694</v>
      </c>
      <c r="E79" s="11">
        <f>IFERROR(VLOOKUP(D79,ShipShapeEnum!$B:$C,2,FALSE),"-")</f>
        <v>4</v>
      </c>
      <c r="F79" s="19" t="s">
        <v>0</v>
      </c>
      <c r="G79" s="19">
        <v>0.6</v>
      </c>
      <c r="H79" s="19">
        <v>0.75</v>
      </c>
      <c r="I79" s="19">
        <v>0.85</v>
      </c>
      <c r="J79" s="19">
        <v>1</v>
      </c>
      <c r="K79" s="4" t="s">
        <v>81</v>
      </c>
      <c r="L79" s="11">
        <f>IFERROR(VLOOKUP(K79,ShipShapeEnum!$H:$I,2,FALSE),"-")</f>
        <v>1</v>
      </c>
      <c r="M79" s="11">
        <v>0</v>
      </c>
      <c r="N79" s="11" t="s">
        <v>3794</v>
      </c>
      <c r="O79" s="11" t="s">
        <v>3517</v>
      </c>
      <c r="P79" s="11" t="s">
        <v>3795</v>
      </c>
      <c r="Q79" s="11" t="s">
        <v>3518</v>
      </c>
      <c r="R79" s="11" t="s">
        <v>3796</v>
      </c>
      <c r="S79" s="11" t="s">
        <v>3519</v>
      </c>
      <c r="T79" s="11" t="s">
        <v>0</v>
      </c>
      <c r="U79" s="11" t="s">
        <v>0</v>
      </c>
      <c r="V79" s="11" t="s">
        <v>0</v>
      </c>
      <c r="W79" s="11" t="s">
        <v>0</v>
      </c>
      <c r="Y79" s="5"/>
    </row>
    <row r="80" spans="1:25" ht="15">
      <c r="A80" s="10">
        <v>48000071</v>
      </c>
      <c r="B80" s="216" t="s">
        <v>3800</v>
      </c>
      <c r="C80" s="223" t="s">
        <v>0</v>
      </c>
      <c r="D80" s="215" t="s">
        <v>2694</v>
      </c>
      <c r="E80" s="11">
        <f>IFERROR(VLOOKUP(D80,ShipShapeEnum!$B:$C,2,FALSE),"-")</f>
        <v>4</v>
      </c>
      <c r="F80" s="19" t="s">
        <v>0</v>
      </c>
      <c r="G80" s="19">
        <v>0.6</v>
      </c>
      <c r="H80" s="19">
        <v>0.75</v>
      </c>
      <c r="I80" s="19">
        <v>0.85</v>
      </c>
      <c r="J80" s="19">
        <v>1</v>
      </c>
      <c r="K80" s="4" t="s">
        <v>81</v>
      </c>
      <c r="L80" s="11">
        <f>IFERROR(VLOOKUP(K80,ShipShapeEnum!$H:$I,2,FALSE),"-")</f>
        <v>1</v>
      </c>
      <c r="M80" s="11">
        <v>0</v>
      </c>
      <c r="N80" s="11" t="s">
        <v>3797</v>
      </c>
      <c r="O80" s="11" t="s">
        <v>3521</v>
      </c>
      <c r="P80" s="11" t="s">
        <v>3798</v>
      </c>
      <c r="Q80" s="11" t="s">
        <v>3523</v>
      </c>
      <c r="R80" s="11" t="s">
        <v>3799</v>
      </c>
      <c r="S80" s="11" t="s">
        <v>3522</v>
      </c>
      <c r="T80" s="11" t="s">
        <v>0</v>
      </c>
      <c r="U80" s="11" t="s">
        <v>0</v>
      </c>
      <c r="V80" s="11" t="s">
        <v>0</v>
      </c>
      <c r="W80" s="11" t="s">
        <v>0</v>
      </c>
      <c r="Y80" s="5"/>
    </row>
    <row r="81" spans="1:25" ht="15">
      <c r="A81" s="10">
        <v>48000072</v>
      </c>
      <c r="B81" s="216" t="s">
        <v>3801</v>
      </c>
      <c r="C81" s="223" t="s">
        <v>3802</v>
      </c>
      <c r="D81" s="215" t="s">
        <v>2694</v>
      </c>
      <c r="E81" s="11">
        <f>IFERROR(VLOOKUP(D81,ShipShapeEnum!$B:$C,2,FALSE),"-")</f>
        <v>4</v>
      </c>
      <c r="F81" s="19" t="s">
        <v>2696</v>
      </c>
      <c r="G81" s="19">
        <v>0.5</v>
      </c>
      <c r="H81" s="19">
        <v>0.6</v>
      </c>
      <c r="I81" s="19">
        <v>0.75</v>
      </c>
      <c r="J81" s="19">
        <v>1</v>
      </c>
      <c r="K81" s="4" t="s">
        <v>81</v>
      </c>
      <c r="L81" s="11">
        <f>IFERROR(VLOOKUP(K81,ShipShapeEnum!$H:$I,2,FALSE),"-")</f>
        <v>1</v>
      </c>
      <c r="M81" s="11">
        <v>0</v>
      </c>
      <c r="N81" s="11" t="s">
        <v>0</v>
      </c>
      <c r="O81" s="11" t="s">
        <v>0</v>
      </c>
      <c r="P81" s="11" t="s">
        <v>0</v>
      </c>
      <c r="Q81" s="11" t="s">
        <v>0</v>
      </c>
      <c r="R81" s="11" t="s">
        <v>0</v>
      </c>
      <c r="S81" s="11" t="s">
        <v>0</v>
      </c>
      <c r="T81" s="11" t="s">
        <v>0</v>
      </c>
      <c r="U81" s="11" t="s">
        <v>0</v>
      </c>
      <c r="V81" s="11" t="s">
        <v>0</v>
      </c>
      <c r="W81" s="11" t="s">
        <v>0</v>
      </c>
      <c r="Y81" s="5"/>
    </row>
    <row r="82" spans="1:25" ht="15">
      <c r="A82" s="10">
        <v>48000073</v>
      </c>
      <c r="B82" s="216" t="s">
        <v>3835</v>
      </c>
      <c r="C82" s="223" t="s">
        <v>0</v>
      </c>
      <c r="D82" s="215" t="s">
        <v>2694</v>
      </c>
      <c r="E82" s="11">
        <f>IFERROR(VLOOKUP(D82,ShipShapeEnum!$B:$C,2,FALSE),"-")</f>
        <v>4</v>
      </c>
      <c r="F82" s="19" t="s">
        <v>0</v>
      </c>
      <c r="G82" s="19">
        <v>0.5</v>
      </c>
      <c r="H82" s="19">
        <v>0.7</v>
      </c>
      <c r="I82" s="19">
        <v>0.8</v>
      </c>
      <c r="J82" s="19">
        <v>1</v>
      </c>
      <c r="K82" s="4" t="s">
        <v>81</v>
      </c>
      <c r="L82" s="11">
        <f>IFERROR(VLOOKUP(K82,ShipShapeEnum!$H:$I,2,FALSE),"-")</f>
        <v>1</v>
      </c>
      <c r="M82" s="11">
        <v>0</v>
      </c>
      <c r="N82" s="11" t="s">
        <v>3836</v>
      </c>
      <c r="O82" s="11" t="s">
        <v>3365</v>
      </c>
      <c r="P82" s="11" t="s">
        <v>0</v>
      </c>
      <c r="Q82" s="11" t="s">
        <v>0</v>
      </c>
      <c r="R82" s="11" t="s">
        <v>0</v>
      </c>
      <c r="S82" s="11" t="s">
        <v>0</v>
      </c>
      <c r="T82" s="11" t="s">
        <v>0</v>
      </c>
      <c r="U82" s="11" t="s">
        <v>0</v>
      </c>
      <c r="V82" s="11" t="s">
        <v>0</v>
      </c>
      <c r="W82" s="11" t="s">
        <v>0</v>
      </c>
      <c r="Y82" s="5"/>
    </row>
    <row r="83" spans="1:25" ht="15">
      <c r="A83" s="10">
        <v>48000074</v>
      </c>
      <c r="B83" s="216" t="s">
        <v>3853</v>
      </c>
      <c r="C83" s="223" t="s">
        <v>0</v>
      </c>
      <c r="D83" s="215" t="s">
        <v>2694</v>
      </c>
      <c r="E83" s="11">
        <f>IFERROR(VLOOKUP(D83,ShipShapeEnum!$B:$C,2,FALSE),"-")</f>
        <v>4</v>
      </c>
      <c r="F83" s="19" t="s">
        <v>0</v>
      </c>
      <c r="G83" s="19">
        <v>0.6</v>
      </c>
      <c r="H83" s="19">
        <v>0.75</v>
      </c>
      <c r="I83" s="19">
        <v>0.85</v>
      </c>
      <c r="J83" s="19">
        <v>1</v>
      </c>
      <c r="K83" s="4" t="s">
        <v>81</v>
      </c>
      <c r="L83" s="11">
        <f>IFERROR(VLOOKUP(K83,ShipShapeEnum!$H:$I,2,FALSE),"-")</f>
        <v>1</v>
      </c>
      <c r="M83" s="11">
        <v>0</v>
      </c>
      <c r="N83" s="11" t="s">
        <v>3857</v>
      </c>
      <c r="O83" s="11" t="s">
        <v>3517</v>
      </c>
      <c r="P83" s="11" t="s">
        <v>3858</v>
      </c>
      <c r="Q83" s="11" t="s">
        <v>3518</v>
      </c>
      <c r="R83" s="11" t="s">
        <v>3859</v>
      </c>
      <c r="S83" s="11" t="s">
        <v>3519</v>
      </c>
      <c r="T83" s="11" t="s">
        <v>0</v>
      </c>
      <c r="U83" s="11" t="s">
        <v>0</v>
      </c>
      <c r="V83" s="11" t="s">
        <v>0</v>
      </c>
      <c r="W83" s="11" t="s">
        <v>0</v>
      </c>
      <c r="Y83" s="5"/>
    </row>
    <row r="84" spans="1:25" ht="15">
      <c r="A84" s="10">
        <v>48000075</v>
      </c>
      <c r="B84" s="216" t="s">
        <v>3854</v>
      </c>
      <c r="C84" s="223" t="s">
        <v>0</v>
      </c>
      <c r="D84" s="215" t="s">
        <v>2694</v>
      </c>
      <c r="E84" s="11">
        <f>IFERROR(VLOOKUP(D84,ShipShapeEnum!$B:$C,2,FALSE),"-")</f>
        <v>4</v>
      </c>
      <c r="F84" s="19" t="s">
        <v>0</v>
      </c>
      <c r="G84" s="19">
        <v>0.6</v>
      </c>
      <c r="H84" s="19">
        <v>0.75</v>
      </c>
      <c r="I84" s="19">
        <v>0.85</v>
      </c>
      <c r="J84" s="19">
        <v>1</v>
      </c>
      <c r="K84" s="4" t="s">
        <v>81</v>
      </c>
      <c r="L84" s="11">
        <f>IFERROR(VLOOKUP(K84,ShipShapeEnum!$H:$I,2,FALSE),"-")</f>
        <v>1</v>
      </c>
      <c r="M84" s="11">
        <v>0</v>
      </c>
      <c r="N84" s="11" t="s">
        <v>3860</v>
      </c>
      <c r="O84" s="11" t="s">
        <v>3521</v>
      </c>
      <c r="P84" s="11" t="s">
        <v>3861</v>
      </c>
      <c r="Q84" s="11" t="s">
        <v>3523</v>
      </c>
      <c r="R84" s="11" t="s">
        <v>3862</v>
      </c>
      <c r="S84" s="11" t="s">
        <v>3522</v>
      </c>
      <c r="T84" s="11" t="s">
        <v>0</v>
      </c>
      <c r="U84" s="11" t="s">
        <v>0</v>
      </c>
      <c r="V84" s="11" t="s">
        <v>0</v>
      </c>
      <c r="W84" s="11" t="s">
        <v>0</v>
      </c>
      <c r="Y84" s="5"/>
    </row>
    <row r="85" spans="1:25" ht="15">
      <c r="A85" s="10">
        <v>48000076</v>
      </c>
      <c r="B85" s="216" t="s">
        <v>3855</v>
      </c>
      <c r="C85" s="223" t="s">
        <v>3856</v>
      </c>
      <c r="D85" s="215" t="s">
        <v>2694</v>
      </c>
      <c r="E85" s="11">
        <f>IFERROR(VLOOKUP(D85,ShipShapeEnum!$B:$C,2,FALSE),"-")</f>
        <v>4</v>
      </c>
      <c r="F85" s="19" t="s">
        <v>2696</v>
      </c>
      <c r="G85" s="19">
        <v>0.5</v>
      </c>
      <c r="H85" s="19">
        <v>0.6</v>
      </c>
      <c r="I85" s="19">
        <v>0.75</v>
      </c>
      <c r="J85" s="19">
        <v>1</v>
      </c>
      <c r="K85" s="4" t="s">
        <v>81</v>
      </c>
      <c r="L85" s="11">
        <f>IFERROR(VLOOKUP(K85,ShipShapeEnum!$H:$I,2,FALSE),"-")</f>
        <v>1</v>
      </c>
      <c r="M85" s="11">
        <v>0</v>
      </c>
      <c r="N85" s="11" t="s">
        <v>0</v>
      </c>
      <c r="O85" s="11" t="s">
        <v>0</v>
      </c>
      <c r="P85" s="11" t="s">
        <v>0</v>
      </c>
      <c r="Q85" s="11" t="s">
        <v>0</v>
      </c>
      <c r="R85" s="11" t="s">
        <v>0</v>
      </c>
      <c r="S85" s="11" t="s">
        <v>0</v>
      </c>
      <c r="T85" s="11" t="s">
        <v>0</v>
      </c>
      <c r="U85" s="11" t="s">
        <v>0</v>
      </c>
      <c r="V85" s="11" t="s">
        <v>0</v>
      </c>
      <c r="W85" s="11" t="s">
        <v>0</v>
      </c>
      <c r="Y85" s="5"/>
    </row>
    <row r="86" spans="1:25" ht="15">
      <c r="A86" s="10">
        <v>48000077</v>
      </c>
      <c r="B86" s="216" t="s">
        <v>3863</v>
      </c>
      <c r="C86" s="223" t="s">
        <v>0</v>
      </c>
      <c r="D86" s="215" t="s">
        <v>2694</v>
      </c>
      <c r="E86" s="11">
        <f>IFERROR(VLOOKUP(D86,ShipShapeEnum!$B:$C,2,FALSE),"-")</f>
        <v>4</v>
      </c>
      <c r="F86" s="19" t="s">
        <v>0</v>
      </c>
      <c r="G86" s="19">
        <v>0.5</v>
      </c>
      <c r="H86" s="19">
        <v>0.7</v>
      </c>
      <c r="I86" s="19">
        <v>0.8</v>
      </c>
      <c r="J86" s="19">
        <v>1</v>
      </c>
      <c r="K86" s="4" t="s">
        <v>81</v>
      </c>
      <c r="L86" s="11">
        <f>IFERROR(VLOOKUP(K86,ShipShapeEnum!$H:$I,2,FALSE),"-")</f>
        <v>1</v>
      </c>
      <c r="M86" s="11">
        <v>0</v>
      </c>
      <c r="N86" s="11" t="s">
        <v>3864</v>
      </c>
      <c r="O86" s="11" t="s">
        <v>3365</v>
      </c>
      <c r="P86" s="11" t="s">
        <v>0</v>
      </c>
      <c r="Q86" s="11" t="s">
        <v>0</v>
      </c>
      <c r="R86" s="11" t="s">
        <v>0</v>
      </c>
      <c r="S86" s="11" t="s">
        <v>0</v>
      </c>
      <c r="T86" s="11" t="s">
        <v>0</v>
      </c>
      <c r="U86" s="11" t="s">
        <v>0</v>
      </c>
      <c r="V86" s="11" t="s">
        <v>0</v>
      </c>
      <c r="W86" s="11" t="s">
        <v>0</v>
      </c>
      <c r="Y86" s="5"/>
    </row>
    <row r="87" spans="1:25" ht="15">
      <c r="A87" s="10">
        <v>48000078</v>
      </c>
      <c r="B87" s="216" t="s">
        <v>3876</v>
      </c>
      <c r="C87" s="223" t="s">
        <v>3879</v>
      </c>
      <c r="D87" s="215" t="s">
        <v>2694</v>
      </c>
      <c r="E87" s="11">
        <f>IFERROR(VLOOKUP(D87,ShipShapeEnum!$B:$C,2,FALSE),"-")</f>
        <v>4</v>
      </c>
      <c r="F87" s="19" t="s">
        <v>3526</v>
      </c>
      <c r="G87" s="19">
        <v>0.6</v>
      </c>
      <c r="H87" s="19">
        <v>0.75</v>
      </c>
      <c r="I87" s="19">
        <v>0.85</v>
      </c>
      <c r="J87" s="19">
        <v>1</v>
      </c>
      <c r="K87" s="4" t="s">
        <v>81</v>
      </c>
      <c r="L87" s="11">
        <f>IFERROR(VLOOKUP(K87,ShipShapeEnum!$H:$I,2,FALSE),"-")</f>
        <v>1</v>
      </c>
      <c r="M87" s="11">
        <v>0</v>
      </c>
      <c r="N87" s="11" t="s">
        <v>0</v>
      </c>
      <c r="O87" s="11" t="s">
        <v>0</v>
      </c>
      <c r="P87" s="11" t="s">
        <v>0</v>
      </c>
      <c r="Q87" s="11" t="s">
        <v>0</v>
      </c>
      <c r="R87" s="11" t="s">
        <v>0</v>
      </c>
      <c r="S87" s="11" t="s">
        <v>0</v>
      </c>
      <c r="T87" s="11" t="s">
        <v>0</v>
      </c>
      <c r="U87" s="11" t="s">
        <v>0</v>
      </c>
      <c r="V87" s="11" t="s">
        <v>0</v>
      </c>
      <c r="W87" s="11" t="s">
        <v>0</v>
      </c>
      <c r="Y87" s="5"/>
    </row>
    <row r="88" spans="1:25" ht="15">
      <c r="A88" s="10">
        <v>48000079</v>
      </c>
      <c r="B88" s="216" t="s">
        <v>3877</v>
      </c>
      <c r="C88" s="223" t="s">
        <v>0</v>
      </c>
      <c r="D88" s="215" t="s">
        <v>2694</v>
      </c>
      <c r="E88" s="11">
        <f>IFERROR(VLOOKUP(D88,ShipShapeEnum!$B:$C,2,FALSE),"-")</f>
        <v>4</v>
      </c>
      <c r="F88" s="19" t="s">
        <v>0</v>
      </c>
      <c r="G88" s="19">
        <v>0.6</v>
      </c>
      <c r="H88" s="19">
        <v>0.75</v>
      </c>
      <c r="I88" s="19">
        <v>0.85</v>
      </c>
      <c r="J88" s="19">
        <v>1</v>
      </c>
      <c r="K88" s="4" t="s">
        <v>81</v>
      </c>
      <c r="L88" s="11">
        <f>IFERROR(VLOOKUP(K88,ShipShapeEnum!$H:$I,2,FALSE),"-")</f>
        <v>1</v>
      </c>
      <c r="M88" s="11">
        <v>0</v>
      </c>
      <c r="N88" s="11" t="s">
        <v>3880</v>
      </c>
      <c r="O88" s="11" t="s">
        <v>3517</v>
      </c>
      <c r="P88" s="11" t="s">
        <v>3881</v>
      </c>
      <c r="Q88" s="11" t="s">
        <v>3518</v>
      </c>
      <c r="R88" s="11" t="s">
        <v>3882</v>
      </c>
      <c r="S88" s="11" t="s">
        <v>3519</v>
      </c>
      <c r="T88" s="11" t="s">
        <v>0</v>
      </c>
      <c r="U88" s="11" t="s">
        <v>0</v>
      </c>
      <c r="V88" s="11" t="s">
        <v>0</v>
      </c>
      <c r="W88" s="11" t="s">
        <v>0</v>
      </c>
      <c r="Y88" s="5"/>
    </row>
    <row r="89" spans="1:25" ht="15">
      <c r="A89" s="10">
        <v>48000080</v>
      </c>
      <c r="B89" s="216" t="s">
        <v>3878</v>
      </c>
      <c r="C89" s="223" t="s">
        <v>0</v>
      </c>
      <c r="D89" s="215" t="s">
        <v>2694</v>
      </c>
      <c r="E89" s="11">
        <f>IFERROR(VLOOKUP(D89,ShipShapeEnum!$B:$C,2,FALSE),"-")</f>
        <v>4</v>
      </c>
      <c r="F89" s="19" t="s">
        <v>0</v>
      </c>
      <c r="G89" s="19">
        <v>0.6</v>
      </c>
      <c r="H89" s="19">
        <v>0.75</v>
      </c>
      <c r="I89" s="19">
        <v>0.85</v>
      </c>
      <c r="J89" s="19">
        <v>1</v>
      </c>
      <c r="K89" s="4" t="s">
        <v>81</v>
      </c>
      <c r="L89" s="11">
        <f>IFERROR(VLOOKUP(K89,ShipShapeEnum!$H:$I,2,FALSE),"-")</f>
        <v>1</v>
      </c>
      <c r="M89" s="11">
        <v>0</v>
      </c>
      <c r="N89" s="11" t="s">
        <v>3883</v>
      </c>
      <c r="O89" s="11" t="s">
        <v>3521</v>
      </c>
      <c r="P89" s="11" t="s">
        <v>3884</v>
      </c>
      <c r="Q89" s="11" t="s">
        <v>3523</v>
      </c>
      <c r="R89" s="11" t="s">
        <v>3885</v>
      </c>
      <c r="S89" s="11" t="s">
        <v>3522</v>
      </c>
      <c r="T89" s="11" t="s">
        <v>0</v>
      </c>
      <c r="U89" s="11" t="s">
        <v>0</v>
      </c>
      <c r="V89" s="11" t="s">
        <v>0</v>
      </c>
      <c r="W89" s="11" t="s">
        <v>0</v>
      </c>
      <c r="Y89" s="5"/>
    </row>
    <row r="90" spans="1:25" ht="15">
      <c r="A90" s="10">
        <v>48000081</v>
      </c>
      <c r="B90" s="216" t="s">
        <v>3924</v>
      </c>
      <c r="C90" s="229" t="s">
        <v>3925</v>
      </c>
      <c r="D90" s="215" t="s">
        <v>2694</v>
      </c>
      <c r="E90" s="11">
        <f>IFERROR(VLOOKUP(D90,ShipShapeEnum!$B:$C,2,FALSE),"-")</f>
        <v>4</v>
      </c>
      <c r="F90" s="19" t="s">
        <v>2696</v>
      </c>
      <c r="G90" s="19">
        <v>0.5</v>
      </c>
      <c r="H90" s="19">
        <v>0.75</v>
      </c>
      <c r="I90" s="19">
        <v>0.85</v>
      </c>
      <c r="J90" s="19">
        <v>1</v>
      </c>
      <c r="K90" s="4" t="s">
        <v>81</v>
      </c>
      <c r="L90" s="11">
        <f>IFERROR(VLOOKUP(K90,ShipShapeEnum!$H:$I,2,FALSE),"-")</f>
        <v>1</v>
      </c>
      <c r="M90" s="11">
        <v>0</v>
      </c>
      <c r="N90" s="11" t="s">
        <v>0</v>
      </c>
      <c r="O90" s="11" t="s">
        <v>0</v>
      </c>
      <c r="P90" s="11" t="s">
        <v>0</v>
      </c>
      <c r="Q90" s="11" t="s">
        <v>0</v>
      </c>
      <c r="R90" s="11" t="s">
        <v>0</v>
      </c>
      <c r="S90" s="11" t="s">
        <v>0</v>
      </c>
      <c r="T90" s="11" t="s">
        <v>0</v>
      </c>
      <c r="U90" s="11" t="s">
        <v>0</v>
      </c>
      <c r="V90" s="11" t="s">
        <v>0</v>
      </c>
      <c r="W90" s="11" t="s">
        <v>0</v>
      </c>
      <c r="Y90" s="5"/>
    </row>
    <row r="91" spans="1:25" ht="15">
      <c r="A91" s="10">
        <v>48000082</v>
      </c>
      <c r="B91" s="216" t="s">
        <v>3948</v>
      </c>
      <c r="C91" s="223" t="s">
        <v>0</v>
      </c>
      <c r="D91" s="215" t="s">
        <v>2694</v>
      </c>
      <c r="E91" s="11">
        <f>IFERROR(VLOOKUP(D91,ShipShapeEnum!$B:$C,2,FALSE),"-")</f>
        <v>4</v>
      </c>
      <c r="F91" s="19" t="s">
        <v>0</v>
      </c>
      <c r="G91" s="19">
        <v>0.7</v>
      </c>
      <c r="H91" s="19">
        <v>0.9</v>
      </c>
      <c r="I91" s="19">
        <v>1</v>
      </c>
      <c r="J91" s="19">
        <v>1</v>
      </c>
      <c r="K91" s="4" t="s">
        <v>81</v>
      </c>
      <c r="L91" s="11">
        <f>IFERROR(VLOOKUP(K91,ShipShapeEnum!$H:$I,2,FALSE),"-")</f>
        <v>1</v>
      </c>
      <c r="M91" s="11">
        <v>0</v>
      </c>
      <c r="N91" s="11" t="s">
        <v>3951</v>
      </c>
      <c r="O91" s="11" t="s">
        <v>3419</v>
      </c>
      <c r="P91" s="11" t="s">
        <v>0</v>
      </c>
      <c r="Q91" s="11" t="s">
        <v>0</v>
      </c>
      <c r="R91" s="11" t="s">
        <v>0</v>
      </c>
      <c r="S91" s="11" t="s">
        <v>0</v>
      </c>
      <c r="T91" s="11" t="s">
        <v>0</v>
      </c>
      <c r="U91" s="11" t="s">
        <v>0</v>
      </c>
      <c r="V91" s="11" t="s">
        <v>0</v>
      </c>
      <c r="W91" s="11" t="s">
        <v>0</v>
      </c>
      <c r="Y91" s="5"/>
    </row>
    <row r="92" spans="1:25" ht="15">
      <c r="A92" s="10">
        <v>48000083</v>
      </c>
      <c r="B92" s="216" t="s">
        <v>3949</v>
      </c>
      <c r="C92" s="223" t="s">
        <v>0</v>
      </c>
      <c r="D92" s="215" t="s">
        <v>2694</v>
      </c>
      <c r="E92" s="11">
        <f>IFERROR(VLOOKUP(D92,ShipShapeEnum!$B:$C,2,FALSE),"-")</f>
        <v>4</v>
      </c>
      <c r="F92" s="19" t="s">
        <v>0</v>
      </c>
      <c r="G92" s="19">
        <v>0.6</v>
      </c>
      <c r="H92" s="19">
        <v>0.75</v>
      </c>
      <c r="I92" s="19">
        <v>0.85</v>
      </c>
      <c r="J92" s="19">
        <v>1</v>
      </c>
      <c r="K92" s="4" t="s">
        <v>81</v>
      </c>
      <c r="L92" s="11">
        <f>IFERROR(VLOOKUP(K92,ShipShapeEnum!$H:$I,2,FALSE),"-")</f>
        <v>1</v>
      </c>
      <c r="M92" s="11">
        <v>0</v>
      </c>
      <c r="N92" s="11" t="s">
        <v>3952</v>
      </c>
      <c r="O92" s="11" t="s">
        <v>3517</v>
      </c>
      <c r="P92" s="11" t="s">
        <v>3952</v>
      </c>
      <c r="Q92" s="11" t="s">
        <v>3518</v>
      </c>
      <c r="R92" s="11" t="s">
        <v>3952</v>
      </c>
      <c r="S92" s="11" t="s">
        <v>3519</v>
      </c>
      <c r="T92" s="11" t="s">
        <v>0</v>
      </c>
      <c r="U92" s="11" t="s">
        <v>0</v>
      </c>
      <c r="V92" s="11" t="s">
        <v>0</v>
      </c>
      <c r="W92" s="11" t="s">
        <v>0</v>
      </c>
      <c r="Y92" s="5"/>
    </row>
    <row r="93" spans="1:25" ht="15">
      <c r="A93" s="10">
        <v>48000084</v>
      </c>
      <c r="B93" s="216" t="s">
        <v>3950</v>
      </c>
      <c r="C93" s="223" t="s">
        <v>0</v>
      </c>
      <c r="D93" s="215" t="s">
        <v>2694</v>
      </c>
      <c r="E93" s="11">
        <f>IFERROR(VLOOKUP(D93,ShipShapeEnum!$B:$C,2,FALSE),"-")</f>
        <v>4</v>
      </c>
      <c r="F93" s="19" t="s">
        <v>0</v>
      </c>
      <c r="G93" s="19">
        <v>0.6</v>
      </c>
      <c r="H93" s="19">
        <v>0.75</v>
      </c>
      <c r="I93" s="19">
        <v>0.85</v>
      </c>
      <c r="J93" s="19">
        <v>1</v>
      </c>
      <c r="K93" s="4" t="s">
        <v>81</v>
      </c>
      <c r="L93" s="11">
        <f>IFERROR(VLOOKUP(K93,ShipShapeEnum!$H:$I,2,FALSE),"-")</f>
        <v>1</v>
      </c>
      <c r="M93" s="11">
        <v>0</v>
      </c>
      <c r="N93" s="11" t="s">
        <v>3953</v>
      </c>
      <c r="O93" s="11" t="s">
        <v>3521</v>
      </c>
      <c r="P93" s="11" t="s">
        <v>3953</v>
      </c>
      <c r="Q93" s="11" t="s">
        <v>3523</v>
      </c>
      <c r="R93" s="11" t="s">
        <v>3953</v>
      </c>
      <c r="S93" s="11" t="s">
        <v>3522</v>
      </c>
      <c r="T93" s="11" t="s">
        <v>0</v>
      </c>
      <c r="U93" s="11" t="s">
        <v>0</v>
      </c>
      <c r="V93" s="11" t="s">
        <v>0</v>
      </c>
      <c r="W93" s="11" t="s">
        <v>0</v>
      </c>
      <c r="Y93" s="5"/>
    </row>
    <row r="94" spans="1:25" ht="15">
      <c r="A94" s="12"/>
      <c r="B94" s="13"/>
      <c r="C94" s="217"/>
      <c r="D94" s="13"/>
      <c r="E94" s="13"/>
      <c r="F94" s="13"/>
      <c r="G94" s="13"/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5" t="s">
        <v>8</v>
      </c>
    </row>
    <row r="95" spans="1:25" ht="111.75" customHeight="1">
      <c r="B95" s="18"/>
      <c r="C95" s="224" t="s">
        <v>3239</v>
      </c>
      <c r="D95" s="18"/>
      <c r="E95" s="18"/>
      <c r="F95" s="18"/>
      <c r="N95" s="225" t="s">
        <v>3240</v>
      </c>
    </row>
    <row r="99" spans="2:24">
      <c r="H99" s="212"/>
    </row>
    <row r="102" spans="2:24" ht="15">
      <c r="X102" s="5"/>
    </row>
    <row r="111" spans="2:24" ht="14.25">
      <c r="B111"/>
    </row>
    <row r="112" spans="2:24" ht="14.25">
      <c r="B112"/>
    </row>
    <row r="113" spans="2:2" ht="14.25">
      <c r="B113"/>
    </row>
    <row r="114" spans="2:2" ht="14.25">
      <c r="B114"/>
    </row>
    <row r="115" spans="2:2" ht="14.25">
      <c r="B115"/>
    </row>
    <row r="116" spans="2:2" ht="14.25">
      <c r="B116"/>
    </row>
    <row r="117" spans="2:2" ht="14.25">
      <c r="B117"/>
    </row>
  </sheetData>
  <phoneticPr fontId="5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5BE62B6-ADA6-455D-9C19-DC347EF11B24}">
          <x14:formula1>
            <xm:f>OFFSET(ShipShapeEnum!$B:$B,1,0,COUNTA(ShipShapeEnum!$B:$B)-1,1)</xm:f>
          </x14:formula1>
          <xm:sqref>D10:D93</xm:sqref>
        </x14:dataValidation>
        <x14:dataValidation type="list" allowBlank="1" showInputMessage="1" showErrorMessage="1" xr:uid="{3E5F9A4E-521C-4D28-86CC-8807A656299C}">
          <x14:formula1>
            <xm:f>OFFSET(ShipShapeEnum!$H:$H,1,0,COUNTA(ShipShapeEnum!$H:$H)-1,1)</xm:f>
          </x14:formula1>
          <xm:sqref>K10:K93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AF80"/>
  <sheetViews>
    <sheetView zoomScale="85" zoomScaleNormal="85" workbookViewId="0">
      <pane xSplit="2" ySplit="8" topLeftCell="C9" activePane="bottomRight" state="frozen"/>
      <selection activeCell="D60" sqref="D60"/>
      <selection pane="topRight" activeCell="D60" sqref="D60"/>
      <selection pane="bottomLeft" activeCell="D60" sqref="D60"/>
      <selection pane="bottomRight" activeCell="C73" sqref="C73"/>
    </sheetView>
  </sheetViews>
  <sheetFormatPr defaultColWidth="9.140625" defaultRowHeight="13.5"/>
  <cols>
    <col min="1" max="1" width="19" style="27" customWidth="1"/>
    <col min="2" max="2" width="28.5703125" style="27" bestFit="1" customWidth="1"/>
    <col min="3" max="3" width="20" style="27" bestFit="1" customWidth="1"/>
    <col min="4" max="4" width="27" style="27" bestFit="1" customWidth="1"/>
    <col min="5" max="5" width="20" style="27" customWidth="1"/>
    <col min="6" max="6" width="5.7109375" style="27" bestFit="1" customWidth="1"/>
    <col min="7" max="7" width="11" style="27" bestFit="1" customWidth="1"/>
    <col min="8" max="8" width="20" style="27" bestFit="1" customWidth="1"/>
    <col min="9" max="10" width="20" style="27" customWidth="1"/>
    <col min="11" max="11" width="20" style="27" bestFit="1" customWidth="1"/>
    <col min="12" max="13" width="20" style="27" customWidth="1"/>
    <col min="14" max="14" width="20" style="27" bestFit="1" customWidth="1"/>
    <col min="15" max="25" width="20" style="27" customWidth="1"/>
    <col min="26" max="31" width="20" style="27" bestFit="1" customWidth="1"/>
    <col min="32" max="32" width="20" style="27" customWidth="1"/>
    <col min="33" max="33" width="31.42578125" style="27" customWidth="1"/>
    <col min="34" max="34" width="11" style="27" bestFit="1" customWidth="1"/>
    <col min="35" max="35" width="9.140625" style="27"/>
    <col min="36" max="36" width="24.7109375" style="27" customWidth="1"/>
    <col min="37" max="37" width="22.5703125" style="27" customWidth="1"/>
    <col min="38" max="16384" width="9.140625" style="27"/>
  </cols>
  <sheetData>
    <row r="1" spans="1:31">
      <c r="A1" s="6" t="s">
        <v>5</v>
      </c>
      <c r="B1" s="25"/>
      <c r="C1" s="26" t="s">
        <v>527</v>
      </c>
      <c r="D1" s="26" t="s">
        <v>946</v>
      </c>
      <c r="E1" s="26" t="s">
        <v>717</v>
      </c>
      <c r="F1" s="25"/>
      <c r="G1" s="25"/>
      <c r="H1" s="25"/>
      <c r="I1" s="26" t="s">
        <v>471</v>
      </c>
      <c r="J1" s="26" t="s">
        <v>472</v>
      </c>
      <c r="K1" s="25"/>
      <c r="L1" s="26" t="s">
        <v>473</v>
      </c>
      <c r="M1" s="26" t="s">
        <v>474</v>
      </c>
      <c r="N1" s="25"/>
      <c r="O1" s="26" t="s">
        <v>550</v>
      </c>
      <c r="P1" s="26" t="s">
        <v>551</v>
      </c>
      <c r="Q1" s="25"/>
      <c r="R1" s="26" t="s">
        <v>1249</v>
      </c>
      <c r="S1" s="26" t="s">
        <v>1250</v>
      </c>
      <c r="T1" s="25"/>
      <c r="U1" s="26" t="s">
        <v>1251</v>
      </c>
      <c r="V1" s="26" t="s">
        <v>1252</v>
      </c>
      <c r="W1" s="25"/>
      <c r="X1" s="26" t="s">
        <v>1253</v>
      </c>
      <c r="Y1" s="26" t="s">
        <v>1254</v>
      </c>
      <c r="Z1" s="25"/>
      <c r="AA1" s="26" t="s">
        <v>476</v>
      </c>
      <c r="AB1" s="25"/>
      <c r="AC1" s="26" t="s">
        <v>477</v>
      </c>
      <c r="AD1" s="25"/>
      <c r="AE1" s="26" t="s">
        <v>478</v>
      </c>
    </row>
    <row r="2" spans="1:31" ht="27">
      <c r="A2" s="6" t="s">
        <v>389</v>
      </c>
      <c r="B2" s="25"/>
      <c r="C2" s="26" t="s">
        <v>6</v>
      </c>
      <c r="D2" s="26" t="s">
        <v>6</v>
      </c>
      <c r="E2" s="26" t="s">
        <v>718</v>
      </c>
      <c r="F2" s="25"/>
      <c r="G2" s="25"/>
      <c r="H2" s="25"/>
      <c r="I2" s="26" t="s">
        <v>7</v>
      </c>
      <c r="J2" s="26" t="s">
        <v>7</v>
      </c>
      <c r="K2" s="25"/>
      <c r="L2" s="26" t="s">
        <v>7</v>
      </c>
      <c r="M2" s="26" t="s">
        <v>7</v>
      </c>
      <c r="N2" s="25"/>
      <c r="O2" s="26" t="s">
        <v>7</v>
      </c>
      <c r="P2" s="26" t="s">
        <v>7</v>
      </c>
      <c r="Q2" s="25"/>
      <c r="R2" s="26" t="s">
        <v>7</v>
      </c>
      <c r="S2" s="26" t="s">
        <v>7</v>
      </c>
      <c r="T2" s="25"/>
      <c r="U2" s="26" t="s">
        <v>7</v>
      </c>
      <c r="V2" s="26" t="s">
        <v>7</v>
      </c>
      <c r="W2" s="25"/>
      <c r="X2" s="26" t="s">
        <v>7</v>
      </c>
      <c r="Y2" s="26" t="s">
        <v>7</v>
      </c>
      <c r="Z2" s="25"/>
      <c r="AA2" s="26" t="s">
        <v>7</v>
      </c>
      <c r="AB2" s="25"/>
      <c r="AC2" s="26" t="s">
        <v>7</v>
      </c>
      <c r="AD2" s="25"/>
      <c r="AE2" s="26" t="s">
        <v>7</v>
      </c>
    </row>
    <row r="3" spans="1:31">
      <c r="A3" s="8" t="s">
        <v>1</v>
      </c>
      <c r="B3" s="25"/>
      <c r="C3" s="28">
        <v>1</v>
      </c>
      <c r="D3" s="28" t="s">
        <v>947</v>
      </c>
      <c r="E3" s="28">
        <v>1</v>
      </c>
      <c r="F3" s="25"/>
      <c r="G3" s="25"/>
      <c r="H3" s="25"/>
      <c r="I3" s="28" t="s">
        <v>0</v>
      </c>
      <c r="J3" s="28" t="s">
        <v>0</v>
      </c>
      <c r="K3" s="25"/>
      <c r="L3" s="28" t="s">
        <v>0</v>
      </c>
      <c r="M3" s="28" t="s">
        <v>0</v>
      </c>
      <c r="N3" s="25"/>
      <c r="O3" s="28" t="s">
        <v>0</v>
      </c>
      <c r="P3" s="28" t="s">
        <v>0</v>
      </c>
      <c r="Q3" s="25"/>
      <c r="R3" s="28" t="s">
        <v>0</v>
      </c>
      <c r="S3" s="28" t="s">
        <v>0</v>
      </c>
      <c r="T3" s="25"/>
      <c r="U3" s="28" t="s">
        <v>0</v>
      </c>
      <c r="V3" s="28" t="s">
        <v>0</v>
      </c>
      <c r="W3" s="25"/>
      <c r="X3" s="28" t="s">
        <v>0</v>
      </c>
      <c r="Y3" s="28" t="s">
        <v>0</v>
      </c>
      <c r="Z3" s="25"/>
      <c r="AA3" s="28" t="s">
        <v>0</v>
      </c>
      <c r="AB3" s="25"/>
      <c r="AC3" s="28" t="s">
        <v>0</v>
      </c>
      <c r="AD3" s="25"/>
      <c r="AE3" s="28" t="s">
        <v>0</v>
      </c>
    </row>
    <row r="4" spans="1:31">
      <c r="A4" s="8" t="s">
        <v>2</v>
      </c>
      <c r="B4" s="25"/>
      <c r="C4" s="28" t="s">
        <v>0</v>
      </c>
      <c r="D4" s="28" t="s">
        <v>0</v>
      </c>
      <c r="E4" s="28" t="s">
        <v>545</v>
      </c>
      <c r="F4" s="25"/>
      <c r="G4" s="25"/>
      <c r="H4" s="25"/>
      <c r="I4" s="28" t="s">
        <v>0</v>
      </c>
      <c r="J4" s="28" t="s">
        <v>0</v>
      </c>
      <c r="K4" s="25"/>
      <c r="L4" s="28" t="s">
        <v>0</v>
      </c>
      <c r="M4" s="28" t="s">
        <v>0</v>
      </c>
      <c r="N4" s="25"/>
      <c r="O4" s="28" t="s">
        <v>0</v>
      </c>
      <c r="P4" s="28" t="s">
        <v>0</v>
      </c>
      <c r="Q4" s="25"/>
      <c r="R4" s="28" t="s">
        <v>0</v>
      </c>
      <c r="S4" s="28" t="s">
        <v>0</v>
      </c>
      <c r="T4" s="25"/>
      <c r="U4" s="28" t="s">
        <v>0</v>
      </c>
      <c r="V4" s="28" t="s">
        <v>0</v>
      </c>
      <c r="W4" s="25"/>
      <c r="X4" s="28" t="s">
        <v>0</v>
      </c>
      <c r="Y4" s="28" t="s">
        <v>0</v>
      </c>
      <c r="Z4" s="25"/>
      <c r="AA4" s="28" t="s">
        <v>0</v>
      </c>
      <c r="AB4" s="25"/>
      <c r="AC4" s="28" t="s">
        <v>0</v>
      </c>
      <c r="AD4" s="25"/>
      <c r="AE4" s="28" t="s">
        <v>0</v>
      </c>
    </row>
    <row r="5" spans="1:31">
      <c r="A5" s="8" t="s">
        <v>3</v>
      </c>
      <c r="B5" s="25"/>
      <c r="C5" s="28" t="s">
        <v>0</v>
      </c>
      <c r="D5" s="28" t="s">
        <v>0</v>
      </c>
      <c r="E5" s="28" t="s">
        <v>545</v>
      </c>
      <c r="F5" s="25"/>
      <c r="G5" s="25"/>
      <c r="H5" s="25"/>
      <c r="I5" s="28" t="s">
        <v>0</v>
      </c>
      <c r="J5" s="28" t="s">
        <v>0</v>
      </c>
      <c r="K5" s="25"/>
      <c r="L5" s="28" t="s">
        <v>0</v>
      </c>
      <c r="M5" s="28" t="s">
        <v>0</v>
      </c>
      <c r="N5" s="25"/>
      <c r="O5" s="28" t="s">
        <v>0</v>
      </c>
      <c r="P5" s="28" t="s">
        <v>0</v>
      </c>
      <c r="Q5" s="25"/>
      <c r="R5" s="28" t="s">
        <v>0</v>
      </c>
      <c r="S5" s="28" t="s">
        <v>0</v>
      </c>
      <c r="T5" s="25"/>
      <c r="U5" s="28" t="s">
        <v>0</v>
      </c>
      <c r="V5" s="28" t="s">
        <v>0</v>
      </c>
      <c r="W5" s="25"/>
      <c r="X5" s="28" t="s">
        <v>0</v>
      </c>
      <c r="Y5" s="28" t="s">
        <v>0</v>
      </c>
      <c r="Z5" s="25"/>
      <c r="AA5" s="28" t="s">
        <v>0</v>
      </c>
      <c r="AB5" s="25"/>
      <c r="AC5" s="28" t="s">
        <v>0</v>
      </c>
      <c r="AD5" s="25"/>
      <c r="AE5" s="28" t="s">
        <v>0</v>
      </c>
    </row>
    <row r="6" spans="1:31">
      <c r="A6" s="8" t="s">
        <v>4</v>
      </c>
      <c r="B6" s="25"/>
      <c r="C6" s="28" t="s">
        <v>0</v>
      </c>
      <c r="D6" s="28" t="s">
        <v>0</v>
      </c>
      <c r="E6" s="28" t="s">
        <v>545</v>
      </c>
      <c r="F6" s="25"/>
      <c r="G6" s="25"/>
      <c r="H6" s="25"/>
      <c r="I6" s="28" t="s">
        <v>0</v>
      </c>
      <c r="J6" s="28" t="s">
        <v>0</v>
      </c>
      <c r="K6" s="25"/>
      <c r="L6" s="28" t="s">
        <v>0</v>
      </c>
      <c r="M6" s="28" t="s">
        <v>0</v>
      </c>
      <c r="N6" s="25"/>
      <c r="O6" s="28" t="s">
        <v>0</v>
      </c>
      <c r="P6" s="28" t="s">
        <v>0</v>
      </c>
      <c r="Q6" s="25"/>
      <c r="R6" s="28" t="s">
        <v>0</v>
      </c>
      <c r="S6" s="28" t="s">
        <v>0</v>
      </c>
      <c r="T6" s="25"/>
      <c r="U6" s="28" t="s">
        <v>0</v>
      </c>
      <c r="V6" s="28" t="s">
        <v>0</v>
      </c>
      <c r="W6" s="25"/>
      <c r="X6" s="28" t="s">
        <v>0</v>
      </c>
      <c r="Y6" s="28" t="s">
        <v>0</v>
      </c>
      <c r="Z6" s="25"/>
      <c r="AA6" s="28" t="s">
        <v>0</v>
      </c>
      <c r="AB6" s="25"/>
      <c r="AC6" s="28" t="s">
        <v>0</v>
      </c>
      <c r="AD6" s="25"/>
      <c r="AE6" s="28" t="s">
        <v>0</v>
      </c>
    </row>
    <row r="7" spans="1:31">
      <c r="A7" s="8" t="s">
        <v>10</v>
      </c>
      <c r="B7" s="25"/>
      <c r="C7" s="28" t="s">
        <v>0</v>
      </c>
      <c r="D7" s="28" t="s">
        <v>0</v>
      </c>
      <c r="E7" s="28" t="s">
        <v>545</v>
      </c>
      <c r="F7" s="25"/>
      <c r="G7" s="25"/>
      <c r="H7" s="25"/>
      <c r="I7" s="28" t="s">
        <v>0</v>
      </c>
      <c r="J7" s="28" t="s">
        <v>0</v>
      </c>
      <c r="K7" s="25"/>
      <c r="L7" s="28" t="s">
        <v>0</v>
      </c>
      <c r="M7" s="28" t="s">
        <v>0</v>
      </c>
      <c r="N7" s="25"/>
      <c r="O7" s="28" t="s">
        <v>0</v>
      </c>
      <c r="P7" s="28" t="s">
        <v>0</v>
      </c>
      <c r="Q7" s="25"/>
      <c r="R7" s="28" t="s">
        <v>0</v>
      </c>
      <c r="S7" s="28" t="s">
        <v>0</v>
      </c>
      <c r="T7" s="25"/>
      <c r="U7" s="28" t="s">
        <v>0</v>
      </c>
      <c r="V7" s="28" t="s">
        <v>0</v>
      </c>
      <c r="W7" s="25"/>
      <c r="X7" s="28" t="s">
        <v>0</v>
      </c>
      <c r="Y7" s="28" t="s">
        <v>0</v>
      </c>
      <c r="Z7" s="25"/>
      <c r="AA7" s="28" t="s">
        <v>479</v>
      </c>
      <c r="AB7" s="25"/>
      <c r="AC7" s="28" t="s">
        <v>479</v>
      </c>
      <c r="AD7" s="25"/>
      <c r="AE7" s="28" t="s">
        <v>479</v>
      </c>
    </row>
    <row r="8" spans="1:31">
      <c r="A8" s="8" t="s">
        <v>559</v>
      </c>
      <c r="B8" s="25"/>
      <c r="C8" s="28">
        <v>1</v>
      </c>
      <c r="D8" s="28">
        <v>1</v>
      </c>
      <c r="E8" s="28" t="s">
        <v>545</v>
      </c>
      <c r="F8" s="25" t="s">
        <v>2309</v>
      </c>
      <c r="G8" s="25" t="s">
        <v>2313</v>
      </c>
      <c r="H8" s="25"/>
      <c r="I8" s="28" t="s">
        <v>0</v>
      </c>
      <c r="J8" s="28" t="s">
        <v>0</v>
      </c>
      <c r="K8" s="25"/>
      <c r="L8" s="28" t="s">
        <v>0</v>
      </c>
      <c r="M8" s="28" t="s">
        <v>0</v>
      </c>
      <c r="N8" s="25"/>
      <c r="O8" s="28" t="s">
        <v>0</v>
      </c>
      <c r="P8" s="28" t="s">
        <v>0</v>
      </c>
      <c r="Q8" s="25"/>
      <c r="R8" s="28" t="s">
        <v>0</v>
      </c>
      <c r="S8" s="28" t="s">
        <v>0</v>
      </c>
      <c r="T8" s="25"/>
      <c r="U8" s="28" t="s">
        <v>0</v>
      </c>
      <c r="V8" s="28" t="s">
        <v>0</v>
      </c>
      <c r="W8" s="25"/>
      <c r="X8" s="28" t="s">
        <v>0</v>
      </c>
      <c r="Y8" s="28" t="s">
        <v>0</v>
      </c>
      <c r="Z8" s="25"/>
      <c r="AA8" s="28" t="s">
        <v>0</v>
      </c>
      <c r="AB8" s="25"/>
      <c r="AC8" s="28" t="s">
        <v>0</v>
      </c>
      <c r="AD8" s="25"/>
      <c r="AE8" s="28" t="s">
        <v>0</v>
      </c>
    </row>
    <row r="9" spans="1:31">
      <c r="A9" s="29">
        <v>47200000</v>
      </c>
      <c r="B9" s="30" t="s">
        <v>736</v>
      </c>
      <c r="C9" s="33" t="s">
        <v>2578</v>
      </c>
      <c r="D9" s="33" t="s">
        <v>2579</v>
      </c>
      <c r="E9" s="55" t="b">
        <v>1</v>
      </c>
      <c r="F9" s="30">
        <v>0</v>
      </c>
      <c r="G9" s="200">
        <f>IFERROR(INT(POWER(2,(POWER(F9-1,1.35)))) * 95000, 0)</f>
        <v>0</v>
      </c>
      <c r="H9" s="30" t="s">
        <v>475</v>
      </c>
      <c r="I9" s="33">
        <v>100001</v>
      </c>
      <c r="J9" s="49">
        <v>1500</v>
      </c>
      <c r="K9" s="30"/>
      <c r="L9" s="33" t="s">
        <v>738</v>
      </c>
      <c r="M9" s="50" t="s">
        <v>545</v>
      </c>
      <c r="N9" s="30"/>
      <c r="O9" s="33" t="s">
        <v>545</v>
      </c>
      <c r="P9" s="33" t="s">
        <v>545</v>
      </c>
      <c r="Q9" s="30"/>
      <c r="R9" s="33" t="str">
        <f>IFERROR(INDEX([1]Item!$A:$A,MATCH(Q9,[1]Item!$B:$B,0)),"-")</f>
        <v>-</v>
      </c>
      <c r="S9" s="33" t="s">
        <v>545</v>
      </c>
      <c r="T9" s="30"/>
      <c r="U9" s="33" t="str">
        <f>IFERROR(INDEX([1]Item!$A:$A,MATCH(T9,[1]Item!$B:$B,0)),"-")</f>
        <v>-</v>
      </c>
      <c r="V9" s="33" t="s">
        <v>545</v>
      </c>
      <c r="W9" s="30"/>
      <c r="X9" s="33" t="s">
        <v>545</v>
      </c>
      <c r="Y9" s="33" t="s">
        <v>545</v>
      </c>
      <c r="Z9" s="30" t="s">
        <v>735</v>
      </c>
      <c r="AA9" s="34">
        <f>IFERROR(INDEX(SailPatternColor!$A:$A,MATCH(Z9,SailPatternColor!$B:$B,0)),"-")</f>
        <v>47300000</v>
      </c>
      <c r="AB9" s="30"/>
      <c r="AC9" s="34" t="str">
        <f>IFERROR(INDEX(SailPatternColor!$A:$A,MATCH(AB9,SailPatternColor!$B:$B,0)),"-")</f>
        <v>-</v>
      </c>
      <c r="AD9" s="30"/>
      <c r="AE9" s="34" t="str">
        <f>IFERROR(INDEX(SailPatternColor!$A:$A,MATCH(AD9,SailPatternColor!$B:$B,0)),"-")</f>
        <v>-</v>
      </c>
    </row>
    <row r="10" spans="1:31">
      <c r="A10" s="29">
        <v>47200001</v>
      </c>
      <c r="B10" s="30" t="s">
        <v>1349</v>
      </c>
      <c r="C10" s="33" t="s">
        <v>390</v>
      </c>
      <c r="D10" s="33" t="s">
        <v>2580</v>
      </c>
      <c r="E10" s="55" t="b">
        <v>1</v>
      </c>
      <c r="F10" s="30">
        <v>1</v>
      </c>
      <c r="G10" s="200">
        <f t="shared" ref="G10:G60" si="0">IFERROR(INT(POWER(2,(POWER(F10-1,1.35)))) * 95000, 0)</f>
        <v>95000</v>
      </c>
      <c r="H10" s="30" t="s">
        <v>475</v>
      </c>
      <c r="I10" s="33">
        <v>100001</v>
      </c>
      <c r="J10" s="49">
        <v>1500</v>
      </c>
      <c r="K10" s="30" t="s">
        <v>475</v>
      </c>
      <c r="L10" s="33">
        <v>100001</v>
      </c>
      <c r="M10" s="50">
        <v>8500</v>
      </c>
      <c r="N10" s="30"/>
      <c r="O10" s="33" t="s">
        <v>545</v>
      </c>
      <c r="P10" s="33" t="s">
        <v>545</v>
      </c>
      <c r="Q10" s="30" t="s">
        <v>2531</v>
      </c>
      <c r="R10" s="33">
        <f>IFERROR(INDEX([1]Item!$A:$A,MATCH(Q10,[1]Item!$B:$B,0)),"-")</f>
        <v>23348500</v>
      </c>
      <c r="S10" s="33">
        <v>1</v>
      </c>
      <c r="T10" s="30" t="s">
        <v>2529</v>
      </c>
      <c r="U10" s="33">
        <f>IFERROR(INDEX([1]Item!$A:$A,MATCH(T10,[1]Item!$B:$B,0)),"-")</f>
        <v>23347004</v>
      </c>
      <c r="V10" s="33">
        <v>10</v>
      </c>
      <c r="W10" s="30"/>
      <c r="X10" s="33" t="s">
        <v>545</v>
      </c>
      <c r="Y10" s="33" t="s">
        <v>545</v>
      </c>
      <c r="Z10" s="30" t="s">
        <v>2625</v>
      </c>
      <c r="AA10" s="34">
        <f>IFERROR(INDEX(SailPatternColor!$A:$A,MATCH(Z10,SailPatternColor!$B:$B,0)),"-")</f>
        <v>47300001</v>
      </c>
      <c r="AB10" s="30" t="s">
        <v>629</v>
      </c>
      <c r="AC10" s="34">
        <f>IFERROR(INDEX(SailPatternColor!$A:$A,MATCH(AB10,SailPatternColor!$B:$B,0)),"-")</f>
        <v>47300000</v>
      </c>
      <c r="AD10" s="30"/>
      <c r="AE10" s="34" t="str">
        <f>IFERROR(INDEX(SailPatternColor!$A:$A,MATCH(AD10,SailPatternColor!$B:$B,0)),"-")</f>
        <v>-</v>
      </c>
    </row>
    <row r="11" spans="1:31">
      <c r="A11" s="29">
        <v>47200002</v>
      </c>
      <c r="B11" s="30" t="s">
        <v>1350</v>
      </c>
      <c r="C11" s="33" t="s">
        <v>2581</v>
      </c>
      <c r="D11" s="33" t="s">
        <v>1050</v>
      </c>
      <c r="E11" s="55" t="b">
        <v>1</v>
      </c>
      <c r="F11" s="30">
        <v>1</v>
      </c>
      <c r="G11" s="200">
        <f t="shared" si="0"/>
        <v>95000</v>
      </c>
      <c r="H11" s="30" t="s">
        <v>475</v>
      </c>
      <c r="I11" s="33">
        <v>100001</v>
      </c>
      <c r="J11" s="49">
        <v>1500</v>
      </c>
      <c r="K11" s="30" t="s">
        <v>475</v>
      </c>
      <c r="L11" s="33">
        <v>100001</v>
      </c>
      <c r="M11" s="50">
        <v>8500</v>
      </c>
      <c r="N11" s="30"/>
      <c r="O11" s="33" t="s">
        <v>545</v>
      </c>
      <c r="P11" s="33" t="s">
        <v>545</v>
      </c>
      <c r="Q11" s="30" t="s">
        <v>2532</v>
      </c>
      <c r="R11" s="33">
        <f>IFERROR(INDEX([1]Item!$A:$A,MATCH(Q11,[1]Item!$B:$B,0)),"-")</f>
        <v>23348501</v>
      </c>
      <c r="S11" s="33">
        <v>1</v>
      </c>
      <c r="T11" s="30" t="s">
        <v>2529</v>
      </c>
      <c r="U11" s="33">
        <f>IFERROR(INDEX([1]Item!$A:$A,MATCH(T11,[1]Item!$B:$B,0)),"-")</f>
        <v>23347004</v>
      </c>
      <c r="V11" s="33">
        <v>10</v>
      </c>
      <c r="W11" s="30"/>
      <c r="X11" s="33" t="s">
        <v>545</v>
      </c>
      <c r="Y11" s="33" t="s">
        <v>545</v>
      </c>
      <c r="Z11" s="30" t="s">
        <v>2625</v>
      </c>
      <c r="AA11" s="34">
        <f>IFERROR(INDEX(SailPatternColor!$A:$A,MATCH(Z11,SailPatternColor!$B:$B,0)),"-")</f>
        <v>47300001</v>
      </c>
      <c r="AB11" s="30" t="s">
        <v>629</v>
      </c>
      <c r="AC11" s="34">
        <f>IFERROR(INDEX(SailPatternColor!$A:$A,MATCH(AB11,SailPatternColor!$B:$B,0)),"-")</f>
        <v>47300000</v>
      </c>
      <c r="AD11" s="30"/>
      <c r="AE11" s="34" t="str">
        <f>IFERROR(INDEX(SailPatternColor!$A:$A,MATCH(AD11,SailPatternColor!$B:$B,0)),"-")</f>
        <v>-</v>
      </c>
    </row>
    <row r="12" spans="1:31">
      <c r="A12" s="29">
        <v>47200003</v>
      </c>
      <c r="B12" s="30" t="s">
        <v>2609</v>
      </c>
      <c r="C12" s="33" t="s">
        <v>391</v>
      </c>
      <c r="D12" s="33" t="s">
        <v>1051</v>
      </c>
      <c r="E12" s="55" t="b">
        <v>1</v>
      </c>
      <c r="F12" s="30">
        <v>1</v>
      </c>
      <c r="G12" s="200">
        <f t="shared" si="0"/>
        <v>95000</v>
      </c>
      <c r="H12" s="30" t="s">
        <v>475</v>
      </c>
      <c r="I12" s="33">
        <v>100001</v>
      </c>
      <c r="J12" s="49">
        <v>1500</v>
      </c>
      <c r="K12" s="30" t="s">
        <v>475</v>
      </c>
      <c r="L12" s="33">
        <v>100001</v>
      </c>
      <c r="M12" s="50">
        <v>8500</v>
      </c>
      <c r="N12" s="30"/>
      <c r="O12" s="33" t="s">
        <v>545</v>
      </c>
      <c r="P12" s="33" t="s">
        <v>545</v>
      </c>
      <c r="Q12" s="30" t="s">
        <v>2533</v>
      </c>
      <c r="R12" s="33">
        <f>IFERROR(INDEX([1]Item!$A:$A,MATCH(Q12,[1]Item!$B:$B,0)),"-")</f>
        <v>23348502</v>
      </c>
      <c r="S12" s="33">
        <v>1</v>
      </c>
      <c r="T12" s="30" t="s">
        <v>2529</v>
      </c>
      <c r="U12" s="33">
        <f>IFERROR(INDEX([1]Item!$A:$A,MATCH(T12,[1]Item!$B:$B,0)),"-")</f>
        <v>23347004</v>
      </c>
      <c r="V12" s="33">
        <v>10</v>
      </c>
      <c r="W12" s="30"/>
      <c r="X12" s="33" t="s">
        <v>545</v>
      </c>
      <c r="Y12" s="33" t="s">
        <v>545</v>
      </c>
      <c r="Z12" s="30" t="s">
        <v>2625</v>
      </c>
      <c r="AA12" s="34">
        <f>IFERROR(INDEX(SailPatternColor!$A:$A,MATCH(Z12,SailPatternColor!$B:$B,0)),"-")</f>
        <v>47300001</v>
      </c>
      <c r="AB12" s="30" t="s">
        <v>629</v>
      </c>
      <c r="AC12" s="34">
        <f>IFERROR(INDEX(SailPatternColor!$A:$A,MATCH(AB12,SailPatternColor!$B:$B,0)),"-")</f>
        <v>47300000</v>
      </c>
      <c r="AD12" s="30"/>
      <c r="AE12" s="34" t="str">
        <f>IFERROR(INDEX(SailPatternColor!$A:$A,MATCH(AD12,SailPatternColor!$B:$B,0)),"-")</f>
        <v>-</v>
      </c>
    </row>
    <row r="13" spans="1:31">
      <c r="A13" s="29">
        <v>47200005</v>
      </c>
      <c r="B13" s="30" t="s">
        <v>2626</v>
      </c>
      <c r="C13" s="33" t="s">
        <v>392</v>
      </c>
      <c r="D13" s="33" t="s">
        <v>1052</v>
      </c>
      <c r="E13" s="55" t="b">
        <v>1</v>
      </c>
      <c r="F13" s="30">
        <v>1</v>
      </c>
      <c r="G13" s="200">
        <f t="shared" si="0"/>
        <v>95000</v>
      </c>
      <c r="H13" s="30" t="s">
        <v>475</v>
      </c>
      <c r="I13" s="33">
        <v>100001</v>
      </c>
      <c r="J13" s="49">
        <v>1500</v>
      </c>
      <c r="K13" s="30" t="s">
        <v>475</v>
      </c>
      <c r="L13" s="33">
        <v>100001</v>
      </c>
      <c r="M13" s="50">
        <v>8500</v>
      </c>
      <c r="N13" s="30"/>
      <c r="O13" s="33" t="s">
        <v>545</v>
      </c>
      <c r="P13" s="33" t="s">
        <v>545</v>
      </c>
      <c r="Q13" s="30" t="s">
        <v>2634</v>
      </c>
      <c r="R13" s="33">
        <f>IFERROR(INDEX([1]Item!$A:$A,MATCH(Q13,[1]Item!$B:$B,0)),"-")</f>
        <v>23348503</v>
      </c>
      <c r="S13" s="33">
        <v>1</v>
      </c>
      <c r="T13" s="30" t="s">
        <v>2529</v>
      </c>
      <c r="U13" s="33">
        <f>IFERROR(INDEX([1]Item!$A:$A,MATCH(T13,[1]Item!$B:$B,0)),"-")</f>
        <v>23347004</v>
      </c>
      <c r="V13" s="33">
        <v>10</v>
      </c>
      <c r="W13" s="30"/>
      <c r="X13" s="33" t="s">
        <v>545</v>
      </c>
      <c r="Y13" s="33" t="s">
        <v>545</v>
      </c>
      <c r="Z13" s="30" t="s">
        <v>2625</v>
      </c>
      <c r="AA13" s="34">
        <f>IFERROR(INDEX(SailPatternColor!$A:$A,MATCH(Z13,SailPatternColor!$B:$B,0)),"-")</f>
        <v>47300001</v>
      </c>
      <c r="AB13" s="30" t="s">
        <v>629</v>
      </c>
      <c r="AC13" s="34">
        <f>IFERROR(INDEX(SailPatternColor!$A:$A,MATCH(AB13,SailPatternColor!$B:$B,0)),"-")</f>
        <v>47300000</v>
      </c>
      <c r="AD13" s="30"/>
      <c r="AE13" s="34" t="str">
        <f>IFERROR(INDEX(SailPatternColor!$A:$A,MATCH(AD13,SailPatternColor!$B:$B,0)),"-")</f>
        <v>-</v>
      </c>
    </row>
    <row r="14" spans="1:31">
      <c r="A14" s="29">
        <v>47200006</v>
      </c>
      <c r="B14" s="30" t="s">
        <v>2627</v>
      </c>
      <c r="C14" s="33" t="s">
        <v>393</v>
      </c>
      <c r="D14" s="33" t="s">
        <v>1053</v>
      </c>
      <c r="E14" s="55" t="b">
        <v>1</v>
      </c>
      <c r="F14" s="30">
        <v>1</v>
      </c>
      <c r="G14" s="200">
        <f t="shared" si="0"/>
        <v>95000</v>
      </c>
      <c r="H14" s="30" t="s">
        <v>475</v>
      </c>
      <c r="I14" s="33">
        <v>100001</v>
      </c>
      <c r="J14" s="49">
        <v>1500</v>
      </c>
      <c r="K14" s="30" t="s">
        <v>475</v>
      </c>
      <c r="L14" s="33">
        <v>100001</v>
      </c>
      <c r="M14" s="50">
        <v>8500</v>
      </c>
      <c r="N14" s="30"/>
      <c r="O14" s="33" t="s">
        <v>545</v>
      </c>
      <c r="P14" s="33" t="s">
        <v>545</v>
      </c>
      <c r="Q14" s="30" t="s">
        <v>2635</v>
      </c>
      <c r="R14" s="33">
        <f>IFERROR(INDEX([1]Item!$A:$A,MATCH(Q14,[1]Item!$B:$B,0)),"-")</f>
        <v>23348504</v>
      </c>
      <c r="S14" s="33">
        <v>1</v>
      </c>
      <c r="T14" s="30" t="s">
        <v>2529</v>
      </c>
      <c r="U14" s="33">
        <f>IFERROR(INDEX([1]Item!$A:$A,MATCH(T14,[1]Item!$B:$B,0)),"-")</f>
        <v>23347004</v>
      </c>
      <c r="V14" s="33">
        <v>10</v>
      </c>
      <c r="W14" s="30"/>
      <c r="X14" s="33" t="s">
        <v>545</v>
      </c>
      <c r="Y14" s="33" t="s">
        <v>545</v>
      </c>
      <c r="Z14" s="30" t="s">
        <v>2625</v>
      </c>
      <c r="AA14" s="34">
        <f>IFERROR(INDEX(SailPatternColor!$A:$A,MATCH(Z14,SailPatternColor!$B:$B,0)),"-")</f>
        <v>47300001</v>
      </c>
      <c r="AB14" s="30" t="s">
        <v>629</v>
      </c>
      <c r="AC14" s="34">
        <f>IFERROR(INDEX(SailPatternColor!$A:$A,MATCH(AB14,SailPatternColor!$B:$B,0)),"-")</f>
        <v>47300000</v>
      </c>
      <c r="AD14" s="30"/>
      <c r="AE14" s="34" t="str">
        <f>IFERROR(INDEX(SailPatternColor!$A:$A,MATCH(AD14,SailPatternColor!$B:$B,0)),"-")</f>
        <v>-</v>
      </c>
    </row>
    <row r="15" spans="1:31">
      <c r="A15" s="29">
        <v>47200007</v>
      </c>
      <c r="B15" s="30" t="s">
        <v>1351</v>
      </c>
      <c r="C15" s="33" t="s">
        <v>394</v>
      </c>
      <c r="D15" s="33" t="s">
        <v>1054</v>
      </c>
      <c r="E15" s="55" t="b">
        <v>1</v>
      </c>
      <c r="F15" s="30">
        <v>1</v>
      </c>
      <c r="G15" s="200">
        <f t="shared" si="0"/>
        <v>95000</v>
      </c>
      <c r="H15" s="30" t="s">
        <v>475</v>
      </c>
      <c r="I15" s="33">
        <v>100001</v>
      </c>
      <c r="J15" s="49">
        <v>1500</v>
      </c>
      <c r="K15" s="30" t="s">
        <v>475</v>
      </c>
      <c r="L15" s="33">
        <v>100001</v>
      </c>
      <c r="M15" s="50">
        <v>8500</v>
      </c>
      <c r="N15" s="30"/>
      <c r="O15" s="33" t="s">
        <v>545</v>
      </c>
      <c r="P15" s="33" t="s">
        <v>545</v>
      </c>
      <c r="Q15" s="30" t="s">
        <v>2534</v>
      </c>
      <c r="R15" s="33">
        <f>IFERROR(INDEX([1]Item!$A:$A,MATCH(Q15,[1]Item!$B:$B,0)),"-")</f>
        <v>23348505</v>
      </c>
      <c r="S15" s="33">
        <v>1</v>
      </c>
      <c r="T15" s="30" t="s">
        <v>2529</v>
      </c>
      <c r="U15" s="33">
        <f>IFERROR(INDEX([1]Item!$A:$A,MATCH(T15,[1]Item!$B:$B,0)),"-")</f>
        <v>23347004</v>
      </c>
      <c r="V15" s="33">
        <v>10</v>
      </c>
      <c r="W15" s="30"/>
      <c r="X15" s="33" t="s">
        <v>545</v>
      </c>
      <c r="Y15" s="33" t="s">
        <v>545</v>
      </c>
      <c r="Z15" s="30" t="s">
        <v>2625</v>
      </c>
      <c r="AA15" s="34">
        <f>IFERROR(INDEX(SailPatternColor!$A:$A,MATCH(Z15,SailPatternColor!$B:$B,0)),"-")</f>
        <v>47300001</v>
      </c>
      <c r="AB15" s="30" t="s">
        <v>629</v>
      </c>
      <c r="AC15" s="34">
        <f>IFERROR(INDEX(SailPatternColor!$A:$A,MATCH(AB15,SailPatternColor!$B:$B,0)),"-")</f>
        <v>47300000</v>
      </c>
      <c r="AD15" s="30"/>
      <c r="AE15" s="34" t="str">
        <f>IFERROR(INDEX(SailPatternColor!$A:$A,MATCH(AD15,SailPatternColor!$B:$B,0)),"-")</f>
        <v>-</v>
      </c>
    </row>
    <row r="16" spans="1:31">
      <c r="A16" s="29">
        <v>47200008</v>
      </c>
      <c r="B16" s="30" t="s">
        <v>1352</v>
      </c>
      <c r="C16" s="33" t="s">
        <v>395</v>
      </c>
      <c r="D16" s="33" t="s">
        <v>1055</v>
      </c>
      <c r="E16" s="55" t="b">
        <v>1</v>
      </c>
      <c r="F16" s="30">
        <v>1</v>
      </c>
      <c r="G16" s="200">
        <f t="shared" si="0"/>
        <v>95000</v>
      </c>
      <c r="H16" s="30" t="s">
        <v>475</v>
      </c>
      <c r="I16" s="33">
        <v>100001</v>
      </c>
      <c r="J16" s="49">
        <v>1500</v>
      </c>
      <c r="K16" s="30" t="s">
        <v>475</v>
      </c>
      <c r="L16" s="33">
        <v>100001</v>
      </c>
      <c r="M16" s="50">
        <v>8500</v>
      </c>
      <c r="N16" s="30"/>
      <c r="O16" s="33" t="s">
        <v>545</v>
      </c>
      <c r="P16" s="33" t="s">
        <v>545</v>
      </c>
      <c r="Q16" s="30" t="s">
        <v>2535</v>
      </c>
      <c r="R16" s="33">
        <f>IFERROR(INDEX([1]Item!$A:$A,MATCH(Q16,[1]Item!$B:$B,0)),"-")</f>
        <v>23348506</v>
      </c>
      <c r="S16" s="33">
        <v>1</v>
      </c>
      <c r="T16" s="30" t="s">
        <v>2529</v>
      </c>
      <c r="U16" s="33">
        <f>IFERROR(INDEX([1]Item!$A:$A,MATCH(T16,[1]Item!$B:$B,0)),"-")</f>
        <v>23347004</v>
      </c>
      <c r="V16" s="33">
        <v>10</v>
      </c>
      <c r="W16" s="30"/>
      <c r="X16" s="33" t="s">
        <v>545</v>
      </c>
      <c r="Y16" s="33" t="s">
        <v>545</v>
      </c>
      <c r="Z16" s="30" t="s">
        <v>2625</v>
      </c>
      <c r="AA16" s="34">
        <f>IFERROR(INDEX(SailPatternColor!$A:$A,MATCH(Z16,SailPatternColor!$B:$B,0)),"-")</f>
        <v>47300001</v>
      </c>
      <c r="AB16" s="30" t="s">
        <v>629</v>
      </c>
      <c r="AC16" s="34">
        <f>IFERROR(INDEX(SailPatternColor!$A:$A,MATCH(AB16,SailPatternColor!$B:$B,0)),"-")</f>
        <v>47300000</v>
      </c>
      <c r="AD16" s="30"/>
      <c r="AE16" s="34" t="str">
        <f>IFERROR(INDEX(SailPatternColor!$A:$A,MATCH(AD16,SailPatternColor!$B:$B,0)),"-")</f>
        <v>-</v>
      </c>
    </row>
    <row r="17" spans="1:31">
      <c r="A17" s="29">
        <v>47200009</v>
      </c>
      <c r="B17" s="30" t="s">
        <v>2610</v>
      </c>
      <c r="C17" s="33" t="s">
        <v>396</v>
      </c>
      <c r="D17" s="33" t="s">
        <v>1056</v>
      </c>
      <c r="E17" s="55" t="b">
        <v>1</v>
      </c>
      <c r="F17" s="30">
        <v>1</v>
      </c>
      <c r="G17" s="200">
        <f t="shared" si="0"/>
        <v>95000</v>
      </c>
      <c r="H17" s="30" t="s">
        <v>475</v>
      </c>
      <c r="I17" s="33">
        <v>100001</v>
      </c>
      <c r="J17" s="49">
        <v>1500</v>
      </c>
      <c r="K17" s="30" t="s">
        <v>475</v>
      </c>
      <c r="L17" s="33">
        <v>100001</v>
      </c>
      <c r="M17" s="50">
        <v>8500</v>
      </c>
      <c r="N17" s="30"/>
      <c r="O17" s="33" t="s">
        <v>545</v>
      </c>
      <c r="P17" s="33" t="s">
        <v>545</v>
      </c>
      <c r="Q17" s="30" t="s">
        <v>2536</v>
      </c>
      <c r="R17" s="33">
        <f>IFERROR(INDEX([1]Item!$A:$A,MATCH(Q17,[1]Item!$B:$B,0)),"-")</f>
        <v>23348507</v>
      </c>
      <c r="S17" s="33">
        <v>1</v>
      </c>
      <c r="T17" s="30" t="s">
        <v>2529</v>
      </c>
      <c r="U17" s="33">
        <f>IFERROR(INDEX([1]Item!$A:$A,MATCH(T17,[1]Item!$B:$B,0)),"-")</f>
        <v>23347004</v>
      </c>
      <c r="V17" s="33">
        <v>10</v>
      </c>
      <c r="W17" s="30"/>
      <c r="X17" s="33" t="s">
        <v>545</v>
      </c>
      <c r="Y17" s="33" t="s">
        <v>545</v>
      </c>
      <c r="Z17" s="30" t="s">
        <v>2625</v>
      </c>
      <c r="AA17" s="34">
        <f>IFERROR(INDEX(SailPatternColor!$A:$A,MATCH(Z17,SailPatternColor!$B:$B,0)),"-")</f>
        <v>47300001</v>
      </c>
      <c r="AB17" s="30" t="s">
        <v>629</v>
      </c>
      <c r="AC17" s="34">
        <f>IFERROR(INDEX(SailPatternColor!$A:$A,MATCH(AB17,SailPatternColor!$B:$B,0)),"-")</f>
        <v>47300000</v>
      </c>
      <c r="AD17" s="30"/>
      <c r="AE17" s="34" t="str">
        <f>IFERROR(INDEX(SailPatternColor!$A:$A,MATCH(AD17,SailPatternColor!$B:$B,0)),"-")</f>
        <v>-</v>
      </c>
    </row>
    <row r="18" spans="1:31">
      <c r="A18" s="29">
        <v>47200011</v>
      </c>
      <c r="B18" s="30" t="s">
        <v>397</v>
      </c>
      <c r="C18" s="33" t="s">
        <v>398</v>
      </c>
      <c r="D18" s="33" t="s">
        <v>1057</v>
      </c>
      <c r="E18" s="55" t="b">
        <v>1</v>
      </c>
      <c r="F18" s="30">
        <v>1</v>
      </c>
      <c r="G18" s="200">
        <f t="shared" si="0"/>
        <v>95000</v>
      </c>
      <c r="H18" s="30" t="s">
        <v>475</v>
      </c>
      <c r="I18" s="33">
        <v>100001</v>
      </c>
      <c r="J18" s="49">
        <v>1500</v>
      </c>
      <c r="K18" s="30" t="s">
        <v>475</v>
      </c>
      <c r="L18" s="33">
        <v>100001</v>
      </c>
      <c r="M18" s="50">
        <v>8500</v>
      </c>
      <c r="N18" s="30"/>
      <c r="O18" s="33" t="s">
        <v>545</v>
      </c>
      <c r="P18" s="33" t="s">
        <v>545</v>
      </c>
      <c r="Q18" s="30" t="s">
        <v>2537</v>
      </c>
      <c r="R18" s="33">
        <f>IFERROR(INDEX([1]Item!$A:$A,MATCH(Q18,[1]Item!$B:$B,0)),"-")</f>
        <v>23348508</v>
      </c>
      <c r="S18" s="33">
        <v>1</v>
      </c>
      <c r="T18" s="30" t="s">
        <v>2529</v>
      </c>
      <c r="U18" s="33">
        <f>IFERROR(INDEX([1]Item!$A:$A,MATCH(T18,[1]Item!$B:$B,0)),"-")</f>
        <v>23347004</v>
      </c>
      <c r="V18" s="33">
        <v>10</v>
      </c>
      <c r="W18" s="30"/>
      <c r="X18" s="33" t="s">
        <v>545</v>
      </c>
      <c r="Y18" s="33" t="s">
        <v>545</v>
      </c>
      <c r="Z18" s="30" t="s">
        <v>2625</v>
      </c>
      <c r="AA18" s="34">
        <f>IFERROR(INDEX(SailPatternColor!$A:$A,MATCH(Z18,SailPatternColor!$B:$B,0)),"-")</f>
        <v>47300001</v>
      </c>
      <c r="AB18" s="30" t="s">
        <v>629</v>
      </c>
      <c r="AC18" s="34">
        <f>IFERROR(INDEX(SailPatternColor!$A:$A,MATCH(AB18,SailPatternColor!$B:$B,0)),"-")</f>
        <v>47300000</v>
      </c>
      <c r="AD18" s="30"/>
      <c r="AE18" s="34" t="str">
        <f>IFERROR(INDEX(SailPatternColor!$A:$A,MATCH(AD18,SailPatternColor!$B:$B,0)),"-")</f>
        <v>-</v>
      </c>
    </row>
    <row r="19" spans="1:31">
      <c r="A19" s="29">
        <v>47200012</v>
      </c>
      <c r="B19" s="30" t="s">
        <v>399</v>
      </c>
      <c r="C19" s="33" t="s">
        <v>400</v>
      </c>
      <c r="D19" s="33" t="s">
        <v>1058</v>
      </c>
      <c r="E19" s="55" t="b">
        <v>1</v>
      </c>
      <c r="F19" s="30">
        <v>1</v>
      </c>
      <c r="G19" s="200">
        <f t="shared" si="0"/>
        <v>95000</v>
      </c>
      <c r="H19" s="30" t="s">
        <v>475</v>
      </c>
      <c r="I19" s="33">
        <v>100001</v>
      </c>
      <c r="J19" s="49">
        <v>1500</v>
      </c>
      <c r="K19" s="30" t="s">
        <v>475</v>
      </c>
      <c r="L19" s="33">
        <v>100001</v>
      </c>
      <c r="M19" s="50">
        <v>8500</v>
      </c>
      <c r="N19" s="30"/>
      <c r="O19" s="33" t="s">
        <v>545</v>
      </c>
      <c r="P19" s="33" t="s">
        <v>545</v>
      </c>
      <c r="Q19" s="30" t="s">
        <v>2538</v>
      </c>
      <c r="R19" s="33">
        <f>IFERROR(INDEX([1]Item!$A:$A,MATCH(Q19,[1]Item!$B:$B,0)),"-")</f>
        <v>23348509</v>
      </c>
      <c r="S19" s="33">
        <v>1</v>
      </c>
      <c r="T19" s="30" t="s">
        <v>2529</v>
      </c>
      <c r="U19" s="33">
        <f>IFERROR(INDEX([1]Item!$A:$A,MATCH(T19,[1]Item!$B:$B,0)),"-")</f>
        <v>23347004</v>
      </c>
      <c r="V19" s="33">
        <v>10</v>
      </c>
      <c r="W19" s="30"/>
      <c r="X19" s="33" t="s">
        <v>545</v>
      </c>
      <c r="Y19" s="33" t="s">
        <v>545</v>
      </c>
      <c r="Z19" s="30" t="s">
        <v>2625</v>
      </c>
      <c r="AA19" s="34">
        <f>IFERROR(INDEX(SailPatternColor!$A:$A,MATCH(Z19,SailPatternColor!$B:$B,0)),"-")</f>
        <v>47300001</v>
      </c>
      <c r="AB19" s="30" t="s">
        <v>629</v>
      </c>
      <c r="AC19" s="34">
        <f>IFERROR(INDEX(SailPatternColor!$A:$A,MATCH(AB19,SailPatternColor!$B:$B,0)),"-")</f>
        <v>47300000</v>
      </c>
      <c r="AD19" s="30"/>
      <c r="AE19" s="34" t="str">
        <f>IFERROR(INDEX(SailPatternColor!$A:$A,MATCH(AD19,SailPatternColor!$B:$B,0)),"-")</f>
        <v>-</v>
      </c>
    </row>
    <row r="20" spans="1:31">
      <c r="A20" s="29">
        <v>47200013</v>
      </c>
      <c r="B20" s="30" t="s">
        <v>2611</v>
      </c>
      <c r="C20" s="33" t="s">
        <v>401</v>
      </c>
      <c r="D20" s="33" t="s">
        <v>1059</v>
      </c>
      <c r="E20" s="55" t="b">
        <v>1</v>
      </c>
      <c r="F20" s="30">
        <v>1</v>
      </c>
      <c r="G20" s="200">
        <f t="shared" si="0"/>
        <v>95000</v>
      </c>
      <c r="H20" s="30" t="s">
        <v>475</v>
      </c>
      <c r="I20" s="33">
        <v>100001</v>
      </c>
      <c r="J20" s="49">
        <v>1500</v>
      </c>
      <c r="K20" s="30" t="s">
        <v>475</v>
      </c>
      <c r="L20" s="33">
        <v>100001</v>
      </c>
      <c r="M20" s="50">
        <v>8500</v>
      </c>
      <c r="N20" s="30"/>
      <c r="O20" s="33" t="s">
        <v>545</v>
      </c>
      <c r="P20" s="33" t="s">
        <v>545</v>
      </c>
      <c r="Q20" s="30" t="s">
        <v>2539</v>
      </c>
      <c r="R20" s="33">
        <f>IFERROR(INDEX([1]Item!$A:$A,MATCH(Q20,[1]Item!$B:$B,0)),"-")</f>
        <v>23348510</v>
      </c>
      <c r="S20" s="33">
        <v>1</v>
      </c>
      <c r="T20" s="30" t="s">
        <v>2529</v>
      </c>
      <c r="U20" s="33">
        <f>IFERROR(INDEX([1]Item!$A:$A,MATCH(T20,[1]Item!$B:$B,0)),"-")</f>
        <v>23347004</v>
      </c>
      <c r="V20" s="33">
        <v>10</v>
      </c>
      <c r="W20" s="30"/>
      <c r="X20" s="33" t="s">
        <v>545</v>
      </c>
      <c r="Y20" s="33" t="s">
        <v>545</v>
      </c>
      <c r="Z20" s="30" t="s">
        <v>2625</v>
      </c>
      <c r="AA20" s="34">
        <f>IFERROR(INDEX(SailPatternColor!$A:$A,MATCH(Z20,SailPatternColor!$B:$B,0)),"-")</f>
        <v>47300001</v>
      </c>
      <c r="AB20" s="30" t="s">
        <v>629</v>
      </c>
      <c r="AC20" s="34">
        <f>IFERROR(INDEX(SailPatternColor!$A:$A,MATCH(AB20,SailPatternColor!$B:$B,0)),"-")</f>
        <v>47300000</v>
      </c>
      <c r="AD20" s="30"/>
      <c r="AE20" s="34" t="str">
        <f>IFERROR(INDEX(SailPatternColor!$A:$A,MATCH(AD20,SailPatternColor!$B:$B,0)),"-")</f>
        <v>-</v>
      </c>
    </row>
    <row r="21" spans="1:31">
      <c r="A21" s="29">
        <v>47200015</v>
      </c>
      <c r="B21" s="30" t="s">
        <v>1353</v>
      </c>
      <c r="C21" s="33" t="s">
        <v>403</v>
      </c>
      <c r="D21" s="33" t="s">
        <v>1060</v>
      </c>
      <c r="E21" s="55" t="b">
        <v>1</v>
      </c>
      <c r="F21" s="30">
        <v>2</v>
      </c>
      <c r="G21" s="200">
        <f t="shared" si="0"/>
        <v>190000</v>
      </c>
      <c r="H21" s="30" t="s">
        <v>475</v>
      </c>
      <c r="I21" s="33">
        <v>100001</v>
      </c>
      <c r="J21" s="49">
        <v>1500</v>
      </c>
      <c r="K21" s="30" t="s">
        <v>475</v>
      </c>
      <c r="L21" s="33">
        <v>100001</v>
      </c>
      <c r="M21" s="50">
        <v>8500</v>
      </c>
      <c r="N21" s="30"/>
      <c r="O21" s="33" t="s">
        <v>545</v>
      </c>
      <c r="P21" s="33" t="s">
        <v>545</v>
      </c>
      <c r="Q21" s="30" t="s">
        <v>2540</v>
      </c>
      <c r="R21" s="33">
        <f>IFERROR(INDEX([1]Item!$A:$A,MATCH(Q21,[1]Item!$B:$B,0)),"-")</f>
        <v>23348511</v>
      </c>
      <c r="S21" s="33">
        <v>1</v>
      </c>
      <c r="T21" s="30" t="s">
        <v>2529</v>
      </c>
      <c r="U21" s="33">
        <f>IFERROR(INDEX([1]Item!$A:$A,MATCH(T21,[1]Item!$B:$B,0)),"-")</f>
        <v>23347004</v>
      </c>
      <c r="V21" s="33">
        <v>10</v>
      </c>
      <c r="W21" s="30"/>
      <c r="X21" s="33" t="s">
        <v>545</v>
      </c>
      <c r="Y21" s="33" t="s">
        <v>545</v>
      </c>
      <c r="Z21" s="30" t="s">
        <v>2625</v>
      </c>
      <c r="AA21" s="34">
        <f>IFERROR(INDEX(SailPatternColor!$A:$A,MATCH(Z21,SailPatternColor!$B:$B,0)),"-")</f>
        <v>47300001</v>
      </c>
      <c r="AB21" s="30" t="s">
        <v>629</v>
      </c>
      <c r="AC21" s="34">
        <f>IFERROR(INDEX(SailPatternColor!$A:$A,MATCH(AB21,SailPatternColor!$B:$B,0)),"-")</f>
        <v>47300000</v>
      </c>
      <c r="AD21" s="30"/>
      <c r="AE21" s="34" t="str">
        <f>IFERROR(INDEX(SailPatternColor!$A:$A,MATCH(AD21,SailPatternColor!$B:$B,0)),"-")</f>
        <v>-</v>
      </c>
    </row>
    <row r="22" spans="1:31">
      <c r="A22" s="29">
        <v>47200016</v>
      </c>
      <c r="B22" s="30" t="s">
        <v>1354</v>
      </c>
      <c r="C22" s="33" t="s">
        <v>404</v>
      </c>
      <c r="D22" s="33" t="s">
        <v>1061</v>
      </c>
      <c r="E22" s="55" t="b">
        <v>1</v>
      </c>
      <c r="F22" s="30">
        <v>2</v>
      </c>
      <c r="G22" s="200">
        <f t="shared" si="0"/>
        <v>190000</v>
      </c>
      <c r="H22" s="30" t="s">
        <v>475</v>
      </c>
      <c r="I22" s="33">
        <v>100001</v>
      </c>
      <c r="J22" s="49">
        <v>1500</v>
      </c>
      <c r="K22" s="30" t="s">
        <v>475</v>
      </c>
      <c r="L22" s="33">
        <v>100001</v>
      </c>
      <c r="M22" s="50">
        <v>8500</v>
      </c>
      <c r="N22" s="30"/>
      <c r="O22" s="33" t="s">
        <v>545</v>
      </c>
      <c r="P22" s="33" t="s">
        <v>545</v>
      </c>
      <c r="Q22" s="30" t="s">
        <v>2541</v>
      </c>
      <c r="R22" s="33">
        <f>IFERROR(INDEX([1]Item!$A:$A,MATCH(Q22,[1]Item!$B:$B,0)),"-")</f>
        <v>23348512</v>
      </c>
      <c r="S22" s="33">
        <v>1</v>
      </c>
      <c r="T22" s="30" t="s">
        <v>2529</v>
      </c>
      <c r="U22" s="33">
        <f>IFERROR(INDEX([1]Item!$A:$A,MATCH(T22,[1]Item!$B:$B,0)),"-")</f>
        <v>23347004</v>
      </c>
      <c r="V22" s="33">
        <v>10</v>
      </c>
      <c r="W22" s="30"/>
      <c r="X22" s="33" t="s">
        <v>545</v>
      </c>
      <c r="Y22" s="33" t="s">
        <v>545</v>
      </c>
      <c r="Z22" s="30" t="s">
        <v>2625</v>
      </c>
      <c r="AA22" s="34">
        <f>IFERROR(INDEX(SailPatternColor!$A:$A,MATCH(Z22,SailPatternColor!$B:$B,0)),"-")</f>
        <v>47300001</v>
      </c>
      <c r="AB22" s="30" t="s">
        <v>629</v>
      </c>
      <c r="AC22" s="34">
        <f>IFERROR(INDEX(SailPatternColor!$A:$A,MATCH(AB22,SailPatternColor!$B:$B,0)),"-")</f>
        <v>47300000</v>
      </c>
      <c r="AD22" s="30"/>
      <c r="AE22" s="34" t="str">
        <f>IFERROR(INDEX(SailPatternColor!$A:$A,MATCH(AD22,SailPatternColor!$B:$B,0)),"-")</f>
        <v>-</v>
      </c>
    </row>
    <row r="23" spans="1:31">
      <c r="A23" s="29">
        <v>47200017</v>
      </c>
      <c r="B23" s="30" t="s">
        <v>405</v>
      </c>
      <c r="C23" s="33" t="s">
        <v>406</v>
      </c>
      <c r="D23" s="33" t="s">
        <v>1062</v>
      </c>
      <c r="E23" s="55" t="b">
        <v>1</v>
      </c>
      <c r="F23" s="30">
        <v>2</v>
      </c>
      <c r="G23" s="200">
        <f t="shared" si="0"/>
        <v>190000</v>
      </c>
      <c r="H23" s="30" t="s">
        <v>475</v>
      </c>
      <c r="I23" s="33">
        <v>100001</v>
      </c>
      <c r="J23" s="49">
        <v>1500</v>
      </c>
      <c r="K23" s="30" t="s">
        <v>475</v>
      </c>
      <c r="L23" s="33">
        <v>100001</v>
      </c>
      <c r="M23" s="50">
        <v>8500</v>
      </c>
      <c r="N23" s="30"/>
      <c r="O23" s="33" t="s">
        <v>545</v>
      </c>
      <c r="P23" s="33" t="s">
        <v>545</v>
      </c>
      <c r="Q23" s="30" t="s">
        <v>2542</v>
      </c>
      <c r="R23" s="33">
        <f>IFERROR(INDEX([1]Item!$A:$A,MATCH(Q23,[1]Item!$B:$B,0)),"-")</f>
        <v>23348513</v>
      </c>
      <c r="S23" s="33">
        <v>1</v>
      </c>
      <c r="T23" s="30" t="s">
        <v>2529</v>
      </c>
      <c r="U23" s="33">
        <f>IFERROR(INDEX([1]Item!$A:$A,MATCH(T23,[1]Item!$B:$B,0)),"-")</f>
        <v>23347004</v>
      </c>
      <c r="V23" s="33">
        <v>10</v>
      </c>
      <c r="W23" s="30"/>
      <c r="X23" s="33" t="s">
        <v>545</v>
      </c>
      <c r="Y23" s="33" t="s">
        <v>545</v>
      </c>
      <c r="Z23" s="30" t="s">
        <v>2625</v>
      </c>
      <c r="AA23" s="34">
        <f>IFERROR(INDEX(SailPatternColor!$A:$A,MATCH(Z23,SailPatternColor!$B:$B,0)),"-")</f>
        <v>47300001</v>
      </c>
      <c r="AB23" s="30" t="s">
        <v>629</v>
      </c>
      <c r="AC23" s="34">
        <f>IFERROR(INDEX(SailPatternColor!$A:$A,MATCH(AB23,SailPatternColor!$B:$B,0)),"-")</f>
        <v>47300000</v>
      </c>
      <c r="AD23" s="30"/>
      <c r="AE23" s="34" t="str">
        <f>IFERROR(INDEX(SailPatternColor!$A:$A,MATCH(AD23,SailPatternColor!$B:$B,0)),"-")</f>
        <v>-</v>
      </c>
    </row>
    <row r="24" spans="1:31">
      <c r="A24" s="29">
        <v>47200018</v>
      </c>
      <c r="B24" s="30" t="s">
        <v>407</v>
      </c>
      <c r="C24" s="33" t="s">
        <v>408</v>
      </c>
      <c r="D24" s="33" t="s">
        <v>1063</v>
      </c>
      <c r="E24" s="55" t="b">
        <v>1</v>
      </c>
      <c r="F24" s="30">
        <v>2</v>
      </c>
      <c r="G24" s="200">
        <f t="shared" si="0"/>
        <v>190000</v>
      </c>
      <c r="H24" s="30" t="s">
        <v>475</v>
      </c>
      <c r="I24" s="33">
        <v>100001</v>
      </c>
      <c r="J24" s="49">
        <v>1500</v>
      </c>
      <c r="K24" s="30" t="s">
        <v>475</v>
      </c>
      <c r="L24" s="33">
        <v>100001</v>
      </c>
      <c r="M24" s="50">
        <v>8500</v>
      </c>
      <c r="N24" s="30"/>
      <c r="O24" s="33" t="s">
        <v>545</v>
      </c>
      <c r="P24" s="33" t="s">
        <v>545</v>
      </c>
      <c r="Q24" s="30" t="s">
        <v>2543</v>
      </c>
      <c r="R24" s="33">
        <f>IFERROR(INDEX([1]Item!$A:$A,MATCH(Q24,[1]Item!$B:$B,0)),"-")</f>
        <v>23348514</v>
      </c>
      <c r="S24" s="33">
        <v>1</v>
      </c>
      <c r="T24" s="30" t="s">
        <v>2529</v>
      </c>
      <c r="U24" s="33">
        <f>IFERROR(INDEX([1]Item!$A:$A,MATCH(T24,[1]Item!$B:$B,0)),"-")</f>
        <v>23347004</v>
      </c>
      <c r="V24" s="33">
        <v>10</v>
      </c>
      <c r="W24" s="30"/>
      <c r="X24" s="33" t="s">
        <v>545</v>
      </c>
      <c r="Y24" s="33" t="s">
        <v>545</v>
      </c>
      <c r="Z24" s="30" t="s">
        <v>2625</v>
      </c>
      <c r="AA24" s="34">
        <f>IFERROR(INDEX(SailPatternColor!$A:$A,MATCH(Z24,SailPatternColor!$B:$B,0)),"-")</f>
        <v>47300001</v>
      </c>
      <c r="AB24" s="30" t="s">
        <v>629</v>
      </c>
      <c r="AC24" s="34">
        <f>IFERROR(INDEX(SailPatternColor!$A:$A,MATCH(AB24,SailPatternColor!$B:$B,0)),"-")</f>
        <v>47300000</v>
      </c>
      <c r="AD24" s="30"/>
      <c r="AE24" s="34" t="str">
        <f>IFERROR(INDEX(SailPatternColor!$A:$A,MATCH(AD24,SailPatternColor!$B:$B,0)),"-")</f>
        <v>-</v>
      </c>
    </row>
    <row r="25" spans="1:31">
      <c r="A25" s="29">
        <v>47200019</v>
      </c>
      <c r="B25" s="30" t="s">
        <v>409</v>
      </c>
      <c r="C25" s="33" t="s">
        <v>410</v>
      </c>
      <c r="D25" s="33" t="s">
        <v>1064</v>
      </c>
      <c r="E25" s="55" t="b">
        <v>1</v>
      </c>
      <c r="F25" s="30">
        <v>2</v>
      </c>
      <c r="G25" s="200">
        <f t="shared" si="0"/>
        <v>190000</v>
      </c>
      <c r="H25" s="30" t="s">
        <v>475</v>
      </c>
      <c r="I25" s="33">
        <v>100001</v>
      </c>
      <c r="J25" s="49">
        <v>1500</v>
      </c>
      <c r="K25" s="30" t="s">
        <v>475</v>
      </c>
      <c r="L25" s="33">
        <v>100001</v>
      </c>
      <c r="M25" s="50">
        <v>8500</v>
      </c>
      <c r="N25" s="30"/>
      <c r="O25" s="33" t="s">
        <v>545</v>
      </c>
      <c r="P25" s="33" t="s">
        <v>545</v>
      </c>
      <c r="Q25" s="30" t="s">
        <v>2544</v>
      </c>
      <c r="R25" s="33">
        <f>IFERROR(INDEX([1]Item!$A:$A,MATCH(Q25,[1]Item!$B:$B,0)),"-")</f>
        <v>23348515</v>
      </c>
      <c r="S25" s="33">
        <v>1</v>
      </c>
      <c r="T25" s="30" t="s">
        <v>2529</v>
      </c>
      <c r="U25" s="33">
        <f>IFERROR(INDEX([1]Item!$A:$A,MATCH(T25,[1]Item!$B:$B,0)),"-")</f>
        <v>23347004</v>
      </c>
      <c r="V25" s="33">
        <v>10</v>
      </c>
      <c r="W25" s="30"/>
      <c r="X25" s="33" t="s">
        <v>545</v>
      </c>
      <c r="Y25" s="33" t="s">
        <v>545</v>
      </c>
      <c r="Z25" s="30" t="s">
        <v>2625</v>
      </c>
      <c r="AA25" s="34">
        <f>IFERROR(INDEX(SailPatternColor!$A:$A,MATCH(Z25,SailPatternColor!$B:$B,0)),"-")</f>
        <v>47300001</v>
      </c>
      <c r="AB25" s="30" t="s">
        <v>629</v>
      </c>
      <c r="AC25" s="34">
        <f>IFERROR(INDEX(SailPatternColor!$A:$A,MATCH(AB25,SailPatternColor!$B:$B,0)),"-")</f>
        <v>47300000</v>
      </c>
      <c r="AD25" s="30"/>
      <c r="AE25" s="34" t="str">
        <f>IFERROR(INDEX(SailPatternColor!$A:$A,MATCH(AD25,SailPatternColor!$B:$B,0)),"-")</f>
        <v>-</v>
      </c>
    </row>
    <row r="26" spans="1:31">
      <c r="A26" s="29">
        <v>47200020</v>
      </c>
      <c r="B26" s="30" t="s">
        <v>2612</v>
      </c>
      <c r="C26" s="33" t="s">
        <v>412</v>
      </c>
      <c r="D26" s="33" t="s">
        <v>1065</v>
      </c>
      <c r="E26" s="55" t="b">
        <v>1</v>
      </c>
      <c r="F26" s="30">
        <v>2</v>
      </c>
      <c r="G26" s="200">
        <f t="shared" si="0"/>
        <v>190000</v>
      </c>
      <c r="H26" s="30" t="s">
        <v>475</v>
      </c>
      <c r="I26" s="33">
        <v>100001</v>
      </c>
      <c r="J26" s="49">
        <v>1500</v>
      </c>
      <c r="K26" s="30" t="s">
        <v>475</v>
      </c>
      <c r="L26" s="33">
        <v>100001</v>
      </c>
      <c r="M26" s="50">
        <v>8500</v>
      </c>
      <c r="N26" s="30"/>
      <c r="O26" s="33" t="s">
        <v>545</v>
      </c>
      <c r="P26" s="33" t="s">
        <v>545</v>
      </c>
      <c r="Q26" s="30" t="s">
        <v>2545</v>
      </c>
      <c r="R26" s="33">
        <f>IFERROR(INDEX([1]Item!$A:$A,MATCH(Q26,[1]Item!$B:$B,0)),"-")</f>
        <v>23348516</v>
      </c>
      <c r="S26" s="33">
        <v>1</v>
      </c>
      <c r="T26" s="30" t="s">
        <v>2529</v>
      </c>
      <c r="U26" s="33">
        <f>IFERROR(INDEX([1]Item!$A:$A,MATCH(T26,[1]Item!$B:$B,0)),"-")</f>
        <v>23347004</v>
      </c>
      <c r="V26" s="33">
        <v>10</v>
      </c>
      <c r="W26" s="30"/>
      <c r="X26" s="33" t="s">
        <v>545</v>
      </c>
      <c r="Y26" s="33" t="s">
        <v>545</v>
      </c>
      <c r="Z26" s="30" t="s">
        <v>2625</v>
      </c>
      <c r="AA26" s="34">
        <f>IFERROR(INDEX(SailPatternColor!$A:$A,MATCH(Z26,SailPatternColor!$B:$B,0)),"-")</f>
        <v>47300001</v>
      </c>
      <c r="AB26" s="30" t="s">
        <v>629</v>
      </c>
      <c r="AC26" s="34">
        <f>IFERROR(INDEX(SailPatternColor!$A:$A,MATCH(AB26,SailPatternColor!$B:$B,0)),"-")</f>
        <v>47300000</v>
      </c>
      <c r="AD26" s="30"/>
      <c r="AE26" s="34" t="str">
        <f>IFERROR(INDEX(SailPatternColor!$A:$A,MATCH(AD26,SailPatternColor!$B:$B,0)),"-")</f>
        <v>-</v>
      </c>
    </row>
    <row r="27" spans="1:31">
      <c r="A27" s="29">
        <v>47200021</v>
      </c>
      <c r="B27" s="30" t="s">
        <v>2606</v>
      </c>
      <c r="C27" s="33" t="s">
        <v>413</v>
      </c>
      <c r="D27" s="33" t="s">
        <v>1066</v>
      </c>
      <c r="E27" s="55" t="b">
        <v>1</v>
      </c>
      <c r="F27" s="30">
        <v>2</v>
      </c>
      <c r="G27" s="200">
        <f t="shared" si="0"/>
        <v>190000</v>
      </c>
      <c r="H27" s="30" t="s">
        <v>475</v>
      </c>
      <c r="I27" s="33">
        <v>100001</v>
      </c>
      <c r="J27" s="49">
        <v>1500</v>
      </c>
      <c r="K27" s="30" t="s">
        <v>475</v>
      </c>
      <c r="L27" s="33">
        <v>100001</v>
      </c>
      <c r="M27" s="50">
        <v>8500</v>
      </c>
      <c r="N27" s="30"/>
      <c r="O27" s="33" t="s">
        <v>545</v>
      </c>
      <c r="P27" s="33" t="s">
        <v>545</v>
      </c>
      <c r="Q27" s="30" t="s">
        <v>2636</v>
      </c>
      <c r="R27" s="33">
        <f>IFERROR(INDEX([1]Item!$A:$A,MATCH(Q27,[1]Item!$B:$B,0)),"-")</f>
        <v>23348517</v>
      </c>
      <c r="S27" s="33">
        <v>1</v>
      </c>
      <c r="T27" s="30" t="s">
        <v>2529</v>
      </c>
      <c r="U27" s="33">
        <f>IFERROR(INDEX([1]Item!$A:$A,MATCH(T27,[1]Item!$B:$B,0)),"-")</f>
        <v>23347004</v>
      </c>
      <c r="V27" s="33">
        <v>10</v>
      </c>
      <c r="W27" s="30"/>
      <c r="X27" s="33" t="s">
        <v>545</v>
      </c>
      <c r="Y27" s="33" t="s">
        <v>545</v>
      </c>
      <c r="Z27" s="30" t="s">
        <v>2625</v>
      </c>
      <c r="AA27" s="34">
        <f>IFERROR(INDEX(SailPatternColor!$A:$A,MATCH(Z27,SailPatternColor!$B:$B,0)),"-")</f>
        <v>47300001</v>
      </c>
      <c r="AB27" s="30" t="s">
        <v>629</v>
      </c>
      <c r="AC27" s="34">
        <f>IFERROR(INDEX(SailPatternColor!$A:$A,MATCH(AB27,SailPatternColor!$B:$B,0)),"-")</f>
        <v>47300000</v>
      </c>
      <c r="AD27" s="30"/>
      <c r="AE27" s="34" t="str">
        <f>IFERROR(INDEX(SailPatternColor!$A:$A,MATCH(AD27,SailPatternColor!$B:$B,0)),"-")</f>
        <v>-</v>
      </c>
    </row>
    <row r="28" spans="1:31">
      <c r="A28" s="29">
        <v>47200022</v>
      </c>
      <c r="B28" s="30" t="s">
        <v>414</v>
      </c>
      <c r="C28" s="33" t="s">
        <v>415</v>
      </c>
      <c r="D28" s="33" t="s">
        <v>1067</v>
      </c>
      <c r="E28" s="55" t="b">
        <v>1</v>
      </c>
      <c r="F28" s="30">
        <v>2</v>
      </c>
      <c r="G28" s="200">
        <f t="shared" si="0"/>
        <v>190000</v>
      </c>
      <c r="H28" s="30" t="s">
        <v>475</v>
      </c>
      <c r="I28" s="33">
        <v>100001</v>
      </c>
      <c r="J28" s="49">
        <v>1500</v>
      </c>
      <c r="K28" s="30" t="s">
        <v>475</v>
      </c>
      <c r="L28" s="33">
        <v>100001</v>
      </c>
      <c r="M28" s="50">
        <v>8500</v>
      </c>
      <c r="N28" s="30"/>
      <c r="O28" s="33" t="s">
        <v>545</v>
      </c>
      <c r="P28" s="33" t="s">
        <v>545</v>
      </c>
      <c r="Q28" s="30" t="s">
        <v>2546</v>
      </c>
      <c r="R28" s="33">
        <f>IFERROR(INDEX([1]Item!$A:$A,MATCH(Q28,[1]Item!$B:$B,0)),"-")</f>
        <v>23348518</v>
      </c>
      <c r="S28" s="33">
        <v>1</v>
      </c>
      <c r="T28" s="30" t="s">
        <v>2529</v>
      </c>
      <c r="U28" s="33">
        <f>IFERROR(INDEX([1]Item!$A:$A,MATCH(T28,[1]Item!$B:$B,0)),"-")</f>
        <v>23347004</v>
      </c>
      <c r="V28" s="33">
        <v>10</v>
      </c>
      <c r="W28" s="30"/>
      <c r="X28" s="33" t="s">
        <v>545</v>
      </c>
      <c r="Y28" s="33" t="s">
        <v>545</v>
      </c>
      <c r="Z28" s="30" t="s">
        <v>2625</v>
      </c>
      <c r="AA28" s="34">
        <f>IFERROR(INDEX(SailPatternColor!$A:$A,MATCH(Z28,SailPatternColor!$B:$B,0)),"-")</f>
        <v>47300001</v>
      </c>
      <c r="AB28" s="30" t="s">
        <v>629</v>
      </c>
      <c r="AC28" s="34">
        <f>IFERROR(INDEX(SailPatternColor!$A:$A,MATCH(AB28,SailPatternColor!$B:$B,0)),"-")</f>
        <v>47300000</v>
      </c>
      <c r="AD28" s="30"/>
      <c r="AE28" s="34" t="str">
        <f>IFERROR(INDEX(SailPatternColor!$A:$A,MATCH(AD28,SailPatternColor!$B:$B,0)),"-")</f>
        <v>-</v>
      </c>
    </row>
    <row r="29" spans="1:31">
      <c r="A29" s="29">
        <v>47200023</v>
      </c>
      <c r="B29" s="30" t="s">
        <v>416</v>
      </c>
      <c r="C29" s="33" t="s">
        <v>417</v>
      </c>
      <c r="D29" s="33" t="s">
        <v>1068</v>
      </c>
      <c r="E29" s="55" t="b">
        <v>1</v>
      </c>
      <c r="F29" s="30">
        <v>2</v>
      </c>
      <c r="G29" s="200">
        <f t="shared" si="0"/>
        <v>190000</v>
      </c>
      <c r="H29" s="30" t="s">
        <v>475</v>
      </c>
      <c r="I29" s="33">
        <v>100001</v>
      </c>
      <c r="J29" s="49">
        <v>1500</v>
      </c>
      <c r="K29" s="30" t="s">
        <v>475</v>
      </c>
      <c r="L29" s="33">
        <v>100001</v>
      </c>
      <c r="M29" s="50">
        <v>8500</v>
      </c>
      <c r="N29" s="30"/>
      <c r="O29" s="33" t="s">
        <v>545</v>
      </c>
      <c r="P29" s="33" t="s">
        <v>545</v>
      </c>
      <c r="Q29" s="30" t="s">
        <v>2547</v>
      </c>
      <c r="R29" s="33">
        <f>IFERROR(INDEX([1]Item!$A:$A,MATCH(Q29,[1]Item!$B:$B,0)),"-")</f>
        <v>23348519</v>
      </c>
      <c r="S29" s="33">
        <v>1</v>
      </c>
      <c r="T29" s="30" t="s">
        <v>2529</v>
      </c>
      <c r="U29" s="33">
        <f>IFERROR(INDEX([1]Item!$A:$A,MATCH(T29,[1]Item!$B:$B,0)),"-")</f>
        <v>23347004</v>
      </c>
      <c r="V29" s="33">
        <v>10</v>
      </c>
      <c r="W29" s="30"/>
      <c r="X29" s="33" t="s">
        <v>545</v>
      </c>
      <c r="Y29" s="33" t="s">
        <v>545</v>
      </c>
      <c r="Z29" s="30" t="s">
        <v>2625</v>
      </c>
      <c r="AA29" s="34">
        <f>IFERROR(INDEX(SailPatternColor!$A:$A,MATCH(Z29,SailPatternColor!$B:$B,0)),"-")</f>
        <v>47300001</v>
      </c>
      <c r="AB29" s="30" t="s">
        <v>629</v>
      </c>
      <c r="AC29" s="34">
        <f>IFERROR(INDEX(SailPatternColor!$A:$A,MATCH(AB29,SailPatternColor!$B:$B,0)),"-")</f>
        <v>47300000</v>
      </c>
      <c r="AD29" s="30"/>
      <c r="AE29" s="34" t="str">
        <f>IFERROR(INDEX(SailPatternColor!$A:$A,MATCH(AD29,SailPatternColor!$B:$B,0)),"-")</f>
        <v>-</v>
      </c>
    </row>
    <row r="30" spans="1:31">
      <c r="A30" s="29">
        <v>47200024</v>
      </c>
      <c r="B30" s="30" t="s">
        <v>2613</v>
      </c>
      <c r="C30" s="33" t="s">
        <v>418</v>
      </c>
      <c r="D30" s="33" t="s">
        <v>1069</v>
      </c>
      <c r="E30" s="55" t="b">
        <v>1</v>
      </c>
      <c r="F30" s="30">
        <v>3</v>
      </c>
      <c r="G30" s="200">
        <f t="shared" si="0"/>
        <v>475000</v>
      </c>
      <c r="H30" s="30" t="s">
        <v>475</v>
      </c>
      <c r="I30" s="33">
        <v>100001</v>
      </c>
      <c r="J30" s="49">
        <v>1500</v>
      </c>
      <c r="K30" s="30" t="s">
        <v>475</v>
      </c>
      <c r="L30" s="33">
        <v>100001</v>
      </c>
      <c r="M30" s="50">
        <v>8500</v>
      </c>
      <c r="N30" s="30"/>
      <c r="O30" s="33" t="s">
        <v>545</v>
      </c>
      <c r="P30" s="33" t="s">
        <v>545</v>
      </c>
      <c r="Q30" s="30" t="s">
        <v>2548</v>
      </c>
      <c r="R30" s="33">
        <f>IFERROR(INDEX([1]Item!$A:$A,MATCH(Q30,[1]Item!$B:$B,0)),"-")</f>
        <v>23348520</v>
      </c>
      <c r="S30" s="33">
        <v>1</v>
      </c>
      <c r="T30" s="30" t="s">
        <v>2529</v>
      </c>
      <c r="U30" s="33">
        <f>IFERROR(INDEX([1]Item!$A:$A,MATCH(T30,[1]Item!$B:$B,0)),"-")</f>
        <v>23347004</v>
      </c>
      <c r="V30" s="33">
        <v>10</v>
      </c>
      <c r="W30" s="30"/>
      <c r="X30" s="33" t="s">
        <v>545</v>
      </c>
      <c r="Y30" s="33" t="s">
        <v>545</v>
      </c>
      <c r="Z30" s="30" t="s">
        <v>2625</v>
      </c>
      <c r="AA30" s="34">
        <f>IFERROR(INDEX(SailPatternColor!$A:$A,MATCH(Z30,SailPatternColor!$B:$B,0)),"-")</f>
        <v>47300001</v>
      </c>
      <c r="AB30" s="30" t="s">
        <v>629</v>
      </c>
      <c r="AC30" s="34">
        <f>IFERROR(INDEX(SailPatternColor!$A:$A,MATCH(AB30,SailPatternColor!$B:$B,0)),"-")</f>
        <v>47300000</v>
      </c>
      <c r="AD30" s="30"/>
      <c r="AE30" s="34" t="str">
        <f>IFERROR(INDEX(SailPatternColor!$A:$A,MATCH(AD30,SailPatternColor!$B:$B,0)),"-")</f>
        <v>-</v>
      </c>
    </row>
    <row r="31" spans="1:31">
      <c r="A31" s="29">
        <v>47200025</v>
      </c>
      <c r="B31" s="30" t="s">
        <v>2614</v>
      </c>
      <c r="C31" s="33" t="s">
        <v>419</v>
      </c>
      <c r="D31" s="33" t="s">
        <v>1070</v>
      </c>
      <c r="E31" s="55" t="b">
        <v>1</v>
      </c>
      <c r="F31" s="30">
        <v>3</v>
      </c>
      <c r="G31" s="200">
        <f t="shared" si="0"/>
        <v>475000</v>
      </c>
      <c r="H31" s="30" t="s">
        <v>475</v>
      </c>
      <c r="I31" s="33">
        <v>100001</v>
      </c>
      <c r="J31" s="49">
        <v>1500</v>
      </c>
      <c r="K31" s="30" t="s">
        <v>475</v>
      </c>
      <c r="L31" s="33">
        <v>100001</v>
      </c>
      <c r="M31" s="50">
        <v>8500</v>
      </c>
      <c r="N31" s="30"/>
      <c r="O31" s="33" t="s">
        <v>545</v>
      </c>
      <c r="P31" s="33" t="s">
        <v>545</v>
      </c>
      <c r="Q31" s="30" t="s">
        <v>2549</v>
      </c>
      <c r="R31" s="33">
        <f>IFERROR(INDEX([1]Item!$A:$A,MATCH(Q31,[1]Item!$B:$B,0)),"-")</f>
        <v>23348521</v>
      </c>
      <c r="S31" s="33">
        <v>1</v>
      </c>
      <c r="T31" s="30" t="s">
        <v>2529</v>
      </c>
      <c r="U31" s="33">
        <f>IFERROR(INDEX([1]Item!$A:$A,MATCH(T31,[1]Item!$B:$B,0)),"-")</f>
        <v>23347004</v>
      </c>
      <c r="V31" s="33">
        <v>10</v>
      </c>
      <c r="W31" s="30"/>
      <c r="X31" s="33" t="s">
        <v>545</v>
      </c>
      <c r="Y31" s="33" t="s">
        <v>545</v>
      </c>
      <c r="Z31" s="30" t="s">
        <v>2625</v>
      </c>
      <c r="AA31" s="34">
        <f>IFERROR(INDEX(SailPatternColor!$A:$A,MATCH(Z31,SailPatternColor!$B:$B,0)),"-")</f>
        <v>47300001</v>
      </c>
      <c r="AB31" s="30" t="s">
        <v>629</v>
      </c>
      <c r="AC31" s="34">
        <f>IFERROR(INDEX(SailPatternColor!$A:$A,MATCH(AB31,SailPatternColor!$B:$B,0)),"-")</f>
        <v>47300000</v>
      </c>
      <c r="AD31" s="30"/>
      <c r="AE31" s="34" t="str">
        <f>IFERROR(INDEX(SailPatternColor!$A:$A,MATCH(AD31,SailPatternColor!$B:$B,0)),"-")</f>
        <v>-</v>
      </c>
    </row>
    <row r="32" spans="1:31">
      <c r="A32" s="29">
        <v>47200026</v>
      </c>
      <c r="B32" s="30" t="s">
        <v>2607</v>
      </c>
      <c r="C32" s="33" t="s">
        <v>420</v>
      </c>
      <c r="D32" s="33" t="s">
        <v>1071</v>
      </c>
      <c r="E32" s="55" t="b">
        <v>1</v>
      </c>
      <c r="F32" s="30">
        <v>3</v>
      </c>
      <c r="G32" s="200">
        <f t="shared" si="0"/>
        <v>475000</v>
      </c>
      <c r="H32" s="30" t="s">
        <v>475</v>
      </c>
      <c r="I32" s="33">
        <v>100001</v>
      </c>
      <c r="J32" s="49">
        <v>1500</v>
      </c>
      <c r="K32" s="30" t="s">
        <v>475</v>
      </c>
      <c r="L32" s="33">
        <v>100001</v>
      </c>
      <c r="M32" s="50">
        <v>8500</v>
      </c>
      <c r="N32" s="30"/>
      <c r="O32" s="33" t="s">
        <v>545</v>
      </c>
      <c r="P32" s="33" t="s">
        <v>545</v>
      </c>
      <c r="Q32" s="30" t="s">
        <v>2637</v>
      </c>
      <c r="R32" s="33">
        <f>IFERROR(INDEX([1]Item!$A:$A,MATCH(Q32,[1]Item!$B:$B,0)),"-")</f>
        <v>23348522</v>
      </c>
      <c r="S32" s="33">
        <v>1</v>
      </c>
      <c r="T32" s="30" t="s">
        <v>2529</v>
      </c>
      <c r="U32" s="33">
        <f>IFERROR(INDEX([1]Item!$A:$A,MATCH(T32,[1]Item!$B:$B,0)),"-")</f>
        <v>23347004</v>
      </c>
      <c r="V32" s="33">
        <v>10</v>
      </c>
      <c r="W32" s="30"/>
      <c r="X32" s="33" t="s">
        <v>545</v>
      </c>
      <c r="Y32" s="33" t="s">
        <v>545</v>
      </c>
      <c r="Z32" s="30" t="s">
        <v>2625</v>
      </c>
      <c r="AA32" s="34">
        <f>IFERROR(INDEX(SailPatternColor!$A:$A,MATCH(Z32,SailPatternColor!$B:$B,0)),"-")</f>
        <v>47300001</v>
      </c>
      <c r="AB32" s="30" t="s">
        <v>629</v>
      </c>
      <c r="AC32" s="34">
        <f>IFERROR(INDEX(SailPatternColor!$A:$A,MATCH(AB32,SailPatternColor!$B:$B,0)),"-")</f>
        <v>47300000</v>
      </c>
      <c r="AD32" s="30"/>
      <c r="AE32" s="34" t="str">
        <f>IFERROR(INDEX(SailPatternColor!$A:$A,MATCH(AD32,SailPatternColor!$B:$B,0)),"-")</f>
        <v>-</v>
      </c>
    </row>
    <row r="33" spans="1:31">
      <c r="A33" s="29">
        <v>47200027</v>
      </c>
      <c r="B33" s="30" t="s">
        <v>422</v>
      </c>
      <c r="C33" s="33" t="s">
        <v>421</v>
      </c>
      <c r="D33" s="33" t="s">
        <v>1072</v>
      </c>
      <c r="E33" s="55" t="b">
        <v>1</v>
      </c>
      <c r="F33" s="30">
        <v>3</v>
      </c>
      <c r="G33" s="200">
        <f t="shared" si="0"/>
        <v>475000</v>
      </c>
      <c r="H33" s="30" t="s">
        <v>475</v>
      </c>
      <c r="I33" s="33">
        <v>100001</v>
      </c>
      <c r="J33" s="49">
        <v>1500</v>
      </c>
      <c r="K33" s="30" t="s">
        <v>475</v>
      </c>
      <c r="L33" s="33">
        <v>100001</v>
      </c>
      <c r="M33" s="50">
        <v>8500</v>
      </c>
      <c r="N33" s="30"/>
      <c r="O33" s="33" t="s">
        <v>545</v>
      </c>
      <c r="P33" s="33" t="s">
        <v>545</v>
      </c>
      <c r="Q33" s="30" t="s">
        <v>2550</v>
      </c>
      <c r="R33" s="33">
        <f>IFERROR(INDEX([1]Item!$A:$A,MATCH(Q33,[1]Item!$B:$B,0)),"-")</f>
        <v>23348523</v>
      </c>
      <c r="S33" s="33">
        <v>1</v>
      </c>
      <c r="T33" s="30" t="s">
        <v>2529</v>
      </c>
      <c r="U33" s="33">
        <f>IFERROR(INDEX([1]Item!$A:$A,MATCH(T33,[1]Item!$B:$B,0)),"-")</f>
        <v>23347004</v>
      </c>
      <c r="V33" s="33">
        <v>10</v>
      </c>
      <c r="W33" s="30"/>
      <c r="X33" s="33" t="s">
        <v>545</v>
      </c>
      <c r="Y33" s="33" t="s">
        <v>545</v>
      </c>
      <c r="Z33" s="30" t="s">
        <v>2625</v>
      </c>
      <c r="AA33" s="34">
        <f>IFERROR(INDEX(SailPatternColor!$A:$A,MATCH(Z33,SailPatternColor!$B:$B,0)),"-")</f>
        <v>47300001</v>
      </c>
      <c r="AB33" s="30" t="s">
        <v>629</v>
      </c>
      <c r="AC33" s="34">
        <f>IFERROR(INDEX(SailPatternColor!$A:$A,MATCH(AB33,SailPatternColor!$B:$B,0)),"-")</f>
        <v>47300000</v>
      </c>
      <c r="AD33" s="30"/>
      <c r="AE33" s="34" t="str">
        <f>IFERROR(INDEX(SailPatternColor!$A:$A,MATCH(AD33,SailPatternColor!$B:$B,0)),"-")</f>
        <v>-</v>
      </c>
    </row>
    <row r="34" spans="1:31">
      <c r="A34" s="29">
        <v>47200028</v>
      </c>
      <c r="B34" s="30" t="s">
        <v>2575</v>
      </c>
      <c r="C34" s="33" t="s">
        <v>423</v>
      </c>
      <c r="D34" s="33" t="s">
        <v>1073</v>
      </c>
      <c r="E34" s="55" t="b">
        <v>1</v>
      </c>
      <c r="F34" s="30">
        <v>3</v>
      </c>
      <c r="G34" s="200">
        <f t="shared" si="0"/>
        <v>475000</v>
      </c>
      <c r="H34" s="30" t="s">
        <v>475</v>
      </c>
      <c r="I34" s="33">
        <v>100001</v>
      </c>
      <c r="J34" s="49">
        <v>1500</v>
      </c>
      <c r="K34" s="30" t="s">
        <v>475</v>
      </c>
      <c r="L34" s="33">
        <v>100001</v>
      </c>
      <c r="M34" s="50">
        <v>8500</v>
      </c>
      <c r="N34" s="30"/>
      <c r="O34" s="33" t="s">
        <v>545</v>
      </c>
      <c r="P34" s="33" t="s">
        <v>545</v>
      </c>
      <c r="Q34" s="30" t="s">
        <v>2551</v>
      </c>
      <c r="R34" s="33">
        <f>IFERROR(INDEX([1]Item!$A:$A,MATCH(Q34,[1]Item!$B:$B,0)),"-")</f>
        <v>23348524</v>
      </c>
      <c r="S34" s="33">
        <v>1</v>
      </c>
      <c r="T34" s="30" t="s">
        <v>2529</v>
      </c>
      <c r="U34" s="33">
        <f>IFERROR(INDEX([1]Item!$A:$A,MATCH(T34,[1]Item!$B:$B,0)),"-")</f>
        <v>23347004</v>
      </c>
      <c r="V34" s="33">
        <v>10</v>
      </c>
      <c r="W34" s="30"/>
      <c r="X34" s="33" t="s">
        <v>545</v>
      </c>
      <c r="Y34" s="33" t="s">
        <v>545</v>
      </c>
      <c r="Z34" s="30" t="s">
        <v>2625</v>
      </c>
      <c r="AA34" s="34">
        <f>IFERROR(INDEX(SailPatternColor!$A:$A,MATCH(Z34,SailPatternColor!$B:$B,0)),"-")</f>
        <v>47300001</v>
      </c>
      <c r="AB34" s="30" t="s">
        <v>629</v>
      </c>
      <c r="AC34" s="34">
        <f>IFERROR(INDEX(SailPatternColor!$A:$A,MATCH(AB34,SailPatternColor!$B:$B,0)),"-")</f>
        <v>47300000</v>
      </c>
      <c r="AD34" s="30"/>
      <c r="AE34" s="34" t="str">
        <f>IFERROR(INDEX(SailPatternColor!$A:$A,MATCH(AD34,SailPatternColor!$B:$B,0)),"-")</f>
        <v>-</v>
      </c>
    </row>
    <row r="35" spans="1:31">
      <c r="A35" s="29">
        <v>47200029</v>
      </c>
      <c r="B35" s="30" t="s">
        <v>1355</v>
      </c>
      <c r="C35" s="33" t="s">
        <v>424</v>
      </c>
      <c r="D35" s="33" t="s">
        <v>1074</v>
      </c>
      <c r="E35" s="55" t="b">
        <v>1</v>
      </c>
      <c r="F35" s="30">
        <v>3</v>
      </c>
      <c r="G35" s="200">
        <f t="shared" si="0"/>
        <v>475000</v>
      </c>
      <c r="H35" s="30" t="s">
        <v>475</v>
      </c>
      <c r="I35" s="33">
        <v>100001</v>
      </c>
      <c r="J35" s="49">
        <v>1500</v>
      </c>
      <c r="K35" s="30" t="s">
        <v>475</v>
      </c>
      <c r="L35" s="33">
        <v>100001</v>
      </c>
      <c r="M35" s="50">
        <v>8500</v>
      </c>
      <c r="N35" s="30"/>
      <c r="O35" s="33" t="s">
        <v>545</v>
      </c>
      <c r="P35" s="33" t="s">
        <v>545</v>
      </c>
      <c r="Q35" s="30" t="s">
        <v>2552</v>
      </c>
      <c r="R35" s="33">
        <f>IFERROR(INDEX([1]Item!$A:$A,MATCH(Q35,[1]Item!$B:$B,0)),"-")</f>
        <v>23348525</v>
      </c>
      <c r="S35" s="33">
        <v>1</v>
      </c>
      <c r="T35" s="30" t="s">
        <v>2529</v>
      </c>
      <c r="U35" s="33">
        <f>IFERROR(INDEX([1]Item!$A:$A,MATCH(T35,[1]Item!$B:$B,0)),"-")</f>
        <v>23347004</v>
      </c>
      <c r="V35" s="33">
        <v>10</v>
      </c>
      <c r="W35" s="30"/>
      <c r="X35" s="33" t="s">
        <v>545</v>
      </c>
      <c r="Y35" s="33" t="s">
        <v>545</v>
      </c>
      <c r="Z35" s="30" t="s">
        <v>2625</v>
      </c>
      <c r="AA35" s="34">
        <f>IFERROR(INDEX(SailPatternColor!$A:$A,MATCH(Z35,SailPatternColor!$B:$B,0)),"-")</f>
        <v>47300001</v>
      </c>
      <c r="AB35" s="30" t="s">
        <v>629</v>
      </c>
      <c r="AC35" s="34">
        <f>IFERROR(INDEX(SailPatternColor!$A:$A,MATCH(AB35,SailPatternColor!$B:$B,0)),"-")</f>
        <v>47300000</v>
      </c>
      <c r="AD35" s="30"/>
      <c r="AE35" s="34" t="str">
        <f>IFERROR(INDEX(SailPatternColor!$A:$A,MATCH(AD35,SailPatternColor!$B:$B,0)),"-")</f>
        <v>-</v>
      </c>
    </row>
    <row r="36" spans="1:31">
      <c r="A36" s="29">
        <v>47200030</v>
      </c>
      <c r="B36" s="30" t="s">
        <v>2576</v>
      </c>
      <c r="C36" s="33" t="s">
        <v>425</v>
      </c>
      <c r="D36" s="33" t="s">
        <v>1075</v>
      </c>
      <c r="E36" s="55" t="b">
        <v>1</v>
      </c>
      <c r="F36" s="30">
        <v>3</v>
      </c>
      <c r="G36" s="200">
        <f t="shared" si="0"/>
        <v>475000</v>
      </c>
      <c r="H36" s="30" t="s">
        <v>475</v>
      </c>
      <c r="I36" s="33">
        <v>100001</v>
      </c>
      <c r="J36" s="49">
        <v>1500</v>
      </c>
      <c r="K36" s="30" t="s">
        <v>475</v>
      </c>
      <c r="L36" s="33">
        <v>100001</v>
      </c>
      <c r="M36" s="50">
        <v>8500</v>
      </c>
      <c r="N36" s="30"/>
      <c r="O36" s="33" t="s">
        <v>545</v>
      </c>
      <c r="P36" s="33" t="s">
        <v>545</v>
      </c>
      <c r="Q36" s="30" t="s">
        <v>2553</v>
      </c>
      <c r="R36" s="33">
        <f>IFERROR(INDEX([1]Item!$A:$A,MATCH(Q36,[1]Item!$B:$B,0)),"-")</f>
        <v>23348526</v>
      </c>
      <c r="S36" s="33">
        <v>1</v>
      </c>
      <c r="T36" s="30" t="s">
        <v>2529</v>
      </c>
      <c r="U36" s="33">
        <f>IFERROR(INDEX([1]Item!$A:$A,MATCH(T36,[1]Item!$B:$B,0)),"-")</f>
        <v>23347004</v>
      </c>
      <c r="V36" s="33">
        <v>10</v>
      </c>
      <c r="W36" s="30"/>
      <c r="X36" s="33" t="s">
        <v>545</v>
      </c>
      <c r="Y36" s="33" t="s">
        <v>545</v>
      </c>
      <c r="Z36" s="30" t="s">
        <v>2625</v>
      </c>
      <c r="AA36" s="34">
        <f>IFERROR(INDEX(SailPatternColor!$A:$A,MATCH(Z36,SailPatternColor!$B:$B,0)),"-")</f>
        <v>47300001</v>
      </c>
      <c r="AB36" s="30" t="s">
        <v>629</v>
      </c>
      <c r="AC36" s="34">
        <f>IFERROR(INDEX(SailPatternColor!$A:$A,MATCH(AB36,SailPatternColor!$B:$B,0)),"-")</f>
        <v>47300000</v>
      </c>
      <c r="AD36" s="30"/>
      <c r="AE36" s="34" t="str">
        <f>IFERROR(INDEX(SailPatternColor!$A:$A,MATCH(AD36,SailPatternColor!$B:$B,0)),"-")</f>
        <v>-</v>
      </c>
    </row>
    <row r="37" spans="1:31">
      <c r="A37" s="29">
        <v>47200032</v>
      </c>
      <c r="B37" s="30" t="s">
        <v>2615</v>
      </c>
      <c r="C37" s="33" t="s">
        <v>426</v>
      </c>
      <c r="D37" s="33" t="s">
        <v>1076</v>
      </c>
      <c r="E37" s="55" t="b">
        <v>1</v>
      </c>
      <c r="F37" s="30">
        <v>3</v>
      </c>
      <c r="G37" s="200">
        <f t="shared" si="0"/>
        <v>475000</v>
      </c>
      <c r="H37" s="30" t="s">
        <v>475</v>
      </c>
      <c r="I37" s="33">
        <v>100001</v>
      </c>
      <c r="J37" s="49">
        <v>1500</v>
      </c>
      <c r="K37" s="30" t="s">
        <v>475</v>
      </c>
      <c r="L37" s="33">
        <v>100001</v>
      </c>
      <c r="M37" s="50">
        <v>8500</v>
      </c>
      <c r="N37" s="30"/>
      <c r="O37" s="33" t="s">
        <v>545</v>
      </c>
      <c r="P37" s="33" t="s">
        <v>545</v>
      </c>
      <c r="Q37" s="30" t="s">
        <v>2554</v>
      </c>
      <c r="R37" s="33">
        <f>IFERROR(INDEX([1]Item!$A:$A,MATCH(Q37,[1]Item!$B:$B,0)),"-")</f>
        <v>23348527</v>
      </c>
      <c r="S37" s="33">
        <v>1</v>
      </c>
      <c r="T37" s="30" t="s">
        <v>2529</v>
      </c>
      <c r="U37" s="33">
        <f>IFERROR(INDEX([1]Item!$A:$A,MATCH(T37,[1]Item!$B:$B,0)),"-")</f>
        <v>23347004</v>
      </c>
      <c r="V37" s="33">
        <v>10</v>
      </c>
      <c r="W37" s="30"/>
      <c r="X37" s="33" t="s">
        <v>545</v>
      </c>
      <c r="Y37" s="33" t="s">
        <v>545</v>
      </c>
      <c r="Z37" s="30" t="s">
        <v>2625</v>
      </c>
      <c r="AA37" s="34">
        <f>IFERROR(INDEX(SailPatternColor!$A:$A,MATCH(Z37,SailPatternColor!$B:$B,0)),"-")</f>
        <v>47300001</v>
      </c>
      <c r="AB37" s="30" t="s">
        <v>629</v>
      </c>
      <c r="AC37" s="34">
        <f>IFERROR(INDEX(SailPatternColor!$A:$A,MATCH(AB37,SailPatternColor!$B:$B,0)),"-")</f>
        <v>47300000</v>
      </c>
      <c r="AD37" s="30"/>
      <c r="AE37" s="34" t="str">
        <f>IFERROR(INDEX(SailPatternColor!$A:$A,MATCH(AD37,SailPatternColor!$B:$B,0)),"-")</f>
        <v>-</v>
      </c>
    </row>
    <row r="38" spans="1:31">
      <c r="A38" s="29">
        <v>47200033</v>
      </c>
      <c r="B38" s="30" t="s">
        <v>2616</v>
      </c>
      <c r="C38" s="33" t="s">
        <v>427</v>
      </c>
      <c r="D38" s="33" t="s">
        <v>1077</v>
      </c>
      <c r="E38" s="55" t="b">
        <v>1</v>
      </c>
      <c r="F38" s="30">
        <v>3</v>
      </c>
      <c r="G38" s="200">
        <f t="shared" si="0"/>
        <v>475000</v>
      </c>
      <c r="H38" s="30" t="s">
        <v>475</v>
      </c>
      <c r="I38" s="33">
        <v>100001</v>
      </c>
      <c r="J38" s="49">
        <v>1500</v>
      </c>
      <c r="K38" s="30" t="s">
        <v>475</v>
      </c>
      <c r="L38" s="33">
        <v>100001</v>
      </c>
      <c r="M38" s="50">
        <v>8500</v>
      </c>
      <c r="N38" s="30"/>
      <c r="O38" s="33" t="s">
        <v>545</v>
      </c>
      <c r="P38" s="33" t="s">
        <v>545</v>
      </c>
      <c r="Q38" s="30" t="s">
        <v>2555</v>
      </c>
      <c r="R38" s="33">
        <f>IFERROR(INDEX([1]Item!$A:$A,MATCH(Q38,[1]Item!$B:$B,0)),"-")</f>
        <v>23348528</v>
      </c>
      <c r="S38" s="33">
        <v>1</v>
      </c>
      <c r="T38" s="30" t="s">
        <v>2529</v>
      </c>
      <c r="U38" s="33">
        <f>IFERROR(INDEX([1]Item!$A:$A,MATCH(T38,[1]Item!$B:$B,0)),"-")</f>
        <v>23347004</v>
      </c>
      <c r="V38" s="33">
        <v>10</v>
      </c>
      <c r="W38" s="30"/>
      <c r="X38" s="33" t="s">
        <v>545</v>
      </c>
      <c r="Y38" s="33" t="s">
        <v>545</v>
      </c>
      <c r="Z38" s="30" t="s">
        <v>2625</v>
      </c>
      <c r="AA38" s="34">
        <f>IFERROR(INDEX(SailPatternColor!$A:$A,MATCH(Z38,SailPatternColor!$B:$B,0)),"-")</f>
        <v>47300001</v>
      </c>
      <c r="AB38" s="30" t="s">
        <v>629</v>
      </c>
      <c r="AC38" s="34">
        <f>IFERROR(INDEX(SailPatternColor!$A:$A,MATCH(AB38,SailPatternColor!$B:$B,0)),"-")</f>
        <v>47300000</v>
      </c>
      <c r="AD38" s="30"/>
      <c r="AE38" s="34" t="str">
        <f>IFERROR(INDEX(SailPatternColor!$A:$A,MATCH(AD38,SailPatternColor!$B:$B,0)),"-")</f>
        <v>-</v>
      </c>
    </row>
    <row r="39" spans="1:31">
      <c r="A39" s="29">
        <v>47200034</v>
      </c>
      <c r="B39" s="30" t="s">
        <v>2617</v>
      </c>
      <c r="C39" s="33" t="s">
        <v>428</v>
      </c>
      <c r="D39" s="33" t="s">
        <v>1078</v>
      </c>
      <c r="E39" s="55" t="b">
        <v>1</v>
      </c>
      <c r="F39" s="30">
        <v>3</v>
      </c>
      <c r="G39" s="200">
        <f t="shared" si="0"/>
        <v>475000</v>
      </c>
      <c r="H39" s="30" t="s">
        <v>475</v>
      </c>
      <c r="I39" s="33">
        <v>100001</v>
      </c>
      <c r="J39" s="49">
        <v>1500</v>
      </c>
      <c r="K39" s="30" t="s">
        <v>475</v>
      </c>
      <c r="L39" s="33">
        <v>100001</v>
      </c>
      <c r="M39" s="50">
        <v>8500</v>
      </c>
      <c r="N39" s="30"/>
      <c r="O39" s="33" t="s">
        <v>545</v>
      </c>
      <c r="P39" s="33" t="s">
        <v>545</v>
      </c>
      <c r="Q39" s="30" t="s">
        <v>2556</v>
      </c>
      <c r="R39" s="33">
        <f>IFERROR(INDEX([1]Item!$A:$A,MATCH(Q39,[1]Item!$B:$B,0)),"-")</f>
        <v>23348529</v>
      </c>
      <c r="S39" s="33">
        <v>1</v>
      </c>
      <c r="T39" s="30" t="s">
        <v>2529</v>
      </c>
      <c r="U39" s="33">
        <f>IFERROR(INDEX([1]Item!$A:$A,MATCH(T39,[1]Item!$B:$B,0)),"-")</f>
        <v>23347004</v>
      </c>
      <c r="V39" s="33">
        <v>10</v>
      </c>
      <c r="W39" s="30"/>
      <c r="X39" s="33" t="s">
        <v>545</v>
      </c>
      <c r="Y39" s="33" t="s">
        <v>545</v>
      </c>
      <c r="Z39" s="30" t="s">
        <v>2625</v>
      </c>
      <c r="AA39" s="34">
        <f>IFERROR(INDEX(SailPatternColor!$A:$A,MATCH(Z39,SailPatternColor!$B:$B,0)),"-")</f>
        <v>47300001</v>
      </c>
      <c r="AB39" s="30" t="s">
        <v>629</v>
      </c>
      <c r="AC39" s="34">
        <f>IFERROR(INDEX(SailPatternColor!$A:$A,MATCH(AB39,SailPatternColor!$B:$B,0)),"-")</f>
        <v>47300000</v>
      </c>
      <c r="AD39" s="30"/>
      <c r="AE39" s="34" t="str">
        <f>IFERROR(INDEX(SailPatternColor!$A:$A,MATCH(AD39,SailPatternColor!$B:$B,0)),"-")</f>
        <v>-</v>
      </c>
    </row>
    <row r="40" spans="1:31">
      <c r="A40" s="29">
        <v>47200036</v>
      </c>
      <c r="B40" s="30" t="s">
        <v>411</v>
      </c>
      <c r="C40" s="33" t="s">
        <v>429</v>
      </c>
      <c r="D40" s="33" t="s">
        <v>1079</v>
      </c>
      <c r="E40" s="55" t="b">
        <v>1</v>
      </c>
      <c r="F40" s="30">
        <v>3</v>
      </c>
      <c r="G40" s="200">
        <f t="shared" si="0"/>
        <v>475000</v>
      </c>
      <c r="H40" s="30" t="s">
        <v>475</v>
      </c>
      <c r="I40" s="33">
        <v>100001</v>
      </c>
      <c r="J40" s="49">
        <v>1500</v>
      </c>
      <c r="K40" s="30" t="s">
        <v>475</v>
      </c>
      <c r="L40" s="33">
        <v>100001</v>
      </c>
      <c r="M40" s="50">
        <v>8500</v>
      </c>
      <c r="N40" s="30"/>
      <c r="O40" s="33" t="s">
        <v>545</v>
      </c>
      <c r="P40" s="33" t="s">
        <v>545</v>
      </c>
      <c r="Q40" s="30" t="s">
        <v>2557</v>
      </c>
      <c r="R40" s="33">
        <f>IFERROR(INDEX([1]Item!$A:$A,MATCH(Q40,[1]Item!$B:$B,0)),"-")</f>
        <v>23348530</v>
      </c>
      <c r="S40" s="33">
        <v>1</v>
      </c>
      <c r="T40" s="30" t="s">
        <v>2529</v>
      </c>
      <c r="U40" s="33">
        <f>IFERROR(INDEX([1]Item!$A:$A,MATCH(T40,[1]Item!$B:$B,0)),"-")</f>
        <v>23347004</v>
      </c>
      <c r="V40" s="33">
        <v>10</v>
      </c>
      <c r="W40" s="30"/>
      <c r="X40" s="33" t="s">
        <v>545</v>
      </c>
      <c r="Y40" s="33" t="s">
        <v>545</v>
      </c>
      <c r="Z40" s="30" t="s">
        <v>2625</v>
      </c>
      <c r="AA40" s="34">
        <f>IFERROR(INDEX(SailPatternColor!$A:$A,MATCH(Z40,SailPatternColor!$B:$B,0)),"-")</f>
        <v>47300001</v>
      </c>
      <c r="AB40" s="30" t="s">
        <v>629</v>
      </c>
      <c r="AC40" s="34">
        <f>IFERROR(INDEX(SailPatternColor!$A:$A,MATCH(AB40,SailPatternColor!$B:$B,0)),"-")</f>
        <v>47300000</v>
      </c>
      <c r="AD40" s="30"/>
      <c r="AE40" s="34" t="str">
        <f>IFERROR(INDEX(SailPatternColor!$A:$A,MATCH(AD40,SailPatternColor!$B:$B,0)),"-")</f>
        <v>-</v>
      </c>
    </row>
    <row r="41" spans="1:31">
      <c r="A41" s="29">
        <v>47200037</v>
      </c>
      <c r="B41" s="30" t="s">
        <v>1356</v>
      </c>
      <c r="C41" s="33" t="s">
        <v>430</v>
      </c>
      <c r="D41" s="33" t="s">
        <v>1080</v>
      </c>
      <c r="E41" s="55" t="b">
        <v>1</v>
      </c>
      <c r="F41" s="30">
        <v>3</v>
      </c>
      <c r="G41" s="200">
        <f t="shared" si="0"/>
        <v>475000</v>
      </c>
      <c r="H41" s="30" t="s">
        <v>475</v>
      </c>
      <c r="I41" s="33">
        <v>100001</v>
      </c>
      <c r="J41" s="49">
        <v>1500</v>
      </c>
      <c r="K41" s="30" t="s">
        <v>475</v>
      </c>
      <c r="L41" s="33">
        <v>100001</v>
      </c>
      <c r="M41" s="50">
        <v>8500</v>
      </c>
      <c r="N41" s="30"/>
      <c r="O41" s="33" t="s">
        <v>545</v>
      </c>
      <c r="P41" s="33" t="s">
        <v>545</v>
      </c>
      <c r="Q41" s="30" t="s">
        <v>2558</v>
      </c>
      <c r="R41" s="33">
        <f>IFERROR(INDEX([1]Item!$A:$A,MATCH(Q41,[1]Item!$B:$B,0)),"-")</f>
        <v>23348531</v>
      </c>
      <c r="S41" s="33">
        <v>1</v>
      </c>
      <c r="T41" s="30" t="s">
        <v>2529</v>
      </c>
      <c r="U41" s="33">
        <f>IFERROR(INDEX([1]Item!$A:$A,MATCH(T41,[1]Item!$B:$B,0)),"-")</f>
        <v>23347004</v>
      </c>
      <c r="V41" s="33">
        <v>10</v>
      </c>
      <c r="W41" s="30"/>
      <c r="X41" s="33" t="s">
        <v>545</v>
      </c>
      <c r="Y41" s="33" t="s">
        <v>545</v>
      </c>
      <c r="Z41" s="30" t="s">
        <v>2625</v>
      </c>
      <c r="AA41" s="34">
        <f>IFERROR(INDEX(SailPatternColor!$A:$A,MATCH(Z41,SailPatternColor!$B:$B,0)),"-")</f>
        <v>47300001</v>
      </c>
      <c r="AB41" s="30" t="s">
        <v>629</v>
      </c>
      <c r="AC41" s="34">
        <f>IFERROR(INDEX(SailPatternColor!$A:$A,MATCH(AB41,SailPatternColor!$B:$B,0)),"-")</f>
        <v>47300000</v>
      </c>
      <c r="AD41" s="30"/>
      <c r="AE41" s="34" t="str">
        <f>IFERROR(INDEX(SailPatternColor!$A:$A,MATCH(AD41,SailPatternColor!$B:$B,0)),"-")</f>
        <v>-</v>
      </c>
    </row>
    <row r="42" spans="1:31">
      <c r="A42" s="29">
        <v>47200038</v>
      </c>
      <c r="B42" s="30" t="s">
        <v>431</v>
      </c>
      <c r="C42" s="33" t="s">
        <v>432</v>
      </c>
      <c r="D42" s="33" t="s">
        <v>1081</v>
      </c>
      <c r="E42" s="55" t="b">
        <v>1</v>
      </c>
      <c r="F42" s="30">
        <v>4</v>
      </c>
      <c r="G42" s="200">
        <f t="shared" si="0"/>
        <v>1995000</v>
      </c>
      <c r="H42" s="30" t="s">
        <v>475</v>
      </c>
      <c r="I42" s="33">
        <v>100001</v>
      </c>
      <c r="J42" s="49">
        <v>1500</v>
      </c>
      <c r="K42" s="30" t="s">
        <v>475</v>
      </c>
      <c r="L42" s="33">
        <v>100001</v>
      </c>
      <c r="M42" s="50">
        <v>8500</v>
      </c>
      <c r="N42" s="30"/>
      <c r="O42" s="33" t="s">
        <v>545</v>
      </c>
      <c r="P42" s="33" t="s">
        <v>545</v>
      </c>
      <c r="Q42" s="30" t="s">
        <v>2559</v>
      </c>
      <c r="R42" s="33">
        <f>IFERROR(INDEX([1]Item!$A:$A,MATCH(Q42,[1]Item!$B:$B,0)),"-")</f>
        <v>23348532</v>
      </c>
      <c r="S42" s="33">
        <v>1</v>
      </c>
      <c r="T42" s="30" t="s">
        <v>2529</v>
      </c>
      <c r="U42" s="33">
        <f>IFERROR(INDEX([1]Item!$A:$A,MATCH(T42,[1]Item!$B:$B,0)),"-")</f>
        <v>23347004</v>
      </c>
      <c r="V42" s="33">
        <v>10</v>
      </c>
      <c r="W42" s="30"/>
      <c r="X42" s="33" t="s">
        <v>545</v>
      </c>
      <c r="Y42" s="33" t="s">
        <v>545</v>
      </c>
      <c r="Z42" s="30" t="s">
        <v>2625</v>
      </c>
      <c r="AA42" s="34">
        <f>IFERROR(INDEX(SailPatternColor!$A:$A,MATCH(Z42,SailPatternColor!$B:$B,0)),"-")</f>
        <v>47300001</v>
      </c>
      <c r="AB42" s="30" t="s">
        <v>629</v>
      </c>
      <c r="AC42" s="34">
        <f>IFERROR(INDEX(SailPatternColor!$A:$A,MATCH(AB42,SailPatternColor!$B:$B,0)),"-")</f>
        <v>47300000</v>
      </c>
      <c r="AD42" s="30"/>
      <c r="AE42" s="34" t="str">
        <f>IFERROR(INDEX(SailPatternColor!$A:$A,MATCH(AD42,SailPatternColor!$B:$B,0)),"-")</f>
        <v>-</v>
      </c>
    </row>
    <row r="43" spans="1:31">
      <c r="A43" s="29">
        <v>47200039</v>
      </c>
      <c r="B43" s="30" t="s">
        <v>1357</v>
      </c>
      <c r="C43" s="33" t="s">
        <v>433</v>
      </c>
      <c r="D43" s="33" t="s">
        <v>1082</v>
      </c>
      <c r="E43" s="55" t="b">
        <v>1</v>
      </c>
      <c r="F43" s="30">
        <v>4</v>
      </c>
      <c r="G43" s="200">
        <f t="shared" si="0"/>
        <v>1995000</v>
      </c>
      <c r="H43" s="30" t="s">
        <v>475</v>
      </c>
      <c r="I43" s="33">
        <v>100001</v>
      </c>
      <c r="J43" s="49">
        <v>1500</v>
      </c>
      <c r="K43" s="30" t="s">
        <v>475</v>
      </c>
      <c r="L43" s="33">
        <v>100001</v>
      </c>
      <c r="M43" s="50">
        <v>8500</v>
      </c>
      <c r="N43" s="30"/>
      <c r="O43" s="33" t="s">
        <v>545</v>
      </c>
      <c r="P43" s="33" t="s">
        <v>545</v>
      </c>
      <c r="Q43" s="30" t="s">
        <v>2560</v>
      </c>
      <c r="R43" s="33">
        <f>IFERROR(INDEX([1]Item!$A:$A,MATCH(Q43,[1]Item!$B:$B,0)),"-")</f>
        <v>23348533</v>
      </c>
      <c r="S43" s="33">
        <v>1</v>
      </c>
      <c r="T43" s="30" t="s">
        <v>2529</v>
      </c>
      <c r="U43" s="33">
        <f>IFERROR(INDEX([1]Item!$A:$A,MATCH(T43,[1]Item!$B:$B,0)),"-")</f>
        <v>23347004</v>
      </c>
      <c r="V43" s="33">
        <v>10</v>
      </c>
      <c r="W43" s="30"/>
      <c r="X43" s="33" t="s">
        <v>545</v>
      </c>
      <c r="Y43" s="33" t="s">
        <v>545</v>
      </c>
      <c r="Z43" s="30" t="s">
        <v>2625</v>
      </c>
      <c r="AA43" s="34">
        <f>IFERROR(INDEX(SailPatternColor!$A:$A,MATCH(Z43,SailPatternColor!$B:$B,0)),"-")</f>
        <v>47300001</v>
      </c>
      <c r="AB43" s="30" t="s">
        <v>629</v>
      </c>
      <c r="AC43" s="34">
        <f>IFERROR(INDEX(SailPatternColor!$A:$A,MATCH(AB43,SailPatternColor!$B:$B,0)),"-")</f>
        <v>47300000</v>
      </c>
      <c r="AD43" s="30"/>
      <c r="AE43" s="34" t="str">
        <f>IFERROR(INDEX(SailPatternColor!$A:$A,MATCH(AD43,SailPatternColor!$B:$B,0)),"-")</f>
        <v>-</v>
      </c>
    </row>
    <row r="44" spans="1:31">
      <c r="A44" s="29">
        <v>47200040</v>
      </c>
      <c r="B44" s="30" t="s">
        <v>434</v>
      </c>
      <c r="C44" s="33" t="s">
        <v>435</v>
      </c>
      <c r="D44" s="33" t="s">
        <v>1083</v>
      </c>
      <c r="E44" s="55" t="b">
        <v>1</v>
      </c>
      <c r="F44" s="30">
        <v>4</v>
      </c>
      <c r="G44" s="200">
        <f t="shared" si="0"/>
        <v>1995000</v>
      </c>
      <c r="H44" s="30" t="s">
        <v>475</v>
      </c>
      <c r="I44" s="33">
        <v>100001</v>
      </c>
      <c r="J44" s="49">
        <v>1500</v>
      </c>
      <c r="K44" s="30" t="s">
        <v>475</v>
      </c>
      <c r="L44" s="33">
        <v>100001</v>
      </c>
      <c r="M44" s="50">
        <v>8500</v>
      </c>
      <c r="N44" s="30"/>
      <c r="O44" s="33" t="s">
        <v>545</v>
      </c>
      <c r="P44" s="33" t="s">
        <v>545</v>
      </c>
      <c r="Q44" s="30" t="s">
        <v>2561</v>
      </c>
      <c r="R44" s="33">
        <f>IFERROR(INDEX([1]Item!$A:$A,MATCH(Q44,[1]Item!$B:$B,0)),"-")</f>
        <v>23348534</v>
      </c>
      <c r="S44" s="33">
        <v>1</v>
      </c>
      <c r="T44" s="30" t="s">
        <v>2529</v>
      </c>
      <c r="U44" s="33">
        <f>IFERROR(INDEX([1]Item!$A:$A,MATCH(T44,[1]Item!$B:$B,0)),"-")</f>
        <v>23347004</v>
      </c>
      <c r="V44" s="33">
        <v>10</v>
      </c>
      <c r="W44" s="30"/>
      <c r="X44" s="33" t="s">
        <v>545</v>
      </c>
      <c r="Y44" s="33" t="s">
        <v>545</v>
      </c>
      <c r="Z44" s="30" t="s">
        <v>2625</v>
      </c>
      <c r="AA44" s="34">
        <f>IFERROR(INDEX(SailPatternColor!$A:$A,MATCH(Z44,SailPatternColor!$B:$B,0)),"-")</f>
        <v>47300001</v>
      </c>
      <c r="AB44" s="30" t="s">
        <v>629</v>
      </c>
      <c r="AC44" s="34">
        <f>IFERROR(INDEX(SailPatternColor!$A:$A,MATCH(AB44,SailPatternColor!$B:$B,0)),"-")</f>
        <v>47300000</v>
      </c>
      <c r="AD44" s="30"/>
      <c r="AE44" s="34" t="str">
        <f>IFERROR(INDEX(SailPatternColor!$A:$A,MATCH(AD44,SailPatternColor!$B:$B,0)),"-")</f>
        <v>-</v>
      </c>
    </row>
    <row r="45" spans="1:31">
      <c r="A45" s="29">
        <v>47200041</v>
      </c>
      <c r="B45" s="30" t="s">
        <v>2618</v>
      </c>
      <c r="C45" s="33" t="s">
        <v>436</v>
      </c>
      <c r="D45" s="33" t="s">
        <v>1084</v>
      </c>
      <c r="E45" s="55" t="b">
        <v>1</v>
      </c>
      <c r="F45" s="30">
        <v>4</v>
      </c>
      <c r="G45" s="200">
        <f t="shared" si="0"/>
        <v>1995000</v>
      </c>
      <c r="H45" s="30" t="s">
        <v>475</v>
      </c>
      <c r="I45" s="33">
        <v>100001</v>
      </c>
      <c r="J45" s="49">
        <v>1500</v>
      </c>
      <c r="K45" s="30" t="s">
        <v>475</v>
      </c>
      <c r="L45" s="33">
        <v>100001</v>
      </c>
      <c r="M45" s="50">
        <v>8500</v>
      </c>
      <c r="N45" s="30"/>
      <c r="O45" s="33" t="s">
        <v>545</v>
      </c>
      <c r="P45" s="33" t="s">
        <v>545</v>
      </c>
      <c r="Q45" s="30" t="s">
        <v>2562</v>
      </c>
      <c r="R45" s="33">
        <f>IFERROR(INDEX([1]Item!$A:$A,MATCH(Q45,[1]Item!$B:$B,0)),"-")</f>
        <v>23348535</v>
      </c>
      <c r="S45" s="33">
        <v>1</v>
      </c>
      <c r="T45" s="30" t="s">
        <v>2529</v>
      </c>
      <c r="U45" s="33">
        <f>IFERROR(INDEX([1]Item!$A:$A,MATCH(T45,[1]Item!$B:$B,0)),"-")</f>
        <v>23347004</v>
      </c>
      <c r="V45" s="33">
        <v>10</v>
      </c>
      <c r="W45" s="30"/>
      <c r="X45" s="33" t="s">
        <v>545</v>
      </c>
      <c r="Y45" s="33" t="s">
        <v>545</v>
      </c>
      <c r="Z45" s="30" t="s">
        <v>2625</v>
      </c>
      <c r="AA45" s="34">
        <f>IFERROR(INDEX(SailPatternColor!$A:$A,MATCH(Z45,SailPatternColor!$B:$B,0)),"-")</f>
        <v>47300001</v>
      </c>
      <c r="AB45" s="30" t="s">
        <v>629</v>
      </c>
      <c r="AC45" s="34">
        <f>IFERROR(INDEX(SailPatternColor!$A:$A,MATCH(AB45,SailPatternColor!$B:$B,0)),"-")</f>
        <v>47300000</v>
      </c>
      <c r="AD45" s="30"/>
      <c r="AE45" s="34" t="str">
        <f>IFERROR(INDEX(SailPatternColor!$A:$A,MATCH(AD45,SailPatternColor!$B:$B,0)),"-")</f>
        <v>-</v>
      </c>
    </row>
    <row r="46" spans="1:31">
      <c r="A46" s="29">
        <v>47200042</v>
      </c>
      <c r="B46" s="30" t="s">
        <v>2608</v>
      </c>
      <c r="C46" s="33" t="s">
        <v>437</v>
      </c>
      <c r="D46" s="33" t="s">
        <v>1085</v>
      </c>
      <c r="E46" s="55" t="b">
        <v>1</v>
      </c>
      <c r="F46" s="30">
        <v>4</v>
      </c>
      <c r="G46" s="200">
        <f t="shared" si="0"/>
        <v>1995000</v>
      </c>
      <c r="H46" s="30" t="s">
        <v>475</v>
      </c>
      <c r="I46" s="33">
        <v>100001</v>
      </c>
      <c r="J46" s="49">
        <v>1500</v>
      </c>
      <c r="K46" s="30" t="s">
        <v>475</v>
      </c>
      <c r="L46" s="33">
        <v>100001</v>
      </c>
      <c r="M46" s="50">
        <v>8500</v>
      </c>
      <c r="N46" s="30"/>
      <c r="O46" s="33" t="s">
        <v>545</v>
      </c>
      <c r="P46" s="33" t="s">
        <v>545</v>
      </c>
      <c r="Q46" s="30" t="s">
        <v>2638</v>
      </c>
      <c r="R46" s="33">
        <f>IFERROR(INDEX([1]Item!$A:$A,MATCH(Q46,[1]Item!$B:$B,0)),"-")</f>
        <v>23348536</v>
      </c>
      <c r="S46" s="33">
        <v>1</v>
      </c>
      <c r="T46" s="30" t="s">
        <v>2529</v>
      </c>
      <c r="U46" s="33">
        <f>IFERROR(INDEX([1]Item!$A:$A,MATCH(T46,[1]Item!$B:$B,0)),"-")</f>
        <v>23347004</v>
      </c>
      <c r="V46" s="33">
        <v>10</v>
      </c>
      <c r="W46" s="30"/>
      <c r="X46" s="33" t="s">
        <v>545</v>
      </c>
      <c r="Y46" s="33" t="s">
        <v>545</v>
      </c>
      <c r="Z46" s="30" t="s">
        <v>2625</v>
      </c>
      <c r="AA46" s="34">
        <f>IFERROR(INDEX(SailPatternColor!$A:$A,MATCH(Z46,SailPatternColor!$B:$B,0)),"-")</f>
        <v>47300001</v>
      </c>
      <c r="AB46" s="30" t="s">
        <v>629</v>
      </c>
      <c r="AC46" s="34">
        <f>IFERROR(INDEX(SailPatternColor!$A:$A,MATCH(AB46,SailPatternColor!$B:$B,0)),"-")</f>
        <v>47300000</v>
      </c>
      <c r="AD46" s="30"/>
      <c r="AE46" s="34" t="str">
        <f>IFERROR(INDEX(SailPatternColor!$A:$A,MATCH(AD46,SailPatternColor!$B:$B,0)),"-")</f>
        <v>-</v>
      </c>
    </row>
    <row r="47" spans="1:31">
      <c r="A47" s="29">
        <v>47200043</v>
      </c>
      <c r="B47" s="30" t="s">
        <v>438</v>
      </c>
      <c r="C47" s="33" t="s">
        <v>439</v>
      </c>
      <c r="D47" s="33" t="s">
        <v>1086</v>
      </c>
      <c r="E47" s="55" t="b">
        <v>1</v>
      </c>
      <c r="F47" s="30">
        <v>4</v>
      </c>
      <c r="G47" s="200">
        <f t="shared" si="0"/>
        <v>1995000</v>
      </c>
      <c r="H47" s="30" t="s">
        <v>475</v>
      </c>
      <c r="I47" s="33">
        <v>100001</v>
      </c>
      <c r="J47" s="49">
        <v>1500</v>
      </c>
      <c r="K47" s="30" t="s">
        <v>475</v>
      </c>
      <c r="L47" s="33">
        <v>100001</v>
      </c>
      <c r="M47" s="50">
        <v>8500</v>
      </c>
      <c r="N47" s="30"/>
      <c r="O47" s="33" t="s">
        <v>545</v>
      </c>
      <c r="P47" s="33" t="s">
        <v>545</v>
      </c>
      <c r="Q47" s="30" t="s">
        <v>2563</v>
      </c>
      <c r="R47" s="33">
        <f>IFERROR(INDEX([1]Item!$A:$A,MATCH(Q47,[1]Item!$B:$B,0)),"-")</f>
        <v>23348537</v>
      </c>
      <c r="S47" s="33">
        <v>1</v>
      </c>
      <c r="T47" s="30" t="s">
        <v>2529</v>
      </c>
      <c r="U47" s="33">
        <f>IFERROR(INDEX([1]Item!$A:$A,MATCH(T47,[1]Item!$B:$B,0)),"-")</f>
        <v>23347004</v>
      </c>
      <c r="V47" s="33">
        <v>10</v>
      </c>
      <c r="W47" s="30"/>
      <c r="X47" s="33" t="s">
        <v>545</v>
      </c>
      <c r="Y47" s="33" t="s">
        <v>545</v>
      </c>
      <c r="Z47" s="30" t="s">
        <v>2625</v>
      </c>
      <c r="AA47" s="34">
        <f>IFERROR(INDEX(SailPatternColor!$A:$A,MATCH(Z47,SailPatternColor!$B:$B,0)),"-")</f>
        <v>47300001</v>
      </c>
      <c r="AB47" s="30" t="s">
        <v>629</v>
      </c>
      <c r="AC47" s="34">
        <f>IFERROR(INDEX(SailPatternColor!$A:$A,MATCH(AB47,SailPatternColor!$B:$B,0)),"-")</f>
        <v>47300000</v>
      </c>
      <c r="AD47" s="30"/>
      <c r="AE47" s="34" t="str">
        <f>IFERROR(INDEX(SailPatternColor!$A:$A,MATCH(AD47,SailPatternColor!$B:$B,0)),"-")</f>
        <v>-</v>
      </c>
    </row>
    <row r="48" spans="1:31">
      <c r="A48" s="29">
        <v>47200044</v>
      </c>
      <c r="B48" s="30" t="s">
        <v>440</v>
      </c>
      <c r="C48" s="33" t="s">
        <v>441</v>
      </c>
      <c r="D48" s="33" t="s">
        <v>1087</v>
      </c>
      <c r="E48" s="55" t="b">
        <v>1</v>
      </c>
      <c r="F48" s="30">
        <v>4</v>
      </c>
      <c r="G48" s="200">
        <f t="shared" si="0"/>
        <v>1995000</v>
      </c>
      <c r="H48" s="30" t="s">
        <v>475</v>
      </c>
      <c r="I48" s="33">
        <v>100001</v>
      </c>
      <c r="J48" s="49">
        <v>1500</v>
      </c>
      <c r="K48" s="30" t="s">
        <v>475</v>
      </c>
      <c r="L48" s="33">
        <v>100001</v>
      </c>
      <c r="M48" s="50">
        <v>8500</v>
      </c>
      <c r="N48" s="30"/>
      <c r="O48" s="33" t="s">
        <v>545</v>
      </c>
      <c r="P48" s="33" t="s">
        <v>545</v>
      </c>
      <c r="Q48" s="30" t="s">
        <v>2564</v>
      </c>
      <c r="R48" s="33">
        <f>IFERROR(INDEX([1]Item!$A:$A,MATCH(Q48,[1]Item!$B:$B,0)),"-")</f>
        <v>23348538</v>
      </c>
      <c r="S48" s="33">
        <v>1</v>
      </c>
      <c r="T48" s="30" t="s">
        <v>2529</v>
      </c>
      <c r="U48" s="33">
        <f>IFERROR(INDEX([1]Item!$A:$A,MATCH(T48,[1]Item!$B:$B,0)),"-")</f>
        <v>23347004</v>
      </c>
      <c r="V48" s="33">
        <v>10</v>
      </c>
      <c r="W48" s="30"/>
      <c r="X48" s="33" t="s">
        <v>545</v>
      </c>
      <c r="Y48" s="33" t="s">
        <v>545</v>
      </c>
      <c r="Z48" s="30" t="s">
        <v>2625</v>
      </c>
      <c r="AA48" s="34">
        <f>IFERROR(INDEX(SailPatternColor!$A:$A,MATCH(Z48,SailPatternColor!$B:$B,0)),"-")</f>
        <v>47300001</v>
      </c>
      <c r="AB48" s="30" t="s">
        <v>629</v>
      </c>
      <c r="AC48" s="34">
        <f>IFERROR(INDEX(SailPatternColor!$A:$A,MATCH(AB48,SailPatternColor!$B:$B,0)),"-")</f>
        <v>47300000</v>
      </c>
      <c r="AD48" s="30"/>
      <c r="AE48" s="34" t="str">
        <f>IFERROR(INDEX(SailPatternColor!$A:$A,MATCH(AD48,SailPatternColor!$B:$B,0)),"-")</f>
        <v>-</v>
      </c>
    </row>
    <row r="49" spans="1:31">
      <c r="A49" s="29">
        <v>47200045</v>
      </c>
      <c r="B49" s="30" t="s">
        <v>2577</v>
      </c>
      <c r="C49" s="33" t="s">
        <v>442</v>
      </c>
      <c r="D49" s="33" t="s">
        <v>1088</v>
      </c>
      <c r="E49" s="55" t="b">
        <v>1</v>
      </c>
      <c r="F49" s="30">
        <v>4</v>
      </c>
      <c r="G49" s="200">
        <f t="shared" si="0"/>
        <v>1995000</v>
      </c>
      <c r="H49" s="30" t="s">
        <v>475</v>
      </c>
      <c r="I49" s="33">
        <v>100001</v>
      </c>
      <c r="J49" s="49">
        <v>1500</v>
      </c>
      <c r="K49" s="30" t="s">
        <v>475</v>
      </c>
      <c r="L49" s="33">
        <v>100001</v>
      </c>
      <c r="M49" s="50">
        <v>8500</v>
      </c>
      <c r="N49" s="30"/>
      <c r="O49" s="33" t="s">
        <v>545</v>
      </c>
      <c r="P49" s="33" t="s">
        <v>545</v>
      </c>
      <c r="Q49" s="30" t="s">
        <v>2565</v>
      </c>
      <c r="R49" s="33">
        <f>IFERROR(INDEX([1]Item!$A:$A,MATCH(Q49,[1]Item!$B:$B,0)),"-")</f>
        <v>23348539</v>
      </c>
      <c r="S49" s="33">
        <v>1</v>
      </c>
      <c r="T49" s="30" t="s">
        <v>2529</v>
      </c>
      <c r="U49" s="33">
        <f>IFERROR(INDEX([1]Item!$A:$A,MATCH(T49,[1]Item!$B:$B,0)),"-")</f>
        <v>23347004</v>
      </c>
      <c r="V49" s="33">
        <v>10</v>
      </c>
      <c r="W49" s="30"/>
      <c r="X49" s="33" t="s">
        <v>545</v>
      </c>
      <c r="Y49" s="33" t="s">
        <v>545</v>
      </c>
      <c r="Z49" s="30" t="s">
        <v>2625</v>
      </c>
      <c r="AA49" s="34">
        <f>IFERROR(INDEX(SailPatternColor!$A:$A,MATCH(Z49,SailPatternColor!$B:$B,0)),"-")</f>
        <v>47300001</v>
      </c>
      <c r="AB49" s="30" t="s">
        <v>629</v>
      </c>
      <c r="AC49" s="34">
        <f>IFERROR(INDEX(SailPatternColor!$A:$A,MATCH(AB49,SailPatternColor!$B:$B,0)),"-")</f>
        <v>47300000</v>
      </c>
      <c r="AD49" s="30"/>
      <c r="AE49" s="34" t="str">
        <f>IFERROR(INDEX(SailPatternColor!$A:$A,MATCH(AD49,SailPatternColor!$B:$B,0)),"-")</f>
        <v>-</v>
      </c>
    </row>
    <row r="50" spans="1:31">
      <c r="A50" s="29">
        <v>47200046</v>
      </c>
      <c r="B50" s="30" t="s">
        <v>1358</v>
      </c>
      <c r="C50" s="33" t="s">
        <v>443</v>
      </c>
      <c r="D50" s="33" t="s">
        <v>1089</v>
      </c>
      <c r="E50" s="55" t="b">
        <v>1</v>
      </c>
      <c r="F50" s="30">
        <v>4</v>
      </c>
      <c r="G50" s="200">
        <f t="shared" si="0"/>
        <v>1995000</v>
      </c>
      <c r="H50" s="30" t="s">
        <v>475</v>
      </c>
      <c r="I50" s="33">
        <v>100001</v>
      </c>
      <c r="J50" s="49">
        <v>1500</v>
      </c>
      <c r="K50" s="30" t="s">
        <v>475</v>
      </c>
      <c r="L50" s="33">
        <v>100001</v>
      </c>
      <c r="M50" s="50">
        <v>8500</v>
      </c>
      <c r="N50" s="30"/>
      <c r="O50" s="33" t="s">
        <v>545</v>
      </c>
      <c r="P50" s="33" t="s">
        <v>545</v>
      </c>
      <c r="Q50" s="30" t="s">
        <v>2566</v>
      </c>
      <c r="R50" s="33">
        <f>IFERROR(INDEX([1]Item!$A:$A,MATCH(Q50,[1]Item!$B:$B,0)),"-")</f>
        <v>23348540</v>
      </c>
      <c r="S50" s="33">
        <v>1</v>
      </c>
      <c r="T50" s="30" t="s">
        <v>2529</v>
      </c>
      <c r="U50" s="33">
        <f>IFERROR(INDEX([1]Item!$A:$A,MATCH(T50,[1]Item!$B:$B,0)),"-")</f>
        <v>23347004</v>
      </c>
      <c r="V50" s="33">
        <v>10</v>
      </c>
      <c r="W50" s="30"/>
      <c r="X50" s="33" t="s">
        <v>545</v>
      </c>
      <c r="Y50" s="33" t="s">
        <v>545</v>
      </c>
      <c r="Z50" s="30" t="s">
        <v>2625</v>
      </c>
      <c r="AA50" s="34">
        <f>IFERROR(INDEX(SailPatternColor!$A:$A,MATCH(Z50,SailPatternColor!$B:$B,0)),"-")</f>
        <v>47300001</v>
      </c>
      <c r="AB50" s="30" t="s">
        <v>629</v>
      </c>
      <c r="AC50" s="34">
        <f>IFERROR(INDEX(SailPatternColor!$A:$A,MATCH(AB50,SailPatternColor!$B:$B,0)),"-")</f>
        <v>47300000</v>
      </c>
      <c r="AD50" s="30"/>
      <c r="AE50" s="34" t="str">
        <f>IFERROR(INDEX(SailPatternColor!$A:$A,MATCH(AD50,SailPatternColor!$B:$B,0)),"-")</f>
        <v>-</v>
      </c>
    </row>
    <row r="51" spans="1:31">
      <c r="A51" s="29">
        <v>47200047</v>
      </c>
      <c r="B51" s="30" t="s">
        <v>1359</v>
      </c>
      <c r="C51" s="33" t="s">
        <v>444</v>
      </c>
      <c r="D51" s="33" t="s">
        <v>1090</v>
      </c>
      <c r="E51" s="55" t="b">
        <v>1</v>
      </c>
      <c r="F51" s="30">
        <v>4</v>
      </c>
      <c r="G51" s="200">
        <f t="shared" si="0"/>
        <v>1995000</v>
      </c>
      <c r="H51" s="30" t="s">
        <v>475</v>
      </c>
      <c r="I51" s="33">
        <v>100001</v>
      </c>
      <c r="J51" s="49">
        <v>1500</v>
      </c>
      <c r="K51" s="30" t="s">
        <v>475</v>
      </c>
      <c r="L51" s="33">
        <v>100001</v>
      </c>
      <c r="M51" s="50">
        <v>8500</v>
      </c>
      <c r="N51" s="30"/>
      <c r="O51" s="33" t="s">
        <v>545</v>
      </c>
      <c r="P51" s="33" t="s">
        <v>545</v>
      </c>
      <c r="Q51" s="30" t="s">
        <v>2567</v>
      </c>
      <c r="R51" s="33">
        <f>IFERROR(INDEX([1]Item!$A:$A,MATCH(Q51,[1]Item!$B:$B,0)),"-")</f>
        <v>23348541</v>
      </c>
      <c r="S51" s="33">
        <v>1</v>
      </c>
      <c r="T51" s="30" t="s">
        <v>2529</v>
      </c>
      <c r="U51" s="33">
        <f>IFERROR(INDEX([1]Item!$A:$A,MATCH(T51,[1]Item!$B:$B,0)),"-")</f>
        <v>23347004</v>
      </c>
      <c r="V51" s="33">
        <v>10</v>
      </c>
      <c r="W51" s="30"/>
      <c r="X51" s="33" t="s">
        <v>545</v>
      </c>
      <c r="Y51" s="33" t="s">
        <v>545</v>
      </c>
      <c r="Z51" s="30" t="s">
        <v>2625</v>
      </c>
      <c r="AA51" s="34">
        <f>IFERROR(INDEX(SailPatternColor!$A:$A,MATCH(Z51,SailPatternColor!$B:$B,0)),"-")</f>
        <v>47300001</v>
      </c>
      <c r="AB51" s="30" t="s">
        <v>629</v>
      </c>
      <c r="AC51" s="34">
        <f>IFERROR(INDEX(SailPatternColor!$A:$A,MATCH(AB51,SailPatternColor!$B:$B,0)),"-")</f>
        <v>47300000</v>
      </c>
      <c r="AD51" s="30"/>
      <c r="AE51" s="34" t="str">
        <f>IFERROR(INDEX(SailPatternColor!$A:$A,MATCH(AD51,SailPatternColor!$B:$B,0)),"-")</f>
        <v>-</v>
      </c>
    </row>
    <row r="52" spans="1:31">
      <c r="A52" s="29">
        <v>47200048</v>
      </c>
      <c r="B52" s="30" t="s">
        <v>1360</v>
      </c>
      <c r="C52" s="33" t="s">
        <v>445</v>
      </c>
      <c r="D52" s="33" t="s">
        <v>1091</v>
      </c>
      <c r="E52" s="55" t="b">
        <v>1</v>
      </c>
      <c r="F52" s="30">
        <v>4</v>
      </c>
      <c r="G52" s="200">
        <f t="shared" si="0"/>
        <v>1995000</v>
      </c>
      <c r="H52" s="30" t="s">
        <v>475</v>
      </c>
      <c r="I52" s="33">
        <v>100001</v>
      </c>
      <c r="J52" s="49">
        <v>1500</v>
      </c>
      <c r="K52" s="30" t="s">
        <v>475</v>
      </c>
      <c r="L52" s="33">
        <v>100001</v>
      </c>
      <c r="M52" s="50">
        <v>8500</v>
      </c>
      <c r="N52" s="30"/>
      <c r="O52" s="33" t="s">
        <v>545</v>
      </c>
      <c r="P52" s="33" t="s">
        <v>545</v>
      </c>
      <c r="Q52" s="30" t="s">
        <v>2568</v>
      </c>
      <c r="R52" s="33">
        <f>IFERROR(INDEX([1]Item!$A:$A,MATCH(Q52,[1]Item!$B:$B,0)),"-")</f>
        <v>23348542</v>
      </c>
      <c r="S52" s="33">
        <v>1</v>
      </c>
      <c r="T52" s="30" t="s">
        <v>2529</v>
      </c>
      <c r="U52" s="33">
        <f>IFERROR(INDEX([1]Item!$A:$A,MATCH(T52,[1]Item!$B:$B,0)),"-")</f>
        <v>23347004</v>
      </c>
      <c r="V52" s="33">
        <v>10</v>
      </c>
      <c r="W52" s="30"/>
      <c r="X52" s="33" t="s">
        <v>545</v>
      </c>
      <c r="Y52" s="33" t="s">
        <v>545</v>
      </c>
      <c r="Z52" s="30" t="s">
        <v>2625</v>
      </c>
      <c r="AA52" s="34">
        <f>IFERROR(INDEX(SailPatternColor!$A:$A,MATCH(Z52,SailPatternColor!$B:$B,0)),"-")</f>
        <v>47300001</v>
      </c>
      <c r="AB52" s="30" t="s">
        <v>629</v>
      </c>
      <c r="AC52" s="34">
        <f>IFERROR(INDEX(SailPatternColor!$A:$A,MATCH(AB52,SailPatternColor!$B:$B,0)),"-")</f>
        <v>47300000</v>
      </c>
      <c r="AD52" s="30"/>
      <c r="AE52" s="34" t="str">
        <f>IFERROR(INDEX(SailPatternColor!$A:$A,MATCH(AD52,SailPatternColor!$B:$B,0)),"-")</f>
        <v>-</v>
      </c>
    </row>
    <row r="53" spans="1:31">
      <c r="A53" s="29">
        <v>47200049</v>
      </c>
      <c r="B53" s="30" t="s">
        <v>1361</v>
      </c>
      <c r="C53" s="33" t="s">
        <v>446</v>
      </c>
      <c r="D53" s="33" t="s">
        <v>1092</v>
      </c>
      <c r="E53" s="55" t="b">
        <v>1</v>
      </c>
      <c r="F53" s="30">
        <v>4</v>
      </c>
      <c r="G53" s="200">
        <f t="shared" si="0"/>
        <v>1995000</v>
      </c>
      <c r="H53" s="30" t="s">
        <v>475</v>
      </c>
      <c r="I53" s="33">
        <v>100001</v>
      </c>
      <c r="J53" s="49">
        <v>1500</v>
      </c>
      <c r="K53" s="30" t="s">
        <v>475</v>
      </c>
      <c r="L53" s="33">
        <v>100001</v>
      </c>
      <c r="M53" s="50">
        <v>8500</v>
      </c>
      <c r="N53" s="30"/>
      <c r="O53" s="33" t="s">
        <v>545</v>
      </c>
      <c r="P53" s="33" t="s">
        <v>545</v>
      </c>
      <c r="Q53" s="30" t="s">
        <v>2569</v>
      </c>
      <c r="R53" s="33">
        <f>IFERROR(INDEX([1]Item!$A:$A,MATCH(Q53,[1]Item!$B:$B,0)),"-")</f>
        <v>23348543</v>
      </c>
      <c r="S53" s="33">
        <v>1</v>
      </c>
      <c r="T53" s="30" t="s">
        <v>2529</v>
      </c>
      <c r="U53" s="33">
        <f>IFERROR(INDEX([1]Item!$A:$A,MATCH(T53,[1]Item!$B:$B,0)),"-")</f>
        <v>23347004</v>
      </c>
      <c r="V53" s="33">
        <v>10</v>
      </c>
      <c r="W53" s="30"/>
      <c r="X53" s="33" t="s">
        <v>545</v>
      </c>
      <c r="Y53" s="33" t="s">
        <v>545</v>
      </c>
      <c r="Z53" s="30" t="s">
        <v>2625</v>
      </c>
      <c r="AA53" s="34">
        <f>IFERROR(INDEX(SailPatternColor!$A:$A,MATCH(Z53,SailPatternColor!$B:$B,0)),"-")</f>
        <v>47300001</v>
      </c>
      <c r="AB53" s="30" t="s">
        <v>629</v>
      </c>
      <c r="AC53" s="34">
        <f>IFERROR(INDEX(SailPatternColor!$A:$A,MATCH(AB53,SailPatternColor!$B:$B,0)),"-")</f>
        <v>47300000</v>
      </c>
      <c r="AD53" s="30"/>
      <c r="AE53" s="34" t="str">
        <f>IFERROR(INDEX(SailPatternColor!$A:$A,MATCH(AD53,SailPatternColor!$B:$B,0)),"-")</f>
        <v>-</v>
      </c>
    </row>
    <row r="54" spans="1:31">
      <c r="A54" s="29">
        <v>47200050</v>
      </c>
      <c r="B54" s="30" t="s">
        <v>1362</v>
      </c>
      <c r="C54" s="33" t="s">
        <v>447</v>
      </c>
      <c r="D54" s="33" t="s">
        <v>1093</v>
      </c>
      <c r="E54" s="55" t="b">
        <v>1</v>
      </c>
      <c r="F54" s="30">
        <v>4</v>
      </c>
      <c r="G54" s="200">
        <f t="shared" si="0"/>
        <v>1995000</v>
      </c>
      <c r="H54" s="30" t="s">
        <v>475</v>
      </c>
      <c r="I54" s="33">
        <v>100001</v>
      </c>
      <c r="J54" s="49">
        <v>1500</v>
      </c>
      <c r="K54" s="30" t="s">
        <v>475</v>
      </c>
      <c r="L54" s="33">
        <v>100001</v>
      </c>
      <c r="M54" s="50">
        <v>8500</v>
      </c>
      <c r="N54" s="30"/>
      <c r="O54" s="33" t="s">
        <v>545</v>
      </c>
      <c r="P54" s="33" t="s">
        <v>545</v>
      </c>
      <c r="Q54" s="30" t="s">
        <v>2570</v>
      </c>
      <c r="R54" s="33">
        <f>IFERROR(INDEX([1]Item!$A:$A,MATCH(Q54,[1]Item!$B:$B,0)),"-")</f>
        <v>23348544</v>
      </c>
      <c r="S54" s="33">
        <v>1</v>
      </c>
      <c r="T54" s="30" t="s">
        <v>2529</v>
      </c>
      <c r="U54" s="33">
        <f>IFERROR(INDEX([1]Item!$A:$A,MATCH(T54,[1]Item!$B:$B,0)),"-")</f>
        <v>23347004</v>
      </c>
      <c r="V54" s="33">
        <v>10</v>
      </c>
      <c r="W54" s="30"/>
      <c r="X54" s="33" t="s">
        <v>545</v>
      </c>
      <c r="Y54" s="33" t="s">
        <v>545</v>
      </c>
      <c r="Z54" s="30" t="s">
        <v>2625</v>
      </c>
      <c r="AA54" s="34">
        <f>IFERROR(INDEX(SailPatternColor!$A:$A,MATCH(Z54,SailPatternColor!$B:$B,0)),"-")</f>
        <v>47300001</v>
      </c>
      <c r="AB54" s="30" t="s">
        <v>629</v>
      </c>
      <c r="AC54" s="34">
        <f>IFERROR(INDEX(SailPatternColor!$A:$A,MATCH(AB54,SailPatternColor!$B:$B,0)),"-")</f>
        <v>47300000</v>
      </c>
      <c r="AD54" s="30"/>
      <c r="AE54" s="34" t="str">
        <f>IFERROR(INDEX(SailPatternColor!$A:$A,MATCH(AD54,SailPatternColor!$B:$B,0)),"-")</f>
        <v>-</v>
      </c>
    </row>
    <row r="55" spans="1:31">
      <c r="A55" s="29">
        <v>47200051</v>
      </c>
      <c r="B55" s="30" t="s">
        <v>2619</v>
      </c>
      <c r="C55" s="33" t="s">
        <v>448</v>
      </c>
      <c r="D55" s="33" t="s">
        <v>1094</v>
      </c>
      <c r="E55" s="55" t="b">
        <v>1</v>
      </c>
      <c r="F55" s="30">
        <v>4</v>
      </c>
      <c r="G55" s="200">
        <f t="shared" si="0"/>
        <v>1995000</v>
      </c>
      <c r="H55" s="30" t="s">
        <v>475</v>
      </c>
      <c r="I55" s="33">
        <v>100001</v>
      </c>
      <c r="J55" s="49">
        <v>291500</v>
      </c>
      <c r="K55" s="30" t="s">
        <v>475</v>
      </c>
      <c r="L55" s="33">
        <v>100001</v>
      </c>
      <c r="M55" s="50">
        <v>2329000</v>
      </c>
      <c r="N55" s="30"/>
      <c r="O55" s="33" t="s">
        <v>545</v>
      </c>
      <c r="P55" s="33" t="s">
        <v>545</v>
      </c>
      <c r="Q55" s="30" t="s">
        <v>2585</v>
      </c>
      <c r="R55" s="33">
        <f>IFERROR(INDEX([1]Item!$A:$A,MATCH(Q55,[1]Item!$B:$B,0)),"-")</f>
        <v>23348545</v>
      </c>
      <c r="S55" s="33">
        <v>1</v>
      </c>
      <c r="T55" s="30" t="s">
        <v>2425</v>
      </c>
      <c r="U55" s="33" t="str">
        <f>IFERROR(INDEX([1]Item!$A:$A,MATCH(T55,[1]Item!$B:$B,0)),"-")</f>
        <v>-</v>
      </c>
      <c r="V55" s="33" t="s">
        <v>545</v>
      </c>
      <c r="W55" s="30"/>
      <c r="X55" s="33" t="s">
        <v>545</v>
      </c>
      <c r="Y55" s="33" t="s">
        <v>545</v>
      </c>
      <c r="Z55" s="30" t="s">
        <v>2625</v>
      </c>
      <c r="AA55" s="34">
        <f>IFERROR(INDEX(SailPatternColor!$A:$A,MATCH(Z55,SailPatternColor!$B:$B,0)),"-")</f>
        <v>47300001</v>
      </c>
      <c r="AB55" s="30" t="s">
        <v>629</v>
      </c>
      <c r="AC55" s="34">
        <f>IFERROR(INDEX(SailPatternColor!$A:$A,MATCH(AB55,SailPatternColor!$B:$B,0)),"-")</f>
        <v>47300000</v>
      </c>
      <c r="AD55" s="30"/>
      <c r="AE55" s="34" t="str">
        <f>IFERROR(INDEX(SailPatternColor!$A:$A,MATCH(AD55,SailPatternColor!$B:$B,0)),"-")</f>
        <v>-</v>
      </c>
    </row>
    <row r="56" spans="1:31">
      <c r="A56" s="29">
        <v>47200052</v>
      </c>
      <c r="B56" s="30" t="s">
        <v>2620</v>
      </c>
      <c r="C56" s="33" t="s">
        <v>449</v>
      </c>
      <c r="D56" s="33" t="s">
        <v>1095</v>
      </c>
      <c r="E56" s="55" t="b">
        <v>1</v>
      </c>
      <c r="F56" s="30">
        <v>5</v>
      </c>
      <c r="G56" s="200">
        <f t="shared" si="0"/>
        <v>8550000</v>
      </c>
      <c r="H56" s="30" t="s">
        <v>475</v>
      </c>
      <c r="I56" s="33">
        <v>100001</v>
      </c>
      <c r="J56" s="49">
        <v>291500</v>
      </c>
      <c r="K56" s="30" t="s">
        <v>475</v>
      </c>
      <c r="L56" s="33">
        <v>100001</v>
      </c>
      <c r="M56" s="50">
        <v>2329000</v>
      </c>
      <c r="N56" s="30"/>
      <c r="O56" s="33" t="s">
        <v>545</v>
      </c>
      <c r="P56" s="33" t="s">
        <v>545</v>
      </c>
      <c r="Q56" s="30" t="s">
        <v>2586</v>
      </c>
      <c r="R56" s="33">
        <f>IFERROR(INDEX([1]Item!$A:$A,MATCH(Q56,[1]Item!$B:$B,0)),"-")</f>
        <v>23348546</v>
      </c>
      <c r="S56" s="33">
        <v>1</v>
      </c>
      <c r="T56" s="30" t="s">
        <v>2425</v>
      </c>
      <c r="U56" s="33" t="str">
        <f>IFERROR(INDEX([1]Item!$A:$A,MATCH(T56,[1]Item!$B:$B,0)),"-")</f>
        <v>-</v>
      </c>
      <c r="V56" s="33" t="s">
        <v>545</v>
      </c>
      <c r="W56" s="30"/>
      <c r="X56" s="33" t="s">
        <v>545</v>
      </c>
      <c r="Y56" s="33" t="s">
        <v>545</v>
      </c>
      <c r="Z56" s="30" t="s">
        <v>2625</v>
      </c>
      <c r="AA56" s="34">
        <f>IFERROR(INDEX(SailPatternColor!$A:$A,MATCH(Z56,SailPatternColor!$B:$B,0)),"-")</f>
        <v>47300001</v>
      </c>
      <c r="AB56" s="30" t="s">
        <v>629</v>
      </c>
      <c r="AC56" s="34">
        <f>IFERROR(INDEX(SailPatternColor!$A:$A,MATCH(AB56,SailPatternColor!$B:$B,0)),"-")</f>
        <v>47300000</v>
      </c>
      <c r="AD56" s="30"/>
      <c r="AE56" s="34" t="str">
        <f>IFERROR(INDEX(SailPatternColor!$A:$A,MATCH(AD56,SailPatternColor!$B:$B,0)),"-")</f>
        <v>-</v>
      </c>
    </row>
    <row r="57" spans="1:31">
      <c r="A57" s="29">
        <v>47200053</v>
      </c>
      <c r="B57" s="30" t="s">
        <v>2621</v>
      </c>
      <c r="C57" s="33" t="s">
        <v>450</v>
      </c>
      <c r="D57" s="33" t="s">
        <v>1096</v>
      </c>
      <c r="E57" s="55" t="b">
        <v>1</v>
      </c>
      <c r="F57" s="30">
        <v>5</v>
      </c>
      <c r="G57" s="200">
        <f t="shared" si="0"/>
        <v>8550000</v>
      </c>
      <c r="H57" s="30" t="s">
        <v>475</v>
      </c>
      <c r="I57" s="33">
        <v>100001</v>
      </c>
      <c r="J57" s="49">
        <v>291500</v>
      </c>
      <c r="K57" s="30" t="s">
        <v>475</v>
      </c>
      <c r="L57" s="33">
        <v>100001</v>
      </c>
      <c r="M57" s="50">
        <v>2329000</v>
      </c>
      <c r="N57" s="30"/>
      <c r="O57" s="33" t="s">
        <v>545</v>
      </c>
      <c r="P57" s="33" t="s">
        <v>545</v>
      </c>
      <c r="Q57" s="30" t="s">
        <v>2587</v>
      </c>
      <c r="R57" s="33">
        <f>IFERROR(INDEX([1]Item!$A:$A,MATCH(Q57,[1]Item!$B:$B,0)),"-")</f>
        <v>23348547</v>
      </c>
      <c r="S57" s="33">
        <v>1</v>
      </c>
      <c r="T57" s="30" t="s">
        <v>2425</v>
      </c>
      <c r="U57" s="33" t="str">
        <f>IFERROR(INDEX([1]Item!$A:$A,MATCH(T57,[1]Item!$B:$B,0)),"-")</f>
        <v>-</v>
      </c>
      <c r="V57" s="33" t="s">
        <v>545</v>
      </c>
      <c r="W57" s="30"/>
      <c r="X57" s="33" t="s">
        <v>545</v>
      </c>
      <c r="Y57" s="33" t="s">
        <v>545</v>
      </c>
      <c r="Z57" s="30" t="s">
        <v>2625</v>
      </c>
      <c r="AA57" s="34">
        <f>IFERROR(INDEX(SailPatternColor!$A:$A,MATCH(Z57,SailPatternColor!$B:$B,0)),"-")</f>
        <v>47300001</v>
      </c>
      <c r="AB57" s="30" t="s">
        <v>629</v>
      </c>
      <c r="AC57" s="34">
        <f>IFERROR(INDEX(SailPatternColor!$A:$A,MATCH(AB57,SailPatternColor!$B:$B,0)),"-")</f>
        <v>47300000</v>
      </c>
      <c r="AD57" s="30"/>
      <c r="AE57" s="34" t="str">
        <f>IFERROR(INDEX(SailPatternColor!$A:$A,MATCH(AD57,SailPatternColor!$B:$B,0)),"-")</f>
        <v>-</v>
      </c>
    </row>
    <row r="58" spans="1:31">
      <c r="A58" s="29">
        <v>47200054</v>
      </c>
      <c r="B58" s="30" t="s">
        <v>2622</v>
      </c>
      <c r="C58" s="33" t="s">
        <v>451</v>
      </c>
      <c r="D58" s="33" t="s">
        <v>1097</v>
      </c>
      <c r="E58" s="55" t="b">
        <v>1</v>
      </c>
      <c r="F58" s="30">
        <v>5</v>
      </c>
      <c r="G58" s="200">
        <f t="shared" si="0"/>
        <v>8550000</v>
      </c>
      <c r="H58" s="30" t="s">
        <v>475</v>
      </c>
      <c r="I58" s="33">
        <v>100001</v>
      </c>
      <c r="J58" s="49">
        <v>291500</v>
      </c>
      <c r="K58" s="30" t="s">
        <v>475</v>
      </c>
      <c r="L58" s="33">
        <v>100001</v>
      </c>
      <c r="M58" s="50">
        <v>2329000</v>
      </c>
      <c r="N58" s="30"/>
      <c r="O58" s="33" t="s">
        <v>545</v>
      </c>
      <c r="P58" s="33" t="s">
        <v>545</v>
      </c>
      <c r="Q58" s="30" t="s">
        <v>2588</v>
      </c>
      <c r="R58" s="33">
        <f>IFERROR(INDEX([1]Item!$A:$A,MATCH(Q58,[1]Item!$B:$B,0)),"-")</f>
        <v>23348548</v>
      </c>
      <c r="S58" s="33">
        <v>1</v>
      </c>
      <c r="T58" s="30" t="s">
        <v>2425</v>
      </c>
      <c r="U58" s="33" t="str">
        <f>IFERROR(INDEX([1]Item!$A:$A,MATCH(T58,[1]Item!$B:$B,0)),"-")</f>
        <v>-</v>
      </c>
      <c r="V58" s="33" t="s">
        <v>545</v>
      </c>
      <c r="W58" s="30"/>
      <c r="X58" s="33" t="s">
        <v>545</v>
      </c>
      <c r="Y58" s="33" t="s">
        <v>545</v>
      </c>
      <c r="Z58" s="30" t="s">
        <v>2625</v>
      </c>
      <c r="AA58" s="34">
        <f>IFERROR(INDEX(SailPatternColor!$A:$A,MATCH(Z58,SailPatternColor!$B:$B,0)),"-")</f>
        <v>47300001</v>
      </c>
      <c r="AB58" s="30" t="s">
        <v>629</v>
      </c>
      <c r="AC58" s="34">
        <f>IFERROR(INDEX(SailPatternColor!$A:$A,MATCH(AB58,SailPatternColor!$B:$B,0)),"-")</f>
        <v>47300000</v>
      </c>
      <c r="AD58" s="30"/>
      <c r="AE58" s="34" t="str">
        <f>IFERROR(INDEX(SailPatternColor!$A:$A,MATCH(AD58,SailPatternColor!$B:$B,0)),"-")</f>
        <v>-</v>
      </c>
    </row>
    <row r="59" spans="1:31">
      <c r="A59" s="29">
        <v>47200056</v>
      </c>
      <c r="B59" s="30" t="s">
        <v>2623</v>
      </c>
      <c r="C59" s="33" t="s">
        <v>452</v>
      </c>
      <c r="D59" s="33" t="s">
        <v>1098</v>
      </c>
      <c r="E59" s="55" t="b">
        <v>1</v>
      </c>
      <c r="F59" s="30">
        <v>5</v>
      </c>
      <c r="G59" s="200">
        <f t="shared" si="0"/>
        <v>8550000</v>
      </c>
      <c r="H59" s="30" t="s">
        <v>475</v>
      </c>
      <c r="I59" s="33">
        <v>100001</v>
      </c>
      <c r="J59" s="49">
        <v>291500</v>
      </c>
      <c r="K59" s="30" t="s">
        <v>475</v>
      </c>
      <c r="L59" s="33">
        <v>100001</v>
      </c>
      <c r="M59" s="50">
        <v>2329000</v>
      </c>
      <c r="N59" s="30"/>
      <c r="O59" s="33" t="s">
        <v>545</v>
      </c>
      <c r="P59" s="33" t="s">
        <v>545</v>
      </c>
      <c r="Q59" s="30" t="s">
        <v>2589</v>
      </c>
      <c r="R59" s="33">
        <f>IFERROR(INDEX([1]Item!$A:$A,MATCH(Q59,[1]Item!$B:$B,0)),"-")</f>
        <v>23348549</v>
      </c>
      <c r="S59" s="33">
        <v>1</v>
      </c>
      <c r="T59" s="30" t="s">
        <v>2425</v>
      </c>
      <c r="U59" s="33" t="str">
        <f>IFERROR(INDEX([1]Item!$A:$A,MATCH(T59,[1]Item!$B:$B,0)),"-")</f>
        <v>-</v>
      </c>
      <c r="V59" s="33" t="s">
        <v>545</v>
      </c>
      <c r="W59" s="30"/>
      <c r="X59" s="33" t="s">
        <v>545</v>
      </c>
      <c r="Y59" s="33" t="s">
        <v>545</v>
      </c>
      <c r="Z59" s="30" t="s">
        <v>2625</v>
      </c>
      <c r="AA59" s="34">
        <f>IFERROR(INDEX(SailPatternColor!$A:$A,MATCH(Z59,SailPatternColor!$B:$B,0)),"-")</f>
        <v>47300001</v>
      </c>
      <c r="AB59" s="30" t="s">
        <v>629</v>
      </c>
      <c r="AC59" s="34">
        <f>IFERROR(INDEX(SailPatternColor!$A:$A,MATCH(AB59,SailPatternColor!$B:$B,0)),"-")</f>
        <v>47300000</v>
      </c>
      <c r="AD59" s="30"/>
      <c r="AE59" s="34" t="str">
        <f>IFERROR(INDEX(SailPatternColor!$A:$A,MATCH(AD59,SailPatternColor!$B:$B,0)),"-")</f>
        <v>-</v>
      </c>
    </row>
    <row r="60" spans="1:31">
      <c r="A60" s="29">
        <v>47200057</v>
      </c>
      <c r="B60" s="30" t="s">
        <v>2624</v>
      </c>
      <c r="C60" s="33" t="s">
        <v>453</v>
      </c>
      <c r="D60" s="33" t="s">
        <v>1099</v>
      </c>
      <c r="E60" s="55" t="b">
        <v>1</v>
      </c>
      <c r="F60" s="30">
        <v>5</v>
      </c>
      <c r="G60" s="200">
        <f t="shared" si="0"/>
        <v>8550000</v>
      </c>
      <c r="H60" s="30" t="s">
        <v>475</v>
      </c>
      <c r="I60" s="33">
        <v>100001</v>
      </c>
      <c r="J60" s="49">
        <v>291500</v>
      </c>
      <c r="K60" s="30" t="s">
        <v>475</v>
      </c>
      <c r="L60" s="33">
        <v>100001</v>
      </c>
      <c r="M60" s="50">
        <v>2329000</v>
      </c>
      <c r="N60" s="30"/>
      <c r="O60" s="33" t="s">
        <v>545</v>
      </c>
      <c r="P60" s="33" t="s">
        <v>545</v>
      </c>
      <c r="Q60" s="30" t="s">
        <v>2590</v>
      </c>
      <c r="R60" s="33">
        <f>IFERROR(INDEX([1]Item!$A:$A,MATCH(Q60,[1]Item!$B:$B,0)),"-")</f>
        <v>23348550</v>
      </c>
      <c r="S60" s="33">
        <v>1</v>
      </c>
      <c r="T60" s="30" t="s">
        <v>2425</v>
      </c>
      <c r="U60" s="33" t="str">
        <f>IFERROR(INDEX([1]Item!$A:$A,MATCH(T60,[1]Item!$B:$B,0)),"-")</f>
        <v>-</v>
      </c>
      <c r="V60" s="33" t="s">
        <v>545</v>
      </c>
      <c r="W60" s="30"/>
      <c r="X60" s="33" t="s">
        <v>545</v>
      </c>
      <c r="Y60" s="33" t="s">
        <v>545</v>
      </c>
      <c r="Z60" s="30" t="s">
        <v>2625</v>
      </c>
      <c r="AA60" s="34">
        <f>IFERROR(INDEX(SailPatternColor!$A:$A,MATCH(Z60,SailPatternColor!$B:$B,0)),"-")</f>
        <v>47300001</v>
      </c>
      <c r="AB60" s="30" t="s">
        <v>629</v>
      </c>
      <c r="AC60" s="34">
        <f>IFERROR(INDEX(SailPatternColor!$A:$A,MATCH(AB60,SailPatternColor!$B:$B,0)),"-")</f>
        <v>47300000</v>
      </c>
      <c r="AD60" s="30"/>
      <c r="AE60" s="34" t="str">
        <f>IFERROR(INDEX(SailPatternColor!$A:$A,MATCH(AD60,SailPatternColor!$B:$B,0)),"-")</f>
        <v>-</v>
      </c>
    </row>
    <row r="61" spans="1:31">
      <c r="A61" s="29">
        <v>47210001</v>
      </c>
      <c r="B61" s="30" t="s">
        <v>1247</v>
      </c>
      <c r="C61" s="33" t="s">
        <v>401</v>
      </c>
      <c r="D61" s="33" t="s">
        <v>1059</v>
      </c>
      <c r="E61" s="55" t="b">
        <v>0</v>
      </c>
      <c r="F61" s="30"/>
      <c r="G61" s="30"/>
      <c r="H61" s="30" t="s">
        <v>545</v>
      </c>
      <c r="I61" s="33" t="s">
        <v>561</v>
      </c>
      <c r="J61" s="50" t="s">
        <v>545</v>
      </c>
      <c r="K61" s="30" t="s">
        <v>545</v>
      </c>
      <c r="L61" s="33" t="s">
        <v>561</v>
      </c>
      <c r="M61" s="50" t="s">
        <v>545</v>
      </c>
      <c r="N61" s="30"/>
      <c r="O61" s="33" t="s">
        <v>545</v>
      </c>
      <c r="P61" s="33" t="s">
        <v>545</v>
      </c>
      <c r="Q61" s="30"/>
      <c r="R61" s="33" t="str">
        <f>IFERROR(INDEX([1]Item!$A:$A,MATCH(Q61,[1]Item!$B:$B,0)),"-")</f>
        <v>-</v>
      </c>
      <c r="S61" s="33" t="s">
        <v>545</v>
      </c>
      <c r="T61" s="30"/>
      <c r="U61" s="33" t="str">
        <f>IFERROR(INDEX([1]Item!$A:$A,MATCH(T61,[1]Item!$B:$B,0)),"-")</f>
        <v>-</v>
      </c>
      <c r="V61" s="33" t="s">
        <v>545</v>
      </c>
      <c r="W61" s="30"/>
      <c r="X61" s="33" t="s">
        <v>545</v>
      </c>
      <c r="Y61" s="33" t="s">
        <v>545</v>
      </c>
      <c r="Z61" s="30" t="s">
        <v>485</v>
      </c>
      <c r="AA61" s="34">
        <f>IFERROR(INDEX(SailPatternColor!$A:$A,MATCH(Z61,SailPatternColor!$B:$B,0)),"-")</f>
        <v>47300005</v>
      </c>
      <c r="AB61" s="30" t="s">
        <v>489</v>
      </c>
      <c r="AC61" s="34">
        <f>IFERROR(INDEX(SailPatternColor!$A:$A,MATCH(AB61,SailPatternColor!$B:$B,0)),"-")</f>
        <v>47300009</v>
      </c>
      <c r="AD61" s="30"/>
      <c r="AE61" s="34" t="str">
        <f>IFERROR(INDEX(SailPatternColor!$A:$A,MATCH(AD61,SailPatternColor!$B:$B,0)),"-")</f>
        <v>-</v>
      </c>
    </row>
    <row r="62" spans="1:31">
      <c r="A62" s="29">
        <v>47290001</v>
      </c>
      <c r="B62" s="30" t="s">
        <v>528</v>
      </c>
      <c r="C62" s="33" t="s">
        <v>390</v>
      </c>
      <c r="D62" s="33" t="s">
        <v>1099</v>
      </c>
      <c r="E62" s="55" t="b">
        <v>0</v>
      </c>
      <c r="F62" s="30"/>
      <c r="G62" s="30"/>
      <c r="H62" s="30" t="s">
        <v>545</v>
      </c>
      <c r="I62" s="33" t="s">
        <v>561</v>
      </c>
      <c r="J62" s="50" t="s">
        <v>545</v>
      </c>
      <c r="K62" s="30" t="s">
        <v>545</v>
      </c>
      <c r="L62" s="33" t="s">
        <v>561</v>
      </c>
      <c r="M62" s="50" t="s">
        <v>545</v>
      </c>
      <c r="N62" s="30"/>
      <c r="O62" s="33" t="s">
        <v>545</v>
      </c>
      <c r="P62" s="33" t="s">
        <v>545</v>
      </c>
      <c r="Q62" s="30"/>
      <c r="R62" s="33" t="str">
        <f>IFERROR(INDEX([1]Item!$A:$A,MATCH(Q62,[1]Item!$B:$B,0)),"-")</f>
        <v>-</v>
      </c>
      <c r="S62" s="33" t="s">
        <v>545</v>
      </c>
      <c r="T62" s="30"/>
      <c r="U62" s="33" t="str">
        <f>IFERROR(INDEX([1]Item!$A:$A,MATCH(T62,[1]Item!$B:$B,0)),"-")</f>
        <v>-</v>
      </c>
      <c r="V62" s="33" t="s">
        <v>545</v>
      </c>
      <c r="W62" s="30"/>
      <c r="X62" s="33" t="s">
        <v>545</v>
      </c>
      <c r="Y62" s="33" t="s">
        <v>545</v>
      </c>
      <c r="Z62" s="30" t="s">
        <v>536</v>
      </c>
      <c r="AA62" s="34">
        <f>IFERROR(INDEX(SailPatternColor!$A:$A,MATCH(Z62,SailPatternColor!$B:$B,0)),"-")</f>
        <v>47300002</v>
      </c>
      <c r="AB62" s="30" t="s">
        <v>483</v>
      </c>
      <c r="AC62" s="34">
        <f>IFERROR(INDEX(SailPatternColor!$A:$A,MATCH(AB62,SailPatternColor!$B:$B,0)),"-")</f>
        <v>47300003</v>
      </c>
      <c r="AD62" s="30"/>
      <c r="AE62" s="34" t="str">
        <f>IFERROR(INDEX(SailPatternColor!$A:$A,MATCH(AD62,SailPatternColor!$B:$B,0)),"-")</f>
        <v>-</v>
      </c>
    </row>
    <row r="63" spans="1:31">
      <c r="A63" s="29">
        <v>47290002</v>
      </c>
      <c r="B63" s="30" t="s">
        <v>529</v>
      </c>
      <c r="C63" s="33" t="s">
        <v>391</v>
      </c>
      <c r="D63" s="33" t="s">
        <v>1099</v>
      </c>
      <c r="E63" s="55" t="b">
        <v>0</v>
      </c>
      <c r="F63" s="30"/>
      <c r="G63" s="30"/>
      <c r="H63" s="30" t="s">
        <v>545</v>
      </c>
      <c r="I63" s="33" t="s">
        <v>561</v>
      </c>
      <c r="J63" s="50" t="s">
        <v>545</v>
      </c>
      <c r="K63" s="30" t="s">
        <v>545</v>
      </c>
      <c r="L63" s="33" t="s">
        <v>561</v>
      </c>
      <c r="M63" s="50" t="s">
        <v>545</v>
      </c>
      <c r="N63" s="30"/>
      <c r="O63" s="33" t="s">
        <v>545</v>
      </c>
      <c r="P63" s="33" t="s">
        <v>545</v>
      </c>
      <c r="Q63" s="30"/>
      <c r="R63" s="33" t="str">
        <f>IFERROR(INDEX([1]Item!$A:$A,MATCH(Q63,[1]Item!$B:$B,0)),"-")</f>
        <v>-</v>
      </c>
      <c r="S63" s="33" t="s">
        <v>545</v>
      </c>
      <c r="T63" s="30"/>
      <c r="U63" s="33" t="str">
        <f>IFERROR(INDEX([1]Item!$A:$A,MATCH(T63,[1]Item!$B:$B,0)),"-")</f>
        <v>-</v>
      </c>
      <c r="V63" s="33" t="s">
        <v>545</v>
      </c>
      <c r="W63" s="30"/>
      <c r="X63" s="33" t="s">
        <v>545</v>
      </c>
      <c r="Y63" s="33" t="s">
        <v>545</v>
      </c>
      <c r="Z63" s="30" t="s">
        <v>536</v>
      </c>
      <c r="AA63" s="34">
        <f>IFERROR(INDEX(SailPatternColor!$A:$A,MATCH(Z63,SailPatternColor!$B:$B,0)),"-")</f>
        <v>47300002</v>
      </c>
      <c r="AB63" s="30" t="s">
        <v>484</v>
      </c>
      <c r="AC63" s="34">
        <f>IFERROR(INDEX(SailPatternColor!$A:$A,MATCH(AB63,SailPatternColor!$B:$B,0)),"-")</f>
        <v>47300004</v>
      </c>
      <c r="AD63" s="30"/>
      <c r="AE63" s="34" t="str">
        <f>IFERROR(INDEX(SailPatternColor!$A:$A,MATCH(AD63,SailPatternColor!$B:$B,0)),"-")</f>
        <v>-</v>
      </c>
    </row>
    <row r="64" spans="1:31">
      <c r="A64" s="29">
        <v>47290003</v>
      </c>
      <c r="B64" s="30" t="s">
        <v>530</v>
      </c>
      <c r="C64" s="33" t="s">
        <v>2327</v>
      </c>
      <c r="D64" s="33" t="s">
        <v>1099</v>
      </c>
      <c r="E64" s="55" t="b">
        <v>0</v>
      </c>
      <c r="F64" s="30"/>
      <c r="G64" s="30"/>
      <c r="H64" s="30" t="s">
        <v>545</v>
      </c>
      <c r="I64" s="33" t="s">
        <v>561</v>
      </c>
      <c r="J64" s="50" t="s">
        <v>545</v>
      </c>
      <c r="K64" s="30" t="s">
        <v>545</v>
      </c>
      <c r="L64" s="33" t="s">
        <v>561</v>
      </c>
      <c r="M64" s="50" t="s">
        <v>545</v>
      </c>
      <c r="N64" s="30"/>
      <c r="O64" s="33" t="s">
        <v>545</v>
      </c>
      <c r="P64" s="33" t="s">
        <v>545</v>
      </c>
      <c r="Q64" s="30"/>
      <c r="R64" s="33" t="str">
        <f>IFERROR(INDEX([1]Item!$A:$A,MATCH(Q64,[1]Item!$B:$B,0)),"-")</f>
        <v>-</v>
      </c>
      <c r="S64" s="33" t="s">
        <v>545</v>
      </c>
      <c r="T64" s="30"/>
      <c r="U64" s="33" t="str">
        <f>IFERROR(INDEX([1]Item!$A:$A,MATCH(T64,[1]Item!$B:$B,0)),"-")</f>
        <v>-</v>
      </c>
      <c r="V64" s="33" t="s">
        <v>545</v>
      </c>
      <c r="W64" s="30"/>
      <c r="X64" s="33" t="s">
        <v>545</v>
      </c>
      <c r="Y64" s="33" t="s">
        <v>545</v>
      </c>
      <c r="Z64" s="30" t="s">
        <v>536</v>
      </c>
      <c r="AA64" s="34">
        <f>IFERROR(INDEX(SailPatternColor!$A:$A,MATCH(Z64,SailPatternColor!$B:$B,0)),"-")</f>
        <v>47300002</v>
      </c>
      <c r="AB64" s="30" t="s">
        <v>485</v>
      </c>
      <c r="AC64" s="34">
        <f>IFERROR(INDEX(SailPatternColor!$A:$A,MATCH(AB64,SailPatternColor!$B:$B,0)),"-")</f>
        <v>47300005</v>
      </c>
      <c r="AD64" s="30"/>
      <c r="AE64" s="34" t="str">
        <f>IFERROR(INDEX(SailPatternColor!$A:$A,MATCH(AD64,SailPatternColor!$B:$B,0)),"-")</f>
        <v>-</v>
      </c>
    </row>
    <row r="65" spans="1:32">
      <c r="A65" s="29">
        <v>47290004</v>
      </c>
      <c r="B65" s="30" t="s">
        <v>531</v>
      </c>
      <c r="C65" s="33" t="s">
        <v>392</v>
      </c>
      <c r="D65" s="33" t="s">
        <v>1099</v>
      </c>
      <c r="E65" s="55" t="b">
        <v>0</v>
      </c>
      <c r="F65" s="30"/>
      <c r="G65" s="30"/>
      <c r="H65" s="30" t="s">
        <v>545</v>
      </c>
      <c r="I65" s="33" t="s">
        <v>561</v>
      </c>
      <c r="J65" s="50" t="s">
        <v>545</v>
      </c>
      <c r="K65" s="30" t="s">
        <v>545</v>
      </c>
      <c r="L65" s="33" t="s">
        <v>561</v>
      </c>
      <c r="M65" s="50" t="s">
        <v>545</v>
      </c>
      <c r="N65" s="30"/>
      <c r="O65" s="33" t="s">
        <v>545</v>
      </c>
      <c r="P65" s="33" t="s">
        <v>545</v>
      </c>
      <c r="Q65" s="30"/>
      <c r="R65" s="33" t="str">
        <f>IFERROR(INDEX([1]Item!$A:$A,MATCH(Q65,[1]Item!$B:$B,0)),"-")</f>
        <v>-</v>
      </c>
      <c r="S65" s="33" t="s">
        <v>545</v>
      </c>
      <c r="T65" s="30"/>
      <c r="U65" s="33" t="str">
        <f>IFERROR(INDEX([1]Item!$A:$A,MATCH(T65,[1]Item!$B:$B,0)),"-")</f>
        <v>-</v>
      </c>
      <c r="V65" s="33" t="s">
        <v>545</v>
      </c>
      <c r="W65" s="30"/>
      <c r="X65" s="33" t="s">
        <v>545</v>
      </c>
      <c r="Y65" s="33" t="s">
        <v>545</v>
      </c>
      <c r="Z65" s="30" t="s">
        <v>536</v>
      </c>
      <c r="AA65" s="34">
        <f>IFERROR(INDEX(SailPatternColor!$A:$A,MATCH(Z65,SailPatternColor!$B:$B,0)),"-")</f>
        <v>47300002</v>
      </c>
      <c r="AB65" s="30" t="s">
        <v>488</v>
      </c>
      <c r="AC65" s="34">
        <f>IFERROR(INDEX(SailPatternColor!$A:$A,MATCH(AB65,SailPatternColor!$B:$B,0)),"-")</f>
        <v>47300008</v>
      </c>
      <c r="AD65" s="30"/>
      <c r="AE65" s="34" t="str">
        <f>IFERROR(INDEX(SailPatternColor!$A:$A,MATCH(AD65,SailPatternColor!$B:$B,0)),"-")</f>
        <v>-</v>
      </c>
    </row>
    <row r="66" spans="1:32">
      <c r="A66" s="29">
        <v>47290005</v>
      </c>
      <c r="B66" s="30" t="s">
        <v>532</v>
      </c>
      <c r="C66" s="33" t="s">
        <v>393</v>
      </c>
      <c r="D66" s="33" t="s">
        <v>1099</v>
      </c>
      <c r="E66" s="55" t="b">
        <v>0</v>
      </c>
      <c r="F66" s="30"/>
      <c r="G66" s="30"/>
      <c r="H66" s="30" t="s">
        <v>545</v>
      </c>
      <c r="I66" s="33" t="s">
        <v>561</v>
      </c>
      <c r="J66" s="50" t="s">
        <v>545</v>
      </c>
      <c r="K66" s="30" t="s">
        <v>545</v>
      </c>
      <c r="L66" s="33" t="s">
        <v>561</v>
      </c>
      <c r="M66" s="50" t="s">
        <v>545</v>
      </c>
      <c r="N66" s="30"/>
      <c r="O66" s="33" t="s">
        <v>545</v>
      </c>
      <c r="P66" s="33" t="s">
        <v>545</v>
      </c>
      <c r="Q66" s="30"/>
      <c r="R66" s="33" t="str">
        <f>IFERROR(INDEX([1]Item!$A:$A,MATCH(Q66,[1]Item!$B:$B,0)),"-")</f>
        <v>-</v>
      </c>
      <c r="S66" s="33" t="s">
        <v>545</v>
      </c>
      <c r="T66" s="30"/>
      <c r="U66" s="33" t="str">
        <f>IFERROR(INDEX([1]Item!$A:$A,MATCH(T66,[1]Item!$B:$B,0)),"-")</f>
        <v>-</v>
      </c>
      <c r="V66" s="33" t="s">
        <v>545</v>
      </c>
      <c r="W66" s="30"/>
      <c r="X66" s="33" t="s">
        <v>545</v>
      </c>
      <c r="Y66" s="33" t="s">
        <v>545</v>
      </c>
      <c r="Z66" s="30" t="s">
        <v>536</v>
      </c>
      <c r="AA66" s="34">
        <f>IFERROR(INDEX(SailPatternColor!$A:$A,MATCH(Z66,SailPatternColor!$B:$B,0)),"-")</f>
        <v>47300002</v>
      </c>
      <c r="AB66" s="30" t="s">
        <v>483</v>
      </c>
      <c r="AC66" s="34">
        <f>IFERROR(INDEX(SailPatternColor!$A:$A,MATCH(AB66,SailPatternColor!$B:$B,0)),"-")</f>
        <v>47300003</v>
      </c>
      <c r="AD66" s="30"/>
      <c r="AE66" s="34" t="str">
        <f>IFERROR(INDEX(SailPatternColor!$A:$A,MATCH(AD66,SailPatternColor!$B:$B,0)),"-")</f>
        <v>-</v>
      </c>
    </row>
    <row r="67" spans="1:32">
      <c r="A67" s="29">
        <v>47290006</v>
      </c>
      <c r="B67" s="30" t="s">
        <v>533</v>
      </c>
      <c r="C67" s="33" t="s">
        <v>395</v>
      </c>
      <c r="D67" s="33" t="s">
        <v>1099</v>
      </c>
      <c r="E67" s="55" t="b">
        <v>0</v>
      </c>
      <c r="F67" s="30"/>
      <c r="G67" s="30"/>
      <c r="H67" s="30" t="s">
        <v>545</v>
      </c>
      <c r="I67" s="33" t="s">
        <v>561</v>
      </c>
      <c r="J67" s="50" t="s">
        <v>545</v>
      </c>
      <c r="K67" s="30" t="s">
        <v>545</v>
      </c>
      <c r="L67" s="33" t="s">
        <v>561</v>
      </c>
      <c r="M67" s="50" t="s">
        <v>545</v>
      </c>
      <c r="N67" s="30"/>
      <c r="O67" s="33" t="s">
        <v>545</v>
      </c>
      <c r="P67" s="33" t="s">
        <v>545</v>
      </c>
      <c r="Q67" s="30"/>
      <c r="R67" s="33" t="str">
        <f>IFERROR(INDEX([1]Item!$A:$A,MATCH(Q67,[1]Item!$B:$B,0)),"-")</f>
        <v>-</v>
      </c>
      <c r="S67" s="33" t="s">
        <v>545</v>
      </c>
      <c r="T67" s="30"/>
      <c r="U67" s="33" t="str">
        <f>IFERROR(INDEX([1]Item!$A:$A,MATCH(T67,[1]Item!$B:$B,0)),"-")</f>
        <v>-</v>
      </c>
      <c r="V67" s="33" t="s">
        <v>545</v>
      </c>
      <c r="W67" s="30"/>
      <c r="X67" s="33" t="s">
        <v>545</v>
      </c>
      <c r="Y67" s="33" t="s">
        <v>545</v>
      </c>
      <c r="Z67" s="30" t="s">
        <v>536</v>
      </c>
      <c r="AA67" s="34">
        <f>IFERROR(INDEX(SailPatternColor!$A:$A,MATCH(Z67,SailPatternColor!$B:$B,0)),"-")</f>
        <v>47300002</v>
      </c>
      <c r="AB67" s="30" t="s">
        <v>484</v>
      </c>
      <c r="AC67" s="34">
        <f>IFERROR(INDEX(SailPatternColor!$A:$A,MATCH(AB67,SailPatternColor!$B:$B,0)),"-")</f>
        <v>47300004</v>
      </c>
      <c r="AD67" s="30"/>
      <c r="AE67" s="34" t="str">
        <f>IFERROR(INDEX(SailPatternColor!$A:$A,MATCH(AD67,SailPatternColor!$B:$B,0)),"-")</f>
        <v>-</v>
      </c>
    </row>
    <row r="68" spans="1:32">
      <c r="A68" s="29">
        <v>47290007</v>
      </c>
      <c r="B68" s="30" t="s">
        <v>534</v>
      </c>
      <c r="C68" s="33" t="s">
        <v>396</v>
      </c>
      <c r="D68" s="33" t="s">
        <v>1099</v>
      </c>
      <c r="E68" s="55" t="b">
        <v>0</v>
      </c>
      <c r="F68" s="30"/>
      <c r="G68" s="30"/>
      <c r="H68" s="30" t="s">
        <v>545</v>
      </c>
      <c r="I68" s="33" t="s">
        <v>561</v>
      </c>
      <c r="J68" s="50" t="s">
        <v>545</v>
      </c>
      <c r="K68" s="30" t="s">
        <v>545</v>
      </c>
      <c r="L68" s="33" t="s">
        <v>561</v>
      </c>
      <c r="M68" s="50" t="s">
        <v>545</v>
      </c>
      <c r="N68" s="30"/>
      <c r="O68" s="33" t="s">
        <v>545</v>
      </c>
      <c r="P68" s="33" t="s">
        <v>545</v>
      </c>
      <c r="Q68" s="30"/>
      <c r="R68" s="33" t="str">
        <f>IFERROR(INDEX([1]Item!$A:$A,MATCH(Q68,[1]Item!$B:$B,0)),"-")</f>
        <v>-</v>
      </c>
      <c r="S68" s="33" t="s">
        <v>545</v>
      </c>
      <c r="T68" s="30"/>
      <c r="U68" s="33" t="str">
        <f>IFERROR(INDEX([1]Item!$A:$A,MATCH(T68,[1]Item!$B:$B,0)),"-")</f>
        <v>-</v>
      </c>
      <c r="V68" s="33" t="s">
        <v>545</v>
      </c>
      <c r="W68" s="30"/>
      <c r="X68" s="33" t="s">
        <v>545</v>
      </c>
      <c r="Y68" s="33" t="s">
        <v>545</v>
      </c>
      <c r="Z68" s="30" t="s">
        <v>536</v>
      </c>
      <c r="AA68" s="34">
        <f>IFERROR(INDEX(SailPatternColor!$A:$A,MATCH(Z68,SailPatternColor!$B:$B,0)),"-")</f>
        <v>47300002</v>
      </c>
      <c r="AB68" s="30" t="s">
        <v>485</v>
      </c>
      <c r="AC68" s="34">
        <f>IFERROR(INDEX(SailPatternColor!$A:$A,MATCH(AB68,SailPatternColor!$B:$B,0)),"-")</f>
        <v>47300005</v>
      </c>
      <c r="AD68" s="30"/>
      <c r="AE68" s="34" t="str">
        <f>IFERROR(INDEX(SailPatternColor!$A:$A,MATCH(AD68,SailPatternColor!$B:$B,0)),"-")</f>
        <v>-</v>
      </c>
    </row>
    <row r="69" spans="1:32">
      <c r="A69" s="29">
        <v>47290008</v>
      </c>
      <c r="B69" s="30" t="s">
        <v>535</v>
      </c>
      <c r="C69" s="33" t="s">
        <v>2328</v>
      </c>
      <c r="D69" s="33" t="s">
        <v>1099</v>
      </c>
      <c r="E69" s="55" t="b">
        <v>0</v>
      </c>
      <c r="F69" s="30"/>
      <c r="G69" s="30"/>
      <c r="H69" s="30" t="s">
        <v>545</v>
      </c>
      <c r="I69" s="33" t="s">
        <v>561</v>
      </c>
      <c r="J69" s="50" t="s">
        <v>545</v>
      </c>
      <c r="K69" s="30" t="s">
        <v>545</v>
      </c>
      <c r="L69" s="33" t="s">
        <v>561</v>
      </c>
      <c r="M69" s="50" t="s">
        <v>545</v>
      </c>
      <c r="N69" s="30"/>
      <c r="O69" s="33" t="s">
        <v>545</v>
      </c>
      <c r="P69" s="33" t="s">
        <v>545</v>
      </c>
      <c r="Q69" s="30"/>
      <c r="R69" s="33" t="str">
        <f>IFERROR(INDEX([1]Item!$A:$A,MATCH(Q69,[1]Item!$B:$B,0)),"-")</f>
        <v>-</v>
      </c>
      <c r="S69" s="33" t="s">
        <v>545</v>
      </c>
      <c r="T69" s="30"/>
      <c r="U69" s="33" t="str">
        <f>IFERROR(INDEX([1]Item!$A:$A,MATCH(T69,[1]Item!$B:$B,0)),"-")</f>
        <v>-</v>
      </c>
      <c r="V69" s="33" t="s">
        <v>545</v>
      </c>
      <c r="W69" s="30"/>
      <c r="X69" s="33" t="s">
        <v>545</v>
      </c>
      <c r="Y69" s="33" t="s">
        <v>545</v>
      </c>
      <c r="Z69" s="30" t="s">
        <v>536</v>
      </c>
      <c r="AA69" s="34">
        <f>IFERROR(INDEX(SailPatternColor!$A:$A,MATCH(Z69,SailPatternColor!$B:$B,0)),"-")</f>
        <v>47300002</v>
      </c>
      <c r="AB69" s="30" t="s">
        <v>488</v>
      </c>
      <c r="AC69" s="34">
        <f>IFERROR(INDEX(SailPatternColor!$A:$A,MATCH(AB69,SailPatternColor!$B:$B,0)),"-")</f>
        <v>47300008</v>
      </c>
      <c r="AD69" s="30"/>
      <c r="AE69" s="34" t="str">
        <f>IFERROR(INDEX(SailPatternColor!$A:$A,MATCH(AD69,SailPatternColor!$B:$B,0)),"-")</f>
        <v>-</v>
      </c>
    </row>
    <row r="70" spans="1:32">
      <c r="A70" s="29">
        <v>47290009</v>
      </c>
      <c r="B70" s="30" t="s">
        <v>1913</v>
      </c>
      <c r="C70" s="33" t="s">
        <v>394</v>
      </c>
      <c r="D70" s="33" t="s">
        <v>1099</v>
      </c>
      <c r="E70" s="55" t="b">
        <v>0</v>
      </c>
      <c r="F70" s="30"/>
      <c r="G70" s="30"/>
      <c r="H70" s="30" t="s">
        <v>545</v>
      </c>
      <c r="I70" s="33" t="s">
        <v>561</v>
      </c>
      <c r="J70" s="50" t="s">
        <v>545</v>
      </c>
      <c r="K70" s="30" t="s">
        <v>545</v>
      </c>
      <c r="L70" s="33" t="s">
        <v>561</v>
      </c>
      <c r="M70" s="50" t="s">
        <v>545</v>
      </c>
      <c r="N70" s="30"/>
      <c r="O70" s="33" t="s">
        <v>545</v>
      </c>
      <c r="P70" s="33" t="s">
        <v>545</v>
      </c>
      <c r="Q70" s="30"/>
      <c r="R70" s="33" t="str">
        <f>IFERROR(INDEX([1]Item!$A:$A,MATCH(Q70,[1]Item!$B:$B,0)),"-")</f>
        <v>-</v>
      </c>
      <c r="S70" s="33" t="s">
        <v>545</v>
      </c>
      <c r="T70" s="30"/>
      <c r="U70" s="33" t="str">
        <f>IFERROR(INDEX([1]Item!$A:$A,MATCH(T70,[1]Item!$B:$B,0)),"-")</f>
        <v>-</v>
      </c>
      <c r="V70" s="33" t="s">
        <v>545</v>
      </c>
      <c r="W70" s="30"/>
      <c r="X70" s="33" t="s">
        <v>545</v>
      </c>
      <c r="Y70" s="33" t="s">
        <v>545</v>
      </c>
      <c r="Z70" s="30" t="s">
        <v>1913</v>
      </c>
      <c r="AA70" s="34">
        <f>IFERROR(INDEX(SailPatternColor!$A:$A,MATCH(Z70,SailPatternColor!$B:$B,0)),"-")</f>
        <v>47301006</v>
      </c>
      <c r="AB70" s="30" t="s">
        <v>1943</v>
      </c>
      <c r="AC70" s="34">
        <f>IFERROR(INDEX(SailPatternColor!$A:$A,MATCH(AB70,SailPatternColor!$B:$B,0)),"-")</f>
        <v>47301016</v>
      </c>
      <c r="AD70" s="30"/>
      <c r="AE70" s="34" t="str">
        <f>IFERROR(INDEX(SailPatternColor!$A:$A,MATCH(AD70,SailPatternColor!$B:$B,0)),"-")</f>
        <v>-</v>
      </c>
    </row>
    <row r="71" spans="1:32">
      <c r="A71" s="29">
        <v>47290010</v>
      </c>
      <c r="B71" s="30" t="s">
        <v>1914</v>
      </c>
      <c r="C71" s="33" t="s">
        <v>737</v>
      </c>
      <c r="D71" s="33" t="s">
        <v>1099</v>
      </c>
      <c r="E71" s="55" t="b">
        <v>0</v>
      </c>
      <c r="F71" s="30"/>
      <c r="G71" s="30"/>
      <c r="H71" s="30" t="s">
        <v>545</v>
      </c>
      <c r="I71" s="33" t="s">
        <v>561</v>
      </c>
      <c r="J71" s="50" t="s">
        <v>545</v>
      </c>
      <c r="K71" s="30" t="s">
        <v>545</v>
      </c>
      <c r="L71" s="33" t="s">
        <v>561</v>
      </c>
      <c r="M71" s="50" t="s">
        <v>545</v>
      </c>
      <c r="N71" s="30"/>
      <c r="O71" s="33" t="s">
        <v>545</v>
      </c>
      <c r="P71" s="33" t="s">
        <v>545</v>
      </c>
      <c r="Q71" s="30"/>
      <c r="R71" s="33" t="str">
        <f>IFERROR(INDEX([1]Item!$A:$A,MATCH(Q71,[1]Item!$B:$B,0)),"-")</f>
        <v>-</v>
      </c>
      <c r="S71" s="33" t="s">
        <v>545</v>
      </c>
      <c r="T71" s="30"/>
      <c r="U71" s="33" t="str">
        <f>IFERROR(INDEX([1]Item!$A:$A,MATCH(T71,[1]Item!$B:$B,0)),"-")</f>
        <v>-</v>
      </c>
      <c r="V71" s="33" t="s">
        <v>545</v>
      </c>
      <c r="W71" s="30"/>
      <c r="X71" s="33" t="s">
        <v>545</v>
      </c>
      <c r="Y71" s="33" t="s">
        <v>545</v>
      </c>
      <c r="Z71" s="30" t="s">
        <v>1914</v>
      </c>
      <c r="AA71" s="34">
        <f>IFERROR(INDEX(SailPatternColor!$A:$A,MATCH(Z71,SailPatternColor!$B:$B,0)),"-")</f>
        <v>47301007</v>
      </c>
      <c r="AB71" s="30"/>
      <c r="AC71" s="34" t="str">
        <f>IFERROR(INDEX(SailPatternColor!$A:$A,MATCH(AB71,SailPatternColor!$B:$B,0)),"-")</f>
        <v>-</v>
      </c>
      <c r="AD71" s="30"/>
      <c r="AE71" s="34" t="str">
        <f>IFERROR(INDEX(SailPatternColor!$A:$A,MATCH(AD71,SailPatternColor!$B:$B,0)),"-")</f>
        <v>-</v>
      </c>
    </row>
    <row r="72" spans="1:32">
      <c r="A72" s="29">
        <v>47290011</v>
      </c>
      <c r="B72" s="30" t="s">
        <v>1915</v>
      </c>
      <c r="C72" s="33" t="s">
        <v>391</v>
      </c>
      <c r="D72" s="33" t="s">
        <v>1099</v>
      </c>
      <c r="E72" s="55" t="b">
        <v>0</v>
      </c>
      <c r="F72" s="30"/>
      <c r="G72" s="30"/>
      <c r="H72" s="30" t="s">
        <v>545</v>
      </c>
      <c r="I72" s="33" t="s">
        <v>561</v>
      </c>
      <c r="J72" s="50" t="s">
        <v>545</v>
      </c>
      <c r="K72" s="30" t="s">
        <v>545</v>
      </c>
      <c r="L72" s="33" t="s">
        <v>561</v>
      </c>
      <c r="M72" s="50" t="s">
        <v>545</v>
      </c>
      <c r="N72" s="30"/>
      <c r="O72" s="33" t="s">
        <v>545</v>
      </c>
      <c r="P72" s="33" t="s">
        <v>545</v>
      </c>
      <c r="Q72" s="30"/>
      <c r="R72" s="33" t="str">
        <f>IFERROR(INDEX([1]Item!$A:$A,MATCH(Q72,[1]Item!$B:$B,0)),"-")</f>
        <v>-</v>
      </c>
      <c r="S72" s="33" t="s">
        <v>545</v>
      </c>
      <c r="T72" s="30"/>
      <c r="U72" s="33" t="str">
        <f>IFERROR(INDEX([1]Item!$A:$A,MATCH(T72,[1]Item!$B:$B,0)),"-")</f>
        <v>-</v>
      </c>
      <c r="V72" s="33" t="s">
        <v>545</v>
      </c>
      <c r="W72" s="30"/>
      <c r="X72" s="33" t="s">
        <v>545</v>
      </c>
      <c r="Y72" s="33" t="s">
        <v>545</v>
      </c>
      <c r="Z72" s="30" t="s">
        <v>1915</v>
      </c>
      <c r="AA72" s="34">
        <f>IFERROR(INDEX(SailPatternColor!$A:$A,MATCH(Z72,SailPatternColor!$B:$B,0)),"-")</f>
        <v>47301008</v>
      </c>
      <c r="AB72" s="30"/>
      <c r="AC72" s="34" t="str">
        <f>IFERROR(INDEX(SailPatternColor!$A:$A,MATCH(AB72,SailPatternColor!$B:$B,0)),"-")</f>
        <v>-</v>
      </c>
      <c r="AD72" s="30"/>
      <c r="AE72" s="34" t="str">
        <f>IFERROR(INDEX(SailPatternColor!$A:$A,MATCH(AD72,SailPatternColor!$B:$B,0)),"-")</f>
        <v>-</v>
      </c>
    </row>
    <row r="73" spans="1:32">
      <c r="A73" s="29">
        <v>47290012</v>
      </c>
      <c r="B73" s="30" t="s">
        <v>1916</v>
      </c>
      <c r="C73" s="33" t="s">
        <v>392</v>
      </c>
      <c r="D73" s="33" t="s">
        <v>1099</v>
      </c>
      <c r="E73" s="55" t="b">
        <v>0</v>
      </c>
      <c r="F73" s="30"/>
      <c r="G73" s="30"/>
      <c r="H73" s="30" t="s">
        <v>545</v>
      </c>
      <c r="I73" s="33" t="s">
        <v>561</v>
      </c>
      <c r="J73" s="50" t="s">
        <v>545</v>
      </c>
      <c r="K73" s="30" t="s">
        <v>545</v>
      </c>
      <c r="L73" s="33" t="s">
        <v>561</v>
      </c>
      <c r="M73" s="50" t="s">
        <v>545</v>
      </c>
      <c r="N73" s="30"/>
      <c r="O73" s="33" t="s">
        <v>545</v>
      </c>
      <c r="P73" s="33" t="s">
        <v>545</v>
      </c>
      <c r="Q73" s="30"/>
      <c r="R73" s="33" t="str">
        <f>IFERROR(INDEX([1]Item!$A:$A,MATCH(Q73,[1]Item!$B:$B,0)),"-")</f>
        <v>-</v>
      </c>
      <c r="S73" s="33" t="s">
        <v>545</v>
      </c>
      <c r="T73" s="30"/>
      <c r="U73" s="33" t="str">
        <f>IFERROR(INDEX([1]Item!$A:$A,MATCH(T73,[1]Item!$B:$B,0)),"-")</f>
        <v>-</v>
      </c>
      <c r="V73" s="33" t="s">
        <v>545</v>
      </c>
      <c r="W73" s="30"/>
      <c r="X73" s="33" t="s">
        <v>545</v>
      </c>
      <c r="Y73" s="33" t="s">
        <v>545</v>
      </c>
      <c r="Z73" s="30" t="s">
        <v>1916</v>
      </c>
      <c r="AA73" s="34">
        <f>IFERROR(INDEX(SailPatternColor!$A:$A,MATCH(Z73,SailPatternColor!$B:$B,0)),"-")</f>
        <v>47301009</v>
      </c>
      <c r="AB73" s="30"/>
      <c r="AC73" s="34" t="str">
        <f>IFERROR(INDEX(SailPatternColor!$A:$A,MATCH(AB73,SailPatternColor!$B:$B,0)),"-")</f>
        <v>-</v>
      </c>
      <c r="AD73" s="30"/>
      <c r="AE73" s="34" t="str">
        <f>IFERROR(INDEX(SailPatternColor!$A:$A,MATCH(AD73,SailPatternColor!$B:$B,0)),"-")</f>
        <v>-</v>
      </c>
    </row>
    <row r="74" spans="1:32">
      <c r="A74" s="29">
        <v>47290013</v>
      </c>
      <c r="B74" s="30" t="s">
        <v>1917</v>
      </c>
      <c r="C74" s="33" t="s">
        <v>393</v>
      </c>
      <c r="D74" s="33" t="s">
        <v>1099</v>
      </c>
      <c r="E74" s="55" t="b">
        <v>0</v>
      </c>
      <c r="F74" s="30"/>
      <c r="G74" s="30"/>
      <c r="H74" s="30" t="s">
        <v>545</v>
      </c>
      <c r="I74" s="33" t="s">
        <v>561</v>
      </c>
      <c r="J74" s="50" t="s">
        <v>545</v>
      </c>
      <c r="K74" s="30" t="s">
        <v>545</v>
      </c>
      <c r="L74" s="33" t="s">
        <v>561</v>
      </c>
      <c r="M74" s="50" t="s">
        <v>545</v>
      </c>
      <c r="N74" s="30"/>
      <c r="O74" s="33" t="s">
        <v>545</v>
      </c>
      <c r="P74" s="33" t="s">
        <v>545</v>
      </c>
      <c r="Q74" s="30"/>
      <c r="R74" s="33" t="str">
        <f>IFERROR(INDEX([1]Item!$A:$A,MATCH(Q74,[1]Item!$B:$B,0)),"-")</f>
        <v>-</v>
      </c>
      <c r="S74" s="33" t="s">
        <v>545</v>
      </c>
      <c r="T74" s="30"/>
      <c r="U74" s="33" t="str">
        <f>IFERROR(INDEX([1]Item!$A:$A,MATCH(T74,[1]Item!$B:$B,0)),"-")</f>
        <v>-</v>
      </c>
      <c r="V74" s="33" t="s">
        <v>545</v>
      </c>
      <c r="W74" s="30"/>
      <c r="X74" s="33" t="s">
        <v>545</v>
      </c>
      <c r="Y74" s="33" t="s">
        <v>545</v>
      </c>
      <c r="Z74" s="30" t="s">
        <v>1917</v>
      </c>
      <c r="AA74" s="34">
        <f>IFERROR(INDEX(SailPatternColor!$A:$A,MATCH(Z74,SailPatternColor!$B:$B,0)),"-")</f>
        <v>47301010</v>
      </c>
      <c r="AB74" s="30"/>
      <c r="AC74" s="34" t="str">
        <f>IFERROR(INDEX(SailPatternColor!$A:$A,MATCH(AB74,SailPatternColor!$B:$B,0)),"-")</f>
        <v>-</v>
      </c>
      <c r="AD74" s="30"/>
      <c r="AE74" s="34" t="str">
        <f>IFERROR(INDEX(SailPatternColor!$A:$A,MATCH(AD74,SailPatternColor!$B:$B,0)),"-")</f>
        <v>-</v>
      </c>
    </row>
    <row r="75" spans="1:32">
      <c r="A75" s="29">
        <v>47290014</v>
      </c>
      <c r="B75" s="30" t="s">
        <v>1918</v>
      </c>
      <c r="C75" s="33" t="s">
        <v>402</v>
      </c>
      <c r="D75" s="33" t="s">
        <v>1099</v>
      </c>
      <c r="E75" s="55" t="b">
        <v>0</v>
      </c>
      <c r="F75" s="30"/>
      <c r="G75" s="30"/>
      <c r="H75" s="30" t="s">
        <v>545</v>
      </c>
      <c r="I75" s="33" t="s">
        <v>561</v>
      </c>
      <c r="J75" s="50" t="s">
        <v>545</v>
      </c>
      <c r="K75" s="30" t="s">
        <v>545</v>
      </c>
      <c r="L75" s="33" t="s">
        <v>561</v>
      </c>
      <c r="M75" s="50" t="s">
        <v>545</v>
      </c>
      <c r="N75" s="30"/>
      <c r="O75" s="33" t="s">
        <v>545</v>
      </c>
      <c r="P75" s="33" t="s">
        <v>545</v>
      </c>
      <c r="Q75" s="30"/>
      <c r="R75" s="33" t="str">
        <f>IFERROR(INDEX([1]Item!$A:$A,MATCH(Q75,[1]Item!$B:$B,0)),"-")</f>
        <v>-</v>
      </c>
      <c r="S75" s="33" t="s">
        <v>545</v>
      </c>
      <c r="T75" s="30"/>
      <c r="U75" s="33" t="str">
        <f>IFERROR(INDEX([1]Item!$A:$A,MATCH(T75,[1]Item!$B:$B,0)),"-")</f>
        <v>-</v>
      </c>
      <c r="V75" s="33" t="s">
        <v>545</v>
      </c>
      <c r="W75" s="30"/>
      <c r="X75" s="33" t="s">
        <v>545</v>
      </c>
      <c r="Y75" s="33" t="s">
        <v>545</v>
      </c>
      <c r="Z75" s="30" t="s">
        <v>1918</v>
      </c>
      <c r="AA75" s="34">
        <f>IFERROR(INDEX(SailPatternColor!$A:$A,MATCH(Z75,SailPatternColor!$B:$B,0)),"-")</f>
        <v>47301011</v>
      </c>
      <c r="AB75" s="30" t="s">
        <v>1944</v>
      </c>
      <c r="AC75" s="34">
        <f>IFERROR(INDEX(SailPatternColor!$A:$A,MATCH(AB75,SailPatternColor!$B:$B,0)),"-")</f>
        <v>47301017</v>
      </c>
      <c r="AD75" s="30"/>
      <c r="AE75" s="34" t="str">
        <f>IFERROR(INDEX(SailPatternColor!$A:$A,MATCH(AD75,SailPatternColor!$B:$B,0)),"-")</f>
        <v>-</v>
      </c>
    </row>
    <row r="76" spans="1:32">
      <c r="A76" s="29">
        <v>47290015</v>
      </c>
      <c r="B76" s="30" t="s">
        <v>1919</v>
      </c>
      <c r="C76" s="33" t="s">
        <v>737</v>
      </c>
      <c r="D76" s="33" t="s">
        <v>1099</v>
      </c>
      <c r="E76" s="55" t="b">
        <v>0</v>
      </c>
      <c r="F76" s="30"/>
      <c r="G76" s="30"/>
      <c r="H76" s="30" t="s">
        <v>545</v>
      </c>
      <c r="I76" s="33" t="s">
        <v>561</v>
      </c>
      <c r="J76" s="50" t="s">
        <v>545</v>
      </c>
      <c r="K76" s="30" t="s">
        <v>545</v>
      </c>
      <c r="L76" s="33" t="s">
        <v>561</v>
      </c>
      <c r="M76" s="50" t="s">
        <v>545</v>
      </c>
      <c r="N76" s="30"/>
      <c r="O76" s="33" t="s">
        <v>545</v>
      </c>
      <c r="P76" s="33" t="s">
        <v>545</v>
      </c>
      <c r="Q76" s="30"/>
      <c r="R76" s="33" t="str">
        <f>IFERROR(INDEX([1]Item!$A:$A,MATCH(Q76,[1]Item!$B:$B,0)),"-")</f>
        <v>-</v>
      </c>
      <c r="S76" s="33" t="s">
        <v>545</v>
      </c>
      <c r="T76" s="30"/>
      <c r="U76" s="33" t="str">
        <f>IFERROR(INDEX([1]Item!$A:$A,MATCH(T76,[1]Item!$B:$B,0)),"-")</f>
        <v>-</v>
      </c>
      <c r="V76" s="33" t="s">
        <v>545</v>
      </c>
      <c r="W76" s="30"/>
      <c r="X76" s="33" t="s">
        <v>545</v>
      </c>
      <c r="Y76" s="33" t="s">
        <v>545</v>
      </c>
      <c r="Z76" s="30" t="s">
        <v>1919</v>
      </c>
      <c r="AA76" s="34">
        <f>IFERROR(INDEX(SailPatternColor!$A:$A,MATCH(Z76,SailPatternColor!$B:$B,0)),"-")</f>
        <v>47301012</v>
      </c>
      <c r="AB76" s="30"/>
      <c r="AC76" s="34" t="str">
        <f>IFERROR(INDEX(SailPatternColor!$A:$A,MATCH(AB76,SailPatternColor!$B:$B,0)),"-")</f>
        <v>-</v>
      </c>
      <c r="AD76" s="30"/>
      <c r="AE76" s="34" t="str">
        <f>IFERROR(INDEX(SailPatternColor!$A:$A,MATCH(AD76,SailPatternColor!$B:$B,0)),"-")</f>
        <v>-</v>
      </c>
    </row>
    <row r="77" spans="1:32">
      <c r="A77" s="29">
        <v>47290016</v>
      </c>
      <c r="B77" s="30" t="s">
        <v>1920</v>
      </c>
      <c r="C77" s="33" t="s">
        <v>394</v>
      </c>
      <c r="D77" s="33" t="s">
        <v>1099</v>
      </c>
      <c r="E77" s="55" t="b">
        <v>0</v>
      </c>
      <c r="F77" s="30"/>
      <c r="G77" s="30"/>
      <c r="H77" s="30" t="s">
        <v>545</v>
      </c>
      <c r="I77" s="33" t="s">
        <v>561</v>
      </c>
      <c r="J77" s="50" t="s">
        <v>545</v>
      </c>
      <c r="K77" s="30" t="s">
        <v>545</v>
      </c>
      <c r="L77" s="33" t="s">
        <v>561</v>
      </c>
      <c r="M77" s="50" t="s">
        <v>545</v>
      </c>
      <c r="N77" s="30"/>
      <c r="O77" s="33" t="s">
        <v>545</v>
      </c>
      <c r="P77" s="33" t="s">
        <v>545</v>
      </c>
      <c r="Q77" s="30"/>
      <c r="R77" s="33" t="str">
        <f>IFERROR(INDEX([1]Item!$A:$A,MATCH(Q77,[1]Item!$B:$B,0)),"-")</f>
        <v>-</v>
      </c>
      <c r="S77" s="33" t="s">
        <v>545</v>
      </c>
      <c r="T77" s="30"/>
      <c r="U77" s="33" t="str">
        <f>IFERROR(INDEX([1]Item!$A:$A,MATCH(T77,[1]Item!$B:$B,0)),"-")</f>
        <v>-</v>
      </c>
      <c r="V77" s="33" t="s">
        <v>545</v>
      </c>
      <c r="W77" s="30"/>
      <c r="X77" s="33" t="s">
        <v>545</v>
      </c>
      <c r="Y77" s="33" t="s">
        <v>545</v>
      </c>
      <c r="Z77" s="30" t="s">
        <v>1920</v>
      </c>
      <c r="AA77" s="34">
        <f>IFERROR(INDEX(SailPatternColor!$A:$A,MATCH(Z77,SailPatternColor!$B:$B,0)),"-")</f>
        <v>47301013</v>
      </c>
      <c r="AB77" s="30" t="s">
        <v>1945</v>
      </c>
      <c r="AC77" s="34">
        <f>IFERROR(INDEX(SailPatternColor!$A:$A,MATCH(AB77,SailPatternColor!$B:$B,0)),"-")</f>
        <v>47301018</v>
      </c>
      <c r="AD77" s="30"/>
      <c r="AE77" s="34" t="str">
        <f>IFERROR(INDEX(SailPatternColor!$A:$A,MATCH(AD77,SailPatternColor!$B:$B,0)),"-")</f>
        <v>-</v>
      </c>
    </row>
    <row r="78" spans="1:32">
      <c r="A78" s="29">
        <v>47290017</v>
      </c>
      <c r="B78" s="30" t="s">
        <v>1925</v>
      </c>
      <c r="C78" s="33" t="s">
        <v>398</v>
      </c>
      <c r="D78" s="33" t="s">
        <v>1099</v>
      </c>
      <c r="E78" s="55" t="b">
        <v>0</v>
      </c>
      <c r="F78" s="30"/>
      <c r="G78" s="30"/>
      <c r="H78" s="30" t="s">
        <v>545</v>
      </c>
      <c r="I78" s="33" t="s">
        <v>561</v>
      </c>
      <c r="J78" s="50" t="s">
        <v>545</v>
      </c>
      <c r="K78" s="30" t="s">
        <v>545</v>
      </c>
      <c r="L78" s="33" t="s">
        <v>561</v>
      </c>
      <c r="M78" s="50" t="s">
        <v>545</v>
      </c>
      <c r="N78" s="30"/>
      <c r="O78" s="33" t="s">
        <v>545</v>
      </c>
      <c r="P78" s="33" t="s">
        <v>545</v>
      </c>
      <c r="Q78" s="30"/>
      <c r="R78" s="33" t="str">
        <f>IFERROR(INDEX([1]Item!$A:$A,MATCH(Q78,[1]Item!$B:$B,0)),"-")</f>
        <v>-</v>
      </c>
      <c r="S78" s="33" t="s">
        <v>545</v>
      </c>
      <c r="T78" s="30"/>
      <c r="U78" s="33" t="str">
        <f>IFERROR(INDEX([1]Item!$A:$A,MATCH(T78,[1]Item!$B:$B,0)),"-")</f>
        <v>-</v>
      </c>
      <c r="V78" s="33" t="s">
        <v>545</v>
      </c>
      <c r="W78" s="30"/>
      <c r="X78" s="33" t="s">
        <v>545</v>
      </c>
      <c r="Y78" s="33" t="s">
        <v>545</v>
      </c>
      <c r="Z78" s="30" t="s">
        <v>1925</v>
      </c>
      <c r="AA78" s="34">
        <f>IFERROR(INDEX(SailPatternColor!$A:$A,MATCH(Z78,SailPatternColor!$B:$B,0)),"-")</f>
        <v>47301014</v>
      </c>
      <c r="AB78" s="30"/>
      <c r="AC78" s="34" t="str">
        <f>IFERROR(INDEX(SailPatternColor!$A:$A,MATCH(AB78,SailPatternColor!$B:$B,0)),"-")</f>
        <v>-</v>
      </c>
      <c r="AD78" s="30"/>
      <c r="AE78" s="34" t="str">
        <f>IFERROR(INDEX(SailPatternColor!$A:$A,MATCH(AD78,SailPatternColor!$B:$B,0)),"-")</f>
        <v>-</v>
      </c>
    </row>
    <row r="79" spans="1:32">
      <c r="A79" s="29">
        <v>47290018</v>
      </c>
      <c r="B79" s="30" t="s">
        <v>1921</v>
      </c>
      <c r="C79" s="33" t="s">
        <v>737</v>
      </c>
      <c r="D79" s="33" t="s">
        <v>1099</v>
      </c>
      <c r="E79" s="55" t="b">
        <v>0</v>
      </c>
      <c r="F79" s="30"/>
      <c r="G79" s="30"/>
      <c r="H79" s="30" t="s">
        <v>545</v>
      </c>
      <c r="I79" s="33" t="s">
        <v>561</v>
      </c>
      <c r="J79" s="50" t="s">
        <v>545</v>
      </c>
      <c r="K79" s="30" t="s">
        <v>545</v>
      </c>
      <c r="L79" s="33" t="s">
        <v>561</v>
      </c>
      <c r="M79" s="50" t="s">
        <v>545</v>
      </c>
      <c r="N79" s="30"/>
      <c r="O79" s="33" t="s">
        <v>545</v>
      </c>
      <c r="P79" s="33" t="s">
        <v>545</v>
      </c>
      <c r="Q79" s="30"/>
      <c r="R79" s="33" t="str">
        <f>IFERROR(INDEX([1]Item!$A:$A,MATCH(Q79,[1]Item!$B:$B,0)),"-")</f>
        <v>-</v>
      </c>
      <c r="S79" s="33" t="s">
        <v>545</v>
      </c>
      <c r="T79" s="30"/>
      <c r="U79" s="33" t="str">
        <f>IFERROR(INDEX([1]Item!$A:$A,MATCH(T79,[1]Item!$B:$B,0)),"-")</f>
        <v>-</v>
      </c>
      <c r="V79" s="33" t="s">
        <v>545</v>
      </c>
      <c r="W79" s="30"/>
      <c r="X79" s="33" t="s">
        <v>545</v>
      </c>
      <c r="Y79" s="33" t="s">
        <v>545</v>
      </c>
      <c r="Z79" s="30" t="s">
        <v>1921</v>
      </c>
      <c r="AA79" s="34">
        <f>IFERROR(INDEX(SailPatternColor!$A:$A,MATCH(Z79,SailPatternColor!$B:$B,0)),"-")</f>
        <v>47301015</v>
      </c>
      <c r="AB79" s="30"/>
      <c r="AC79" s="34" t="str">
        <f>IFERROR(INDEX(SailPatternColor!$A:$A,MATCH(AB79,SailPatternColor!$B:$B,0)),"-")</f>
        <v>-</v>
      </c>
      <c r="AD79" s="30"/>
      <c r="AE79" s="34" t="str">
        <f>IFERROR(INDEX(SailPatternColor!$A:$A,MATCH(AD79,SailPatternColor!$B:$B,0)),"-")</f>
        <v>-</v>
      </c>
    </row>
    <row r="80" spans="1:32">
      <c r="A80" s="31"/>
      <c r="B80" s="32"/>
      <c r="C80" s="32"/>
      <c r="D80" s="32"/>
      <c r="E80" s="32"/>
      <c r="F80" s="32"/>
      <c r="G80" s="32"/>
      <c r="H80" s="32"/>
      <c r="I80" s="32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2"/>
      <c r="X80" s="32"/>
      <c r="Y80" s="32"/>
      <c r="Z80" s="32"/>
      <c r="AA80" s="32"/>
      <c r="AB80" s="32"/>
      <c r="AC80" s="32"/>
      <c r="AD80" s="32"/>
      <c r="AE80" s="32"/>
      <c r="AF80" s="27" t="s">
        <v>8</v>
      </c>
    </row>
  </sheetData>
  <phoneticPr fontId="5" type="noConversion"/>
  <conditionalFormatting sqref="E9:E79">
    <cfRule type="cellIs" dxfId="5" priority="2" operator="equal">
      <formula>FALSE</formula>
    </cfRule>
    <cfRule type="cellIs" dxfId="4" priority="3" operator="equal">
      <formula>TRUE</formula>
    </cfRule>
  </conditionalFormatting>
  <conditionalFormatting sqref="G9:G60">
    <cfRule type="colorScale" priority="4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pageSetup paperSize="9" orientation="portrait" verticalDpi="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300-000000000000}">
          <x14:formula1>
            <xm:f>OFFSET(SailPatternColor!$B:$B,7,0,COUNTA(SailPatternColor!$B:$B),1)</xm:f>
          </x14:formula1>
          <xm:sqref>AB71:AB74 AB76 AB78:AB79 AB9:AB69 AD9:AD79 Z9:Z79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Z137"/>
  <sheetViews>
    <sheetView zoomScale="85" zoomScaleNormal="85" workbookViewId="0">
      <pane xSplit="2" ySplit="8" topLeftCell="C95" activePane="bottomRight" state="frozen"/>
      <selection pane="topRight" activeCell="C1" sqref="C1"/>
      <selection pane="bottomLeft" activeCell="A9" sqref="A9"/>
      <selection pane="bottomRight" activeCell="E134" sqref="E134"/>
    </sheetView>
  </sheetViews>
  <sheetFormatPr defaultColWidth="9.140625" defaultRowHeight="13.5"/>
  <cols>
    <col min="1" max="1" width="19" style="27" customWidth="1"/>
    <col min="2" max="2" width="27" style="27" bestFit="1" customWidth="1"/>
    <col min="3" max="3" width="23.140625" style="27" customWidth="1"/>
    <col min="4" max="4" width="25.5703125" style="27" bestFit="1" customWidth="1"/>
    <col min="5" max="5" width="20" style="27" customWidth="1"/>
    <col min="6" max="6" width="5.7109375" style="27" bestFit="1" customWidth="1"/>
    <col min="7" max="7" width="11" style="27" bestFit="1" customWidth="1"/>
    <col min="8" max="8" width="20" style="27" bestFit="1" customWidth="1"/>
    <col min="9" max="10" width="20" style="27" customWidth="1"/>
    <col min="11" max="11" width="20" style="27" bestFit="1" customWidth="1"/>
    <col min="12" max="13" width="20" style="27" customWidth="1"/>
    <col min="14" max="14" width="20" style="27" bestFit="1" customWidth="1"/>
    <col min="15" max="26" width="20" style="27" customWidth="1"/>
    <col min="27" max="27" width="31.42578125" style="27" customWidth="1"/>
    <col min="28" max="28" width="11" style="27" bestFit="1" customWidth="1"/>
    <col min="29" max="29" width="9.140625" style="27"/>
    <col min="30" max="30" width="24.7109375" style="27" customWidth="1"/>
    <col min="31" max="31" width="22.5703125" style="27" customWidth="1"/>
    <col min="32" max="16384" width="9.140625" style="27"/>
  </cols>
  <sheetData>
    <row r="1" spans="1:25">
      <c r="A1" s="6" t="s">
        <v>5</v>
      </c>
      <c r="B1" s="25"/>
      <c r="C1" s="26" t="s">
        <v>454</v>
      </c>
      <c r="D1" s="26" t="s">
        <v>945</v>
      </c>
      <c r="E1" s="26" t="s">
        <v>717</v>
      </c>
      <c r="F1" s="25"/>
      <c r="G1" s="25"/>
      <c r="H1" s="25"/>
      <c r="I1" s="26" t="s">
        <v>471</v>
      </c>
      <c r="J1" s="26" t="s">
        <v>472</v>
      </c>
      <c r="K1" s="25"/>
      <c r="L1" s="26" t="s">
        <v>473</v>
      </c>
      <c r="M1" s="26" t="s">
        <v>474</v>
      </c>
      <c r="N1" s="25"/>
      <c r="O1" s="26" t="s">
        <v>550</v>
      </c>
      <c r="P1" s="26" t="s">
        <v>551</v>
      </c>
      <c r="Q1" s="25"/>
      <c r="R1" s="26" t="s">
        <v>1249</v>
      </c>
      <c r="S1" s="26" t="s">
        <v>1250</v>
      </c>
      <c r="T1" s="25"/>
      <c r="U1" s="26" t="s">
        <v>1251</v>
      </c>
      <c r="V1" s="26" t="s">
        <v>1252</v>
      </c>
      <c r="W1" s="25"/>
      <c r="X1" s="26" t="s">
        <v>1253</v>
      </c>
      <c r="Y1" s="26" t="s">
        <v>1254</v>
      </c>
    </row>
    <row r="2" spans="1:25" ht="27">
      <c r="A2" s="6" t="s">
        <v>377</v>
      </c>
      <c r="B2" s="25"/>
      <c r="C2" s="26" t="s">
        <v>6</v>
      </c>
      <c r="D2" s="26" t="s">
        <v>6</v>
      </c>
      <c r="E2" s="26" t="s">
        <v>718</v>
      </c>
      <c r="F2" s="25"/>
      <c r="G2" s="25"/>
      <c r="H2" s="25"/>
      <c r="I2" s="26" t="s">
        <v>7</v>
      </c>
      <c r="J2" s="26" t="s">
        <v>7</v>
      </c>
      <c r="K2" s="25"/>
      <c r="L2" s="26" t="s">
        <v>7</v>
      </c>
      <c r="M2" s="26" t="s">
        <v>7</v>
      </c>
      <c r="N2" s="25"/>
      <c r="O2" s="26" t="s">
        <v>7</v>
      </c>
      <c r="P2" s="26" t="s">
        <v>7</v>
      </c>
      <c r="Q2" s="25"/>
      <c r="R2" s="26" t="s">
        <v>7</v>
      </c>
      <c r="S2" s="26" t="s">
        <v>7</v>
      </c>
      <c r="T2" s="25"/>
      <c r="U2" s="26" t="s">
        <v>7</v>
      </c>
      <c r="V2" s="26" t="s">
        <v>7</v>
      </c>
      <c r="W2" s="25"/>
      <c r="X2" s="26" t="s">
        <v>7</v>
      </c>
      <c r="Y2" s="26" t="s">
        <v>7</v>
      </c>
    </row>
    <row r="3" spans="1:25">
      <c r="A3" s="8" t="s">
        <v>1</v>
      </c>
      <c r="B3" s="25"/>
      <c r="C3" s="28">
        <v>1</v>
      </c>
      <c r="D3" s="28" t="s">
        <v>947</v>
      </c>
      <c r="E3" s="28">
        <v>1</v>
      </c>
      <c r="F3" s="25"/>
      <c r="G3" s="25"/>
      <c r="H3" s="25"/>
      <c r="I3" s="28" t="s">
        <v>0</v>
      </c>
      <c r="J3" s="28" t="s">
        <v>0</v>
      </c>
      <c r="K3" s="25"/>
      <c r="L3" s="28" t="s">
        <v>0</v>
      </c>
      <c r="M3" s="28" t="s">
        <v>0</v>
      </c>
      <c r="N3" s="25"/>
      <c r="O3" s="28" t="s">
        <v>0</v>
      </c>
      <c r="P3" s="28" t="s">
        <v>0</v>
      </c>
      <c r="Q3" s="25"/>
      <c r="R3" s="28" t="s">
        <v>0</v>
      </c>
      <c r="S3" s="28" t="s">
        <v>0</v>
      </c>
      <c r="T3" s="25"/>
      <c r="U3" s="28" t="s">
        <v>0</v>
      </c>
      <c r="V3" s="28" t="s">
        <v>0</v>
      </c>
      <c r="W3" s="25"/>
      <c r="X3" s="28" t="s">
        <v>0</v>
      </c>
      <c r="Y3" s="28" t="s">
        <v>0</v>
      </c>
    </row>
    <row r="4" spans="1:25">
      <c r="A4" s="8" t="s">
        <v>2</v>
      </c>
      <c r="B4" s="25"/>
      <c r="C4" s="28" t="s">
        <v>0</v>
      </c>
      <c r="D4" s="28" t="s">
        <v>0</v>
      </c>
      <c r="E4" s="28" t="s">
        <v>545</v>
      </c>
      <c r="F4" s="25"/>
      <c r="G4" s="25"/>
      <c r="H4" s="25"/>
      <c r="I4" s="28" t="s">
        <v>0</v>
      </c>
      <c r="J4" s="28" t="s">
        <v>0</v>
      </c>
      <c r="K4" s="25"/>
      <c r="L4" s="28" t="s">
        <v>0</v>
      </c>
      <c r="M4" s="28" t="s">
        <v>0</v>
      </c>
      <c r="N4" s="25"/>
      <c r="O4" s="28" t="s">
        <v>0</v>
      </c>
      <c r="P4" s="28" t="s">
        <v>0</v>
      </c>
      <c r="Q4" s="25"/>
      <c r="R4" s="28" t="s">
        <v>0</v>
      </c>
      <c r="S4" s="28" t="s">
        <v>0</v>
      </c>
      <c r="T4" s="25"/>
      <c r="U4" s="28" t="s">
        <v>0</v>
      </c>
      <c r="V4" s="28" t="s">
        <v>0</v>
      </c>
      <c r="W4" s="25"/>
      <c r="X4" s="28" t="s">
        <v>0</v>
      </c>
      <c r="Y4" s="28" t="s">
        <v>0</v>
      </c>
    </row>
    <row r="5" spans="1:25">
      <c r="A5" s="8" t="s">
        <v>3</v>
      </c>
      <c r="B5" s="25"/>
      <c r="C5" s="28" t="s">
        <v>0</v>
      </c>
      <c r="D5" s="28" t="s">
        <v>0</v>
      </c>
      <c r="E5" s="28" t="s">
        <v>545</v>
      </c>
      <c r="F5" s="25"/>
      <c r="G5" s="25"/>
      <c r="H5" s="25"/>
      <c r="I5" s="28" t="s">
        <v>0</v>
      </c>
      <c r="J5" s="28" t="s">
        <v>0</v>
      </c>
      <c r="K5" s="25"/>
      <c r="L5" s="28" t="s">
        <v>0</v>
      </c>
      <c r="M5" s="28" t="s">
        <v>0</v>
      </c>
      <c r="N5" s="25"/>
      <c r="O5" s="28" t="s">
        <v>0</v>
      </c>
      <c r="P5" s="28" t="s">
        <v>0</v>
      </c>
      <c r="Q5" s="25"/>
      <c r="R5" s="28" t="s">
        <v>0</v>
      </c>
      <c r="S5" s="28" t="s">
        <v>0</v>
      </c>
      <c r="T5" s="25"/>
      <c r="U5" s="28" t="s">
        <v>0</v>
      </c>
      <c r="V5" s="28" t="s">
        <v>0</v>
      </c>
      <c r="W5" s="25"/>
      <c r="X5" s="28" t="s">
        <v>0</v>
      </c>
      <c r="Y5" s="28" t="s">
        <v>0</v>
      </c>
    </row>
    <row r="6" spans="1:25">
      <c r="A6" s="8" t="s">
        <v>4</v>
      </c>
      <c r="B6" s="25"/>
      <c r="C6" s="28" t="s">
        <v>0</v>
      </c>
      <c r="D6" s="28" t="s">
        <v>0</v>
      </c>
      <c r="E6" s="28" t="s">
        <v>545</v>
      </c>
      <c r="F6" s="25"/>
      <c r="G6" s="25"/>
      <c r="H6" s="25"/>
      <c r="I6" s="28" t="s">
        <v>0</v>
      </c>
      <c r="J6" s="28" t="s">
        <v>0</v>
      </c>
      <c r="K6" s="25"/>
      <c r="L6" s="28" t="s">
        <v>0</v>
      </c>
      <c r="M6" s="28" t="s">
        <v>0</v>
      </c>
      <c r="N6" s="25"/>
      <c r="O6" s="28" t="s">
        <v>0</v>
      </c>
      <c r="P6" s="28" t="s">
        <v>0</v>
      </c>
      <c r="Q6" s="25"/>
      <c r="R6" s="28" t="s">
        <v>0</v>
      </c>
      <c r="S6" s="28" t="s">
        <v>0</v>
      </c>
      <c r="T6" s="25"/>
      <c r="U6" s="28" t="s">
        <v>0</v>
      </c>
      <c r="V6" s="28" t="s">
        <v>0</v>
      </c>
      <c r="W6" s="25"/>
      <c r="X6" s="28" t="s">
        <v>0</v>
      </c>
      <c r="Y6" s="28" t="s">
        <v>0</v>
      </c>
    </row>
    <row r="7" spans="1:25">
      <c r="A7" s="8" t="s">
        <v>10</v>
      </c>
      <c r="B7" s="25"/>
      <c r="C7" s="28" t="s">
        <v>0</v>
      </c>
      <c r="D7" s="28" t="s">
        <v>0</v>
      </c>
      <c r="E7" s="28" t="s">
        <v>545</v>
      </c>
      <c r="F7" s="25"/>
      <c r="G7" s="25"/>
      <c r="H7" s="25"/>
      <c r="I7" s="28" t="s">
        <v>0</v>
      </c>
      <c r="J7" s="28" t="s">
        <v>0</v>
      </c>
      <c r="K7" s="25"/>
      <c r="L7" s="28" t="s">
        <v>0</v>
      </c>
      <c r="M7" s="28" t="s">
        <v>0</v>
      </c>
      <c r="N7" s="25"/>
      <c r="O7" s="28" t="s">
        <v>0</v>
      </c>
      <c r="P7" s="28" t="s">
        <v>0</v>
      </c>
      <c r="Q7" s="25"/>
      <c r="R7" s="28" t="s">
        <v>0</v>
      </c>
      <c r="S7" s="28" t="s">
        <v>0</v>
      </c>
      <c r="T7" s="25"/>
      <c r="U7" s="28" t="s">
        <v>0</v>
      </c>
      <c r="V7" s="28" t="s">
        <v>0</v>
      </c>
      <c r="W7" s="25"/>
      <c r="X7" s="28" t="s">
        <v>0</v>
      </c>
      <c r="Y7" s="28" t="s">
        <v>0</v>
      </c>
    </row>
    <row r="8" spans="1:25">
      <c r="A8" s="8" t="s">
        <v>558</v>
      </c>
      <c r="B8" s="25"/>
      <c r="C8" s="28">
        <v>1</v>
      </c>
      <c r="D8" s="28">
        <v>1</v>
      </c>
      <c r="E8" s="28" t="s">
        <v>545</v>
      </c>
      <c r="F8" s="25" t="s">
        <v>2309</v>
      </c>
      <c r="G8" s="25" t="s">
        <v>2313</v>
      </c>
      <c r="H8" s="25"/>
      <c r="I8" s="28" t="s">
        <v>0</v>
      </c>
      <c r="J8" s="28" t="s">
        <v>0</v>
      </c>
      <c r="K8" s="25"/>
      <c r="L8" s="28" t="s">
        <v>0</v>
      </c>
      <c r="M8" s="28" t="s">
        <v>0</v>
      </c>
      <c r="N8" s="25"/>
      <c r="O8" s="28" t="s">
        <v>0</v>
      </c>
      <c r="P8" s="28" t="s">
        <v>0</v>
      </c>
      <c r="Q8" s="25"/>
      <c r="R8" s="28" t="s">
        <v>0</v>
      </c>
      <c r="S8" s="28" t="s">
        <v>0</v>
      </c>
      <c r="T8" s="25"/>
      <c r="U8" s="28" t="s">
        <v>0</v>
      </c>
      <c r="V8" s="28" t="s">
        <v>0</v>
      </c>
      <c r="W8" s="25"/>
      <c r="X8" s="28" t="s">
        <v>0</v>
      </c>
      <c r="Y8" s="28" t="s">
        <v>0</v>
      </c>
    </row>
    <row r="9" spans="1:25">
      <c r="A9" s="29">
        <v>47100000</v>
      </c>
      <c r="B9" s="30" t="s">
        <v>739</v>
      </c>
      <c r="C9" s="33" t="s">
        <v>1153</v>
      </c>
      <c r="D9" s="33" t="s">
        <v>1152</v>
      </c>
      <c r="E9" s="55" t="b">
        <v>1</v>
      </c>
      <c r="F9" s="30">
        <v>0</v>
      </c>
      <c r="G9" s="200">
        <f>IFERROR(INT(POWER(3,(POWER(F9-1,1.15)))) * 350000, 0)</f>
        <v>0</v>
      </c>
      <c r="H9" s="30" t="s">
        <v>475</v>
      </c>
      <c r="I9" s="33">
        <v>100001</v>
      </c>
      <c r="J9" s="50">
        <v>2500</v>
      </c>
      <c r="K9" s="30" t="s">
        <v>0</v>
      </c>
      <c r="L9" s="33" t="s">
        <v>740</v>
      </c>
      <c r="M9" s="50" t="s">
        <v>545</v>
      </c>
      <c r="N9" s="30"/>
      <c r="O9" s="33" t="s">
        <v>545</v>
      </c>
      <c r="P9" s="33" t="s">
        <v>545</v>
      </c>
      <c r="Q9" s="30" t="s">
        <v>2425</v>
      </c>
      <c r="R9" s="33" t="str">
        <f>IFERROR(INDEX([1]Item!$A:$A,MATCH(Q9,[1]Item!$B:$B,0)),"-")</f>
        <v>-</v>
      </c>
      <c r="S9" s="33" t="s">
        <v>545</v>
      </c>
      <c r="T9" s="30" t="s">
        <v>2425</v>
      </c>
      <c r="U9" s="33" t="str">
        <f>IFERROR(INDEX([1]Item!$A:$A,MATCH(T9,[1]Item!$B:$B,0)),"-")</f>
        <v>-</v>
      </c>
      <c r="V9" s="33" t="s">
        <v>545</v>
      </c>
      <c r="W9" s="30"/>
      <c r="X9" s="33" t="s">
        <v>545</v>
      </c>
      <c r="Y9" s="33" t="s">
        <v>545</v>
      </c>
    </row>
    <row r="10" spans="1:25">
      <c r="A10" s="29">
        <v>47100001</v>
      </c>
      <c r="B10" s="30" t="s">
        <v>1259</v>
      </c>
      <c r="C10" s="33" t="s">
        <v>844</v>
      </c>
      <c r="D10" s="33" t="s">
        <v>948</v>
      </c>
      <c r="E10" s="55" t="b">
        <v>1</v>
      </c>
      <c r="F10" s="30">
        <v>3</v>
      </c>
      <c r="G10" s="200">
        <f t="shared" ref="G10:G73" si="0">IFERROR(INT(POWER(3,(POWER(F10-1,1.15)))) * 350000, 0)</f>
        <v>3850000</v>
      </c>
      <c r="H10" s="30" t="s">
        <v>475</v>
      </c>
      <c r="I10" s="33">
        <v>100001</v>
      </c>
      <c r="J10" s="50">
        <v>126500</v>
      </c>
      <c r="K10" s="30" t="s">
        <v>475</v>
      </c>
      <c r="L10" s="33">
        <v>100001</v>
      </c>
      <c r="M10" s="50">
        <v>1009500</v>
      </c>
      <c r="N10" s="30"/>
      <c r="O10" s="33" t="s">
        <v>545</v>
      </c>
      <c r="P10" s="33" t="s">
        <v>545</v>
      </c>
      <c r="Q10" s="30" t="s">
        <v>2426</v>
      </c>
      <c r="R10" s="33">
        <f>IFERROR(INDEX([1]Item!$A:$A,MATCH(Q10,[1]Item!$B:$B,0)),"-")</f>
        <v>23348000</v>
      </c>
      <c r="S10" s="33">
        <v>1</v>
      </c>
      <c r="T10" s="30" t="s">
        <v>2425</v>
      </c>
      <c r="U10" s="33" t="str">
        <f>IFERROR(INDEX([1]Item!$A:$A,MATCH(T10,[1]Item!$B:$B,0)),"-")</f>
        <v>-</v>
      </c>
      <c r="V10" s="33" t="s">
        <v>545</v>
      </c>
      <c r="W10" s="30"/>
      <c r="X10" s="33" t="s">
        <v>545</v>
      </c>
      <c r="Y10" s="33" t="s">
        <v>545</v>
      </c>
    </row>
    <row r="11" spans="1:25">
      <c r="A11" s="29">
        <v>47100002</v>
      </c>
      <c r="B11" s="30" t="s">
        <v>1260</v>
      </c>
      <c r="C11" s="33" t="s">
        <v>845</v>
      </c>
      <c r="D11" s="33" t="s">
        <v>949</v>
      </c>
      <c r="E11" s="55" t="b">
        <v>1</v>
      </c>
      <c r="F11" s="30">
        <v>3</v>
      </c>
      <c r="G11" s="200">
        <f t="shared" si="0"/>
        <v>3850000</v>
      </c>
      <c r="H11" s="30" t="s">
        <v>475</v>
      </c>
      <c r="I11" s="33">
        <v>100001</v>
      </c>
      <c r="J11" s="50">
        <v>126500</v>
      </c>
      <c r="K11" s="30" t="s">
        <v>475</v>
      </c>
      <c r="L11" s="33">
        <v>100001</v>
      </c>
      <c r="M11" s="50">
        <v>1009500</v>
      </c>
      <c r="N11" s="30"/>
      <c r="O11" s="33" t="s">
        <v>545</v>
      </c>
      <c r="P11" s="33" t="s">
        <v>545</v>
      </c>
      <c r="Q11" s="30" t="s">
        <v>2427</v>
      </c>
      <c r="R11" s="33">
        <f>IFERROR(INDEX([1]Item!$A:$A,MATCH(Q11,[1]Item!$B:$B,0)),"-")</f>
        <v>23348001</v>
      </c>
      <c r="S11" s="33">
        <v>1</v>
      </c>
      <c r="T11" s="30" t="s">
        <v>2425</v>
      </c>
      <c r="U11" s="33" t="str">
        <f>IFERROR(INDEX([1]Item!$A:$A,MATCH(T11,[1]Item!$B:$B,0)),"-")</f>
        <v>-</v>
      </c>
      <c r="V11" s="33" t="s">
        <v>545</v>
      </c>
      <c r="W11" s="30"/>
      <c r="X11" s="33" t="s">
        <v>545</v>
      </c>
      <c r="Y11" s="33" t="s">
        <v>545</v>
      </c>
    </row>
    <row r="12" spans="1:25">
      <c r="A12" s="29">
        <v>47100003</v>
      </c>
      <c r="B12" s="30" t="s">
        <v>1261</v>
      </c>
      <c r="C12" s="33" t="s">
        <v>846</v>
      </c>
      <c r="D12" s="33" t="s">
        <v>950</v>
      </c>
      <c r="E12" s="55" t="b">
        <v>1</v>
      </c>
      <c r="F12" s="30">
        <v>3</v>
      </c>
      <c r="G12" s="200">
        <f t="shared" si="0"/>
        <v>3850000</v>
      </c>
      <c r="H12" s="30" t="s">
        <v>475</v>
      </c>
      <c r="I12" s="33">
        <v>100001</v>
      </c>
      <c r="J12" s="50">
        <v>126500</v>
      </c>
      <c r="K12" s="30" t="s">
        <v>475</v>
      </c>
      <c r="L12" s="33">
        <v>100001</v>
      </c>
      <c r="M12" s="50">
        <v>1009500</v>
      </c>
      <c r="N12" s="30"/>
      <c r="O12" s="33" t="s">
        <v>545</v>
      </c>
      <c r="P12" s="33" t="s">
        <v>545</v>
      </c>
      <c r="Q12" s="30" t="s">
        <v>2428</v>
      </c>
      <c r="R12" s="33">
        <f>IFERROR(INDEX([1]Item!$A:$A,MATCH(Q12,[1]Item!$B:$B,0)),"-")</f>
        <v>23348002</v>
      </c>
      <c r="S12" s="33">
        <v>1</v>
      </c>
      <c r="T12" s="30" t="s">
        <v>2425</v>
      </c>
      <c r="U12" s="33" t="str">
        <f>IFERROR(INDEX([1]Item!$A:$A,MATCH(T12,[1]Item!$B:$B,0)),"-")</f>
        <v>-</v>
      </c>
      <c r="V12" s="33" t="s">
        <v>545</v>
      </c>
      <c r="W12" s="30"/>
      <c r="X12" s="33" t="s">
        <v>545</v>
      </c>
      <c r="Y12" s="33" t="s">
        <v>545</v>
      </c>
    </row>
    <row r="13" spans="1:25">
      <c r="A13" s="29">
        <v>47100004</v>
      </c>
      <c r="B13" s="30" t="s">
        <v>1262</v>
      </c>
      <c r="C13" s="33" t="s">
        <v>847</v>
      </c>
      <c r="D13" s="33" t="s">
        <v>951</v>
      </c>
      <c r="E13" s="55" t="b">
        <v>1</v>
      </c>
      <c r="F13" s="30">
        <v>3</v>
      </c>
      <c r="G13" s="200">
        <f t="shared" si="0"/>
        <v>3850000</v>
      </c>
      <c r="H13" s="30" t="s">
        <v>475</v>
      </c>
      <c r="I13" s="33">
        <v>100001</v>
      </c>
      <c r="J13" s="50">
        <v>126500</v>
      </c>
      <c r="K13" s="30" t="s">
        <v>475</v>
      </c>
      <c r="L13" s="33">
        <v>100001</v>
      </c>
      <c r="M13" s="50">
        <v>1009500</v>
      </c>
      <c r="N13" s="30"/>
      <c r="O13" s="33" t="s">
        <v>545</v>
      </c>
      <c r="P13" s="33" t="s">
        <v>545</v>
      </c>
      <c r="Q13" s="30" t="s">
        <v>2429</v>
      </c>
      <c r="R13" s="33">
        <f>IFERROR(INDEX([1]Item!$A:$A,MATCH(Q13,[1]Item!$B:$B,0)),"-")</f>
        <v>23348003</v>
      </c>
      <c r="S13" s="33">
        <v>1</v>
      </c>
      <c r="T13" s="30" t="s">
        <v>2425</v>
      </c>
      <c r="U13" s="33" t="str">
        <f>IFERROR(INDEX([1]Item!$A:$A,MATCH(T13,[1]Item!$B:$B,0)),"-")</f>
        <v>-</v>
      </c>
      <c r="V13" s="33" t="s">
        <v>545</v>
      </c>
      <c r="W13" s="30"/>
      <c r="X13" s="33" t="s">
        <v>545</v>
      </c>
      <c r="Y13" s="33" t="s">
        <v>545</v>
      </c>
    </row>
    <row r="14" spans="1:25">
      <c r="A14" s="29">
        <v>47100005</v>
      </c>
      <c r="B14" s="30" t="s">
        <v>1263</v>
      </c>
      <c r="C14" s="33" t="s">
        <v>848</v>
      </c>
      <c r="D14" s="33" t="s">
        <v>952</v>
      </c>
      <c r="E14" s="55" t="b">
        <v>1</v>
      </c>
      <c r="F14" s="30">
        <v>3</v>
      </c>
      <c r="G14" s="200">
        <f t="shared" si="0"/>
        <v>3850000</v>
      </c>
      <c r="H14" s="30" t="s">
        <v>475</v>
      </c>
      <c r="I14" s="33">
        <v>100001</v>
      </c>
      <c r="J14" s="50">
        <v>126500</v>
      </c>
      <c r="K14" s="30" t="s">
        <v>475</v>
      </c>
      <c r="L14" s="33">
        <v>100001</v>
      </c>
      <c r="M14" s="50">
        <v>1009500</v>
      </c>
      <c r="N14" s="30"/>
      <c r="O14" s="33" t="s">
        <v>545</v>
      </c>
      <c r="P14" s="33" t="s">
        <v>545</v>
      </c>
      <c r="Q14" s="30" t="s">
        <v>2430</v>
      </c>
      <c r="R14" s="33">
        <f>IFERROR(INDEX([1]Item!$A:$A,MATCH(Q14,[1]Item!$B:$B,0)),"-")</f>
        <v>23348004</v>
      </c>
      <c r="S14" s="33">
        <v>1</v>
      </c>
      <c r="T14" s="30" t="s">
        <v>2527</v>
      </c>
      <c r="U14" s="33">
        <f>IFERROR(INDEX([1]Item!$A:$A,MATCH(T14,[1]Item!$B:$B,0)),"-")</f>
        <v>23347002</v>
      </c>
      <c r="V14" s="33">
        <v>10</v>
      </c>
      <c r="W14" s="30"/>
      <c r="X14" s="33" t="s">
        <v>545</v>
      </c>
      <c r="Y14" s="33" t="s">
        <v>545</v>
      </c>
    </row>
    <row r="15" spans="1:25">
      <c r="A15" s="29">
        <v>47100006</v>
      </c>
      <c r="B15" s="30" t="s">
        <v>1264</v>
      </c>
      <c r="C15" s="33" t="s">
        <v>849</v>
      </c>
      <c r="D15" s="33" t="s">
        <v>953</v>
      </c>
      <c r="E15" s="55" t="b">
        <v>1</v>
      </c>
      <c r="F15" s="30">
        <v>3</v>
      </c>
      <c r="G15" s="200">
        <f t="shared" si="0"/>
        <v>3850000</v>
      </c>
      <c r="H15" s="30" t="s">
        <v>475</v>
      </c>
      <c r="I15" s="33">
        <v>100001</v>
      </c>
      <c r="J15" s="50">
        <v>126500</v>
      </c>
      <c r="K15" s="30" t="s">
        <v>475</v>
      </c>
      <c r="L15" s="33">
        <v>100001</v>
      </c>
      <c r="M15" s="50">
        <v>1009500</v>
      </c>
      <c r="N15" s="30"/>
      <c r="O15" s="33" t="s">
        <v>545</v>
      </c>
      <c r="P15" s="33" t="s">
        <v>545</v>
      </c>
      <c r="Q15" s="30" t="s">
        <v>2473</v>
      </c>
      <c r="R15" s="33">
        <f>IFERROR(INDEX([1]Item!$A:$A,MATCH(Q15,[1]Item!$B:$B,0)),"-")</f>
        <v>23348005</v>
      </c>
      <c r="S15" s="33">
        <v>1</v>
      </c>
      <c r="T15" s="30" t="s">
        <v>2527</v>
      </c>
      <c r="U15" s="33">
        <f>IFERROR(INDEX([1]Item!$A:$A,MATCH(T15,[1]Item!$B:$B,0)),"-")</f>
        <v>23347002</v>
      </c>
      <c r="V15" s="33">
        <v>10</v>
      </c>
      <c r="W15" s="30"/>
      <c r="X15" s="33" t="s">
        <v>545</v>
      </c>
      <c r="Y15" s="33" t="s">
        <v>545</v>
      </c>
    </row>
    <row r="16" spans="1:25">
      <c r="A16" s="29">
        <v>47100007</v>
      </c>
      <c r="B16" s="30" t="s">
        <v>1265</v>
      </c>
      <c r="C16" s="33" t="s">
        <v>850</v>
      </c>
      <c r="D16" s="33" t="s">
        <v>954</v>
      </c>
      <c r="E16" s="55" t="b">
        <v>1</v>
      </c>
      <c r="F16" s="30">
        <v>3</v>
      </c>
      <c r="G16" s="200">
        <f t="shared" si="0"/>
        <v>3850000</v>
      </c>
      <c r="H16" s="30" t="s">
        <v>475</v>
      </c>
      <c r="I16" s="33">
        <v>100001</v>
      </c>
      <c r="J16" s="50">
        <v>126500</v>
      </c>
      <c r="K16" s="30" t="s">
        <v>475</v>
      </c>
      <c r="L16" s="33">
        <v>100001</v>
      </c>
      <c r="M16" s="50">
        <v>1009500</v>
      </c>
      <c r="N16" s="30"/>
      <c r="O16" s="33" t="s">
        <v>545</v>
      </c>
      <c r="P16" s="33" t="s">
        <v>545</v>
      </c>
      <c r="Q16" s="30" t="s">
        <v>2474</v>
      </c>
      <c r="R16" s="33">
        <f>IFERROR(INDEX([1]Item!$A:$A,MATCH(Q16,[1]Item!$B:$B,0)),"-")</f>
        <v>23348006</v>
      </c>
      <c r="S16" s="33">
        <v>1</v>
      </c>
      <c r="T16" s="30" t="s">
        <v>2527</v>
      </c>
      <c r="U16" s="33">
        <f>IFERROR(INDEX([1]Item!$A:$A,MATCH(T16,[1]Item!$B:$B,0)),"-")</f>
        <v>23347002</v>
      </c>
      <c r="V16" s="33">
        <v>10</v>
      </c>
      <c r="W16" s="30"/>
      <c r="X16" s="33" t="s">
        <v>545</v>
      </c>
      <c r="Y16" s="33" t="s">
        <v>545</v>
      </c>
    </row>
    <row r="17" spans="1:25">
      <c r="A17" s="29">
        <v>47100008</v>
      </c>
      <c r="B17" s="30" t="s">
        <v>1266</v>
      </c>
      <c r="C17" s="33" t="s">
        <v>851</v>
      </c>
      <c r="D17" s="33" t="s">
        <v>955</v>
      </c>
      <c r="E17" s="55" t="b">
        <v>1</v>
      </c>
      <c r="F17" s="30">
        <v>3</v>
      </c>
      <c r="G17" s="200">
        <f t="shared" si="0"/>
        <v>3850000</v>
      </c>
      <c r="H17" s="30" t="s">
        <v>475</v>
      </c>
      <c r="I17" s="33">
        <v>100001</v>
      </c>
      <c r="J17" s="50">
        <v>126500</v>
      </c>
      <c r="K17" s="30" t="s">
        <v>475</v>
      </c>
      <c r="L17" s="33">
        <v>100001</v>
      </c>
      <c r="M17" s="50">
        <v>1009500</v>
      </c>
      <c r="N17" s="30"/>
      <c r="O17" s="33" t="s">
        <v>545</v>
      </c>
      <c r="P17" s="33" t="s">
        <v>545</v>
      </c>
      <c r="Q17" s="30" t="s">
        <v>2475</v>
      </c>
      <c r="R17" s="33">
        <f>IFERROR(INDEX([1]Item!$A:$A,MATCH(Q17,[1]Item!$B:$B,0)),"-")</f>
        <v>23348007</v>
      </c>
      <c r="S17" s="33">
        <v>1</v>
      </c>
      <c r="T17" s="30" t="s">
        <v>2527</v>
      </c>
      <c r="U17" s="33">
        <f>IFERROR(INDEX([1]Item!$A:$A,MATCH(T17,[1]Item!$B:$B,0)),"-")</f>
        <v>23347002</v>
      </c>
      <c r="V17" s="33">
        <v>10</v>
      </c>
      <c r="W17" s="30"/>
      <c r="X17" s="33" t="s">
        <v>545</v>
      </c>
      <c r="Y17" s="33" t="s">
        <v>545</v>
      </c>
    </row>
    <row r="18" spans="1:25">
      <c r="A18" s="29">
        <v>47100009</v>
      </c>
      <c r="B18" s="30" t="s">
        <v>1267</v>
      </c>
      <c r="C18" s="33" t="s">
        <v>852</v>
      </c>
      <c r="D18" s="33" t="s">
        <v>956</v>
      </c>
      <c r="E18" s="55" t="b">
        <v>1</v>
      </c>
      <c r="F18" s="30">
        <v>3</v>
      </c>
      <c r="G18" s="200">
        <f t="shared" si="0"/>
        <v>3850000</v>
      </c>
      <c r="H18" s="30" t="s">
        <v>475</v>
      </c>
      <c r="I18" s="33">
        <v>100001</v>
      </c>
      <c r="J18" s="50">
        <v>126500</v>
      </c>
      <c r="K18" s="30" t="s">
        <v>475</v>
      </c>
      <c r="L18" s="33">
        <v>100001</v>
      </c>
      <c r="M18" s="50">
        <v>1009500</v>
      </c>
      <c r="N18" s="30"/>
      <c r="O18" s="33" t="s">
        <v>545</v>
      </c>
      <c r="P18" s="33" t="s">
        <v>545</v>
      </c>
      <c r="Q18" s="30" t="s">
        <v>2476</v>
      </c>
      <c r="R18" s="33">
        <f>IFERROR(INDEX([1]Item!$A:$A,MATCH(Q18,[1]Item!$B:$B,0)),"-")</f>
        <v>23348008</v>
      </c>
      <c r="S18" s="33">
        <v>1</v>
      </c>
      <c r="T18" s="30" t="s">
        <v>2425</v>
      </c>
      <c r="U18" s="33" t="str">
        <f>IFERROR(INDEX([1]Item!$A:$A,MATCH(T18,[1]Item!$B:$B,0)),"-")</f>
        <v>-</v>
      </c>
      <c r="V18" s="33" t="s">
        <v>545</v>
      </c>
      <c r="W18" s="30"/>
      <c r="X18" s="33" t="s">
        <v>545</v>
      </c>
      <c r="Y18" s="33" t="s">
        <v>545</v>
      </c>
    </row>
    <row r="19" spans="1:25">
      <c r="A19" s="29">
        <v>47100010</v>
      </c>
      <c r="B19" s="30" t="s">
        <v>1268</v>
      </c>
      <c r="C19" s="33" t="s">
        <v>853</v>
      </c>
      <c r="D19" s="33" t="s">
        <v>957</v>
      </c>
      <c r="E19" s="55" t="b">
        <v>1</v>
      </c>
      <c r="F19" s="30">
        <v>3</v>
      </c>
      <c r="G19" s="200">
        <f t="shared" si="0"/>
        <v>3850000</v>
      </c>
      <c r="H19" s="30" t="s">
        <v>475</v>
      </c>
      <c r="I19" s="33">
        <v>100001</v>
      </c>
      <c r="J19" s="50">
        <v>126500</v>
      </c>
      <c r="K19" s="30" t="s">
        <v>475</v>
      </c>
      <c r="L19" s="33">
        <v>100001</v>
      </c>
      <c r="M19" s="50">
        <v>1009500</v>
      </c>
      <c r="N19" s="30"/>
      <c r="O19" s="33" t="s">
        <v>545</v>
      </c>
      <c r="P19" s="33" t="s">
        <v>545</v>
      </c>
      <c r="Q19" s="30" t="s">
        <v>2431</v>
      </c>
      <c r="R19" s="33">
        <f>IFERROR(INDEX([1]Item!$A:$A,MATCH(Q19,[1]Item!$B:$B,0)),"-")</f>
        <v>23348009</v>
      </c>
      <c r="S19" s="33">
        <v>1</v>
      </c>
      <c r="T19" s="30" t="s">
        <v>2425</v>
      </c>
      <c r="U19" s="33" t="str">
        <f>IFERROR(INDEX([1]Item!$A:$A,MATCH(T19,[1]Item!$B:$B,0)),"-")</f>
        <v>-</v>
      </c>
      <c r="V19" s="33" t="s">
        <v>545</v>
      </c>
      <c r="W19" s="30"/>
      <c r="X19" s="33" t="s">
        <v>545</v>
      </c>
      <c r="Y19" s="33" t="s">
        <v>545</v>
      </c>
    </row>
    <row r="20" spans="1:25">
      <c r="A20" s="29">
        <v>47100011</v>
      </c>
      <c r="B20" s="30" t="s">
        <v>1269</v>
      </c>
      <c r="C20" s="33" t="s">
        <v>854</v>
      </c>
      <c r="D20" s="33" t="s">
        <v>958</v>
      </c>
      <c r="E20" s="55" t="b">
        <v>1</v>
      </c>
      <c r="F20" s="30">
        <v>3</v>
      </c>
      <c r="G20" s="200">
        <f t="shared" si="0"/>
        <v>3850000</v>
      </c>
      <c r="H20" s="30" t="s">
        <v>475</v>
      </c>
      <c r="I20" s="33">
        <v>100001</v>
      </c>
      <c r="J20" s="50">
        <v>126500</v>
      </c>
      <c r="K20" s="30" t="s">
        <v>475</v>
      </c>
      <c r="L20" s="33">
        <v>100001</v>
      </c>
      <c r="M20" s="50">
        <v>1009500</v>
      </c>
      <c r="N20" s="30"/>
      <c r="O20" s="33" t="s">
        <v>545</v>
      </c>
      <c r="P20" s="33" t="s">
        <v>545</v>
      </c>
      <c r="Q20" s="30" t="s">
        <v>2432</v>
      </c>
      <c r="R20" s="33">
        <f>IFERROR(INDEX([1]Item!$A:$A,MATCH(Q20,[1]Item!$B:$B,0)),"-")</f>
        <v>23348010</v>
      </c>
      <c r="S20" s="33">
        <v>1</v>
      </c>
      <c r="T20" s="30" t="s">
        <v>2425</v>
      </c>
      <c r="U20" s="33" t="str">
        <f>IFERROR(INDEX([1]Item!$A:$A,MATCH(T20,[1]Item!$B:$B,0)),"-")</f>
        <v>-</v>
      </c>
      <c r="V20" s="33" t="s">
        <v>545</v>
      </c>
      <c r="W20" s="30"/>
      <c r="X20" s="33" t="s">
        <v>545</v>
      </c>
      <c r="Y20" s="33" t="s">
        <v>545</v>
      </c>
    </row>
    <row r="21" spans="1:25">
      <c r="A21" s="29">
        <v>47100012</v>
      </c>
      <c r="B21" s="30" t="s">
        <v>1270</v>
      </c>
      <c r="C21" s="33" t="s">
        <v>855</v>
      </c>
      <c r="D21" s="33" t="s">
        <v>959</v>
      </c>
      <c r="E21" s="55" t="b">
        <v>1</v>
      </c>
      <c r="F21" s="30">
        <v>2</v>
      </c>
      <c r="G21" s="200">
        <f t="shared" si="0"/>
        <v>1050000</v>
      </c>
      <c r="H21" s="30" t="s">
        <v>475</v>
      </c>
      <c r="I21" s="33">
        <v>100001</v>
      </c>
      <c r="J21" s="50">
        <v>20000</v>
      </c>
      <c r="K21" s="30" t="s">
        <v>475</v>
      </c>
      <c r="L21" s="33">
        <v>100001</v>
      </c>
      <c r="M21" s="50">
        <v>157500</v>
      </c>
      <c r="N21" s="30"/>
      <c r="O21" s="33" t="s">
        <v>545</v>
      </c>
      <c r="P21" s="33" t="s">
        <v>545</v>
      </c>
      <c r="Q21" s="30" t="s">
        <v>2433</v>
      </c>
      <c r="R21" s="33">
        <f>IFERROR(INDEX([1]Item!$A:$A,MATCH(Q21,[1]Item!$B:$B,0)),"-")</f>
        <v>23348011</v>
      </c>
      <c r="S21" s="33">
        <v>1</v>
      </c>
      <c r="T21" s="30" t="s">
        <v>2528</v>
      </c>
      <c r="U21" s="33">
        <f>IFERROR(INDEX([1]Item!$A:$A,MATCH(T21,[1]Item!$B:$B,0)),"-")</f>
        <v>23347003</v>
      </c>
      <c r="V21" s="33">
        <v>10</v>
      </c>
      <c r="W21" s="30"/>
      <c r="X21" s="33" t="s">
        <v>545</v>
      </c>
      <c r="Y21" s="33" t="s">
        <v>545</v>
      </c>
    </row>
    <row r="22" spans="1:25">
      <c r="A22" s="29">
        <v>47100014</v>
      </c>
      <c r="B22" s="30" t="s">
        <v>1271</v>
      </c>
      <c r="C22" s="33" t="s">
        <v>856</v>
      </c>
      <c r="D22" s="33" t="s">
        <v>960</v>
      </c>
      <c r="E22" s="55" t="b">
        <v>1</v>
      </c>
      <c r="F22" s="30">
        <v>2</v>
      </c>
      <c r="G22" s="200">
        <f t="shared" si="0"/>
        <v>1050000</v>
      </c>
      <c r="H22" s="30" t="s">
        <v>475</v>
      </c>
      <c r="I22" s="33">
        <v>100001</v>
      </c>
      <c r="J22" s="50">
        <v>20000</v>
      </c>
      <c r="K22" s="30" t="s">
        <v>475</v>
      </c>
      <c r="L22" s="33">
        <v>100001</v>
      </c>
      <c r="M22" s="50">
        <v>157500</v>
      </c>
      <c r="N22" s="30"/>
      <c r="O22" s="33" t="s">
        <v>545</v>
      </c>
      <c r="P22" s="33" t="s">
        <v>545</v>
      </c>
      <c r="Q22" s="30" t="s">
        <v>2477</v>
      </c>
      <c r="R22" s="33">
        <f>IFERROR(INDEX([1]Item!$A:$A,MATCH(Q22,[1]Item!$B:$B,0)),"-")</f>
        <v>23348012</v>
      </c>
      <c r="S22" s="33">
        <v>1</v>
      </c>
      <c r="T22" s="30" t="s">
        <v>2425</v>
      </c>
      <c r="U22" s="33" t="str">
        <f>IFERROR(INDEX([1]Item!$A:$A,MATCH(T22,[1]Item!$B:$B,0)),"-")</f>
        <v>-</v>
      </c>
      <c r="V22" s="33" t="s">
        <v>545</v>
      </c>
      <c r="W22" s="30"/>
      <c r="X22" s="33" t="s">
        <v>545</v>
      </c>
      <c r="Y22" s="33" t="s">
        <v>545</v>
      </c>
    </row>
    <row r="23" spans="1:25">
      <c r="A23" s="29">
        <v>47100015</v>
      </c>
      <c r="B23" s="30" t="s">
        <v>1272</v>
      </c>
      <c r="C23" s="33" t="s">
        <v>857</v>
      </c>
      <c r="D23" s="33" t="s">
        <v>961</v>
      </c>
      <c r="E23" s="55" t="b">
        <v>1</v>
      </c>
      <c r="F23" s="30">
        <v>2</v>
      </c>
      <c r="G23" s="200">
        <f t="shared" si="0"/>
        <v>1050000</v>
      </c>
      <c r="H23" s="30" t="s">
        <v>475</v>
      </c>
      <c r="I23" s="33">
        <v>100001</v>
      </c>
      <c r="J23" s="50">
        <v>20000</v>
      </c>
      <c r="K23" s="30" t="s">
        <v>475</v>
      </c>
      <c r="L23" s="33">
        <v>100001</v>
      </c>
      <c r="M23" s="50">
        <v>157500</v>
      </c>
      <c r="N23" s="30"/>
      <c r="O23" s="33" t="s">
        <v>545</v>
      </c>
      <c r="P23" s="33" t="s">
        <v>545</v>
      </c>
      <c r="Q23" s="30" t="s">
        <v>2434</v>
      </c>
      <c r="R23" s="33">
        <f>IFERROR(INDEX([1]Item!$A:$A,MATCH(Q23,[1]Item!$B:$B,0)),"-")</f>
        <v>23348013</v>
      </c>
      <c r="S23" s="33">
        <v>1</v>
      </c>
      <c r="T23" s="30" t="s">
        <v>2425</v>
      </c>
      <c r="U23" s="33" t="str">
        <f>IFERROR(INDEX([1]Item!$A:$A,MATCH(T23,[1]Item!$B:$B,0)),"-")</f>
        <v>-</v>
      </c>
      <c r="V23" s="33" t="s">
        <v>545</v>
      </c>
      <c r="W23" s="30"/>
      <c r="X23" s="33" t="s">
        <v>545</v>
      </c>
      <c r="Y23" s="33" t="s">
        <v>545</v>
      </c>
    </row>
    <row r="24" spans="1:25">
      <c r="A24" s="29">
        <v>47100016</v>
      </c>
      <c r="B24" s="30" t="s">
        <v>1273</v>
      </c>
      <c r="C24" s="33" t="s">
        <v>858</v>
      </c>
      <c r="D24" s="33" t="s">
        <v>962</v>
      </c>
      <c r="E24" s="55" t="b">
        <v>1</v>
      </c>
      <c r="F24" s="30">
        <v>2</v>
      </c>
      <c r="G24" s="200">
        <f t="shared" si="0"/>
        <v>1050000</v>
      </c>
      <c r="H24" s="30" t="s">
        <v>475</v>
      </c>
      <c r="I24" s="33">
        <v>100001</v>
      </c>
      <c r="J24" s="50">
        <v>20000</v>
      </c>
      <c r="K24" s="30" t="s">
        <v>475</v>
      </c>
      <c r="L24" s="33">
        <v>100001</v>
      </c>
      <c r="M24" s="50">
        <v>157500</v>
      </c>
      <c r="N24" s="30"/>
      <c r="O24" s="33" t="s">
        <v>545</v>
      </c>
      <c r="P24" s="33" t="s">
        <v>545</v>
      </c>
      <c r="Q24" s="30" t="s">
        <v>2435</v>
      </c>
      <c r="R24" s="33">
        <f>IFERROR(INDEX([1]Item!$A:$A,MATCH(Q24,[1]Item!$B:$B,0)),"-")</f>
        <v>23348014</v>
      </c>
      <c r="S24" s="33">
        <v>1</v>
      </c>
      <c r="T24" s="30" t="s">
        <v>2425</v>
      </c>
      <c r="U24" s="33" t="str">
        <f>IFERROR(INDEX([1]Item!$A:$A,MATCH(T24,[1]Item!$B:$B,0)),"-")</f>
        <v>-</v>
      </c>
      <c r="V24" s="33" t="s">
        <v>545</v>
      </c>
      <c r="W24" s="30"/>
      <c r="X24" s="33" t="s">
        <v>545</v>
      </c>
      <c r="Y24" s="33" t="s">
        <v>545</v>
      </c>
    </row>
    <row r="25" spans="1:25">
      <c r="A25" s="29">
        <v>47100017</v>
      </c>
      <c r="B25" s="30" t="s">
        <v>1274</v>
      </c>
      <c r="C25" s="33" t="s">
        <v>859</v>
      </c>
      <c r="D25" s="33" t="s">
        <v>963</v>
      </c>
      <c r="E25" s="55" t="b">
        <v>1</v>
      </c>
      <c r="F25" s="30">
        <v>2</v>
      </c>
      <c r="G25" s="200">
        <f t="shared" si="0"/>
        <v>1050000</v>
      </c>
      <c r="H25" s="30" t="s">
        <v>475</v>
      </c>
      <c r="I25" s="33">
        <v>100001</v>
      </c>
      <c r="J25" s="50">
        <v>20000</v>
      </c>
      <c r="K25" s="30" t="s">
        <v>475</v>
      </c>
      <c r="L25" s="33">
        <v>100001</v>
      </c>
      <c r="M25" s="50">
        <v>157500</v>
      </c>
      <c r="N25" s="30"/>
      <c r="O25" s="33" t="s">
        <v>545</v>
      </c>
      <c r="P25" s="33" t="s">
        <v>545</v>
      </c>
      <c r="Q25" s="30" t="s">
        <v>2436</v>
      </c>
      <c r="R25" s="33">
        <f>IFERROR(INDEX([1]Item!$A:$A,MATCH(Q25,[1]Item!$B:$B,0)),"-")</f>
        <v>23348015</v>
      </c>
      <c r="S25" s="33">
        <v>1</v>
      </c>
      <c r="T25" s="30" t="s">
        <v>2425</v>
      </c>
      <c r="U25" s="33" t="str">
        <f>IFERROR(INDEX([1]Item!$A:$A,MATCH(T25,[1]Item!$B:$B,0)),"-")</f>
        <v>-</v>
      </c>
      <c r="V25" s="33" t="s">
        <v>545</v>
      </c>
      <c r="W25" s="30"/>
      <c r="X25" s="33" t="s">
        <v>545</v>
      </c>
      <c r="Y25" s="33" t="s">
        <v>545</v>
      </c>
    </row>
    <row r="26" spans="1:25">
      <c r="A26" s="29">
        <v>47100018</v>
      </c>
      <c r="B26" s="30" t="s">
        <v>1275</v>
      </c>
      <c r="C26" s="33" t="s">
        <v>860</v>
      </c>
      <c r="D26" s="33" t="s">
        <v>964</v>
      </c>
      <c r="E26" s="55" t="b">
        <v>1</v>
      </c>
      <c r="F26" s="30">
        <v>2</v>
      </c>
      <c r="G26" s="200">
        <f t="shared" si="0"/>
        <v>1050000</v>
      </c>
      <c r="H26" s="30" t="s">
        <v>475</v>
      </c>
      <c r="I26" s="33">
        <v>100001</v>
      </c>
      <c r="J26" s="50">
        <v>20000</v>
      </c>
      <c r="K26" s="30" t="s">
        <v>475</v>
      </c>
      <c r="L26" s="33">
        <v>100001</v>
      </c>
      <c r="M26" s="50">
        <v>157500</v>
      </c>
      <c r="N26" s="30"/>
      <c r="O26" s="33" t="s">
        <v>545</v>
      </c>
      <c r="P26" s="33" t="s">
        <v>545</v>
      </c>
      <c r="Q26" s="30" t="s">
        <v>2437</v>
      </c>
      <c r="R26" s="33">
        <f>IFERROR(INDEX([1]Item!$A:$A,MATCH(Q26,[1]Item!$B:$B,0)),"-")</f>
        <v>23348016</v>
      </c>
      <c r="S26" s="33">
        <v>1</v>
      </c>
      <c r="T26" s="30" t="s">
        <v>2425</v>
      </c>
      <c r="U26" s="33" t="str">
        <f>IFERROR(INDEX([1]Item!$A:$A,MATCH(T26,[1]Item!$B:$B,0)),"-")</f>
        <v>-</v>
      </c>
      <c r="V26" s="33" t="s">
        <v>545</v>
      </c>
      <c r="W26" s="30"/>
      <c r="X26" s="33" t="s">
        <v>545</v>
      </c>
      <c r="Y26" s="33" t="s">
        <v>545</v>
      </c>
    </row>
    <row r="27" spans="1:25">
      <c r="A27" s="29">
        <v>47100019</v>
      </c>
      <c r="B27" s="30" t="s">
        <v>1276</v>
      </c>
      <c r="C27" s="33" t="s">
        <v>861</v>
      </c>
      <c r="D27" s="33" t="s">
        <v>965</v>
      </c>
      <c r="E27" s="55" t="b">
        <v>1</v>
      </c>
      <c r="F27" s="30">
        <v>2</v>
      </c>
      <c r="G27" s="200">
        <f t="shared" si="0"/>
        <v>1050000</v>
      </c>
      <c r="H27" s="30" t="s">
        <v>475</v>
      </c>
      <c r="I27" s="33">
        <v>100001</v>
      </c>
      <c r="J27" s="50">
        <v>20000</v>
      </c>
      <c r="K27" s="30" t="s">
        <v>475</v>
      </c>
      <c r="L27" s="33">
        <v>100001</v>
      </c>
      <c r="M27" s="50">
        <v>157500</v>
      </c>
      <c r="N27" s="30"/>
      <c r="O27" s="33" t="s">
        <v>545</v>
      </c>
      <c r="P27" s="33" t="s">
        <v>545</v>
      </c>
      <c r="Q27" s="30" t="s">
        <v>2438</v>
      </c>
      <c r="R27" s="33">
        <f>IFERROR(INDEX([1]Item!$A:$A,MATCH(Q27,[1]Item!$B:$B,0)),"-")</f>
        <v>23348017</v>
      </c>
      <c r="S27" s="33">
        <v>1</v>
      </c>
      <c r="T27" s="30" t="s">
        <v>2425</v>
      </c>
      <c r="U27" s="33" t="str">
        <f>IFERROR(INDEX([1]Item!$A:$A,MATCH(T27,[1]Item!$B:$B,0)),"-")</f>
        <v>-</v>
      </c>
      <c r="V27" s="33" t="s">
        <v>545</v>
      </c>
      <c r="W27" s="30"/>
      <c r="X27" s="33" t="s">
        <v>545</v>
      </c>
      <c r="Y27" s="33" t="s">
        <v>545</v>
      </c>
    </row>
    <row r="28" spans="1:25">
      <c r="A28" s="29">
        <v>47100020</v>
      </c>
      <c r="B28" s="30" t="s">
        <v>1277</v>
      </c>
      <c r="C28" s="33" t="s">
        <v>862</v>
      </c>
      <c r="D28" s="33" t="s">
        <v>966</v>
      </c>
      <c r="E28" s="55" t="b">
        <v>1</v>
      </c>
      <c r="F28" s="30">
        <v>2</v>
      </c>
      <c r="G28" s="200">
        <f t="shared" si="0"/>
        <v>1050000</v>
      </c>
      <c r="H28" s="30" t="s">
        <v>475</v>
      </c>
      <c r="I28" s="33">
        <v>100001</v>
      </c>
      <c r="J28" s="50">
        <v>20000</v>
      </c>
      <c r="K28" s="30" t="s">
        <v>475</v>
      </c>
      <c r="L28" s="33">
        <v>100001</v>
      </c>
      <c r="M28" s="50">
        <v>157500</v>
      </c>
      <c r="N28" s="30"/>
      <c r="O28" s="33" t="s">
        <v>545</v>
      </c>
      <c r="P28" s="33" t="s">
        <v>545</v>
      </c>
      <c r="Q28" s="30" t="s">
        <v>2439</v>
      </c>
      <c r="R28" s="33">
        <f>IFERROR(INDEX([1]Item!$A:$A,MATCH(Q28,[1]Item!$B:$B,0)),"-")</f>
        <v>23348018</v>
      </c>
      <c r="S28" s="33">
        <v>1</v>
      </c>
      <c r="T28" s="30" t="s">
        <v>2425</v>
      </c>
      <c r="U28" s="33" t="str">
        <f>IFERROR(INDEX([1]Item!$A:$A,MATCH(T28,[1]Item!$B:$B,0)),"-")</f>
        <v>-</v>
      </c>
      <c r="V28" s="33" t="s">
        <v>545</v>
      </c>
      <c r="W28" s="30"/>
      <c r="X28" s="33" t="s">
        <v>545</v>
      </c>
      <c r="Y28" s="33" t="s">
        <v>545</v>
      </c>
    </row>
    <row r="29" spans="1:25">
      <c r="A29" s="29">
        <v>47100021</v>
      </c>
      <c r="B29" s="30" t="s">
        <v>1278</v>
      </c>
      <c r="C29" s="33" t="s">
        <v>863</v>
      </c>
      <c r="D29" s="33" t="s">
        <v>967</v>
      </c>
      <c r="E29" s="55" t="b">
        <v>1</v>
      </c>
      <c r="F29" s="30">
        <v>2</v>
      </c>
      <c r="G29" s="200">
        <f t="shared" si="0"/>
        <v>1050000</v>
      </c>
      <c r="H29" s="30" t="s">
        <v>475</v>
      </c>
      <c r="I29" s="33">
        <v>100001</v>
      </c>
      <c r="J29" s="50">
        <v>20000</v>
      </c>
      <c r="K29" s="30" t="s">
        <v>475</v>
      </c>
      <c r="L29" s="33">
        <v>100001</v>
      </c>
      <c r="M29" s="50">
        <v>157500</v>
      </c>
      <c r="N29" s="30"/>
      <c r="O29" s="33" t="s">
        <v>545</v>
      </c>
      <c r="P29" s="33" t="s">
        <v>545</v>
      </c>
      <c r="Q29" s="30" t="s">
        <v>2440</v>
      </c>
      <c r="R29" s="33">
        <f>IFERROR(INDEX([1]Item!$A:$A,MATCH(Q29,[1]Item!$B:$B,0)),"-")</f>
        <v>23348019</v>
      </c>
      <c r="S29" s="33">
        <v>1</v>
      </c>
      <c r="T29" s="30" t="s">
        <v>2425</v>
      </c>
      <c r="U29" s="33" t="str">
        <f>IFERROR(INDEX([1]Item!$A:$A,MATCH(T29,[1]Item!$B:$B,0)),"-")</f>
        <v>-</v>
      </c>
      <c r="V29" s="33" t="s">
        <v>545</v>
      </c>
      <c r="W29" s="30"/>
      <c r="X29" s="33" t="s">
        <v>545</v>
      </c>
      <c r="Y29" s="33" t="s">
        <v>545</v>
      </c>
    </row>
    <row r="30" spans="1:25">
      <c r="A30" s="29">
        <v>47100022</v>
      </c>
      <c r="B30" s="30" t="s">
        <v>1279</v>
      </c>
      <c r="C30" s="33" t="s">
        <v>864</v>
      </c>
      <c r="D30" s="33" t="s">
        <v>968</v>
      </c>
      <c r="E30" s="55" t="b">
        <v>1</v>
      </c>
      <c r="F30" s="30">
        <v>2</v>
      </c>
      <c r="G30" s="200">
        <f t="shared" si="0"/>
        <v>1050000</v>
      </c>
      <c r="H30" s="30" t="s">
        <v>475</v>
      </c>
      <c r="I30" s="33">
        <v>100001</v>
      </c>
      <c r="J30" s="50">
        <v>20000</v>
      </c>
      <c r="K30" s="30" t="s">
        <v>475</v>
      </c>
      <c r="L30" s="33">
        <v>100001</v>
      </c>
      <c r="M30" s="50">
        <v>157500</v>
      </c>
      <c r="N30" s="30"/>
      <c r="O30" s="33" t="s">
        <v>545</v>
      </c>
      <c r="P30" s="33" t="s">
        <v>545</v>
      </c>
      <c r="Q30" s="30" t="s">
        <v>2441</v>
      </c>
      <c r="R30" s="33">
        <f>IFERROR(INDEX([1]Item!$A:$A,MATCH(Q30,[1]Item!$B:$B,0)),"-")</f>
        <v>23348020</v>
      </c>
      <c r="S30" s="33">
        <v>1</v>
      </c>
      <c r="T30" s="30" t="s">
        <v>2425</v>
      </c>
      <c r="U30" s="33" t="str">
        <f>IFERROR(INDEX([1]Item!$A:$A,MATCH(T30,[1]Item!$B:$B,0)),"-")</f>
        <v>-</v>
      </c>
      <c r="V30" s="33" t="s">
        <v>545</v>
      </c>
      <c r="W30" s="30"/>
      <c r="X30" s="33" t="s">
        <v>545</v>
      </c>
      <c r="Y30" s="33" t="s">
        <v>545</v>
      </c>
    </row>
    <row r="31" spans="1:25">
      <c r="A31" s="29">
        <v>47100023</v>
      </c>
      <c r="B31" s="30" t="s">
        <v>1280</v>
      </c>
      <c r="C31" s="33" t="s">
        <v>865</v>
      </c>
      <c r="D31" s="33" t="s">
        <v>969</v>
      </c>
      <c r="E31" s="55" t="b">
        <v>1</v>
      </c>
      <c r="F31" s="30">
        <v>2</v>
      </c>
      <c r="G31" s="200">
        <f t="shared" si="0"/>
        <v>1050000</v>
      </c>
      <c r="H31" s="30" t="s">
        <v>475</v>
      </c>
      <c r="I31" s="33">
        <v>100001</v>
      </c>
      <c r="J31" s="50">
        <v>20000</v>
      </c>
      <c r="K31" s="30" t="s">
        <v>475</v>
      </c>
      <c r="L31" s="33">
        <v>100001</v>
      </c>
      <c r="M31" s="50">
        <v>157500</v>
      </c>
      <c r="N31" s="30"/>
      <c r="O31" s="33" t="s">
        <v>545</v>
      </c>
      <c r="P31" s="33" t="s">
        <v>545</v>
      </c>
      <c r="Q31" s="30" t="s">
        <v>2442</v>
      </c>
      <c r="R31" s="33">
        <f>IFERROR(INDEX([1]Item!$A:$A,MATCH(Q31,[1]Item!$B:$B,0)),"-")</f>
        <v>23348021</v>
      </c>
      <c r="S31" s="33">
        <v>1</v>
      </c>
      <c r="T31" s="30" t="s">
        <v>2425</v>
      </c>
      <c r="U31" s="33" t="str">
        <f>IFERROR(INDEX([1]Item!$A:$A,MATCH(T31,[1]Item!$B:$B,0)),"-")</f>
        <v>-</v>
      </c>
      <c r="V31" s="33" t="s">
        <v>545</v>
      </c>
      <c r="W31" s="30"/>
      <c r="X31" s="33" t="s">
        <v>545</v>
      </c>
      <c r="Y31" s="33" t="s">
        <v>545</v>
      </c>
    </row>
    <row r="32" spans="1:25">
      <c r="A32" s="29">
        <v>47100024</v>
      </c>
      <c r="B32" s="30" t="s">
        <v>1281</v>
      </c>
      <c r="C32" s="33" t="s">
        <v>866</v>
      </c>
      <c r="D32" s="33" t="s">
        <v>970</v>
      </c>
      <c r="E32" s="55" t="b">
        <v>1</v>
      </c>
      <c r="F32" s="30">
        <v>2</v>
      </c>
      <c r="G32" s="200">
        <f t="shared" si="0"/>
        <v>1050000</v>
      </c>
      <c r="H32" s="30" t="s">
        <v>475</v>
      </c>
      <c r="I32" s="33">
        <v>100001</v>
      </c>
      <c r="J32" s="50">
        <v>20000</v>
      </c>
      <c r="K32" s="30" t="s">
        <v>475</v>
      </c>
      <c r="L32" s="33">
        <v>100001</v>
      </c>
      <c r="M32" s="50">
        <v>157500</v>
      </c>
      <c r="N32" s="30"/>
      <c r="O32" s="33" t="s">
        <v>545</v>
      </c>
      <c r="P32" s="33" t="s">
        <v>545</v>
      </c>
      <c r="Q32" s="30" t="s">
        <v>2443</v>
      </c>
      <c r="R32" s="33">
        <f>IFERROR(INDEX([1]Item!$A:$A,MATCH(Q32,[1]Item!$B:$B,0)),"-")</f>
        <v>23348022</v>
      </c>
      <c r="S32" s="33">
        <v>1</v>
      </c>
      <c r="T32" s="30" t="s">
        <v>2425</v>
      </c>
      <c r="U32" s="33" t="str">
        <f>IFERROR(INDEX([1]Item!$A:$A,MATCH(T32,[1]Item!$B:$B,0)),"-")</f>
        <v>-</v>
      </c>
      <c r="V32" s="33" t="s">
        <v>545</v>
      </c>
      <c r="W32" s="30"/>
      <c r="X32" s="33" t="s">
        <v>545</v>
      </c>
      <c r="Y32" s="33" t="s">
        <v>545</v>
      </c>
    </row>
    <row r="33" spans="1:25">
      <c r="A33" s="29">
        <v>47100025</v>
      </c>
      <c r="B33" s="30" t="s">
        <v>1282</v>
      </c>
      <c r="C33" s="33" t="s">
        <v>867</v>
      </c>
      <c r="D33" s="33" t="s">
        <v>971</v>
      </c>
      <c r="E33" s="55" t="b">
        <v>1</v>
      </c>
      <c r="F33" s="30">
        <v>2</v>
      </c>
      <c r="G33" s="200">
        <f t="shared" si="0"/>
        <v>1050000</v>
      </c>
      <c r="H33" s="30" t="s">
        <v>475</v>
      </c>
      <c r="I33" s="33">
        <v>100001</v>
      </c>
      <c r="J33" s="50">
        <v>20000</v>
      </c>
      <c r="K33" s="30" t="s">
        <v>475</v>
      </c>
      <c r="L33" s="33">
        <v>100001</v>
      </c>
      <c r="M33" s="50">
        <v>157500</v>
      </c>
      <c r="N33" s="30"/>
      <c r="O33" s="33" t="s">
        <v>545</v>
      </c>
      <c r="P33" s="33" t="s">
        <v>545</v>
      </c>
      <c r="Q33" s="30" t="s">
        <v>2444</v>
      </c>
      <c r="R33" s="33">
        <f>IFERROR(INDEX([1]Item!$A:$A,MATCH(Q33,[1]Item!$B:$B,0)),"-")</f>
        <v>23348023</v>
      </c>
      <c r="S33" s="33">
        <v>1</v>
      </c>
      <c r="T33" s="30" t="s">
        <v>2425</v>
      </c>
      <c r="U33" s="33" t="str">
        <f>IFERROR(INDEX([1]Item!$A:$A,MATCH(T33,[1]Item!$B:$B,0)),"-")</f>
        <v>-</v>
      </c>
      <c r="V33" s="33" t="s">
        <v>545</v>
      </c>
      <c r="W33" s="30"/>
      <c r="X33" s="33" t="s">
        <v>545</v>
      </c>
      <c r="Y33" s="33" t="s">
        <v>545</v>
      </c>
    </row>
    <row r="34" spans="1:25">
      <c r="A34" s="29">
        <v>47100026</v>
      </c>
      <c r="B34" s="30" t="s">
        <v>1283</v>
      </c>
      <c r="C34" s="33" t="s">
        <v>868</v>
      </c>
      <c r="D34" s="33" t="s">
        <v>972</v>
      </c>
      <c r="E34" s="55" t="b">
        <v>1</v>
      </c>
      <c r="F34" s="30">
        <v>2</v>
      </c>
      <c r="G34" s="200">
        <f t="shared" si="0"/>
        <v>1050000</v>
      </c>
      <c r="H34" s="30" t="s">
        <v>475</v>
      </c>
      <c r="I34" s="33">
        <v>100001</v>
      </c>
      <c r="J34" s="50">
        <v>20000</v>
      </c>
      <c r="K34" s="30" t="s">
        <v>475</v>
      </c>
      <c r="L34" s="33">
        <v>100001</v>
      </c>
      <c r="M34" s="50">
        <v>157500</v>
      </c>
      <c r="N34" s="30"/>
      <c r="O34" s="33" t="s">
        <v>545</v>
      </c>
      <c r="P34" s="33" t="s">
        <v>545</v>
      </c>
      <c r="Q34" s="30" t="s">
        <v>2445</v>
      </c>
      <c r="R34" s="33">
        <f>IFERROR(INDEX([1]Item!$A:$A,MATCH(Q34,[1]Item!$B:$B,0)),"-")</f>
        <v>23348024</v>
      </c>
      <c r="S34" s="33">
        <v>1</v>
      </c>
      <c r="T34" s="30" t="s">
        <v>2425</v>
      </c>
      <c r="U34" s="33" t="str">
        <f>IFERROR(INDEX([1]Item!$A:$A,MATCH(T34,[1]Item!$B:$B,0)),"-")</f>
        <v>-</v>
      </c>
      <c r="V34" s="33" t="s">
        <v>545</v>
      </c>
      <c r="W34" s="30"/>
      <c r="X34" s="33" t="s">
        <v>545</v>
      </c>
      <c r="Y34" s="33" t="s">
        <v>545</v>
      </c>
    </row>
    <row r="35" spans="1:25">
      <c r="A35" s="29">
        <v>47100027</v>
      </c>
      <c r="B35" s="30" t="s">
        <v>1284</v>
      </c>
      <c r="C35" s="33" t="s">
        <v>869</v>
      </c>
      <c r="D35" s="33" t="s">
        <v>973</v>
      </c>
      <c r="E35" s="55" t="b">
        <v>1</v>
      </c>
      <c r="F35" s="30">
        <v>2</v>
      </c>
      <c r="G35" s="200">
        <f t="shared" si="0"/>
        <v>1050000</v>
      </c>
      <c r="H35" s="30" t="s">
        <v>475</v>
      </c>
      <c r="I35" s="33">
        <v>100001</v>
      </c>
      <c r="J35" s="50">
        <v>20000</v>
      </c>
      <c r="K35" s="30" t="s">
        <v>475</v>
      </c>
      <c r="L35" s="33">
        <v>100001</v>
      </c>
      <c r="M35" s="50">
        <v>157500</v>
      </c>
      <c r="N35" s="30"/>
      <c r="O35" s="33" t="s">
        <v>545</v>
      </c>
      <c r="P35" s="33" t="s">
        <v>545</v>
      </c>
      <c r="Q35" s="30" t="s">
        <v>2446</v>
      </c>
      <c r="R35" s="33">
        <f>IFERROR(INDEX([1]Item!$A:$A,MATCH(Q35,[1]Item!$B:$B,0)),"-")</f>
        <v>23348025</v>
      </c>
      <c r="S35" s="33">
        <v>1</v>
      </c>
      <c r="T35" s="30" t="s">
        <v>2425</v>
      </c>
      <c r="U35" s="33" t="str">
        <f>IFERROR(INDEX([1]Item!$A:$A,MATCH(T35,[1]Item!$B:$B,0)),"-")</f>
        <v>-</v>
      </c>
      <c r="V35" s="33" t="s">
        <v>545</v>
      </c>
      <c r="W35" s="30"/>
      <c r="X35" s="33" t="s">
        <v>545</v>
      </c>
      <c r="Y35" s="33" t="s">
        <v>545</v>
      </c>
    </row>
    <row r="36" spans="1:25">
      <c r="A36" s="29">
        <v>47100028</v>
      </c>
      <c r="B36" s="30" t="s">
        <v>2928</v>
      </c>
      <c r="C36" s="33" t="s">
        <v>870</v>
      </c>
      <c r="D36" s="33" t="s">
        <v>974</v>
      </c>
      <c r="E36" s="55" t="b">
        <v>1</v>
      </c>
      <c r="F36" s="30">
        <v>2</v>
      </c>
      <c r="G36" s="200">
        <f t="shared" si="0"/>
        <v>1050000</v>
      </c>
      <c r="H36" s="30" t="s">
        <v>475</v>
      </c>
      <c r="I36" s="33">
        <v>100001</v>
      </c>
      <c r="J36" s="50">
        <v>20000</v>
      </c>
      <c r="K36" s="30" t="s">
        <v>475</v>
      </c>
      <c r="L36" s="33">
        <v>100001</v>
      </c>
      <c r="M36" s="50">
        <v>157500</v>
      </c>
      <c r="N36" s="30"/>
      <c r="O36" s="33" t="s">
        <v>545</v>
      </c>
      <c r="P36" s="33" t="s">
        <v>545</v>
      </c>
      <c r="Q36" s="30" t="s">
        <v>2927</v>
      </c>
      <c r="R36" s="33">
        <f>IFERROR(INDEX([1]Item!$A:$A,MATCH(Q36,[1]Item!$B:$B,0)),"-")</f>
        <v>23348026</v>
      </c>
      <c r="S36" s="33">
        <v>1</v>
      </c>
      <c r="T36" s="30" t="s">
        <v>2425</v>
      </c>
      <c r="U36" s="33" t="str">
        <f>IFERROR(INDEX([1]Item!$A:$A,MATCH(T36,[1]Item!$B:$B,0)),"-")</f>
        <v>-</v>
      </c>
      <c r="V36" s="33" t="s">
        <v>545</v>
      </c>
      <c r="W36" s="30"/>
      <c r="X36" s="33" t="s">
        <v>545</v>
      </c>
      <c r="Y36" s="33" t="s">
        <v>545</v>
      </c>
    </row>
    <row r="37" spans="1:25">
      <c r="A37" s="29">
        <v>47100029</v>
      </c>
      <c r="B37" s="30" t="s">
        <v>1285</v>
      </c>
      <c r="C37" s="33" t="s">
        <v>871</v>
      </c>
      <c r="D37" s="33" t="s">
        <v>975</v>
      </c>
      <c r="E37" s="55" t="b">
        <v>1</v>
      </c>
      <c r="F37" s="30">
        <v>2</v>
      </c>
      <c r="G37" s="200">
        <f t="shared" si="0"/>
        <v>1050000</v>
      </c>
      <c r="H37" s="30" t="s">
        <v>475</v>
      </c>
      <c r="I37" s="33">
        <v>100001</v>
      </c>
      <c r="J37" s="50">
        <v>20000</v>
      </c>
      <c r="K37" s="30" t="s">
        <v>475</v>
      </c>
      <c r="L37" s="33">
        <v>100001</v>
      </c>
      <c r="M37" s="50">
        <v>157500</v>
      </c>
      <c r="N37" s="30"/>
      <c r="O37" s="33" t="s">
        <v>545</v>
      </c>
      <c r="P37" s="33" t="s">
        <v>545</v>
      </c>
      <c r="Q37" s="30" t="s">
        <v>2447</v>
      </c>
      <c r="R37" s="33">
        <f>IFERROR(INDEX([1]Item!$A:$A,MATCH(Q37,[1]Item!$B:$B,0)),"-")</f>
        <v>23348027</v>
      </c>
      <c r="S37" s="33">
        <v>1</v>
      </c>
      <c r="T37" s="30" t="s">
        <v>2425</v>
      </c>
      <c r="U37" s="33" t="str">
        <f>IFERROR(INDEX([1]Item!$A:$A,MATCH(T37,[1]Item!$B:$B,0)),"-")</f>
        <v>-</v>
      </c>
      <c r="V37" s="33" t="s">
        <v>545</v>
      </c>
      <c r="W37" s="30"/>
      <c r="X37" s="33" t="s">
        <v>545</v>
      </c>
      <c r="Y37" s="33" t="s">
        <v>545</v>
      </c>
    </row>
    <row r="38" spans="1:25">
      <c r="A38" s="29">
        <v>47100030</v>
      </c>
      <c r="B38" s="30" t="s">
        <v>1286</v>
      </c>
      <c r="C38" s="33" t="s">
        <v>872</v>
      </c>
      <c r="D38" s="33" t="s">
        <v>976</v>
      </c>
      <c r="E38" s="55" t="b">
        <v>1</v>
      </c>
      <c r="F38" s="30">
        <v>2</v>
      </c>
      <c r="G38" s="200">
        <f t="shared" si="0"/>
        <v>1050000</v>
      </c>
      <c r="H38" s="30" t="s">
        <v>475</v>
      </c>
      <c r="I38" s="33">
        <v>100001</v>
      </c>
      <c r="J38" s="50">
        <v>20000</v>
      </c>
      <c r="K38" s="30" t="s">
        <v>475</v>
      </c>
      <c r="L38" s="33">
        <v>100001</v>
      </c>
      <c r="M38" s="50">
        <v>157500</v>
      </c>
      <c r="N38" s="30"/>
      <c r="O38" s="33" t="s">
        <v>545</v>
      </c>
      <c r="P38" s="33" t="s">
        <v>545</v>
      </c>
      <c r="Q38" s="30" t="s">
        <v>2448</v>
      </c>
      <c r="R38" s="33">
        <f>IFERROR(INDEX([1]Item!$A:$A,MATCH(Q38,[1]Item!$B:$B,0)),"-")</f>
        <v>23348028</v>
      </c>
      <c r="S38" s="33">
        <v>1</v>
      </c>
      <c r="T38" s="30" t="s">
        <v>2425</v>
      </c>
      <c r="U38" s="33" t="str">
        <f>IFERROR(INDEX([1]Item!$A:$A,MATCH(T38,[1]Item!$B:$B,0)),"-")</f>
        <v>-</v>
      </c>
      <c r="V38" s="33" t="s">
        <v>545</v>
      </c>
      <c r="W38" s="30"/>
      <c r="X38" s="33" t="s">
        <v>545</v>
      </c>
      <c r="Y38" s="33" t="s">
        <v>545</v>
      </c>
    </row>
    <row r="39" spans="1:25">
      <c r="A39" s="29">
        <v>47100031</v>
      </c>
      <c r="B39" s="30" t="s">
        <v>1287</v>
      </c>
      <c r="C39" s="33" t="s">
        <v>873</v>
      </c>
      <c r="D39" s="33" t="s">
        <v>977</v>
      </c>
      <c r="E39" s="55" t="b">
        <v>1</v>
      </c>
      <c r="F39" s="30">
        <v>2</v>
      </c>
      <c r="G39" s="200">
        <f t="shared" si="0"/>
        <v>1050000</v>
      </c>
      <c r="H39" s="30" t="s">
        <v>475</v>
      </c>
      <c r="I39" s="33">
        <v>100001</v>
      </c>
      <c r="J39" s="50">
        <v>20000</v>
      </c>
      <c r="K39" s="30" t="s">
        <v>475</v>
      </c>
      <c r="L39" s="33">
        <v>100001</v>
      </c>
      <c r="M39" s="50">
        <v>157500</v>
      </c>
      <c r="N39" s="30"/>
      <c r="O39" s="33" t="s">
        <v>545</v>
      </c>
      <c r="P39" s="33" t="s">
        <v>545</v>
      </c>
      <c r="Q39" s="30" t="s">
        <v>2449</v>
      </c>
      <c r="R39" s="33">
        <f>IFERROR(INDEX([1]Item!$A:$A,MATCH(Q39,[1]Item!$B:$B,0)),"-")</f>
        <v>23348029</v>
      </c>
      <c r="S39" s="33">
        <v>1</v>
      </c>
      <c r="T39" s="30" t="s">
        <v>2425</v>
      </c>
      <c r="U39" s="33" t="str">
        <f>IFERROR(INDEX([1]Item!$A:$A,MATCH(T39,[1]Item!$B:$B,0)),"-")</f>
        <v>-</v>
      </c>
      <c r="V39" s="33" t="s">
        <v>545</v>
      </c>
      <c r="W39" s="30"/>
      <c r="X39" s="33" t="s">
        <v>545</v>
      </c>
      <c r="Y39" s="33" t="s">
        <v>545</v>
      </c>
    </row>
    <row r="40" spans="1:25">
      <c r="A40" s="29">
        <v>47100032</v>
      </c>
      <c r="B40" s="30" t="s">
        <v>1288</v>
      </c>
      <c r="C40" s="33" t="s">
        <v>874</v>
      </c>
      <c r="D40" s="33" t="s">
        <v>978</v>
      </c>
      <c r="E40" s="55" t="b">
        <v>1</v>
      </c>
      <c r="F40" s="30">
        <v>2</v>
      </c>
      <c r="G40" s="200">
        <f t="shared" si="0"/>
        <v>1050000</v>
      </c>
      <c r="H40" s="30" t="s">
        <v>475</v>
      </c>
      <c r="I40" s="33">
        <v>100001</v>
      </c>
      <c r="J40" s="50">
        <v>20000</v>
      </c>
      <c r="K40" s="30" t="s">
        <v>475</v>
      </c>
      <c r="L40" s="33">
        <v>100001</v>
      </c>
      <c r="M40" s="50">
        <v>157500</v>
      </c>
      <c r="N40" s="30"/>
      <c r="O40" s="33" t="s">
        <v>545</v>
      </c>
      <c r="P40" s="33" t="s">
        <v>545</v>
      </c>
      <c r="Q40" s="30" t="s">
        <v>2450</v>
      </c>
      <c r="R40" s="33">
        <f>IFERROR(INDEX([1]Item!$A:$A,MATCH(Q40,[1]Item!$B:$B,0)),"-")</f>
        <v>23348030</v>
      </c>
      <c r="S40" s="33">
        <v>1</v>
      </c>
      <c r="T40" s="30" t="s">
        <v>2425</v>
      </c>
      <c r="U40" s="33" t="str">
        <f>IFERROR(INDEX([1]Item!$A:$A,MATCH(T40,[1]Item!$B:$B,0)),"-")</f>
        <v>-</v>
      </c>
      <c r="V40" s="33" t="s">
        <v>545</v>
      </c>
      <c r="W40" s="30"/>
      <c r="X40" s="33" t="s">
        <v>545</v>
      </c>
      <c r="Y40" s="33" t="s">
        <v>545</v>
      </c>
    </row>
    <row r="41" spans="1:25">
      <c r="A41" s="29">
        <v>47100033</v>
      </c>
      <c r="B41" s="30" t="s">
        <v>1289</v>
      </c>
      <c r="C41" s="33" t="s">
        <v>875</v>
      </c>
      <c r="D41" s="33" t="s">
        <v>979</v>
      </c>
      <c r="E41" s="55" t="b">
        <v>1</v>
      </c>
      <c r="F41" s="30">
        <v>2</v>
      </c>
      <c r="G41" s="200">
        <f t="shared" si="0"/>
        <v>1050000</v>
      </c>
      <c r="H41" s="30" t="s">
        <v>475</v>
      </c>
      <c r="I41" s="33">
        <v>100001</v>
      </c>
      <c r="J41" s="50">
        <v>20000</v>
      </c>
      <c r="K41" s="30" t="s">
        <v>475</v>
      </c>
      <c r="L41" s="33">
        <v>100001</v>
      </c>
      <c r="M41" s="50">
        <v>157500</v>
      </c>
      <c r="N41" s="30"/>
      <c r="O41" s="33" t="s">
        <v>545</v>
      </c>
      <c r="P41" s="33" t="s">
        <v>545</v>
      </c>
      <c r="Q41" s="30" t="s">
        <v>2451</v>
      </c>
      <c r="R41" s="33">
        <f>IFERROR(INDEX([1]Item!$A:$A,MATCH(Q41,[1]Item!$B:$B,0)),"-")</f>
        <v>23348031</v>
      </c>
      <c r="S41" s="33">
        <v>1</v>
      </c>
      <c r="T41" s="30" t="s">
        <v>2425</v>
      </c>
      <c r="U41" s="33" t="str">
        <f>IFERROR(INDEX([1]Item!$A:$A,MATCH(T41,[1]Item!$B:$B,0)),"-")</f>
        <v>-</v>
      </c>
      <c r="V41" s="33" t="s">
        <v>545</v>
      </c>
      <c r="W41" s="30"/>
      <c r="X41" s="33" t="s">
        <v>545</v>
      </c>
      <c r="Y41" s="33" t="s">
        <v>545</v>
      </c>
    </row>
    <row r="42" spans="1:25">
      <c r="A42" s="29">
        <v>47100034</v>
      </c>
      <c r="B42" s="30" t="s">
        <v>1290</v>
      </c>
      <c r="C42" s="33" t="s">
        <v>876</v>
      </c>
      <c r="D42" s="33" t="s">
        <v>980</v>
      </c>
      <c r="E42" s="55" t="b">
        <v>1</v>
      </c>
      <c r="F42" s="30">
        <v>2</v>
      </c>
      <c r="G42" s="200">
        <f t="shared" si="0"/>
        <v>1050000</v>
      </c>
      <c r="H42" s="30" t="s">
        <v>475</v>
      </c>
      <c r="I42" s="33">
        <v>100001</v>
      </c>
      <c r="J42" s="50">
        <v>20000</v>
      </c>
      <c r="K42" s="30" t="s">
        <v>475</v>
      </c>
      <c r="L42" s="33">
        <v>100001</v>
      </c>
      <c r="M42" s="50">
        <v>157500</v>
      </c>
      <c r="N42" s="30"/>
      <c r="O42" s="33" t="s">
        <v>545</v>
      </c>
      <c r="P42" s="33" t="s">
        <v>545</v>
      </c>
      <c r="Q42" s="30" t="s">
        <v>2452</v>
      </c>
      <c r="R42" s="33">
        <f>IFERROR(INDEX([1]Item!$A:$A,MATCH(Q42,[1]Item!$B:$B,0)),"-")</f>
        <v>23348032</v>
      </c>
      <c r="S42" s="33">
        <v>1</v>
      </c>
      <c r="T42" s="30" t="s">
        <v>2425</v>
      </c>
      <c r="U42" s="33" t="str">
        <f>IFERROR(INDEX([1]Item!$A:$A,MATCH(T42,[1]Item!$B:$B,0)),"-")</f>
        <v>-</v>
      </c>
      <c r="V42" s="33" t="s">
        <v>545</v>
      </c>
      <c r="W42" s="30"/>
      <c r="X42" s="33" t="s">
        <v>545</v>
      </c>
      <c r="Y42" s="33" t="s">
        <v>545</v>
      </c>
    </row>
    <row r="43" spans="1:25">
      <c r="A43" s="29">
        <v>47100035</v>
      </c>
      <c r="B43" s="30" t="s">
        <v>1291</v>
      </c>
      <c r="C43" s="33" t="s">
        <v>877</v>
      </c>
      <c r="D43" s="33" t="s">
        <v>981</v>
      </c>
      <c r="E43" s="55" t="b">
        <v>1</v>
      </c>
      <c r="F43" s="30">
        <v>2</v>
      </c>
      <c r="G43" s="200">
        <f t="shared" si="0"/>
        <v>1050000</v>
      </c>
      <c r="H43" s="30" t="s">
        <v>475</v>
      </c>
      <c r="I43" s="33">
        <v>100001</v>
      </c>
      <c r="J43" s="50">
        <v>20000</v>
      </c>
      <c r="K43" s="30" t="s">
        <v>475</v>
      </c>
      <c r="L43" s="33">
        <v>100001</v>
      </c>
      <c r="M43" s="50">
        <v>157500</v>
      </c>
      <c r="N43" s="30"/>
      <c r="O43" s="33" t="s">
        <v>545</v>
      </c>
      <c r="P43" s="33" t="s">
        <v>545</v>
      </c>
      <c r="Q43" s="30" t="s">
        <v>2453</v>
      </c>
      <c r="R43" s="33">
        <f>IFERROR(INDEX([1]Item!$A:$A,MATCH(Q43,[1]Item!$B:$B,0)),"-")</f>
        <v>23348033</v>
      </c>
      <c r="S43" s="33">
        <v>1</v>
      </c>
      <c r="T43" s="30" t="s">
        <v>2425</v>
      </c>
      <c r="U43" s="33" t="str">
        <f>IFERROR(INDEX([1]Item!$A:$A,MATCH(T43,[1]Item!$B:$B,0)),"-")</f>
        <v>-</v>
      </c>
      <c r="V43" s="33" t="s">
        <v>545</v>
      </c>
      <c r="W43" s="30"/>
      <c r="X43" s="33" t="s">
        <v>545</v>
      </c>
      <c r="Y43" s="33" t="s">
        <v>545</v>
      </c>
    </row>
    <row r="44" spans="1:25">
      <c r="A44" s="29">
        <v>47100036</v>
      </c>
      <c r="B44" s="30" t="s">
        <v>1292</v>
      </c>
      <c r="C44" s="33" t="s">
        <v>878</v>
      </c>
      <c r="D44" s="33" t="s">
        <v>982</v>
      </c>
      <c r="E44" s="55" t="b">
        <v>1</v>
      </c>
      <c r="F44" s="30">
        <v>2</v>
      </c>
      <c r="G44" s="200">
        <f t="shared" si="0"/>
        <v>1050000</v>
      </c>
      <c r="H44" s="30" t="s">
        <v>475</v>
      </c>
      <c r="I44" s="33">
        <v>100001</v>
      </c>
      <c r="J44" s="50">
        <v>20000</v>
      </c>
      <c r="K44" s="30" t="s">
        <v>475</v>
      </c>
      <c r="L44" s="33">
        <v>100001</v>
      </c>
      <c r="M44" s="50">
        <v>157500</v>
      </c>
      <c r="N44" s="30"/>
      <c r="O44" s="33" t="s">
        <v>545</v>
      </c>
      <c r="P44" s="33" t="s">
        <v>545</v>
      </c>
      <c r="Q44" s="30" t="s">
        <v>2454</v>
      </c>
      <c r="R44" s="33">
        <f>IFERROR(INDEX([1]Item!$A:$A,MATCH(Q44,[1]Item!$B:$B,0)),"-")</f>
        <v>23348034</v>
      </c>
      <c r="S44" s="33">
        <v>1</v>
      </c>
      <c r="T44" s="30" t="s">
        <v>2528</v>
      </c>
      <c r="U44" s="33">
        <f>IFERROR(INDEX([1]Item!$A:$A,MATCH(T44,[1]Item!$B:$B,0)),"-")</f>
        <v>23347003</v>
      </c>
      <c r="V44" s="33">
        <v>10</v>
      </c>
      <c r="W44" s="30"/>
      <c r="X44" s="33" t="s">
        <v>545</v>
      </c>
      <c r="Y44" s="33" t="s">
        <v>545</v>
      </c>
    </row>
    <row r="45" spans="1:25">
      <c r="A45" s="29">
        <v>47100037</v>
      </c>
      <c r="B45" s="30" t="s">
        <v>1293</v>
      </c>
      <c r="C45" s="33" t="s">
        <v>879</v>
      </c>
      <c r="D45" s="33" t="s">
        <v>983</v>
      </c>
      <c r="E45" s="55" t="b">
        <v>1</v>
      </c>
      <c r="F45" s="30">
        <v>2</v>
      </c>
      <c r="G45" s="200">
        <f t="shared" si="0"/>
        <v>1050000</v>
      </c>
      <c r="H45" s="30" t="s">
        <v>475</v>
      </c>
      <c r="I45" s="33">
        <v>100001</v>
      </c>
      <c r="J45" s="50">
        <v>20000</v>
      </c>
      <c r="K45" s="30" t="s">
        <v>475</v>
      </c>
      <c r="L45" s="33">
        <v>100001</v>
      </c>
      <c r="M45" s="50">
        <v>157500</v>
      </c>
      <c r="N45" s="30"/>
      <c r="O45" s="33" t="s">
        <v>545</v>
      </c>
      <c r="P45" s="33" t="s">
        <v>545</v>
      </c>
      <c r="Q45" s="30" t="s">
        <v>2478</v>
      </c>
      <c r="R45" s="33">
        <f>IFERROR(INDEX([1]Item!$A:$A,MATCH(Q45,[1]Item!$B:$B,0)),"-")</f>
        <v>23348035</v>
      </c>
      <c r="S45" s="33">
        <v>1</v>
      </c>
      <c r="T45" s="30" t="s">
        <v>2425</v>
      </c>
      <c r="U45" s="33" t="str">
        <f>IFERROR(INDEX([1]Item!$A:$A,MATCH(T45,[1]Item!$B:$B,0)),"-")</f>
        <v>-</v>
      </c>
      <c r="V45" s="33" t="s">
        <v>545</v>
      </c>
      <c r="W45" s="30"/>
      <c r="X45" s="33" t="s">
        <v>545</v>
      </c>
      <c r="Y45" s="33" t="s">
        <v>545</v>
      </c>
    </row>
    <row r="46" spans="1:25">
      <c r="A46" s="29">
        <v>47100038</v>
      </c>
      <c r="B46" s="30" t="s">
        <v>1294</v>
      </c>
      <c r="C46" s="33" t="s">
        <v>880</v>
      </c>
      <c r="D46" s="33" t="s">
        <v>984</v>
      </c>
      <c r="E46" s="55" t="b">
        <v>1</v>
      </c>
      <c r="F46" s="30">
        <v>2</v>
      </c>
      <c r="G46" s="200">
        <f t="shared" si="0"/>
        <v>1050000</v>
      </c>
      <c r="H46" s="30" t="s">
        <v>475</v>
      </c>
      <c r="I46" s="33">
        <v>100001</v>
      </c>
      <c r="J46" s="50">
        <v>20000</v>
      </c>
      <c r="K46" s="30" t="s">
        <v>475</v>
      </c>
      <c r="L46" s="33">
        <v>100001</v>
      </c>
      <c r="M46" s="50">
        <v>157500</v>
      </c>
      <c r="N46" s="30"/>
      <c r="O46" s="33" t="s">
        <v>545</v>
      </c>
      <c r="P46" s="33" t="s">
        <v>545</v>
      </c>
      <c r="Q46" s="30" t="s">
        <v>2455</v>
      </c>
      <c r="R46" s="33">
        <f>IFERROR(INDEX([1]Item!$A:$A,MATCH(Q46,[1]Item!$B:$B,0)),"-")</f>
        <v>23348036</v>
      </c>
      <c r="S46" s="33">
        <v>1</v>
      </c>
      <c r="T46" s="30" t="s">
        <v>2528</v>
      </c>
      <c r="U46" s="33">
        <f>IFERROR(INDEX([1]Item!$A:$A,MATCH(T46,[1]Item!$B:$B,0)),"-")</f>
        <v>23347003</v>
      </c>
      <c r="V46" s="33">
        <v>10</v>
      </c>
      <c r="W46" s="30"/>
      <c r="X46" s="33" t="s">
        <v>545</v>
      </c>
      <c r="Y46" s="33" t="s">
        <v>545</v>
      </c>
    </row>
    <row r="47" spans="1:25">
      <c r="A47" s="29">
        <v>47100039</v>
      </c>
      <c r="B47" s="30" t="s">
        <v>1295</v>
      </c>
      <c r="C47" s="33" t="s">
        <v>881</v>
      </c>
      <c r="D47" s="33" t="s">
        <v>985</v>
      </c>
      <c r="E47" s="55" t="b">
        <v>1</v>
      </c>
      <c r="F47" s="30">
        <v>2</v>
      </c>
      <c r="G47" s="200">
        <f t="shared" si="0"/>
        <v>1050000</v>
      </c>
      <c r="H47" s="30" t="s">
        <v>475</v>
      </c>
      <c r="I47" s="33">
        <v>100001</v>
      </c>
      <c r="J47" s="50">
        <v>20000</v>
      </c>
      <c r="K47" s="30" t="s">
        <v>475</v>
      </c>
      <c r="L47" s="33">
        <v>100001</v>
      </c>
      <c r="M47" s="50">
        <v>157500</v>
      </c>
      <c r="N47" s="30"/>
      <c r="O47" s="33" t="s">
        <v>545</v>
      </c>
      <c r="P47" s="33" t="s">
        <v>545</v>
      </c>
      <c r="Q47" s="30" t="s">
        <v>2479</v>
      </c>
      <c r="R47" s="33">
        <f>IFERROR(INDEX([1]Item!$A:$A,MATCH(Q47,[1]Item!$B:$B,0)),"-")</f>
        <v>23348037</v>
      </c>
      <c r="S47" s="33">
        <v>1</v>
      </c>
      <c r="T47" s="30" t="s">
        <v>2528</v>
      </c>
      <c r="U47" s="33">
        <f>IFERROR(INDEX([1]Item!$A:$A,MATCH(T47,[1]Item!$B:$B,0)),"-")</f>
        <v>23347003</v>
      </c>
      <c r="V47" s="33">
        <v>10</v>
      </c>
      <c r="W47" s="30"/>
      <c r="X47" s="33" t="s">
        <v>545</v>
      </c>
      <c r="Y47" s="33" t="s">
        <v>545</v>
      </c>
    </row>
    <row r="48" spans="1:25">
      <c r="A48" s="29">
        <v>47100040</v>
      </c>
      <c r="B48" s="30" t="s">
        <v>1296</v>
      </c>
      <c r="C48" s="33" t="s">
        <v>882</v>
      </c>
      <c r="D48" s="33" t="s">
        <v>986</v>
      </c>
      <c r="E48" s="55" t="b">
        <v>1</v>
      </c>
      <c r="F48" s="30">
        <v>2</v>
      </c>
      <c r="G48" s="200">
        <f t="shared" si="0"/>
        <v>1050000</v>
      </c>
      <c r="H48" s="30" t="s">
        <v>475</v>
      </c>
      <c r="I48" s="33">
        <v>100001</v>
      </c>
      <c r="J48" s="50">
        <v>20000</v>
      </c>
      <c r="K48" s="30" t="s">
        <v>475</v>
      </c>
      <c r="L48" s="33">
        <v>100001</v>
      </c>
      <c r="M48" s="50">
        <v>157500</v>
      </c>
      <c r="N48" s="30"/>
      <c r="O48" s="33" t="s">
        <v>545</v>
      </c>
      <c r="P48" s="33" t="s">
        <v>545</v>
      </c>
      <c r="Q48" s="30" t="s">
        <v>2480</v>
      </c>
      <c r="R48" s="33">
        <f>IFERROR(INDEX([1]Item!$A:$A,MATCH(Q48,[1]Item!$B:$B,0)),"-")</f>
        <v>23348038</v>
      </c>
      <c r="S48" s="33">
        <v>1</v>
      </c>
      <c r="T48" s="30" t="s">
        <v>2425</v>
      </c>
      <c r="U48" s="33" t="str">
        <f>IFERROR(INDEX([1]Item!$A:$A,MATCH(T48,[1]Item!$B:$B,0)),"-")</f>
        <v>-</v>
      </c>
      <c r="V48" s="33" t="s">
        <v>545</v>
      </c>
      <c r="W48" s="30"/>
      <c r="X48" s="33" t="s">
        <v>545</v>
      </c>
      <c r="Y48" s="33" t="s">
        <v>545</v>
      </c>
    </row>
    <row r="49" spans="1:25">
      <c r="A49" s="29">
        <v>47100041</v>
      </c>
      <c r="B49" s="30" t="s">
        <v>1297</v>
      </c>
      <c r="C49" s="33" t="s">
        <v>883</v>
      </c>
      <c r="D49" s="33" t="s">
        <v>987</v>
      </c>
      <c r="E49" s="55" t="b">
        <v>1</v>
      </c>
      <c r="F49" s="30">
        <v>2</v>
      </c>
      <c r="G49" s="200">
        <f t="shared" si="0"/>
        <v>1050000</v>
      </c>
      <c r="H49" s="30" t="s">
        <v>475</v>
      </c>
      <c r="I49" s="33">
        <v>100001</v>
      </c>
      <c r="J49" s="50">
        <v>20000</v>
      </c>
      <c r="K49" s="30" t="s">
        <v>475</v>
      </c>
      <c r="L49" s="33">
        <v>100001</v>
      </c>
      <c r="M49" s="50">
        <v>157500</v>
      </c>
      <c r="N49" s="30"/>
      <c r="O49" s="33" t="s">
        <v>545</v>
      </c>
      <c r="P49" s="33" t="s">
        <v>545</v>
      </c>
      <c r="Q49" s="30" t="s">
        <v>2456</v>
      </c>
      <c r="R49" s="33">
        <f>IFERROR(INDEX([1]Item!$A:$A,MATCH(Q49,[1]Item!$B:$B,0)),"-")</f>
        <v>23348039</v>
      </c>
      <c r="S49" s="33">
        <v>1</v>
      </c>
      <c r="T49" s="30" t="s">
        <v>2528</v>
      </c>
      <c r="U49" s="33">
        <f>IFERROR(INDEX([1]Item!$A:$A,MATCH(T49,[1]Item!$B:$B,0)),"-")</f>
        <v>23347003</v>
      </c>
      <c r="V49" s="33">
        <v>10</v>
      </c>
      <c r="W49" s="30"/>
      <c r="X49" s="33" t="s">
        <v>545</v>
      </c>
      <c r="Y49" s="33" t="s">
        <v>545</v>
      </c>
    </row>
    <row r="50" spans="1:25">
      <c r="A50" s="29">
        <v>47100042</v>
      </c>
      <c r="B50" s="30" t="s">
        <v>1298</v>
      </c>
      <c r="C50" s="33" t="s">
        <v>884</v>
      </c>
      <c r="D50" s="33" t="s">
        <v>988</v>
      </c>
      <c r="E50" s="55" t="b">
        <v>1</v>
      </c>
      <c r="F50" s="30">
        <v>2</v>
      </c>
      <c r="G50" s="200">
        <f t="shared" si="0"/>
        <v>1050000</v>
      </c>
      <c r="H50" s="30" t="s">
        <v>475</v>
      </c>
      <c r="I50" s="33">
        <v>100001</v>
      </c>
      <c r="J50" s="50">
        <v>20000</v>
      </c>
      <c r="K50" s="30" t="s">
        <v>475</v>
      </c>
      <c r="L50" s="33">
        <v>100001</v>
      </c>
      <c r="M50" s="50">
        <v>157500</v>
      </c>
      <c r="N50" s="30"/>
      <c r="O50" s="33" t="s">
        <v>545</v>
      </c>
      <c r="P50" s="33" t="s">
        <v>545</v>
      </c>
      <c r="Q50" s="30" t="s">
        <v>2481</v>
      </c>
      <c r="R50" s="33">
        <f>IFERROR(INDEX([1]Item!$A:$A,MATCH(Q50,[1]Item!$B:$B,0)),"-")</f>
        <v>23348040</v>
      </c>
      <c r="S50" s="33">
        <v>1</v>
      </c>
      <c r="T50" s="30" t="s">
        <v>2528</v>
      </c>
      <c r="U50" s="33">
        <f>IFERROR(INDEX([1]Item!$A:$A,MATCH(T50,[1]Item!$B:$B,0)),"-")</f>
        <v>23347003</v>
      </c>
      <c r="V50" s="33">
        <v>10</v>
      </c>
      <c r="W50" s="30"/>
      <c r="X50" s="33" t="s">
        <v>545</v>
      </c>
      <c r="Y50" s="33" t="s">
        <v>545</v>
      </c>
    </row>
    <row r="51" spans="1:25">
      <c r="A51" s="29">
        <v>47100043</v>
      </c>
      <c r="B51" s="30" t="s">
        <v>1299</v>
      </c>
      <c r="C51" s="33" t="s">
        <v>885</v>
      </c>
      <c r="D51" s="33" t="s">
        <v>989</v>
      </c>
      <c r="E51" s="55" t="b">
        <v>1</v>
      </c>
      <c r="F51" s="30">
        <v>2</v>
      </c>
      <c r="G51" s="200">
        <f t="shared" si="0"/>
        <v>1050000</v>
      </c>
      <c r="H51" s="30" t="s">
        <v>475</v>
      </c>
      <c r="I51" s="33">
        <v>100001</v>
      </c>
      <c r="J51" s="50">
        <v>20000</v>
      </c>
      <c r="K51" s="30" t="s">
        <v>475</v>
      </c>
      <c r="L51" s="33">
        <v>100001</v>
      </c>
      <c r="M51" s="50">
        <v>157500</v>
      </c>
      <c r="N51" s="30"/>
      <c r="O51" s="33" t="s">
        <v>545</v>
      </c>
      <c r="P51" s="33" t="s">
        <v>545</v>
      </c>
      <c r="Q51" s="30" t="s">
        <v>2482</v>
      </c>
      <c r="R51" s="33">
        <f>IFERROR(INDEX([1]Item!$A:$A,MATCH(Q51,[1]Item!$B:$B,0)),"-")</f>
        <v>23348041</v>
      </c>
      <c r="S51" s="33">
        <v>1</v>
      </c>
      <c r="T51" s="30" t="s">
        <v>2528</v>
      </c>
      <c r="U51" s="33">
        <f>IFERROR(INDEX([1]Item!$A:$A,MATCH(T51,[1]Item!$B:$B,0)),"-")</f>
        <v>23347003</v>
      </c>
      <c r="V51" s="33">
        <v>10</v>
      </c>
      <c r="W51" s="30"/>
      <c r="X51" s="33" t="s">
        <v>545</v>
      </c>
      <c r="Y51" s="33" t="s">
        <v>545</v>
      </c>
    </row>
    <row r="52" spans="1:25">
      <c r="A52" s="29">
        <v>47100044</v>
      </c>
      <c r="B52" s="30" t="s">
        <v>1300</v>
      </c>
      <c r="C52" s="33" t="s">
        <v>886</v>
      </c>
      <c r="D52" s="33" t="s">
        <v>990</v>
      </c>
      <c r="E52" s="55" t="b">
        <v>1</v>
      </c>
      <c r="F52" s="30">
        <v>2</v>
      </c>
      <c r="G52" s="200">
        <f t="shared" si="0"/>
        <v>1050000</v>
      </c>
      <c r="H52" s="30" t="s">
        <v>475</v>
      </c>
      <c r="I52" s="33">
        <v>100001</v>
      </c>
      <c r="J52" s="50">
        <v>20000</v>
      </c>
      <c r="K52" s="30" t="s">
        <v>475</v>
      </c>
      <c r="L52" s="33">
        <v>100001</v>
      </c>
      <c r="M52" s="50">
        <v>157500</v>
      </c>
      <c r="N52" s="30"/>
      <c r="O52" s="33" t="s">
        <v>545</v>
      </c>
      <c r="P52" s="33" t="s">
        <v>545</v>
      </c>
      <c r="Q52" s="30" t="s">
        <v>2483</v>
      </c>
      <c r="R52" s="33">
        <f>IFERROR(INDEX([1]Item!$A:$A,MATCH(Q52,[1]Item!$B:$B,0)),"-")</f>
        <v>23348042</v>
      </c>
      <c r="S52" s="33">
        <v>1</v>
      </c>
      <c r="T52" s="30" t="s">
        <v>2528</v>
      </c>
      <c r="U52" s="33">
        <f>IFERROR(INDEX([1]Item!$A:$A,MATCH(T52,[1]Item!$B:$B,0)),"-")</f>
        <v>23347003</v>
      </c>
      <c r="V52" s="33">
        <v>10</v>
      </c>
      <c r="W52" s="30"/>
      <c r="X52" s="33" t="s">
        <v>545</v>
      </c>
      <c r="Y52" s="33" t="s">
        <v>545</v>
      </c>
    </row>
    <row r="53" spans="1:25">
      <c r="A53" s="29">
        <v>47100045</v>
      </c>
      <c r="B53" s="30" t="s">
        <v>1301</v>
      </c>
      <c r="C53" s="33" t="s">
        <v>887</v>
      </c>
      <c r="D53" s="33" t="s">
        <v>991</v>
      </c>
      <c r="E53" s="55" t="b">
        <v>1</v>
      </c>
      <c r="F53" s="30">
        <v>2</v>
      </c>
      <c r="G53" s="200">
        <f t="shared" si="0"/>
        <v>1050000</v>
      </c>
      <c r="H53" s="30" t="s">
        <v>475</v>
      </c>
      <c r="I53" s="33">
        <v>100001</v>
      </c>
      <c r="J53" s="50">
        <v>20000</v>
      </c>
      <c r="K53" s="30" t="s">
        <v>475</v>
      </c>
      <c r="L53" s="33">
        <v>100001</v>
      </c>
      <c r="M53" s="50">
        <v>157500</v>
      </c>
      <c r="N53" s="30"/>
      <c r="O53" s="33" t="s">
        <v>545</v>
      </c>
      <c r="P53" s="33" t="s">
        <v>545</v>
      </c>
      <c r="Q53" s="30" t="s">
        <v>2484</v>
      </c>
      <c r="R53" s="33">
        <f>IFERROR(INDEX([1]Item!$A:$A,MATCH(Q53,[1]Item!$B:$B,0)),"-")</f>
        <v>23348043</v>
      </c>
      <c r="S53" s="33">
        <v>1</v>
      </c>
      <c r="T53" s="30" t="s">
        <v>2528</v>
      </c>
      <c r="U53" s="33">
        <f>IFERROR(INDEX([1]Item!$A:$A,MATCH(T53,[1]Item!$B:$B,0)),"-")</f>
        <v>23347003</v>
      </c>
      <c r="V53" s="33">
        <v>10</v>
      </c>
      <c r="W53" s="30"/>
      <c r="X53" s="33" t="s">
        <v>545</v>
      </c>
      <c r="Y53" s="33" t="s">
        <v>545</v>
      </c>
    </row>
    <row r="54" spans="1:25">
      <c r="A54" s="29">
        <v>47100046</v>
      </c>
      <c r="B54" s="30" t="s">
        <v>1302</v>
      </c>
      <c r="C54" s="33" t="s">
        <v>888</v>
      </c>
      <c r="D54" s="33" t="s">
        <v>992</v>
      </c>
      <c r="E54" s="55" t="b">
        <v>1</v>
      </c>
      <c r="F54" s="30">
        <v>2</v>
      </c>
      <c r="G54" s="200">
        <f t="shared" si="0"/>
        <v>1050000</v>
      </c>
      <c r="H54" s="30" t="s">
        <v>475</v>
      </c>
      <c r="I54" s="33">
        <v>100001</v>
      </c>
      <c r="J54" s="50">
        <v>20000</v>
      </c>
      <c r="K54" s="30" t="s">
        <v>475</v>
      </c>
      <c r="L54" s="33">
        <v>100001</v>
      </c>
      <c r="M54" s="50">
        <v>157500</v>
      </c>
      <c r="N54" s="30"/>
      <c r="O54" s="33" t="s">
        <v>545</v>
      </c>
      <c r="P54" s="33" t="s">
        <v>545</v>
      </c>
      <c r="Q54" s="30" t="s">
        <v>2485</v>
      </c>
      <c r="R54" s="33">
        <f>IFERROR(INDEX([1]Item!$A:$A,MATCH(Q54,[1]Item!$B:$B,0)),"-")</f>
        <v>23348044</v>
      </c>
      <c r="S54" s="33">
        <v>1</v>
      </c>
      <c r="T54" s="30" t="s">
        <v>2529</v>
      </c>
      <c r="U54" s="33">
        <f>IFERROR(INDEX([1]Item!$A:$A,MATCH(T54,[1]Item!$B:$B,0)),"-")</f>
        <v>23347004</v>
      </c>
      <c r="V54" s="33">
        <v>10</v>
      </c>
      <c r="W54" s="30"/>
      <c r="X54" s="33" t="s">
        <v>545</v>
      </c>
      <c r="Y54" s="33" t="s">
        <v>545</v>
      </c>
    </row>
    <row r="55" spans="1:25">
      <c r="A55" s="29">
        <v>47100047</v>
      </c>
      <c r="B55" s="30" t="s">
        <v>1303</v>
      </c>
      <c r="C55" s="33" t="s">
        <v>889</v>
      </c>
      <c r="D55" s="33" t="s">
        <v>993</v>
      </c>
      <c r="E55" s="55" t="b">
        <v>1</v>
      </c>
      <c r="F55" s="30">
        <v>1</v>
      </c>
      <c r="G55" s="200">
        <f t="shared" si="0"/>
        <v>350000</v>
      </c>
      <c r="H55" s="30" t="s">
        <v>475</v>
      </c>
      <c r="I55" s="33">
        <v>100001</v>
      </c>
      <c r="J55" s="50">
        <v>2500</v>
      </c>
      <c r="K55" s="30" t="s">
        <v>475</v>
      </c>
      <c r="L55" s="33">
        <v>100001</v>
      </c>
      <c r="M55" s="50">
        <v>19500</v>
      </c>
      <c r="N55" s="30"/>
      <c r="O55" s="33" t="s">
        <v>545</v>
      </c>
      <c r="P55" s="33" t="s">
        <v>545</v>
      </c>
      <c r="Q55" s="30" t="s">
        <v>2486</v>
      </c>
      <c r="R55" s="33">
        <f>IFERROR(INDEX([1]Item!$A:$A,MATCH(Q55,[1]Item!$B:$B,0)),"-")</f>
        <v>23348045</v>
      </c>
      <c r="S55" s="33">
        <v>1</v>
      </c>
      <c r="T55" s="30" t="s">
        <v>2529</v>
      </c>
      <c r="U55" s="33">
        <f>IFERROR(INDEX([1]Item!$A:$A,MATCH(T55,[1]Item!$B:$B,0)),"-")</f>
        <v>23347004</v>
      </c>
      <c r="V55" s="33">
        <v>10</v>
      </c>
      <c r="W55" s="30"/>
      <c r="X55" s="33" t="s">
        <v>545</v>
      </c>
      <c r="Y55" s="33" t="s">
        <v>545</v>
      </c>
    </row>
    <row r="56" spans="1:25">
      <c r="A56" s="29">
        <v>47100048</v>
      </c>
      <c r="B56" s="30" t="s">
        <v>1304</v>
      </c>
      <c r="C56" s="33" t="s">
        <v>890</v>
      </c>
      <c r="D56" s="33" t="s">
        <v>994</v>
      </c>
      <c r="E56" s="55" t="b">
        <v>1</v>
      </c>
      <c r="F56" s="30">
        <v>1</v>
      </c>
      <c r="G56" s="200">
        <f t="shared" si="0"/>
        <v>350000</v>
      </c>
      <c r="H56" s="30" t="s">
        <v>475</v>
      </c>
      <c r="I56" s="33">
        <v>100001</v>
      </c>
      <c r="J56" s="50">
        <v>2500</v>
      </c>
      <c r="K56" s="30" t="s">
        <v>475</v>
      </c>
      <c r="L56" s="33">
        <v>100001</v>
      </c>
      <c r="M56" s="50">
        <v>19500</v>
      </c>
      <c r="N56" s="30"/>
      <c r="O56" s="33" t="s">
        <v>545</v>
      </c>
      <c r="P56" s="33" t="s">
        <v>545</v>
      </c>
      <c r="Q56" s="30" t="s">
        <v>2487</v>
      </c>
      <c r="R56" s="33">
        <f>IFERROR(INDEX([1]Item!$A:$A,MATCH(Q56,[1]Item!$B:$B,0)),"-")</f>
        <v>23348046</v>
      </c>
      <c r="S56" s="33">
        <v>1</v>
      </c>
      <c r="T56" s="30" t="s">
        <v>2529</v>
      </c>
      <c r="U56" s="33">
        <f>IFERROR(INDEX([1]Item!$A:$A,MATCH(T56,[1]Item!$B:$B,0)),"-")</f>
        <v>23347004</v>
      </c>
      <c r="V56" s="33">
        <v>10</v>
      </c>
      <c r="W56" s="30"/>
      <c r="X56" s="33" t="s">
        <v>545</v>
      </c>
      <c r="Y56" s="33" t="s">
        <v>545</v>
      </c>
    </row>
    <row r="57" spans="1:25">
      <c r="A57" s="29">
        <v>47100049</v>
      </c>
      <c r="B57" s="30" t="s">
        <v>1305</v>
      </c>
      <c r="C57" s="33" t="s">
        <v>891</v>
      </c>
      <c r="D57" s="33" t="s">
        <v>995</v>
      </c>
      <c r="E57" s="55" t="b">
        <v>1</v>
      </c>
      <c r="F57" s="30">
        <v>1</v>
      </c>
      <c r="G57" s="200">
        <f t="shared" si="0"/>
        <v>350000</v>
      </c>
      <c r="H57" s="30" t="s">
        <v>475</v>
      </c>
      <c r="I57" s="33">
        <v>100001</v>
      </c>
      <c r="J57" s="50">
        <v>2500</v>
      </c>
      <c r="K57" s="30" t="s">
        <v>475</v>
      </c>
      <c r="L57" s="33">
        <v>100001</v>
      </c>
      <c r="M57" s="50">
        <v>19500</v>
      </c>
      <c r="N57" s="30"/>
      <c r="O57" s="33" t="s">
        <v>545</v>
      </c>
      <c r="P57" s="33" t="s">
        <v>545</v>
      </c>
      <c r="Q57" s="30" t="s">
        <v>2488</v>
      </c>
      <c r="R57" s="33">
        <f>IFERROR(INDEX([1]Item!$A:$A,MATCH(Q57,[1]Item!$B:$B,0)),"-")</f>
        <v>23348047</v>
      </c>
      <c r="S57" s="33">
        <v>1</v>
      </c>
      <c r="T57" s="30" t="s">
        <v>2529</v>
      </c>
      <c r="U57" s="33">
        <f>IFERROR(INDEX([1]Item!$A:$A,MATCH(T57,[1]Item!$B:$B,0)),"-")</f>
        <v>23347004</v>
      </c>
      <c r="V57" s="33">
        <v>10</v>
      </c>
      <c r="W57" s="30"/>
      <c r="X57" s="33" t="s">
        <v>545</v>
      </c>
      <c r="Y57" s="33" t="s">
        <v>545</v>
      </c>
    </row>
    <row r="58" spans="1:25">
      <c r="A58" s="29">
        <v>47100050</v>
      </c>
      <c r="B58" s="30" t="s">
        <v>1306</v>
      </c>
      <c r="C58" s="33" t="s">
        <v>892</v>
      </c>
      <c r="D58" s="33" t="s">
        <v>996</v>
      </c>
      <c r="E58" s="55" t="b">
        <v>1</v>
      </c>
      <c r="F58" s="30">
        <v>1</v>
      </c>
      <c r="G58" s="200">
        <f t="shared" si="0"/>
        <v>350000</v>
      </c>
      <c r="H58" s="30" t="s">
        <v>475</v>
      </c>
      <c r="I58" s="33">
        <v>100001</v>
      </c>
      <c r="J58" s="50">
        <v>2500</v>
      </c>
      <c r="K58" s="30" t="s">
        <v>475</v>
      </c>
      <c r="L58" s="33">
        <v>100001</v>
      </c>
      <c r="M58" s="50">
        <v>19500</v>
      </c>
      <c r="N58" s="30"/>
      <c r="O58" s="33" t="s">
        <v>545</v>
      </c>
      <c r="P58" s="33" t="s">
        <v>545</v>
      </c>
      <c r="Q58" s="30" t="s">
        <v>2489</v>
      </c>
      <c r="R58" s="33">
        <f>IFERROR(INDEX([1]Item!$A:$A,MATCH(Q58,[1]Item!$B:$B,0)),"-")</f>
        <v>23348048</v>
      </c>
      <c r="S58" s="33">
        <v>1</v>
      </c>
      <c r="T58" s="30" t="s">
        <v>2529</v>
      </c>
      <c r="U58" s="33">
        <f>IFERROR(INDEX([1]Item!$A:$A,MATCH(T58,[1]Item!$B:$B,0)),"-")</f>
        <v>23347004</v>
      </c>
      <c r="V58" s="33">
        <v>10</v>
      </c>
      <c r="W58" s="30"/>
      <c r="X58" s="33" t="s">
        <v>545</v>
      </c>
      <c r="Y58" s="33" t="s">
        <v>545</v>
      </c>
    </row>
    <row r="59" spans="1:25">
      <c r="A59" s="29">
        <v>47100051</v>
      </c>
      <c r="B59" s="30" t="s">
        <v>1307</v>
      </c>
      <c r="C59" s="33" t="s">
        <v>893</v>
      </c>
      <c r="D59" s="33" t="s">
        <v>997</v>
      </c>
      <c r="E59" s="55" t="b">
        <v>1</v>
      </c>
      <c r="F59" s="30">
        <v>1</v>
      </c>
      <c r="G59" s="200">
        <f t="shared" si="0"/>
        <v>350000</v>
      </c>
      <c r="H59" s="30" t="s">
        <v>475</v>
      </c>
      <c r="I59" s="33">
        <v>100001</v>
      </c>
      <c r="J59" s="50">
        <v>2500</v>
      </c>
      <c r="K59" s="30" t="s">
        <v>475</v>
      </c>
      <c r="L59" s="33">
        <v>100001</v>
      </c>
      <c r="M59" s="50">
        <v>19500</v>
      </c>
      <c r="N59" s="30"/>
      <c r="O59" s="33" t="s">
        <v>545</v>
      </c>
      <c r="P59" s="33" t="s">
        <v>545</v>
      </c>
      <c r="Q59" s="30" t="s">
        <v>2490</v>
      </c>
      <c r="R59" s="33">
        <f>IFERROR(INDEX([1]Item!$A:$A,MATCH(Q59,[1]Item!$B:$B,0)),"-")</f>
        <v>23348049</v>
      </c>
      <c r="S59" s="33">
        <v>1</v>
      </c>
      <c r="T59" s="30" t="s">
        <v>2529</v>
      </c>
      <c r="U59" s="33">
        <f>IFERROR(INDEX([1]Item!$A:$A,MATCH(T59,[1]Item!$B:$B,0)),"-")</f>
        <v>23347004</v>
      </c>
      <c r="V59" s="33">
        <v>10</v>
      </c>
      <c r="W59" s="30"/>
      <c r="X59" s="33" t="s">
        <v>545</v>
      </c>
      <c r="Y59" s="33" t="s">
        <v>545</v>
      </c>
    </row>
    <row r="60" spans="1:25">
      <c r="A60" s="29">
        <v>47100052</v>
      </c>
      <c r="B60" s="30" t="s">
        <v>1308</v>
      </c>
      <c r="C60" s="33" t="s">
        <v>894</v>
      </c>
      <c r="D60" s="33" t="s">
        <v>998</v>
      </c>
      <c r="E60" s="55" t="b">
        <v>1</v>
      </c>
      <c r="F60" s="30">
        <v>1</v>
      </c>
      <c r="G60" s="200">
        <f t="shared" si="0"/>
        <v>350000</v>
      </c>
      <c r="H60" s="30" t="s">
        <v>475</v>
      </c>
      <c r="I60" s="33">
        <v>100001</v>
      </c>
      <c r="J60" s="50">
        <v>2500</v>
      </c>
      <c r="K60" s="30" t="s">
        <v>475</v>
      </c>
      <c r="L60" s="33">
        <v>100001</v>
      </c>
      <c r="M60" s="50">
        <v>19500</v>
      </c>
      <c r="N60" s="30"/>
      <c r="O60" s="33" t="s">
        <v>545</v>
      </c>
      <c r="P60" s="33" t="s">
        <v>545</v>
      </c>
      <c r="Q60" s="30" t="s">
        <v>2491</v>
      </c>
      <c r="R60" s="33">
        <f>IFERROR(INDEX([1]Item!$A:$A,MATCH(Q60,[1]Item!$B:$B,0)),"-")</f>
        <v>23348050</v>
      </c>
      <c r="S60" s="33">
        <v>1</v>
      </c>
      <c r="T60" s="30" t="s">
        <v>2529</v>
      </c>
      <c r="U60" s="33">
        <f>IFERROR(INDEX([1]Item!$A:$A,MATCH(T60,[1]Item!$B:$B,0)),"-")</f>
        <v>23347004</v>
      </c>
      <c r="V60" s="33">
        <v>10</v>
      </c>
      <c r="W60" s="30"/>
      <c r="X60" s="33" t="s">
        <v>545</v>
      </c>
      <c r="Y60" s="33" t="s">
        <v>545</v>
      </c>
    </row>
    <row r="61" spans="1:25">
      <c r="A61" s="29">
        <v>47100053</v>
      </c>
      <c r="B61" s="30" t="s">
        <v>1309</v>
      </c>
      <c r="C61" s="33" t="s">
        <v>895</v>
      </c>
      <c r="D61" s="33" t="s">
        <v>999</v>
      </c>
      <c r="E61" s="55" t="b">
        <v>1</v>
      </c>
      <c r="F61" s="30">
        <v>1</v>
      </c>
      <c r="G61" s="200">
        <f t="shared" si="0"/>
        <v>350000</v>
      </c>
      <c r="H61" s="30" t="s">
        <v>475</v>
      </c>
      <c r="I61" s="33">
        <v>100001</v>
      </c>
      <c r="J61" s="50">
        <v>2500</v>
      </c>
      <c r="K61" s="30" t="s">
        <v>475</v>
      </c>
      <c r="L61" s="33">
        <v>100001</v>
      </c>
      <c r="M61" s="50">
        <v>19500</v>
      </c>
      <c r="N61" s="30"/>
      <c r="O61" s="33" t="s">
        <v>545</v>
      </c>
      <c r="P61" s="33" t="s">
        <v>545</v>
      </c>
      <c r="Q61" s="30" t="s">
        <v>2492</v>
      </c>
      <c r="R61" s="33">
        <f>IFERROR(INDEX([1]Item!$A:$A,MATCH(Q61,[1]Item!$B:$B,0)),"-")</f>
        <v>23348051</v>
      </c>
      <c r="S61" s="33">
        <v>1</v>
      </c>
      <c r="T61" s="30" t="s">
        <v>2529</v>
      </c>
      <c r="U61" s="33">
        <f>IFERROR(INDEX([1]Item!$A:$A,MATCH(T61,[1]Item!$B:$B,0)),"-")</f>
        <v>23347004</v>
      </c>
      <c r="V61" s="33">
        <v>10</v>
      </c>
      <c r="W61" s="30"/>
      <c r="X61" s="33" t="s">
        <v>545</v>
      </c>
      <c r="Y61" s="33" t="s">
        <v>545</v>
      </c>
    </row>
    <row r="62" spans="1:25">
      <c r="A62" s="29">
        <v>47100054</v>
      </c>
      <c r="B62" s="30" t="s">
        <v>1310</v>
      </c>
      <c r="C62" s="33" t="s">
        <v>896</v>
      </c>
      <c r="D62" s="33" t="s">
        <v>1000</v>
      </c>
      <c r="E62" s="55" t="b">
        <v>1</v>
      </c>
      <c r="F62" s="30">
        <v>1</v>
      </c>
      <c r="G62" s="200">
        <f t="shared" si="0"/>
        <v>350000</v>
      </c>
      <c r="H62" s="30" t="s">
        <v>475</v>
      </c>
      <c r="I62" s="33">
        <v>100001</v>
      </c>
      <c r="J62" s="50">
        <v>2500</v>
      </c>
      <c r="K62" s="30" t="s">
        <v>475</v>
      </c>
      <c r="L62" s="33">
        <v>100001</v>
      </c>
      <c r="M62" s="50">
        <v>19500</v>
      </c>
      <c r="N62" s="30"/>
      <c r="O62" s="33" t="s">
        <v>545</v>
      </c>
      <c r="P62" s="33" t="s">
        <v>545</v>
      </c>
      <c r="Q62" s="30" t="s">
        <v>2493</v>
      </c>
      <c r="R62" s="33">
        <f>IFERROR(INDEX([1]Item!$A:$A,MATCH(Q62,[1]Item!$B:$B,0)),"-")</f>
        <v>23348052</v>
      </c>
      <c r="S62" s="33">
        <v>1</v>
      </c>
      <c r="T62" s="30" t="s">
        <v>2529</v>
      </c>
      <c r="U62" s="33">
        <f>IFERROR(INDEX([1]Item!$A:$A,MATCH(T62,[1]Item!$B:$B,0)),"-")</f>
        <v>23347004</v>
      </c>
      <c r="V62" s="33">
        <v>10</v>
      </c>
      <c r="W62" s="30"/>
      <c r="X62" s="33" t="s">
        <v>545</v>
      </c>
      <c r="Y62" s="33" t="s">
        <v>545</v>
      </c>
    </row>
    <row r="63" spans="1:25">
      <c r="A63" s="29">
        <v>47100055</v>
      </c>
      <c r="B63" s="30" t="s">
        <v>1311</v>
      </c>
      <c r="C63" s="33" t="s">
        <v>897</v>
      </c>
      <c r="D63" s="33" t="s">
        <v>1001</v>
      </c>
      <c r="E63" s="55" t="b">
        <v>1</v>
      </c>
      <c r="F63" s="30">
        <v>1</v>
      </c>
      <c r="G63" s="200">
        <f t="shared" si="0"/>
        <v>350000</v>
      </c>
      <c r="H63" s="30" t="s">
        <v>475</v>
      </c>
      <c r="I63" s="33">
        <v>100001</v>
      </c>
      <c r="J63" s="50">
        <v>2500</v>
      </c>
      <c r="K63" s="30" t="s">
        <v>475</v>
      </c>
      <c r="L63" s="33">
        <v>100001</v>
      </c>
      <c r="M63" s="50">
        <v>19500</v>
      </c>
      <c r="N63" s="30"/>
      <c r="O63" s="33" t="s">
        <v>545</v>
      </c>
      <c r="P63" s="33" t="s">
        <v>545</v>
      </c>
      <c r="Q63" s="30" t="s">
        <v>2494</v>
      </c>
      <c r="R63" s="33">
        <f>IFERROR(INDEX([1]Item!$A:$A,MATCH(Q63,[1]Item!$B:$B,0)),"-")</f>
        <v>23348053</v>
      </c>
      <c r="S63" s="33">
        <v>1</v>
      </c>
      <c r="T63" s="30" t="s">
        <v>2529</v>
      </c>
      <c r="U63" s="33">
        <f>IFERROR(INDEX([1]Item!$A:$A,MATCH(T63,[1]Item!$B:$B,0)),"-")</f>
        <v>23347004</v>
      </c>
      <c r="V63" s="33">
        <v>10</v>
      </c>
      <c r="W63" s="30"/>
      <c r="X63" s="33" t="s">
        <v>545</v>
      </c>
      <c r="Y63" s="33" t="s">
        <v>545</v>
      </c>
    </row>
    <row r="64" spans="1:25">
      <c r="A64" s="29">
        <v>47100056</v>
      </c>
      <c r="B64" s="30" t="s">
        <v>1312</v>
      </c>
      <c r="C64" s="33" t="s">
        <v>898</v>
      </c>
      <c r="D64" s="33" t="s">
        <v>1002</v>
      </c>
      <c r="E64" s="55" t="b">
        <v>1</v>
      </c>
      <c r="F64" s="30">
        <v>1</v>
      </c>
      <c r="G64" s="200">
        <f t="shared" si="0"/>
        <v>350000</v>
      </c>
      <c r="H64" s="30" t="s">
        <v>475</v>
      </c>
      <c r="I64" s="33">
        <v>100001</v>
      </c>
      <c r="J64" s="50">
        <v>2500</v>
      </c>
      <c r="K64" s="30" t="s">
        <v>475</v>
      </c>
      <c r="L64" s="33">
        <v>100001</v>
      </c>
      <c r="M64" s="50">
        <v>19500</v>
      </c>
      <c r="N64" s="30"/>
      <c r="O64" s="33" t="s">
        <v>545</v>
      </c>
      <c r="P64" s="33" t="s">
        <v>545</v>
      </c>
      <c r="Q64" s="30" t="s">
        <v>2495</v>
      </c>
      <c r="R64" s="33">
        <f>IFERROR(INDEX([1]Item!$A:$A,MATCH(Q64,[1]Item!$B:$B,0)),"-")</f>
        <v>23348054</v>
      </c>
      <c r="S64" s="33">
        <v>1</v>
      </c>
      <c r="T64" s="30" t="s">
        <v>2529</v>
      </c>
      <c r="U64" s="33">
        <f>IFERROR(INDEX([1]Item!$A:$A,MATCH(T64,[1]Item!$B:$B,0)),"-")</f>
        <v>23347004</v>
      </c>
      <c r="V64" s="33">
        <v>10</v>
      </c>
      <c r="W64" s="30"/>
      <c r="X64" s="33" t="s">
        <v>545</v>
      </c>
      <c r="Y64" s="33" t="s">
        <v>545</v>
      </c>
    </row>
    <row r="65" spans="1:25">
      <c r="A65" s="29">
        <v>47100057</v>
      </c>
      <c r="B65" s="30" t="s">
        <v>1313</v>
      </c>
      <c r="C65" s="33" t="s">
        <v>899</v>
      </c>
      <c r="D65" s="33" t="s">
        <v>1003</v>
      </c>
      <c r="E65" s="55" t="b">
        <v>1</v>
      </c>
      <c r="F65" s="30">
        <v>1</v>
      </c>
      <c r="G65" s="200">
        <f t="shared" si="0"/>
        <v>350000</v>
      </c>
      <c r="H65" s="30" t="s">
        <v>475</v>
      </c>
      <c r="I65" s="33">
        <v>100001</v>
      </c>
      <c r="J65" s="50">
        <v>2500</v>
      </c>
      <c r="K65" s="30" t="s">
        <v>475</v>
      </c>
      <c r="L65" s="33">
        <v>100001</v>
      </c>
      <c r="M65" s="50">
        <v>19500</v>
      </c>
      <c r="N65" s="30"/>
      <c r="O65" s="33" t="s">
        <v>545</v>
      </c>
      <c r="P65" s="33" t="s">
        <v>545</v>
      </c>
      <c r="Q65" s="30" t="s">
        <v>2496</v>
      </c>
      <c r="R65" s="33">
        <f>IFERROR(INDEX([1]Item!$A:$A,MATCH(Q65,[1]Item!$B:$B,0)),"-")</f>
        <v>23348055</v>
      </c>
      <c r="S65" s="33">
        <v>1</v>
      </c>
      <c r="T65" s="30" t="s">
        <v>2529</v>
      </c>
      <c r="U65" s="33">
        <f>IFERROR(INDEX([1]Item!$A:$A,MATCH(T65,[1]Item!$B:$B,0)),"-")</f>
        <v>23347004</v>
      </c>
      <c r="V65" s="33">
        <v>10</v>
      </c>
      <c r="W65" s="30"/>
      <c r="X65" s="33" t="s">
        <v>545</v>
      </c>
      <c r="Y65" s="33" t="s">
        <v>545</v>
      </c>
    </row>
    <row r="66" spans="1:25">
      <c r="A66" s="29">
        <v>47100058</v>
      </c>
      <c r="B66" s="30" t="s">
        <v>1314</v>
      </c>
      <c r="C66" s="33" t="s">
        <v>900</v>
      </c>
      <c r="D66" s="33" t="s">
        <v>1004</v>
      </c>
      <c r="E66" s="55" t="b">
        <v>1</v>
      </c>
      <c r="F66" s="30">
        <v>1</v>
      </c>
      <c r="G66" s="200">
        <f t="shared" si="0"/>
        <v>350000</v>
      </c>
      <c r="H66" s="30" t="s">
        <v>475</v>
      </c>
      <c r="I66" s="33">
        <v>100001</v>
      </c>
      <c r="J66" s="50">
        <v>2500</v>
      </c>
      <c r="K66" s="30" t="s">
        <v>475</v>
      </c>
      <c r="L66" s="33">
        <v>100001</v>
      </c>
      <c r="M66" s="50">
        <v>19500</v>
      </c>
      <c r="N66" s="30"/>
      <c r="O66" s="33" t="s">
        <v>545</v>
      </c>
      <c r="P66" s="33" t="s">
        <v>545</v>
      </c>
      <c r="Q66" s="30" t="s">
        <v>2497</v>
      </c>
      <c r="R66" s="33">
        <f>IFERROR(INDEX([1]Item!$A:$A,MATCH(Q66,[1]Item!$B:$B,0)),"-")</f>
        <v>23348056</v>
      </c>
      <c r="S66" s="33">
        <v>1</v>
      </c>
      <c r="T66" s="30" t="s">
        <v>2529</v>
      </c>
      <c r="U66" s="33">
        <f>IFERROR(INDEX([1]Item!$A:$A,MATCH(T66,[1]Item!$B:$B,0)),"-")</f>
        <v>23347004</v>
      </c>
      <c r="V66" s="33">
        <v>10</v>
      </c>
      <c r="W66" s="30"/>
      <c r="X66" s="33" t="s">
        <v>545</v>
      </c>
      <c r="Y66" s="33" t="s">
        <v>545</v>
      </c>
    </row>
    <row r="67" spans="1:25">
      <c r="A67" s="29">
        <v>47100059</v>
      </c>
      <c r="B67" s="30" t="s">
        <v>1315</v>
      </c>
      <c r="C67" s="33" t="s">
        <v>901</v>
      </c>
      <c r="D67" s="33" t="s">
        <v>1005</v>
      </c>
      <c r="E67" s="55" t="b">
        <v>1</v>
      </c>
      <c r="F67" s="30">
        <v>1</v>
      </c>
      <c r="G67" s="200">
        <f t="shared" si="0"/>
        <v>350000</v>
      </c>
      <c r="H67" s="30" t="s">
        <v>475</v>
      </c>
      <c r="I67" s="33">
        <v>100001</v>
      </c>
      <c r="J67" s="50">
        <v>2500</v>
      </c>
      <c r="K67" s="30" t="s">
        <v>475</v>
      </c>
      <c r="L67" s="33">
        <v>100001</v>
      </c>
      <c r="M67" s="50">
        <v>19500</v>
      </c>
      <c r="N67" s="30"/>
      <c r="O67" s="33" t="s">
        <v>545</v>
      </c>
      <c r="P67" s="33" t="s">
        <v>545</v>
      </c>
      <c r="Q67" s="30" t="s">
        <v>2498</v>
      </c>
      <c r="R67" s="33">
        <f>IFERROR(INDEX([1]Item!$A:$A,MATCH(Q67,[1]Item!$B:$B,0)),"-")</f>
        <v>23348057</v>
      </c>
      <c r="S67" s="33">
        <v>1</v>
      </c>
      <c r="T67" s="30" t="s">
        <v>2529</v>
      </c>
      <c r="U67" s="33">
        <f>IFERROR(INDEX([1]Item!$A:$A,MATCH(T67,[1]Item!$B:$B,0)),"-")</f>
        <v>23347004</v>
      </c>
      <c r="V67" s="33">
        <v>10</v>
      </c>
      <c r="W67" s="30"/>
      <c r="X67" s="33" t="s">
        <v>545</v>
      </c>
      <c r="Y67" s="33" t="s">
        <v>545</v>
      </c>
    </row>
    <row r="68" spans="1:25">
      <c r="A68" s="29">
        <v>47100060</v>
      </c>
      <c r="B68" s="30" t="s">
        <v>1316</v>
      </c>
      <c r="C68" s="33" t="s">
        <v>902</v>
      </c>
      <c r="D68" s="33" t="s">
        <v>1006</v>
      </c>
      <c r="E68" s="55" t="b">
        <v>1</v>
      </c>
      <c r="F68" s="30">
        <v>1</v>
      </c>
      <c r="G68" s="200">
        <f t="shared" si="0"/>
        <v>350000</v>
      </c>
      <c r="H68" s="30" t="s">
        <v>475</v>
      </c>
      <c r="I68" s="33">
        <v>100001</v>
      </c>
      <c r="J68" s="50">
        <v>2500</v>
      </c>
      <c r="K68" s="30" t="s">
        <v>475</v>
      </c>
      <c r="L68" s="33">
        <v>100001</v>
      </c>
      <c r="M68" s="50">
        <v>19500</v>
      </c>
      <c r="N68" s="30"/>
      <c r="O68" s="33" t="s">
        <v>545</v>
      </c>
      <c r="P68" s="33" t="s">
        <v>545</v>
      </c>
      <c r="Q68" s="30" t="s">
        <v>2499</v>
      </c>
      <c r="R68" s="33">
        <f>IFERROR(INDEX([1]Item!$A:$A,MATCH(Q68,[1]Item!$B:$B,0)),"-")</f>
        <v>23348058</v>
      </c>
      <c r="S68" s="33">
        <v>1</v>
      </c>
      <c r="T68" s="30" t="s">
        <v>2529</v>
      </c>
      <c r="U68" s="33">
        <f>IFERROR(INDEX([1]Item!$A:$A,MATCH(T68,[1]Item!$B:$B,0)),"-")</f>
        <v>23347004</v>
      </c>
      <c r="V68" s="33">
        <v>10</v>
      </c>
      <c r="W68" s="30"/>
      <c r="X68" s="33" t="s">
        <v>545</v>
      </c>
      <c r="Y68" s="33" t="s">
        <v>545</v>
      </c>
    </row>
    <row r="69" spans="1:25">
      <c r="A69" s="29">
        <v>47100061</v>
      </c>
      <c r="B69" s="30" t="s">
        <v>1317</v>
      </c>
      <c r="C69" s="33" t="s">
        <v>903</v>
      </c>
      <c r="D69" s="33" t="s">
        <v>1007</v>
      </c>
      <c r="E69" s="55" t="b">
        <v>1</v>
      </c>
      <c r="F69" s="30">
        <v>1</v>
      </c>
      <c r="G69" s="200">
        <f t="shared" si="0"/>
        <v>350000</v>
      </c>
      <c r="H69" s="30" t="s">
        <v>475</v>
      </c>
      <c r="I69" s="33">
        <v>100001</v>
      </c>
      <c r="J69" s="50">
        <v>2500</v>
      </c>
      <c r="K69" s="30" t="s">
        <v>475</v>
      </c>
      <c r="L69" s="33">
        <v>100001</v>
      </c>
      <c r="M69" s="50">
        <v>19500</v>
      </c>
      <c r="N69" s="30"/>
      <c r="O69" s="33" t="s">
        <v>545</v>
      </c>
      <c r="P69" s="33" t="s">
        <v>545</v>
      </c>
      <c r="Q69" s="30" t="s">
        <v>2500</v>
      </c>
      <c r="R69" s="33">
        <f>IFERROR(INDEX([1]Item!$A:$A,MATCH(Q69,[1]Item!$B:$B,0)),"-")</f>
        <v>23348059</v>
      </c>
      <c r="S69" s="33">
        <v>1</v>
      </c>
      <c r="T69" s="30" t="s">
        <v>2529</v>
      </c>
      <c r="U69" s="33">
        <f>IFERROR(INDEX([1]Item!$A:$A,MATCH(T69,[1]Item!$B:$B,0)),"-")</f>
        <v>23347004</v>
      </c>
      <c r="V69" s="33">
        <v>10</v>
      </c>
      <c r="W69" s="30"/>
      <c r="X69" s="33" t="s">
        <v>545</v>
      </c>
      <c r="Y69" s="33" t="s">
        <v>545</v>
      </c>
    </row>
    <row r="70" spans="1:25">
      <c r="A70" s="29">
        <v>47100062</v>
      </c>
      <c r="B70" s="30" t="s">
        <v>1318</v>
      </c>
      <c r="C70" s="33" t="s">
        <v>904</v>
      </c>
      <c r="D70" s="33" t="s">
        <v>1008</v>
      </c>
      <c r="E70" s="55" t="b">
        <v>1</v>
      </c>
      <c r="F70" s="30">
        <v>1</v>
      </c>
      <c r="G70" s="200">
        <f t="shared" si="0"/>
        <v>350000</v>
      </c>
      <c r="H70" s="30" t="s">
        <v>475</v>
      </c>
      <c r="I70" s="33">
        <v>100001</v>
      </c>
      <c r="J70" s="50">
        <v>2500</v>
      </c>
      <c r="K70" s="30" t="s">
        <v>475</v>
      </c>
      <c r="L70" s="33">
        <v>100001</v>
      </c>
      <c r="M70" s="50">
        <v>19500</v>
      </c>
      <c r="N70" s="30"/>
      <c r="O70" s="33" t="s">
        <v>545</v>
      </c>
      <c r="P70" s="33" t="s">
        <v>545</v>
      </c>
      <c r="Q70" s="30" t="s">
        <v>2501</v>
      </c>
      <c r="R70" s="33">
        <f>IFERROR(INDEX([1]Item!$A:$A,MATCH(Q70,[1]Item!$B:$B,0)),"-")</f>
        <v>23348060</v>
      </c>
      <c r="S70" s="33">
        <v>1</v>
      </c>
      <c r="T70" s="30" t="s">
        <v>2529</v>
      </c>
      <c r="U70" s="33">
        <f>IFERROR(INDEX([1]Item!$A:$A,MATCH(T70,[1]Item!$B:$B,0)),"-")</f>
        <v>23347004</v>
      </c>
      <c r="V70" s="33">
        <v>10</v>
      </c>
      <c r="W70" s="30"/>
      <c r="X70" s="33" t="s">
        <v>545</v>
      </c>
      <c r="Y70" s="33" t="s">
        <v>545</v>
      </c>
    </row>
    <row r="71" spans="1:25">
      <c r="A71" s="29">
        <v>47100063</v>
      </c>
      <c r="B71" s="30" t="s">
        <v>1319</v>
      </c>
      <c r="C71" s="33" t="s">
        <v>905</v>
      </c>
      <c r="D71" s="33" t="s">
        <v>1009</v>
      </c>
      <c r="E71" s="55" t="b">
        <v>1</v>
      </c>
      <c r="F71" s="30">
        <v>1</v>
      </c>
      <c r="G71" s="200">
        <f t="shared" si="0"/>
        <v>350000</v>
      </c>
      <c r="H71" s="30" t="s">
        <v>475</v>
      </c>
      <c r="I71" s="33">
        <v>100001</v>
      </c>
      <c r="J71" s="50">
        <v>2500</v>
      </c>
      <c r="K71" s="30" t="s">
        <v>475</v>
      </c>
      <c r="L71" s="33">
        <v>100001</v>
      </c>
      <c r="M71" s="50">
        <v>19500</v>
      </c>
      <c r="N71" s="30"/>
      <c r="O71" s="33" t="s">
        <v>545</v>
      </c>
      <c r="P71" s="33" t="s">
        <v>545</v>
      </c>
      <c r="Q71" s="30" t="s">
        <v>2502</v>
      </c>
      <c r="R71" s="33">
        <f>IFERROR(INDEX([1]Item!$A:$A,MATCH(Q71,[1]Item!$B:$B,0)),"-")</f>
        <v>23348061</v>
      </c>
      <c r="S71" s="33">
        <v>1</v>
      </c>
      <c r="T71" s="30" t="s">
        <v>2529</v>
      </c>
      <c r="U71" s="33">
        <f>IFERROR(INDEX([1]Item!$A:$A,MATCH(T71,[1]Item!$B:$B,0)),"-")</f>
        <v>23347004</v>
      </c>
      <c r="V71" s="33">
        <v>10</v>
      </c>
      <c r="W71" s="30"/>
      <c r="X71" s="33" t="s">
        <v>545</v>
      </c>
      <c r="Y71" s="33" t="s">
        <v>545</v>
      </c>
    </row>
    <row r="72" spans="1:25">
      <c r="A72" s="29">
        <v>47100064</v>
      </c>
      <c r="B72" s="30" t="s">
        <v>1320</v>
      </c>
      <c r="C72" s="33" t="s">
        <v>906</v>
      </c>
      <c r="D72" s="33" t="s">
        <v>1010</v>
      </c>
      <c r="E72" s="55" t="b">
        <v>1</v>
      </c>
      <c r="F72" s="30">
        <v>1</v>
      </c>
      <c r="G72" s="200">
        <f t="shared" si="0"/>
        <v>350000</v>
      </c>
      <c r="H72" s="30" t="s">
        <v>475</v>
      </c>
      <c r="I72" s="33">
        <v>100001</v>
      </c>
      <c r="J72" s="50">
        <v>2500</v>
      </c>
      <c r="K72" s="30" t="s">
        <v>475</v>
      </c>
      <c r="L72" s="33">
        <v>100001</v>
      </c>
      <c r="M72" s="50">
        <v>19500</v>
      </c>
      <c r="N72" s="30"/>
      <c r="O72" s="33" t="s">
        <v>545</v>
      </c>
      <c r="P72" s="33" t="s">
        <v>545</v>
      </c>
      <c r="Q72" s="30" t="s">
        <v>2503</v>
      </c>
      <c r="R72" s="33">
        <f>IFERROR(INDEX([1]Item!$A:$A,MATCH(Q72,[1]Item!$B:$B,0)),"-")</f>
        <v>23348062</v>
      </c>
      <c r="S72" s="33">
        <v>1</v>
      </c>
      <c r="T72" s="30" t="s">
        <v>2529</v>
      </c>
      <c r="U72" s="33">
        <f>IFERROR(INDEX([1]Item!$A:$A,MATCH(T72,[1]Item!$B:$B,0)),"-")</f>
        <v>23347004</v>
      </c>
      <c r="V72" s="33">
        <v>10</v>
      </c>
      <c r="W72" s="30"/>
      <c r="X72" s="33" t="s">
        <v>545</v>
      </c>
      <c r="Y72" s="33" t="s">
        <v>545</v>
      </c>
    </row>
    <row r="73" spans="1:25">
      <c r="A73" s="29">
        <v>47100065</v>
      </c>
      <c r="B73" s="30" t="s">
        <v>1321</v>
      </c>
      <c r="C73" s="33" t="s">
        <v>907</v>
      </c>
      <c r="D73" s="33" t="s">
        <v>1011</v>
      </c>
      <c r="E73" s="55" t="b">
        <v>1</v>
      </c>
      <c r="F73" s="30">
        <v>1</v>
      </c>
      <c r="G73" s="200">
        <f t="shared" si="0"/>
        <v>350000</v>
      </c>
      <c r="H73" s="30" t="s">
        <v>475</v>
      </c>
      <c r="I73" s="33">
        <v>100001</v>
      </c>
      <c r="J73" s="50">
        <v>2500</v>
      </c>
      <c r="K73" s="30" t="s">
        <v>475</v>
      </c>
      <c r="L73" s="33">
        <v>100001</v>
      </c>
      <c r="M73" s="50">
        <v>19500</v>
      </c>
      <c r="N73" s="30"/>
      <c r="O73" s="33" t="s">
        <v>545</v>
      </c>
      <c r="P73" s="33" t="s">
        <v>545</v>
      </c>
      <c r="Q73" s="30" t="s">
        <v>2504</v>
      </c>
      <c r="R73" s="33">
        <f>IFERROR(INDEX([1]Item!$A:$A,MATCH(Q73,[1]Item!$B:$B,0)),"-")</f>
        <v>23348063</v>
      </c>
      <c r="S73" s="33">
        <v>1</v>
      </c>
      <c r="T73" s="30" t="s">
        <v>2529</v>
      </c>
      <c r="U73" s="33">
        <f>IFERROR(INDEX([1]Item!$A:$A,MATCH(T73,[1]Item!$B:$B,0)),"-")</f>
        <v>23347004</v>
      </c>
      <c r="V73" s="33">
        <v>10</v>
      </c>
      <c r="W73" s="30"/>
      <c r="X73" s="33" t="s">
        <v>545</v>
      </c>
      <c r="Y73" s="33" t="s">
        <v>545</v>
      </c>
    </row>
    <row r="74" spans="1:25">
      <c r="A74" s="29">
        <v>47100066</v>
      </c>
      <c r="B74" s="30" t="s">
        <v>1322</v>
      </c>
      <c r="C74" s="33" t="s">
        <v>908</v>
      </c>
      <c r="D74" s="33" t="s">
        <v>1012</v>
      </c>
      <c r="E74" s="55" t="b">
        <v>1</v>
      </c>
      <c r="F74" s="30">
        <v>1</v>
      </c>
      <c r="G74" s="200">
        <f t="shared" ref="G74:G119" si="1">IFERROR(INT(POWER(3,(POWER(F74-1,1.15)))) * 350000, 0)</f>
        <v>350000</v>
      </c>
      <c r="H74" s="30" t="s">
        <v>475</v>
      </c>
      <c r="I74" s="33">
        <v>100001</v>
      </c>
      <c r="J74" s="50">
        <v>2500</v>
      </c>
      <c r="K74" s="30" t="s">
        <v>475</v>
      </c>
      <c r="L74" s="33">
        <v>100001</v>
      </c>
      <c r="M74" s="50">
        <v>19500</v>
      </c>
      <c r="N74" s="30"/>
      <c r="O74" s="33" t="s">
        <v>545</v>
      </c>
      <c r="P74" s="33" t="s">
        <v>545</v>
      </c>
      <c r="Q74" s="30" t="s">
        <v>2505</v>
      </c>
      <c r="R74" s="33">
        <f>IFERROR(INDEX([1]Item!$A:$A,MATCH(Q74,[1]Item!$B:$B,0)),"-")</f>
        <v>23348064</v>
      </c>
      <c r="S74" s="33">
        <v>1</v>
      </c>
      <c r="T74" s="30" t="s">
        <v>2529</v>
      </c>
      <c r="U74" s="33">
        <f>IFERROR(INDEX([1]Item!$A:$A,MATCH(T74,[1]Item!$B:$B,0)),"-")</f>
        <v>23347004</v>
      </c>
      <c r="V74" s="33">
        <v>10</v>
      </c>
      <c r="W74" s="30"/>
      <c r="X74" s="33" t="s">
        <v>545</v>
      </c>
      <c r="Y74" s="33" t="s">
        <v>545</v>
      </c>
    </row>
    <row r="75" spans="1:25">
      <c r="A75" s="29">
        <v>47100067</v>
      </c>
      <c r="B75" s="30" t="s">
        <v>1323</v>
      </c>
      <c r="C75" s="33" t="s">
        <v>909</v>
      </c>
      <c r="D75" s="33" t="s">
        <v>1013</v>
      </c>
      <c r="E75" s="55" t="b">
        <v>1</v>
      </c>
      <c r="F75" s="30">
        <v>1</v>
      </c>
      <c r="G75" s="200">
        <f t="shared" si="1"/>
        <v>350000</v>
      </c>
      <c r="H75" s="30" t="s">
        <v>475</v>
      </c>
      <c r="I75" s="33">
        <v>100001</v>
      </c>
      <c r="J75" s="50">
        <v>2500</v>
      </c>
      <c r="K75" s="30" t="s">
        <v>475</v>
      </c>
      <c r="L75" s="33">
        <v>100001</v>
      </c>
      <c r="M75" s="50">
        <v>19500</v>
      </c>
      <c r="N75" s="30"/>
      <c r="O75" s="33" t="s">
        <v>545</v>
      </c>
      <c r="P75" s="33" t="s">
        <v>545</v>
      </c>
      <c r="Q75" s="30" t="s">
        <v>2506</v>
      </c>
      <c r="R75" s="33">
        <f>IFERROR(INDEX([1]Item!$A:$A,MATCH(Q75,[1]Item!$B:$B,0)),"-")</f>
        <v>23348065</v>
      </c>
      <c r="S75" s="33">
        <v>1</v>
      </c>
      <c r="T75" s="30" t="s">
        <v>2425</v>
      </c>
      <c r="U75" s="33" t="str">
        <f>IFERROR(INDEX([1]Item!$A:$A,MATCH(T75,[1]Item!$B:$B,0)),"-")</f>
        <v>-</v>
      </c>
      <c r="V75" s="33" t="s">
        <v>545</v>
      </c>
      <c r="W75" s="30"/>
      <c r="X75" s="33" t="s">
        <v>545</v>
      </c>
      <c r="Y75" s="33" t="s">
        <v>545</v>
      </c>
    </row>
    <row r="76" spans="1:25">
      <c r="A76" s="29">
        <v>47100068</v>
      </c>
      <c r="B76" s="30" t="s">
        <v>1324</v>
      </c>
      <c r="C76" s="33" t="s">
        <v>910</v>
      </c>
      <c r="D76" s="33" t="s">
        <v>1014</v>
      </c>
      <c r="E76" s="55" t="b">
        <v>1</v>
      </c>
      <c r="F76" s="30">
        <v>4</v>
      </c>
      <c r="G76" s="200">
        <f t="shared" si="1"/>
        <v>16800000</v>
      </c>
      <c r="H76" s="30" t="s">
        <v>475</v>
      </c>
      <c r="I76" s="33">
        <v>100001</v>
      </c>
      <c r="J76" s="50">
        <v>679500</v>
      </c>
      <c r="K76" s="30" t="s">
        <v>475</v>
      </c>
      <c r="L76" s="33">
        <v>100001</v>
      </c>
      <c r="M76" s="50">
        <v>5434000</v>
      </c>
      <c r="N76" s="30"/>
      <c r="O76" s="33" t="s">
        <v>545</v>
      </c>
      <c r="P76" s="33" t="s">
        <v>545</v>
      </c>
      <c r="Q76" s="30" t="s">
        <v>2457</v>
      </c>
      <c r="R76" s="33">
        <f>IFERROR(INDEX([1]Item!$A:$A,MATCH(Q76,[1]Item!$B:$B,0)),"-")</f>
        <v>23348066</v>
      </c>
      <c r="S76" s="33">
        <v>1</v>
      </c>
      <c r="T76" s="30" t="s">
        <v>2530</v>
      </c>
      <c r="U76" s="33">
        <f>IFERROR(INDEX([1]Item!$A:$A,MATCH(T76,[1]Item!$B:$B,0)),"-")</f>
        <v>23347001</v>
      </c>
      <c r="V76" s="33">
        <v>10</v>
      </c>
      <c r="W76" s="30"/>
      <c r="X76" s="33" t="s">
        <v>545</v>
      </c>
      <c r="Y76" s="33" t="s">
        <v>545</v>
      </c>
    </row>
    <row r="77" spans="1:25">
      <c r="A77" s="29">
        <v>47100069</v>
      </c>
      <c r="B77" s="30" t="s">
        <v>378</v>
      </c>
      <c r="C77" s="33" t="s">
        <v>911</v>
      </c>
      <c r="D77" s="33" t="s">
        <v>1015</v>
      </c>
      <c r="E77" s="55" t="b">
        <v>1</v>
      </c>
      <c r="F77" s="30">
        <v>4</v>
      </c>
      <c r="G77" s="200">
        <f t="shared" si="1"/>
        <v>16800000</v>
      </c>
      <c r="H77" s="30" t="s">
        <v>475</v>
      </c>
      <c r="I77" s="33">
        <v>100001</v>
      </c>
      <c r="J77" s="50">
        <v>679500</v>
      </c>
      <c r="K77" s="30" t="s">
        <v>475</v>
      </c>
      <c r="L77" s="33">
        <v>100001</v>
      </c>
      <c r="M77" s="50">
        <v>5434000</v>
      </c>
      <c r="N77" s="30"/>
      <c r="O77" s="33" t="s">
        <v>545</v>
      </c>
      <c r="P77" s="33" t="s">
        <v>545</v>
      </c>
      <c r="Q77" s="30" t="s">
        <v>2507</v>
      </c>
      <c r="R77" s="33">
        <f>IFERROR(INDEX([1]Item!$A:$A,MATCH(Q77,[1]Item!$B:$B,0)),"-")</f>
        <v>23348067</v>
      </c>
      <c r="S77" s="33">
        <v>1</v>
      </c>
      <c r="T77" s="30" t="s">
        <v>2425</v>
      </c>
      <c r="U77" s="33" t="str">
        <f>IFERROR(INDEX([1]Item!$A:$A,MATCH(T77,[1]Item!$B:$B,0)),"-")</f>
        <v>-</v>
      </c>
      <c r="V77" s="33" t="s">
        <v>545</v>
      </c>
      <c r="W77" s="30"/>
      <c r="X77" s="33" t="s">
        <v>545</v>
      </c>
      <c r="Y77" s="33" t="s">
        <v>545</v>
      </c>
    </row>
    <row r="78" spans="1:25">
      <c r="A78" s="29">
        <v>47100070</v>
      </c>
      <c r="B78" s="30" t="s">
        <v>379</v>
      </c>
      <c r="C78" s="33" t="s">
        <v>912</v>
      </c>
      <c r="D78" s="33" t="s">
        <v>1016</v>
      </c>
      <c r="E78" s="55" t="b">
        <v>1</v>
      </c>
      <c r="F78" s="30">
        <v>4</v>
      </c>
      <c r="G78" s="200">
        <f t="shared" si="1"/>
        <v>16800000</v>
      </c>
      <c r="H78" s="30" t="s">
        <v>475</v>
      </c>
      <c r="I78" s="33">
        <v>100001</v>
      </c>
      <c r="J78" s="50">
        <v>679500</v>
      </c>
      <c r="K78" s="30" t="s">
        <v>475</v>
      </c>
      <c r="L78" s="33">
        <v>100001</v>
      </c>
      <c r="M78" s="50">
        <v>5434000</v>
      </c>
      <c r="N78" s="30"/>
      <c r="O78" s="33" t="s">
        <v>545</v>
      </c>
      <c r="P78" s="33" t="s">
        <v>545</v>
      </c>
      <c r="Q78" s="30" t="s">
        <v>2458</v>
      </c>
      <c r="R78" s="33">
        <f>IFERROR(INDEX([1]Item!$A:$A,MATCH(Q78,[1]Item!$B:$B,0)),"-")</f>
        <v>23348068</v>
      </c>
      <c r="S78" s="33">
        <v>1</v>
      </c>
      <c r="T78" s="30" t="s">
        <v>2425</v>
      </c>
      <c r="U78" s="33" t="str">
        <f>IFERROR(INDEX([1]Item!$A:$A,MATCH(T78,[1]Item!$B:$B,0)),"-")</f>
        <v>-</v>
      </c>
      <c r="V78" s="33" t="s">
        <v>545</v>
      </c>
      <c r="W78" s="30"/>
      <c r="X78" s="33" t="s">
        <v>545</v>
      </c>
      <c r="Y78" s="33" t="s">
        <v>545</v>
      </c>
    </row>
    <row r="79" spans="1:25">
      <c r="A79" s="29">
        <v>47100071</v>
      </c>
      <c r="B79" s="30" t="s">
        <v>380</v>
      </c>
      <c r="C79" s="33" t="s">
        <v>913</v>
      </c>
      <c r="D79" s="33" t="s">
        <v>1017</v>
      </c>
      <c r="E79" s="55" t="b">
        <v>1</v>
      </c>
      <c r="F79" s="30">
        <v>4</v>
      </c>
      <c r="G79" s="200">
        <f t="shared" si="1"/>
        <v>16800000</v>
      </c>
      <c r="H79" s="30" t="s">
        <v>475</v>
      </c>
      <c r="I79" s="33">
        <v>100001</v>
      </c>
      <c r="J79" s="50">
        <v>679500</v>
      </c>
      <c r="K79" s="30" t="s">
        <v>475</v>
      </c>
      <c r="L79" s="33">
        <v>100001</v>
      </c>
      <c r="M79" s="50">
        <v>5434000</v>
      </c>
      <c r="N79" s="30"/>
      <c r="O79" s="33" t="s">
        <v>545</v>
      </c>
      <c r="P79" s="33" t="s">
        <v>545</v>
      </c>
      <c r="Q79" s="30" t="s">
        <v>2459</v>
      </c>
      <c r="R79" s="33">
        <f>IFERROR(INDEX([1]Item!$A:$A,MATCH(Q79,[1]Item!$B:$B,0)),"-")</f>
        <v>23348069</v>
      </c>
      <c r="S79" s="33">
        <v>1</v>
      </c>
      <c r="T79" s="30" t="s">
        <v>2425</v>
      </c>
      <c r="U79" s="33" t="str">
        <f>IFERROR(INDEX([1]Item!$A:$A,MATCH(T79,[1]Item!$B:$B,0)),"-")</f>
        <v>-</v>
      </c>
      <c r="V79" s="33" t="s">
        <v>545</v>
      </c>
      <c r="W79" s="30"/>
      <c r="X79" s="33" t="s">
        <v>545</v>
      </c>
      <c r="Y79" s="33" t="s">
        <v>545</v>
      </c>
    </row>
    <row r="80" spans="1:25">
      <c r="A80" s="29">
        <v>47100072</v>
      </c>
      <c r="B80" s="30" t="s">
        <v>381</v>
      </c>
      <c r="C80" s="33" t="s">
        <v>914</v>
      </c>
      <c r="D80" s="33" t="s">
        <v>1018</v>
      </c>
      <c r="E80" s="55" t="b">
        <v>1</v>
      </c>
      <c r="F80" s="30">
        <v>4</v>
      </c>
      <c r="G80" s="200">
        <f t="shared" si="1"/>
        <v>16800000</v>
      </c>
      <c r="H80" s="30" t="s">
        <v>475</v>
      </c>
      <c r="I80" s="33">
        <v>100001</v>
      </c>
      <c r="J80" s="50">
        <v>679500</v>
      </c>
      <c r="K80" s="30" t="s">
        <v>475</v>
      </c>
      <c r="L80" s="33">
        <v>100001</v>
      </c>
      <c r="M80" s="50">
        <v>5434000</v>
      </c>
      <c r="N80" s="30"/>
      <c r="O80" s="33" t="s">
        <v>545</v>
      </c>
      <c r="P80" s="33" t="s">
        <v>545</v>
      </c>
      <c r="Q80" s="30" t="s">
        <v>2460</v>
      </c>
      <c r="R80" s="33">
        <f>IFERROR(INDEX([1]Item!$A:$A,MATCH(Q80,[1]Item!$B:$B,0)),"-")</f>
        <v>23348070</v>
      </c>
      <c r="S80" s="33">
        <v>1</v>
      </c>
      <c r="T80" s="30" t="s">
        <v>2530</v>
      </c>
      <c r="U80" s="33">
        <f>IFERROR(INDEX([1]Item!$A:$A,MATCH(T80,[1]Item!$B:$B,0)),"-")</f>
        <v>23347001</v>
      </c>
      <c r="V80" s="33">
        <v>10</v>
      </c>
      <c r="W80" s="30"/>
      <c r="X80" s="33" t="s">
        <v>545</v>
      </c>
      <c r="Y80" s="33" t="s">
        <v>545</v>
      </c>
    </row>
    <row r="81" spans="1:25">
      <c r="A81" s="29">
        <v>47100073</v>
      </c>
      <c r="B81" s="30" t="s">
        <v>382</v>
      </c>
      <c r="C81" s="33" t="s">
        <v>915</v>
      </c>
      <c r="D81" s="33" t="s">
        <v>1019</v>
      </c>
      <c r="E81" s="55" t="b">
        <v>1</v>
      </c>
      <c r="F81" s="30">
        <v>4</v>
      </c>
      <c r="G81" s="200">
        <f t="shared" si="1"/>
        <v>16800000</v>
      </c>
      <c r="H81" s="30" t="s">
        <v>475</v>
      </c>
      <c r="I81" s="33">
        <v>100001</v>
      </c>
      <c r="J81" s="50">
        <v>679500</v>
      </c>
      <c r="K81" s="30" t="s">
        <v>475</v>
      </c>
      <c r="L81" s="33">
        <v>100001</v>
      </c>
      <c r="M81" s="50">
        <v>5434000</v>
      </c>
      <c r="N81" s="30"/>
      <c r="O81" s="33" t="s">
        <v>545</v>
      </c>
      <c r="P81" s="33" t="s">
        <v>545</v>
      </c>
      <c r="Q81" s="30" t="s">
        <v>2508</v>
      </c>
      <c r="R81" s="33">
        <f>IFERROR(INDEX([1]Item!$A:$A,MATCH(Q81,[1]Item!$B:$B,0)),"-")</f>
        <v>23348071</v>
      </c>
      <c r="S81" s="33">
        <v>1</v>
      </c>
      <c r="T81" s="30" t="s">
        <v>2425</v>
      </c>
      <c r="U81" s="33" t="str">
        <f>IFERROR(INDEX([1]Item!$A:$A,MATCH(T81,[1]Item!$B:$B,0)),"-")</f>
        <v>-</v>
      </c>
      <c r="V81" s="33" t="s">
        <v>545</v>
      </c>
      <c r="W81" s="30"/>
      <c r="X81" s="33" t="s">
        <v>545</v>
      </c>
      <c r="Y81" s="33" t="s">
        <v>545</v>
      </c>
    </row>
    <row r="82" spans="1:25">
      <c r="A82" s="29">
        <v>47100074</v>
      </c>
      <c r="B82" s="30" t="s">
        <v>1325</v>
      </c>
      <c r="C82" s="33" t="s">
        <v>916</v>
      </c>
      <c r="D82" s="33" t="s">
        <v>1020</v>
      </c>
      <c r="E82" s="55" t="b">
        <v>1</v>
      </c>
      <c r="F82" s="30">
        <v>4</v>
      </c>
      <c r="G82" s="200">
        <f t="shared" si="1"/>
        <v>16800000</v>
      </c>
      <c r="H82" s="30" t="s">
        <v>475</v>
      </c>
      <c r="I82" s="33">
        <v>100001</v>
      </c>
      <c r="J82" s="50">
        <v>679500</v>
      </c>
      <c r="K82" s="30" t="s">
        <v>475</v>
      </c>
      <c r="L82" s="33">
        <v>100001</v>
      </c>
      <c r="M82" s="50">
        <v>5434000</v>
      </c>
      <c r="N82" s="30"/>
      <c r="O82" s="33" t="s">
        <v>545</v>
      </c>
      <c r="P82" s="33" t="s">
        <v>545</v>
      </c>
      <c r="Q82" s="30" t="s">
        <v>2461</v>
      </c>
      <c r="R82" s="33">
        <f>IFERROR(INDEX([1]Item!$A:$A,MATCH(Q82,[1]Item!$B:$B,0)),"-")</f>
        <v>23348072</v>
      </c>
      <c r="S82" s="33">
        <v>1</v>
      </c>
      <c r="T82" s="30" t="s">
        <v>2425</v>
      </c>
      <c r="U82" s="33" t="str">
        <f>IFERROR(INDEX([1]Item!$A:$A,MATCH(T82,[1]Item!$B:$B,0)),"-")</f>
        <v>-</v>
      </c>
      <c r="V82" s="33" t="s">
        <v>545</v>
      </c>
      <c r="W82" s="30"/>
      <c r="X82" s="33" t="s">
        <v>545</v>
      </c>
      <c r="Y82" s="33" t="s">
        <v>545</v>
      </c>
    </row>
    <row r="83" spans="1:25">
      <c r="A83" s="29">
        <v>47100075</v>
      </c>
      <c r="B83" s="30" t="s">
        <v>383</v>
      </c>
      <c r="C83" s="33" t="s">
        <v>917</v>
      </c>
      <c r="D83" s="33" t="s">
        <v>1021</v>
      </c>
      <c r="E83" s="55" t="b">
        <v>1</v>
      </c>
      <c r="F83" s="30">
        <v>4</v>
      </c>
      <c r="G83" s="200">
        <f t="shared" si="1"/>
        <v>16800000</v>
      </c>
      <c r="H83" s="30" t="s">
        <v>475</v>
      </c>
      <c r="I83" s="33">
        <v>100001</v>
      </c>
      <c r="J83" s="50">
        <v>679500</v>
      </c>
      <c r="K83" s="30" t="s">
        <v>475</v>
      </c>
      <c r="L83" s="33">
        <v>100001</v>
      </c>
      <c r="M83" s="50">
        <v>5434000</v>
      </c>
      <c r="N83" s="30"/>
      <c r="O83" s="33" t="s">
        <v>545</v>
      </c>
      <c r="P83" s="33" t="s">
        <v>545</v>
      </c>
      <c r="Q83" s="30" t="s">
        <v>2462</v>
      </c>
      <c r="R83" s="33">
        <f>IFERROR(INDEX([1]Item!$A:$A,MATCH(Q83,[1]Item!$B:$B,0)),"-")</f>
        <v>23348073</v>
      </c>
      <c r="S83" s="33">
        <v>1</v>
      </c>
      <c r="T83" s="30" t="s">
        <v>2530</v>
      </c>
      <c r="U83" s="33">
        <f>IFERROR(INDEX([1]Item!$A:$A,MATCH(T83,[1]Item!$B:$B,0)),"-")</f>
        <v>23347001</v>
      </c>
      <c r="V83" s="33">
        <v>10</v>
      </c>
      <c r="W83" s="30"/>
      <c r="X83" s="33" t="s">
        <v>545</v>
      </c>
      <c r="Y83" s="33" t="s">
        <v>545</v>
      </c>
    </row>
    <row r="84" spans="1:25">
      <c r="A84" s="29">
        <v>47100076</v>
      </c>
      <c r="B84" s="30" t="s">
        <v>384</v>
      </c>
      <c r="C84" s="33" t="s">
        <v>918</v>
      </c>
      <c r="D84" s="33" t="s">
        <v>1022</v>
      </c>
      <c r="E84" s="55" t="b">
        <v>1</v>
      </c>
      <c r="F84" s="30">
        <v>4</v>
      </c>
      <c r="G84" s="200">
        <f t="shared" si="1"/>
        <v>16800000</v>
      </c>
      <c r="H84" s="30" t="s">
        <v>475</v>
      </c>
      <c r="I84" s="33">
        <v>100001</v>
      </c>
      <c r="J84" s="50">
        <v>679500</v>
      </c>
      <c r="K84" s="30" t="s">
        <v>475</v>
      </c>
      <c r="L84" s="33">
        <v>100001</v>
      </c>
      <c r="M84" s="50">
        <v>5434000</v>
      </c>
      <c r="N84" s="30"/>
      <c r="O84" s="33" t="s">
        <v>545</v>
      </c>
      <c r="P84" s="33" t="s">
        <v>545</v>
      </c>
      <c r="Q84" s="30" t="s">
        <v>2641</v>
      </c>
      <c r="R84" s="33">
        <f>IFERROR(INDEX([1]Item!$A:$A,MATCH(Q84,[1]Item!$B:$B,0)),"-")</f>
        <v>23348074</v>
      </c>
      <c r="S84" s="33">
        <v>1</v>
      </c>
      <c r="T84" s="30" t="s">
        <v>2425</v>
      </c>
      <c r="U84" s="33" t="str">
        <f>IFERROR(INDEX([1]Item!$A:$A,MATCH(T84,[1]Item!$B:$B,0)),"-")</f>
        <v>-</v>
      </c>
      <c r="V84" s="33" t="s">
        <v>545</v>
      </c>
      <c r="W84" s="30"/>
      <c r="X84" s="33" t="s">
        <v>545</v>
      </c>
      <c r="Y84" s="33" t="s">
        <v>545</v>
      </c>
    </row>
    <row r="85" spans="1:25">
      <c r="A85" s="29">
        <v>47100077</v>
      </c>
      <c r="B85" s="30" t="s">
        <v>385</v>
      </c>
      <c r="C85" s="33" t="s">
        <v>919</v>
      </c>
      <c r="D85" s="33" t="s">
        <v>1023</v>
      </c>
      <c r="E85" s="55" t="b">
        <v>1</v>
      </c>
      <c r="F85" s="30">
        <v>4</v>
      </c>
      <c r="G85" s="200">
        <f t="shared" si="1"/>
        <v>16800000</v>
      </c>
      <c r="H85" s="30" t="s">
        <v>475</v>
      </c>
      <c r="I85" s="33">
        <v>100001</v>
      </c>
      <c r="J85" s="50">
        <v>679500</v>
      </c>
      <c r="K85" s="30" t="s">
        <v>475</v>
      </c>
      <c r="L85" s="33">
        <v>100001</v>
      </c>
      <c r="M85" s="50">
        <v>5434000</v>
      </c>
      <c r="N85" s="30"/>
      <c r="O85" s="33" t="s">
        <v>545</v>
      </c>
      <c r="P85" s="33" t="s">
        <v>545</v>
      </c>
      <c r="Q85" s="30" t="s">
        <v>2463</v>
      </c>
      <c r="R85" s="33">
        <f>IFERROR(INDEX([1]Item!$A:$A,MATCH(Q85,[1]Item!$B:$B,0)),"-")</f>
        <v>23348075</v>
      </c>
      <c r="S85" s="33">
        <v>1</v>
      </c>
      <c r="T85" s="30" t="s">
        <v>2530</v>
      </c>
      <c r="U85" s="33">
        <f>IFERROR(INDEX([1]Item!$A:$A,MATCH(T85,[1]Item!$B:$B,0)),"-")</f>
        <v>23347001</v>
      </c>
      <c r="V85" s="33">
        <v>10</v>
      </c>
      <c r="W85" s="30"/>
      <c r="X85" s="33" t="s">
        <v>545</v>
      </c>
      <c r="Y85" s="33" t="s">
        <v>545</v>
      </c>
    </row>
    <row r="86" spans="1:25">
      <c r="A86" s="29">
        <v>47100078</v>
      </c>
      <c r="B86" s="30" t="s">
        <v>386</v>
      </c>
      <c r="C86" s="33" t="s">
        <v>920</v>
      </c>
      <c r="D86" s="33" t="s">
        <v>1024</v>
      </c>
      <c r="E86" s="55" t="b">
        <v>1</v>
      </c>
      <c r="F86" s="30">
        <v>4</v>
      </c>
      <c r="G86" s="200">
        <f t="shared" si="1"/>
        <v>16800000</v>
      </c>
      <c r="H86" s="30" t="s">
        <v>475</v>
      </c>
      <c r="I86" s="33">
        <v>100001</v>
      </c>
      <c r="J86" s="50">
        <v>679500</v>
      </c>
      <c r="K86" s="30" t="s">
        <v>475</v>
      </c>
      <c r="L86" s="33">
        <v>100001</v>
      </c>
      <c r="M86" s="50">
        <v>5434000</v>
      </c>
      <c r="N86" s="30"/>
      <c r="O86" s="33" t="s">
        <v>545</v>
      </c>
      <c r="P86" s="33" t="s">
        <v>545</v>
      </c>
      <c r="Q86" s="30" t="s">
        <v>2509</v>
      </c>
      <c r="R86" s="33">
        <f>IFERROR(INDEX([1]Item!$A:$A,MATCH(Q86,[1]Item!$B:$B,0)),"-")</f>
        <v>23348076</v>
      </c>
      <c r="S86" s="33">
        <v>1</v>
      </c>
      <c r="T86" s="30" t="s">
        <v>2425</v>
      </c>
      <c r="U86" s="33" t="str">
        <f>IFERROR(INDEX([1]Item!$A:$A,MATCH(T86,[1]Item!$B:$B,0)),"-")</f>
        <v>-</v>
      </c>
      <c r="V86" s="33" t="s">
        <v>545</v>
      </c>
      <c r="W86" s="30"/>
      <c r="X86" s="33" t="s">
        <v>545</v>
      </c>
      <c r="Y86" s="33" t="s">
        <v>545</v>
      </c>
    </row>
    <row r="87" spans="1:25">
      <c r="A87" s="29">
        <v>47100080</v>
      </c>
      <c r="B87" s="30" t="s">
        <v>1326</v>
      </c>
      <c r="C87" s="33" t="s">
        <v>921</v>
      </c>
      <c r="D87" s="33" t="s">
        <v>1025</v>
      </c>
      <c r="E87" s="55" t="b">
        <v>1</v>
      </c>
      <c r="F87" s="30">
        <v>4</v>
      </c>
      <c r="G87" s="200">
        <f t="shared" si="1"/>
        <v>16800000</v>
      </c>
      <c r="H87" s="30" t="s">
        <v>475</v>
      </c>
      <c r="I87" s="33">
        <v>100001</v>
      </c>
      <c r="J87" s="50">
        <v>679500</v>
      </c>
      <c r="K87" s="30" t="s">
        <v>475</v>
      </c>
      <c r="L87" s="33">
        <v>100001</v>
      </c>
      <c r="M87" s="50">
        <v>5434000</v>
      </c>
      <c r="N87" s="30"/>
      <c r="O87" s="33" t="s">
        <v>545</v>
      </c>
      <c r="P87" s="33" t="s">
        <v>545</v>
      </c>
      <c r="Q87" s="30" t="s">
        <v>2464</v>
      </c>
      <c r="R87" s="33">
        <f>IFERROR(INDEX([1]Item!$A:$A,MATCH(Q87,[1]Item!$B:$B,0)),"-")</f>
        <v>23348077</v>
      </c>
      <c r="S87" s="33">
        <v>1</v>
      </c>
      <c r="T87" s="30" t="s">
        <v>2425</v>
      </c>
      <c r="U87" s="33" t="str">
        <f>IFERROR(INDEX([1]Item!$A:$A,MATCH(T87,[1]Item!$B:$B,0)),"-")</f>
        <v>-</v>
      </c>
      <c r="V87" s="33" t="s">
        <v>545</v>
      </c>
      <c r="W87" s="30"/>
      <c r="X87" s="33" t="s">
        <v>545</v>
      </c>
      <c r="Y87" s="33" t="s">
        <v>545</v>
      </c>
    </row>
    <row r="88" spans="1:25">
      <c r="A88" s="29">
        <v>47100081</v>
      </c>
      <c r="B88" s="30" t="s">
        <v>1327</v>
      </c>
      <c r="C88" s="33" t="s">
        <v>922</v>
      </c>
      <c r="D88" s="33" t="s">
        <v>1026</v>
      </c>
      <c r="E88" s="55" t="b">
        <v>1</v>
      </c>
      <c r="F88" s="30">
        <v>4</v>
      </c>
      <c r="G88" s="200">
        <f t="shared" si="1"/>
        <v>16800000</v>
      </c>
      <c r="H88" s="30" t="s">
        <v>475</v>
      </c>
      <c r="I88" s="33">
        <v>100001</v>
      </c>
      <c r="J88" s="50">
        <v>679500</v>
      </c>
      <c r="K88" s="30" t="s">
        <v>475</v>
      </c>
      <c r="L88" s="33">
        <v>100001</v>
      </c>
      <c r="M88" s="50">
        <v>5434000</v>
      </c>
      <c r="N88" s="30"/>
      <c r="O88" s="33" t="s">
        <v>545</v>
      </c>
      <c r="P88" s="33" t="s">
        <v>545</v>
      </c>
      <c r="Q88" s="30" t="s">
        <v>2465</v>
      </c>
      <c r="R88" s="33">
        <f>IFERROR(INDEX([1]Item!$A:$A,MATCH(Q88,[1]Item!$B:$B,0)),"-")</f>
        <v>23348078</v>
      </c>
      <c r="S88" s="33">
        <v>1</v>
      </c>
      <c r="T88" s="30" t="s">
        <v>2530</v>
      </c>
      <c r="U88" s="33">
        <f>IFERROR(INDEX([1]Item!$A:$A,MATCH(T88,[1]Item!$B:$B,0)),"-")</f>
        <v>23347001</v>
      </c>
      <c r="V88" s="33">
        <v>10</v>
      </c>
      <c r="W88" s="30"/>
      <c r="X88" s="33" t="s">
        <v>545</v>
      </c>
      <c r="Y88" s="33" t="s">
        <v>545</v>
      </c>
    </row>
    <row r="89" spans="1:25">
      <c r="A89" s="29">
        <v>47100082</v>
      </c>
      <c r="B89" s="30" t="s">
        <v>387</v>
      </c>
      <c r="C89" s="33" t="s">
        <v>923</v>
      </c>
      <c r="D89" s="33" t="s">
        <v>1027</v>
      </c>
      <c r="E89" s="55" t="b">
        <v>1</v>
      </c>
      <c r="F89" s="30">
        <v>4</v>
      </c>
      <c r="G89" s="200">
        <f t="shared" si="1"/>
        <v>16800000</v>
      </c>
      <c r="H89" s="30" t="s">
        <v>475</v>
      </c>
      <c r="I89" s="33">
        <v>100001</v>
      </c>
      <c r="J89" s="50">
        <v>679500</v>
      </c>
      <c r="K89" s="30" t="s">
        <v>475</v>
      </c>
      <c r="L89" s="33">
        <v>100001</v>
      </c>
      <c r="M89" s="50">
        <v>5434000</v>
      </c>
      <c r="N89" s="30"/>
      <c r="O89" s="33" t="s">
        <v>545</v>
      </c>
      <c r="P89" s="33" t="s">
        <v>545</v>
      </c>
      <c r="Q89" s="30" t="s">
        <v>2510</v>
      </c>
      <c r="R89" s="33">
        <f>IFERROR(INDEX([1]Item!$A:$A,MATCH(Q89,[1]Item!$B:$B,0)),"-")</f>
        <v>23348079</v>
      </c>
      <c r="S89" s="33">
        <v>1</v>
      </c>
      <c r="T89" s="30" t="s">
        <v>2530</v>
      </c>
      <c r="U89" s="33">
        <f>IFERROR(INDEX([1]Item!$A:$A,MATCH(T89,[1]Item!$B:$B,0)),"-")</f>
        <v>23347001</v>
      </c>
      <c r="V89" s="33">
        <v>10</v>
      </c>
      <c r="W89" s="30"/>
      <c r="X89" s="33" t="s">
        <v>545</v>
      </c>
      <c r="Y89" s="33" t="s">
        <v>545</v>
      </c>
    </row>
    <row r="90" spans="1:25">
      <c r="A90" s="29">
        <v>47100083</v>
      </c>
      <c r="B90" s="30" t="s">
        <v>388</v>
      </c>
      <c r="C90" s="33" t="s">
        <v>924</v>
      </c>
      <c r="D90" s="33" t="s">
        <v>1028</v>
      </c>
      <c r="E90" s="55" t="b">
        <v>1</v>
      </c>
      <c r="F90" s="30">
        <v>4</v>
      </c>
      <c r="G90" s="200">
        <f t="shared" si="1"/>
        <v>16800000</v>
      </c>
      <c r="H90" s="30" t="s">
        <v>475</v>
      </c>
      <c r="I90" s="33">
        <v>100001</v>
      </c>
      <c r="J90" s="50">
        <v>679500</v>
      </c>
      <c r="K90" s="30" t="s">
        <v>475</v>
      </c>
      <c r="L90" s="33">
        <v>100001</v>
      </c>
      <c r="M90" s="50">
        <v>5434000</v>
      </c>
      <c r="N90" s="30"/>
      <c r="O90" s="33" t="s">
        <v>545</v>
      </c>
      <c r="P90" s="33" t="s">
        <v>545</v>
      </c>
      <c r="Q90" s="30" t="s">
        <v>2511</v>
      </c>
      <c r="R90" s="33">
        <f>IFERROR(INDEX([1]Item!$A:$A,MATCH(Q90,[1]Item!$B:$B,0)),"-")</f>
        <v>23348080</v>
      </c>
      <c r="S90" s="33">
        <v>1</v>
      </c>
      <c r="T90" s="30" t="s">
        <v>2425</v>
      </c>
      <c r="U90" s="33" t="str">
        <f>IFERROR(INDEX([1]Item!$A:$A,MATCH(T90,[1]Item!$B:$B,0)),"-")</f>
        <v>-</v>
      </c>
      <c r="V90" s="33" t="s">
        <v>545</v>
      </c>
      <c r="W90" s="30"/>
      <c r="X90" s="33" t="s">
        <v>545</v>
      </c>
      <c r="Y90" s="33" t="s">
        <v>545</v>
      </c>
    </row>
    <row r="91" spans="1:25">
      <c r="A91" s="29">
        <v>47100084</v>
      </c>
      <c r="B91" s="30" t="s">
        <v>1328</v>
      </c>
      <c r="C91" s="33" t="s">
        <v>925</v>
      </c>
      <c r="D91" s="33" t="s">
        <v>1029</v>
      </c>
      <c r="E91" s="55" t="b">
        <v>1</v>
      </c>
      <c r="F91" s="30">
        <v>4</v>
      </c>
      <c r="G91" s="200">
        <f t="shared" si="1"/>
        <v>16800000</v>
      </c>
      <c r="H91" s="30" t="s">
        <v>475</v>
      </c>
      <c r="I91" s="33">
        <v>100001</v>
      </c>
      <c r="J91" s="50">
        <v>679500</v>
      </c>
      <c r="K91" s="30" t="s">
        <v>475</v>
      </c>
      <c r="L91" s="33">
        <v>100001</v>
      </c>
      <c r="M91" s="50">
        <v>5434000</v>
      </c>
      <c r="N91" s="30"/>
      <c r="O91" s="33" t="s">
        <v>545</v>
      </c>
      <c r="P91" s="33" t="s">
        <v>545</v>
      </c>
      <c r="Q91" s="30" t="s">
        <v>2466</v>
      </c>
      <c r="R91" s="33">
        <f>IFERROR(INDEX([1]Item!$A:$A,MATCH(Q91,[1]Item!$B:$B,0)),"-")</f>
        <v>23348081</v>
      </c>
      <c r="S91" s="33">
        <v>1</v>
      </c>
      <c r="T91" s="30" t="s">
        <v>2528</v>
      </c>
      <c r="U91" s="33">
        <f>IFERROR(INDEX([1]Item!$A:$A,MATCH(T91,[1]Item!$B:$B,0)),"-")</f>
        <v>23347003</v>
      </c>
      <c r="V91" s="33">
        <v>10</v>
      </c>
      <c r="W91" s="30"/>
      <c r="X91" s="33" t="s">
        <v>545</v>
      </c>
      <c r="Y91" s="33" t="s">
        <v>545</v>
      </c>
    </row>
    <row r="92" spans="1:25">
      <c r="A92" s="29">
        <v>47100085</v>
      </c>
      <c r="B92" s="30" t="s">
        <v>1329</v>
      </c>
      <c r="C92" s="33" t="s">
        <v>926</v>
      </c>
      <c r="D92" s="33" t="s">
        <v>1030</v>
      </c>
      <c r="E92" s="55" t="b">
        <v>1</v>
      </c>
      <c r="F92" s="30">
        <v>2</v>
      </c>
      <c r="G92" s="200">
        <f t="shared" si="1"/>
        <v>1050000</v>
      </c>
      <c r="H92" s="30" t="s">
        <v>475</v>
      </c>
      <c r="I92" s="33">
        <v>100001</v>
      </c>
      <c r="J92" s="50">
        <v>20000</v>
      </c>
      <c r="K92" s="30" t="s">
        <v>475</v>
      </c>
      <c r="L92" s="33">
        <v>100001</v>
      </c>
      <c r="M92" s="50">
        <v>157500</v>
      </c>
      <c r="N92" s="30"/>
      <c r="O92" s="33" t="s">
        <v>545</v>
      </c>
      <c r="P92" s="33" t="s">
        <v>545</v>
      </c>
      <c r="Q92" s="30" t="s">
        <v>2512</v>
      </c>
      <c r="R92" s="33">
        <f>IFERROR(INDEX([1]Item!$A:$A,MATCH(Q92,[1]Item!$B:$B,0)),"-")</f>
        <v>23348082</v>
      </c>
      <c r="S92" s="33">
        <v>1</v>
      </c>
      <c r="T92" s="30" t="s">
        <v>2528</v>
      </c>
      <c r="U92" s="33">
        <f>IFERROR(INDEX([1]Item!$A:$A,MATCH(T92,[1]Item!$B:$B,0)),"-")</f>
        <v>23347003</v>
      </c>
      <c r="V92" s="33">
        <v>10</v>
      </c>
      <c r="W92" s="30"/>
      <c r="X92" s="33" t="s">
        <v>545</v>
      </c>
      <c r="Y92" s="33" t="s">
        <v>545</v>
      </c>
    </row>
    <row r="93" spans="1:25">
      <c r="A93" s="29">
        <v>47100086</v>
      </c>
      <c r="B93" s="30" t="s">
        <v>1330</v>
      </c>
      <c r="C93" s="33" t="s">
        <v>927</v>
      </c>
      <c r="D93" s="33" t="s">
        <v>1031</v>
      </c>
      <c r="E93" s="55" t="b">
        <v>1</v>
      </c>
      <c r="F93" s="30">
        <v>2</v>
      </c>
      <c r="G93" s="200">
        <f t="shared" si="1"/>
        <v>1050000</v>
      </c>
      <c r="H93" s="30" t="s">
        <v>475</v>
      </c>
      <c r="I93" s="33">
        <v>100001</v>
      </c>
      <c r="J93" s="50">
        <v>20000</v>
      </c>
      <c r="K93" s="30" t="s">
        <v>475</v>
      </c>
      <c r="L93" s="33">
        <v>100001</v>
      </c>
      <c r="M93" s="50">
        <v>157500</v>
      </c>
      <c r="N93" s="30"/>
      <c r="O93" s="33" t="s">
        <v>545</v>
      </c>
      <c r="P93" s="33" t="s">
        <v>545</v>
      </c>
      <c r="Q93" s="30" t="s">
        <v>2513</v>
      </c>
      <c r="R93" s="33">
        <f>IFERROR(INDEX([1]Item!$A:$A,MATCH(Q93,[1]Item!$B:$B,0)),"-")</f>
        <v>23348083</v>
      </c>
      <c r="S93" s="33">
        <v>1</v>
      </c>
      <c r="T93" s="30" t="s">
        <v>2425</v>
      </c>
      <c r="U93" s="33" t="str">
        <f>IFERROR(INDEX([1]Item!$A:$A,MATCH(T93,[1]Item!$B:$B,0)),"-")</f>
        <v>-</v>
      </c>
      <c r="V93" s="33" t="s">
        <v>545</v>
      </c>
      <c r="W93" s="30"/>
      <c r="X93" s="33" t="s">
        <v>545</v>
      </c>
      <c r="Y93" s="33" t="s">
        <v>545</v>
      </c>
    </row>
    <row r="94" spans="1:25">
      <c r="A94" s="29">
        <v>47100087</v>
      </c>
      <c r="B94" s="30" t="s">
        <v>1331</v>
      </c>
      <c r="C94" s="33" t="s">
        <v>928</v>
      </c>
      <c r="D94" s="33" t="s">
        <v>1032</v>
      </c>
      <c r="E94" s="55" t="b">
        <v>1</v>
      </c>
      <c r="F94" s="30">
        <v>3</v>
      </c>
      <c r="G94" s="200">
        <f t="shared" si="1"/>
        <v>3850000</v>
      </c>
      <c r="H94" s="30" t="s">
        <v>475</v>
      </c>
      <c r="I94" s="33">
        <v>100001</v>
      </c>
      <c r="J94" s="50">
        <v>126500</v>
      </c>
      <c r="K94" s="30" t="s">
        <v>475</v>
      </c>
      <c r="L94" s="33">
        <v>100001</v>
      </c>
      <c r="M94" s="50">
        <v>1009500</v>
      </c>
      <c r="N94" s="30"/>
      <c r="O94" s="33" t="s">
        <v>545</v>
      </c>
      <c r="P94" s="33" t="s">
        <v>545</v>
      </c>
      <c r="Q94" s="30" t="s">
        <v>2467</v>
      </c>
      <c r="R94" s="33">
        <f>IFERROR(INDEX([1]Item!$A:$A,MATCH(Q94,[1]Item!$B:$B,0)),"-")</f>
        <v>23348084</v>
      </c>
      <c r="S94" s="33">
        <v>1</v>
      </c>
      <c r="T94" s="30" t="s">
        <v>2425</v>
      </c>
      <c r="U94" s="33" t="str">
        <f>IFERROR(INDEX([1]Item!$A:$A,MATCH(T94,[1]Item!$B:$B,0)),"-")</f>
        <v>-</v>
      </c>
      <c r="V94" s="33" t="s">
        <v>545</v>
      </c>
      <c r="W94" s="30"/>
      <c r="X94" s="33" t="s">
        <v>545</v>
      </c>
      <c r="Y94" s="33" t="s">
        <v>545</v>
      </c>
    </row>
    <row r="95" spans="1:25">
      <c r="A95" s="29">
        <v>47100088</v>
      </c>
      <c r="B95" s="30" t="s">
        <v>1332</v>
      </c>
      <c r="C95" s="33" t="s">
        <v>929</v>
      </c>
      <c r="D95" s="33" t="s">
        <v>1033</v>
      </c>
      <c r="E95" s="55" t="b">
        <v>1</v>
      </c>
      <c r="F95" s="30">
        <v>3</v>
      </c>
      <c r="G95" s="200">
        <f t="shared" si="1"/>
        <v>3850000</v>
      </c>
      <c r="H95" s="30" t="s">
        <v>475</v>
      </c>
      <c r="I95" s="33">
        <v>100001</v>
      </c>
      <c r="J95" s="50">
        <v>126500</v>
      </c>
      <c r="K95" s="30" t="s">
        <v>475</v>
      </c>
      <c r="L95" s="33">
        <v>100001</v>
      </c>
      <c r="M95" s="50">
        <v>1009500</v>
      </c>
      <c r="N95" s="30"/>
      <c r="O95" s="33" t="s">
        <v>545</v>
      </c>
      <c r="P95" s="33" t="s">
        <v>545</v>
      </c>
      <c r="Q95" s="30" t="s">
        <v>2468</v>
      </c>
      <c r="R95" s="33">
        <f>IFERROR(INDEX([1]Item!$A:$A,MATCH(Q95,[1]Item!$B:$B,0)),"-")</f>
        <v>23348085</v>
      </c>
      <c r="S95" s="33">
        <v>1</v>
      </c>
      <c r="T95" s="30" t="s">
        <v>2425</v>
      </c>
      <c r="U95" s="33" t="str">
        <f>IFERROR(INDEX([1]Item!$A:$A,MATCH(T95,[1]Item!$B:$B,0)),"-")</f>
        <v>-</v>
      </c>
      <c r="V95" s="33" t="s">
        <v>545</v>
      </c>
      <c r="W95" s="30"/>
      <c r="X95" s="33" t="s">
        <v>545</v>
      </c>
      <c r="Y95" s="33" t="s">
        <v>545</v>
      </c>
    </row>
    <row r="96" spans="1:25">
      <c r="A96" s="29">
        <v>47100089</v>
      </c>
      <c r="B96" s="30" t="s">
        <v>1333</v>
      </c>
      <c r="C96" s="33" t="s">
        <v>930</v>
      </c>
      <c r="D96" s="33" t="s">
        <v>1034</v>
      </c>
      <c r="E96" s="55" t="b">
        <v>1</v>
      </c>
      <c r="F96" s="30">
        <v>3</v>
      </c>
      <c r="G96" s="200">
        <f t="shared" si="1"/>
        <v>3850000</v>
      </c>
      <c r="H96" s="30" t="s">
        <v>475</v>
      </c>
      <c r="I96" s="33">
        <v>100001</v>
      </c>
      <c r="J96" s="50">
        <v>126500</v>
      </c>
      <c r="K96" s="30" t="s">
        <v>475</v>
      </c>
      <c r="L96" s="33">
        <v>100001</v>
      </c>
      <c r="M96" s="50">
        <v>1009500</v>
      </c>
      <c r="N96" s="30"/>
      <c r="O96" s="33" t="s">
        <v>545</v>
      </c>
      <c r="P96" s="33" t="s">
        <v>545</v>
      </c>
      <c r="Q96" s="30" t="s">
        <v>2469</v>
      </c>
      <c r="R96" s="33">
        <f>IFERROR(INDEX([1]Item!$A:$A,MATCH(Q96,[1]Item!$B:$B,0)),"-")</f>
        <v>23348086</v>
      </c>
      <c r="S96" s="33">
        <v>1</v>
      </c>
      <c r="T96" s="30" t="s">
        <v>2425</v>
      </c>
      <c r="U96" s="33" t="str">
        <f>IFERROR(INDEX([1]Item!$A:$A,MATCH(T96,[1]Item!$B:$B,0)),"-")</f>
        <v>-</v>
      </c>
      <c r="V96" s="33" t="s">
        <v>545</v>
      </c>
      <c r="W96" s="30"/>
      <c r="X96" s="33" t="s">
        <v>545</v>
      </c>
      <c r="Y96" s="33" t="s">
        <v>545</v>
      </c>
    </row>
    <row r="97" spans="1:25">
      <c r="A97" s="29">
        <v>47100090</v>
      </c>
      <c r="B97" s="30" t="s">
        <v>1334</v>
      </c>
      <c r="C97" s="33" t="s">
        <v>931</v>
      </c>
      <c r="D97" s="33" t="s">
        <v>1035</v>
      </c>
      <c r="E97" s="55" t="b">
        <v>1</v>
      </c>
      <c r="F97" s="30">
        <v>3</v>
      </c>
      <c r="G97" s="200">
        <f t="shared" si="1"/>
        <v>3850000</v>
      </c>
      <c r="H97" s="30" t="s">
        <v>475</v>
      </c>
      <c r="I97" s="33">
        <v>100001</v>
      </c>
      <c r="J97" s="50">
        <v>126500</v>
      </c>
      <c r="K97" s="30" t="s">
        <v>475</v>
      </c>
      <c r="L97" s="33">
        <v>100001</v>
      </c>
      <c r="M97" s="50">
        <v>1009500</v>
      </c>
      <c r="N97" s="30"/>
      <c r="O97" s="33" t="s">
        <v>545</v>
      </c>
      <c r="P97" s="33" t="s">
        <v>545</v>
      </c>
      <c r="Q97" s="30" t="s">
        <v>2470</v>
      </c>
      <c r="R97" s="33">
        <f>IFERROR(INDEX([1]Item!$A:$A,MATCH(Q97,[1]Item!$B:$B,0)),"-")</f>
        <v>23348087</v>
      </c>
      <c r="S97" s="33">
        <v>1</v>
      </c>
      <c r="T97" s="30" t="s">
        <v>2425</v>
      </c>
      <c r="U97" s="33" t="str">
        <f>IFERROR(INDEX([1]Item!$A:$A,MATCH(T97,[1]Item!$B:$B,0)),"-")</f>
        <v>-</v>
      </c>
      <c r="V97" s="33" t="s">
        <v>545</v>
      </c>
      <c r="W97" s="30"/>
      <c r="X97" s="33" t="s">
        <v>545</v>
      </c>
      <c r="Y97" s="33" t="s">
        <v>545</v>
      </c>
    </row>
    <row r="98" spans="1:25">
      <c r="A98" s="29">
        <v>47100091</v>
      </c>
      <c r="B98" s="30" t="s">
        <v>1335</v>
      </c>
      <c r="C98" s="33" t="s">
        <v>932</v>
      </c>
      <c r="D98" s="33" t="s">
        <v>1036</v>
      </c>
      <c r="E98" s="55" t="b">
        <v>1</v>
      </c>
      <c r="F98" s="30">
        <v>4</v>
      </c>
      <c r="G98" s="200">
        <f t="shared" si="1"/>
        <v>16800000</v>
      </c>
      <c r="H98" s="30" t="s">
        <v>475</v>
      </c>
      <c r="I98" s="33">
        <v>100001</v>
      </c>
      <c r="J98" s="50">
        <v>679500</v>
      </c>
      <c r="K98" s="30" t="s">
        <v>475</v>
      </c>
      <c r="L98" s="33">
        <v>100001</v>
      </c>
      <c r="M98" s="50">
        <v>5434000</v>
      </c>
      <c r="N98" s="30"/>
      <c r="O98" s="33" t="s">
        <v>545</v>
      </c>
      <c r="P98" s="33" t="s">
        <v>545</v>
      </c>
      <c r="Q98" s="30" t="s">
        <v>2471</v>
      </c>
      <c r="R98" s="33">
        <f>IFERROR(INDEX([1]Item!$A:$A,MATCH(Q98,[1]Item!$B:$B,0)),"-")</f>
        <v>23348088</v>
      </c>
      <c r="S98" s="33">
        <v>1</v>
      </c>
      <c r="T98" s="30" t="s">
        <v>2529</v>
      </c>
      <c r="U98" s="33">
        <f>IFERROR(INDEX([1]Item!$A:$A,MATCH(T98,[1]Item!$B:$B,0)),"-")</f>
        <v>23347004</v>
      </c>
      <c r="V98" s="33">
        <v>10</v>
      </c>
      <c r="W98" s="30"/>
      <c r="X98" s="33" t="s">
        <v>545</v>
      </c>
      <c r="Y98" s="33" t="s">
        <v>545</v>
      </c>
    </row>
    <row r="99" spans="1:25">
      <c r="A99" s="29">
        <v>47100092</v>
      </c>
      <c r="B99" s="30" t="s">
        <v>1336</v>
      </c>
      <c r="C99" s="33" t="s">
        <v>933</v>
      </c>
      <c r="D99" s="33" t="s">
        <v>1037</v>
      </c>
      <c r="E99" s="55" t="b">
        <v>1</v>
      </c>
      <c r="F99" s="30">
        <v>1</v>
      </c>
      <c r="G99" s="200">
        <f t="shared" si="1"/>
        <v>350000</v>
      </c>
      <c r="H99" s="30" t="s">
        <v>475</v>
      </c>
      <c r="I99" s="33">
        <v>100001</v>
      </c>
      <c r="J99" s="50">
        <v>2500</v>
      </c>
      <c r="K99" s="30" t="s">
        <v>475</v>
      </c>
      <c r="L99" s="33">
        <v>100001</v>
      </c>
      <c r="M99" s="50">
        <v>19500</v>
      </c>
      <c r="N99" s="30"/>
      <c r="O99" s="33" t="s">
        <v>545</v>
      </c>
      <c r="P99" s="33" t="s">
        <v>545</v>
      </c>
      <c r="Q99" s="30" t="s">
        <v>2514</v>
      </c>
      <c r="R99" s="33">
        <f>IFERROR(INDEX([1]Item!$A:$A,MATCH(Q99,[1]Item!$B:$B,0)),"-")</f>
        <v>23348089</v>
      </c>
      <c r="S99" s="33">
        <v>1</v>
      </c>
      <c r="T99" s="30" t="s">
        <v>2528</v>
      </c>
      <c r="U99" s="33">
        <f>IFERROR(INDEX([1]Item!$A:$A,MATCH(T99,[1]Item!$B:$B,0)),"-")</f>
        <v>23347003</v>
      </c>
      <c r="V99" s="33">
        <v>10</v>
      </c>
      <c r="W99" s="30"/>
      <c r="X99" s="33" t="s">
        <v>545</v>
      </c>
      <c r="Y99" s="33" t="s">
        <v>545</v>
      </c>
    </row>
    <row r="100" spans="1:25">
      <c r="A100" s="29">
        <v>47100093</v>
      </c>
      <c r="B100" s="30" t="s">
        <v>1337</v>
      </c>
      <c r="C100" s="33" t="s">
        <v>934</v>
      </c>
      <c r="D100" s="33" t="s">
        <v>1038</v>
      </c>
      <c r="E100" s="55" t="b">
        <v>1</v>
      </c>
      <c r="F100" s="30">
        <v>2</v>
      </c>
      <c r="G100" s="200">
        <f t="shared" si="1"/>
        <v>1050000</v>
      </c>
      <c r="H100" s="30" t="s">
        <v>475</v>
      </c>
      <c r="I100" s="33">
        <v>100001</v>
      </c>
      <c r="J100" s="50">
        <v>20000</v>
      </c>
      <c r="K100" s="30" t="s">
        <v>475</v>
      </c>
      <c r="L100" s="33">
        <v>100001</v>
      </c>
      <c r="M100" s="50">
        <v>157500</v>
      </c>
      <c r="N100" s="30"/>
      <c r="O100" s="33" t="s">
        <v>545</v>
      </c>
      <c r="P100" s="33" t="s">
        <v>545</v>
      </c>
      <c r="Q100" s="30" t="s">
        <v>2515</v>
      </c>
      <c r="R100" s="33">
        <f>IFERROR(INDEX([1]Item!$A:$A,MATCH(Q100,[1]Item!$B:$B,0)),"-")</f>
        <v>23348090</v>
      </c>
      <c r="S100" s="33">
        <v>1</v>
      </c>
      <c r="T100" s="30" t="s">
        <v>2529</v>
      </c>
      <c r="U100" s="33">
        <f>IFERROR(INDEX([1]Item!$A:$A,MATCH(T100,[1]Item!$B:$B,0)),"-")</f>
        <v>23347004</v>
      </c>
      <c r="V100" s="33">
        <v>10</v>
      </c>
      <c r="W100" s="30"/>
      <c r="X100" s="33" t="s">
        <v>545</v>
      </c>
      <c r="Y100" s="33" t="s">
        <v>545</v>
      </c>
    </row>
    <row r="101" spans="1:25">
      <c r="A101" s="29">
        <v>47100094</v>
      </c>
      <c r="B101" s="30" t="s">
        <v>1338</v>
      </c>
      <c r="C101" s="33" t="s">
        <v>935</v>
      </c>
      <c r="D101" s="33" t="s">
        <v>1039</v>
      </c>
      <c r="E101" s="55" t="b">
        <v>1</v>
      </c>
      <c r="F101" s="30">
        <v>1</v>
      </c>
      <c r="G101" s="200">
        <f t="shared" si="1"/>
        <v>350000</v>
      </c>
      <c r="H101" s="30" t="s">
        <v>475</v>
      </c>
      <c r="I101" s="33">
        <v>100001</v>
      </c>
      <c r="J101" s="50">
        <v>2500</v>
      </c>
      <c r="K101" s="30" t="s">
        <v>475</v>
      </c>
      <c r="L101" s="33">
        <v>100001</v>
      </c>
      <c r="M101" s="50">
        <v>19500</v>
      </c>
      <c r="N101" s="30"/>
      <c r="O101" s="33" t="s">
        <v>545</v>
      </c>
      <c r="P101" s="33" t="s">
        <v>545</v>
      </c>
      <c r="Q101" s="30" t="s">
        <v>2516</v>
      </c>
      <c r="R101" s="33">
        <f>IFERROR(INDEX([1]Item!$A:$A,MATCH(Q101,[1]Item!$B:$B,0)),"-")</f>
        <v>23348091</v>
      </c>
      <c r="S101" s="33">
        <v>1</v>
      </c>
      <c r="T101" s="30" t="s">
        <v>2529</v>
      </c>
      <c r="U101" s="33">
        <f>IFERROR(INDEX([1]Item!$A:$A,MATCH(T101,[1]Item!$B:$B,0)),"-")</f>
        <v>23347004</v>
      </c>
      <c r="V101" s="33">
        <v>10</v>
      </c>
      <c r="W101" s="30"/>
      <c r="X101" s="33" t="s">
        <v>545</v>
      </c>
      <c r="Y101" s="33" t="s">
        <v>545</v>
      </c>
    </row>
    <row r="102" spans="1:25">
      <c r="A102" s="29">
        <v>47100095</v>
      </c>
      <c r="B102" s="30" t="s">
        <v>1339</v>
      </c>
      <c r="C102" s="33" t="s">
        <v>936</v>
      </c>
      <c r="D102" s="33" t="s">
        <v>1040</v>
      </c>
      <c r="E102" s="55" t="b">
        <v>1</v>
      </c>
      <c r="F102" s="30">
        <v>1</v>
      </c>
      <c r="G102" s="200">
        <f t="shared" si="1"/>
        <v>350000</v>
      </c>
      <c r="H102" s="30" t="s">
        <v>475</v>
      </c>
      <c r="I102" s="33">
        <v>100001</v>
      </c>
      <c r="J102" s="50">
        <v>2500</v>
      </c>
      <c r="K102" s="30" t="s">
        <v>475</v>
      </c>
      <c r="L102" s="33">
        <v>100001</v>
      </c>
      <c r="M102" s="50">
        <v>19500</v>
      </c>
      <c r="N102" s="30"/>
      <c r="O102" s="33" t="s">
        <v>545</v>
      </c>
      <c r="P102" s="33" t="s">
        <v>545</v>
      </c>
      <c r="Q102" s="30" t="s">
        <v>2517</v>
      </c>
      <c r="R102" s="33">
        <f>IFERROR(INDEX([1]Item!$A:$A,MATCH(Q102,[1]Item!$B:$B,0)),"-")</f>
        <v>23348092</v>
      </c>
      <c r="S102" s="33">
        <v>1</v>
      </c>
      <c r="T102" s="30" t="s">
        <v>2528</v>
      </c>
      <c r="U102" s="33">
        <f>IFERROR(INDEX([1]Item!$A:$A,MATCH(T102,[1]Item!$B:$B,0)),"-")</f>
        <v>23347003</v>
      </c>
      <c r="V102" s="33">
        <v>10</v>
      </c>
      <c r="W102" s="30"/>
      <c r="X102" s="33" t="s">
        <v>545</v>
      </c>
      <c r="Y102" s="33" t="s">
        <v>545</v>
      </c>
    </row>
    <row r="103" spans="1:25">
      <c r="A103" s="29">
        <v>47100096</v>
      </c>
      <c r="B103" s="30" t="s">
        <v>1340</v>
      </c>
      <c r="C103" s="33" t="s">
        <v>937</v>
      </c>
      <c r="D103" s="33" t="s">
        <v>1041</v>
      </c>
      <c r="E103" s="55" t="b">
        <v>1</v>
      </c>
      <c r="F103" s="30">
        <v>2</v>
      </c>
      <c r="G103" s="200">
        <f t="shared" si="1"/>
        <v>1050000</v>
      </c>
      <c r="H103" s="30" t="s">
        <v>475</v>
      </c>
      <c r="I103" s="33">
        <v>100001</v>
      </c>
      <c r="J103" s="50">
        <v>20000</v>
      </c>
      <c r="K103" s="30" t="s">
        <v>475</v>
      </c>
      <c r="L103" s="33">
        <v>100001</v>
      </c>
      <c r="M103" s="50">
        <v>157500</v>
      </c>
      <c r="N103" s="30"/>
      <c r="O103" s="33" t="s">
        <v>545</v>
      </c>
      <c r="P103" s="33" t="s">
        <v>545</v>
      </c>
      <c r="Q103" s="30" t="s">
        <v>2518</v>
      </c>
      <c r="R103" s="33">
        <f>IFERROR(INDEX([1]Item!$A:$A,MATCH(Q103,[1]Item!$B:$B,0)),"-")</f>
        <v>23348093</v>
      </c>
      <c r="S103" s="33">
        <v>1</v>
      </c>
      <c r="T103" s="30" t="s">
        <v>2529</v>
      </c>
      <c r="U103" s="33">
        <f>IFERROR(INDEX([1]Item!$A:$A,MATCH(T103,[1]Item!$B:$B,0)),"-")</f>
        <v>23347004</v>
      </c>
      <c r="V103" s="33">
        <v>10</v>
      </c>
      <c r="W103" s="30"/>
      <c r="X103" s="33" t="s">
        <v>545</v>
      </c>
      <c r="Y103" s="33" t="s">
        <v>545</v>
      </c>
    </row>
    <row r="104" spans="1:25">
      <c r="A104" s="29">
        <v>47100097</v>
      </c>
      <c r="B104" s="30" t="s">
        <v>1341</v>
      </c>
      <c r="C104" s="33" t="s">
        <v>938</v>
      </c>
      <c r="D104" s="33" t="s">
        <v>1042</v>
      </c>
      <c r="E104" s="55" t="b">
        <v>1</v>
      </c>
      <c r="F104" s="30">
        <v>1</v>
      </c>
      <c r="G104" s="200">
        <f t="shared" si="1"/>
        <v>350000</v>
      </c>
      <c r="H104" s="30" t="s">
        <v>475</v>
      </c>
      <c r="I104" s="33">
        <v>100001</v>
      </c>
      <c r="J104" s="50">
        <v>2500</v>
      </c>
      <c r="K104" s="30" t="s">
        <v>475</v>
      </c>
      <c r="L104" s="33">
        <v>100001</v>
      </c>
      <c r="M104" s="50">
        <v>19500</v>
      </c>
      <c r="N104" s="30"/>
      <c r="O104" s="33" t="s">
        <v>545</v>
      </c>
      <c r="P104" s="33" t="s">
        <v>545</v>
      </c>
      <c r="Q104" s="30" t="s">
        <v>2519</v>
      </c>
      <c r="R104" s="33">
        <f>IFERROR(INDEX([1]Item!$A:$A,MATCH(Q104,[1]Item!$B:$B,0)),"-")</f>
        <v>23348094</v>
      </c>
      <c r="S104" s="33">
        <v>1</v>
      </c>
      <c r="T104" s="30" t="s">
        <v>2528</v>
      </c>
      <c r="U104" s="33">
        <f>IFERROR(INDEX([1]Item!$A:$A,MATCH(T104,[1]Item!$B:$B,0)),"-")</f>
        <v>23347003</v>
      </c>
      <c r="V104" s="33">
        <v>10</v>
      </c>
      <c r="W104" s="30"/>
      <c r="X104" s="33" t="s">
        <v>545</v>
      </c>
      <c r="Y104" s="33" t="s">
        <v>545</v>
      </c>
    </row>
    <row r="105" spans="1:25">
      <c r="A105" s="29">
        <v>47100098</v>
      </c>
      <c r="B105" s="30" t="s">
        <v>1342</v>
      </c>
      <c r="C105" s="33" t="s">
        <v>939</v>
      </c>
      <c r="D105" s="33" t="s">
        <v>1043</v>
      </c>
      <c r="E105" s="55" t="b">
        <v>1</v>
      </c>
      <c r="F105" s="30">
        <v>2</v>
      </c>
      <c r="G105" s="200">
        <f t="shared" si="1"/>
        <v>1050000</v>
      </c>
      <c r="H105" s="30" t="s">
        <v>475</v>
      </c>
      <c r="I105" s="33">
        <v>100001</v>
      </c>
      <c r="J105" s="50">
        <v>20000</v>
      </c>
      <c r="K105" s="30" t="s">
        <v>475</v>
      </c>
      <c r="L105" s="33">
        <v>100001</v>
      </c>
      <c r="M105" s="50">
        <v>157500</v>
      </c>
      <c r="N105" s="30"/>
      <c r="O105" s="33" t="s">
        <v>545</v>
      </c>
      <c r="P105" s="33" t="s">
        <v>545</v>
      </c>
      <c r="Q105" s="30" t="s">
        <v>2520</v>
      </c>
      <c r="R105" s="33">
        <f>IFERROR(INDEX([1]Item!$A:$A,MATCH(Q105,[1]Item!$B:$B,0)),"-")</f>
        <v>23348095</v>
      </c>
      <c r="S105" s="33">
        <v>1</v>
      </c>
      <c r="T105" s="30" t="s">
        <v>2529</v>
      </c>
      <c r="U105" s="33">
        <f>IFERROR(INDEX([1]Item!$A:$A,MATCH(T105,[1]Item!$B:$B,0)),"-")</f>
        <v>23347004</v>
      </c>
      <c r="V105" s="33">
        <v>10</v>
      </c>
      <c r="W105" s="30"/>
      <c r="X105" s="33" t="s">
        <v>545</v>
      </c>
      <c r="Y105" s="33" t="s">
        <v>545</v>
      </c>
    </row>
    <row r="106" spans="1:25">
      <c r="A106" s="29">
        <v>47100099</v>
      </c>
      <c r="B106" s="30" t="s">
        <v>1343</v>
      </c>
      <c r="C106" s="33" t="s">
        <v>940</v>
      </c>
      <c r="D106" s="33" t="s">
        <v>1044</v>
      </c>
      <c r="E106" s="55" t="b">
        <v>1</v>
      </c>
      <c r="F106" s="30">
        <v>1</v>
      </c>
      <c r="G106" s="200">
        <f t="shared" si="1"/>
        <v>350000</v>
      </c>
      <c r="H106" s="30" t="s">
        <v>475</v>
      </c>
      <c r="I106" s="33">
        <v>100001</v>
      </c>
      <c r="J106" s="50">
        <v>2500</v>
      </c>
      <c r="K106" s="30" t="s">
        <v>475</v>
      </c>
      <c r="L106" s="33">
        <v>100001</v>
      </c>
      <c r="M106" s="50">
        <v>19500</v>
      </c>
      <c r="N106" s="30"/>
      <c r="O106" s="33" t="s">
        <v>545</v>
      </c>
      <c r="P106" s="33" t="s">
        <v>545</v>
      </c>
      <c r="Q106" s="30" t="s">
        <v>2521</v>
      </c>
      <c r="R106" s="33">
        <f>IFERROR(INDEX([1]Item!$A:$A,MATCH(Q106,[1]Item!$B:$B,0)),"-")</f>
        <v>23348096</v>
      </c>
      <c r="S106" s="33">
        <v>1</v>
      </c>
      <c r="T106" s="30" t="s">
        <v>2528</v>
      </c>
      <c r="U106" s="33">
        <f>IFERROR(INDEX([1]Item!$A:$A,MATCH(T106,[1]Item!$B:$B,0)),"-")</f>
        <v>23347003</v>
      </c>
      <c r="V106" s="33">
        <v>10</v>
      </c>
      <c r="W106" s="30"/>
      <c r="X106" s="33" t="s">
        <v>545</v>
      </c>
      <c r="Y106" s="33" t="s">
        <v>545</v>
      </c>
    </row>
    <row r="107" spans="1:25">
      <c r="A107" s="29">
        <v>47100100</v>
      </c>
      <c r="B107" s="30" t="s">
        <v>1344</v>
      </c>
      <c r="C107" s="33" t="s">
        <v>941</v>
      </c>
      <c r="D107" s="33" t="s">
        <v>1045</v>
      </c>
      <c r="E107" s="55" t="b">
        <v>1</v>
      </c>
      <c r="F107" s="30">
        <v>2</v>
      </c>
      <c r="G107" s="200">
        <f t="shared" si="1"/>
        <v>1050000</v>
      </c>
      <c r="H107" s="30" t="s">
        <v>475</v>
      </c>
      <c r="I107" s="33">
        <v>100001</v>
      </c>
      <c r="J107" s="50">
        <v>20000</v>
      </c>
      <c r="K107" s="30" t="s">
        <v>475</v>
      </c>
      <c r="L107" s="33">
        <v>100001</v>
      </c>
      <c r="M107" s="50">
        <v>157500</v>
      </c>
      <c r="N107" s="30"/>
      <c r="O107" s="33" t="s">
        <v>545</v>
      </c>
      <c r="P107" s="33" t="s">
        <v>545</v>
      </c>
      <c r="Q107" s="30" t="s">
        <v>2522</v>
      </c>
      <c r="R107" s="33">
        <f>IFERROR(INDEX([1]Item!$A:$A,MATCH(Q107,[1]Item!$B:$B,0)),"-")</f>
        <v>23348097</v>
      </c>
      <c r="S107" s="33">
        <v>1</v>
      </c>
      <c r="T107" s="30" t="s">
        <v>2527</v>
      </c>
      <c r="U107" s="33">
        <f>IFERROR(INDEX([1]Item!$A:$A,MATCH(T107,[1]Item!$B:$B,0)),"-")</f>
        <v>23347002</v>
      </c>
      <c r="V107" s="33">
        <v>10</v>
      </c>
      <c r="W107" s="30"/>
      <c r="X107" s="33" t="s">
        <v>545</v>
      </c>
      <c r="Y107" s="33" t="s">
        <v>545</v>
      </c>
    </row>
    <row r="108" spans="1:25">
      <c r="A108" s="29">
        <v>47100101</v>
      </c>
      <c r="B108" s="30" t="s">
        <v>1345</v>
      </c>
      <c r="C108" s="33" t="s">
        <v>942</v>
      </c>
      <c r="D108" s="33" t="s">
        <v>1046</v>
      </c>
      <c r="E108" s="55" t="b">
        <v>1</v>
      </c>
      <c r="F108" s="30">
        <v>3</v>
      </c>
      <c r="G108" s="200">
        <f t="shared" si="1"/>
        <v>3850000</v>
      </c>
      <c r="H108" s="30" t="s">
        <v>475</v>
      </c>
      <c r="I108" s="33">
        <v>100001</v>
      </c>
      <c r="J108" s="50">
        <v>126500</v>
      </c>
      <c r="K108" s="30" t="s">
        <v>475</v>
      </c>
      <c r="L108" s="33">
        <v>100001</v>
      </c>
      <c r="M108" s="50">
        <v>1009500</v>
      </c>
      <c r="N108" s="30"/>
      <c r="O108" s="33" t="s">
        <v>545</v>
      </c>
      <c r="P108" s="33" t="s">
        <v>545</v>
      </c>
      <c r="Q108" s="30" t="s">
        <v>2523</v>
      </c>
      <c r="R108" s="33">
        <f>IFERROR(INDEX([1]Item!$A:$A,MATCH(Q108,[1]Item!$B:$B,0)),"-")</f>
        <v>23348098</v>
      </c>
      <c r="S108" s="33">
        <v>1</v>
      </c>
      <c r="T108" s="30" t="s">
        <v>2529</v>
      </c>
      <c r="U108" s="33">
        <f>IFERROR(INDEX([1]Item!$A:$A,MATCH(T108,[1]Item!$B:$B,0)),"-")</f>
        <v>23347004</v>
      </c>
      <c r="V108" s="33">
        <v>10</v>
      </c>
      <c r="W108" s="30"/>
      <c r="X108" s="33" t="s">
        <v>545</v>
      </c>
      <c r="Y108" s="33" t="s">
        <v>545</v>
      </c>
    </row>
    <row r="109" spans="1:25">
      <c r="A109" s="29">
        <v>47100102</v>
      </c>
      <c r="B109" s="30" t="s">
        <v>1346</v>
      </c>
      <c r="C109" s="33" t="s">
        <v>943</v>
      </c>
      <c r="D109" s="33" t="s">
        <v>1047</v>
      </c>
      <c r="E109" s="55" t="b">
        <v>1</v>
      </c>
      <c r="F109" s="30">
        <v>1</v>
      </c>
      <c r="G109" s="200">
        <f t="shared" si="1"/>
        <v>350000</v>
      </c>
      <c r="H109" s="30" t="s">
        <v>475</v>
      </c>
      <c r="I109" s="33">
        <v>100001</v>
      </c>
      <c r="J109" s="50">
        <v>2500</v>
      </c>
      <c r="K109" s="30" t="s">
        <v>475</v>
      </c>
      <c r="L109" s="33">
        <v>100001</v>
      </c>
      <c r="M109" s="50">
        <v>19500</v>
      </c>
      <c r="N109" s="30"/>
      <c r="O109" s="33" t="s">
        <v>545</v>
      </c>
      <c r="P109" s="33" t="s">
        <v>545</v>
      </c>
      <c r="Q109" s="30" t="s">
        <v>2524</v>
      </c>
      <c r="R109" s="33">
        <f>IFERROR(INDEX([1]Item!$A:$A,MATCH(Q109,[1]Item!$B:$B,0)),"-")</f>
        <v>23348099</v>
      </c>
      <c r="S109" s="33">
        <v>1</v>
      </c>
      <c r="T109" s="30" t="s">
        <v>2529</v>
      </c>
      <c r="U109" s="33">
        <f>IFERROR(INDEX([1]Item!$A:$A,MATCH(T109,[1]Item!$B:$B,0)),"-")</f>
        <v>23347004</v>
      </c>
      <c r="V109" s="33">
        <v>10</v>
      </c>
      <c r="W109" s="30"/>
      <c r="X109" s="33" t="s">
        <v>545</v>
      </c>
      <c r="Y109" s="33" t="s">
        <v>545</v>
      </c>
    </row>
    <row r="110" spans="1:25">
      <c r="A110" s="29">
        <v>47100103</v>
      </c>
      <c r="B110" s="30" t="s">
        <v>1347</v>
      </c>
      <c r="C110" s="33" t="s">
        <v>944</v>
      </c>
      <c r="D110" s="33" t="s">
        <v>1048</v>
      </c>
      <c r="E110" s="55" t="b">
        <v>1</v>
      </c>
      <c r="F110" s="30">
        <v>1</v>
      </c>
      <c r="G110" s="200">
        <f t="shared" si="1"/>
        <v>350000</v>
      </c>
      <c r="H110" s="30" t="s">
        <v>475</v>
      </c>
      <c r="I110" s="33">
        <v>100001</v>
      </c>
      <c r="J110" s="50">
        <v>2500</v>
      </c>
      <c r="K110" s="30" t="s">
        <v>475</v>
      </c>
      <c r="L110" s="33">
        <v>100001</v>
      </c>
      <c r="M110" s="50">
        <v>19500</v>
      </c>
      <c r="N110" s="30"/>
      <c r="O110" s="33" t="s">
        <v>545</v>
      </c>
      <c r="P110" s="33" t="s">
        <v>545</v>
      </c>
      <c r="Q110" s="30" t="s">
        <v>2525</v>
      </c>
      <c r="R110" s="33">
        <f>IFERROR(INDEX([1]Item!$A:$A,MATCH(Q110,[1]Item!$B:$B,0)),"-")</f>
        <v>23348100</v>
      </c>
      <c r="S110" s="33">
        <v>1</v>
      </c>
      <c r="T110" s="30" t="s">
        <v>2529</v>
      </c>
      <c r="U110" s="33">
        <f>IFERROR(INDEX([1]Item!$A:$A,MATCH(T110,[1]Item!$B:$B,0)),"-")</f>
        <v>23347004</v>
      </c>
      <c r="V110" s="33">
        <v>10</v>
      </c>
      <c r="W110" s="30"/>
      <c r="X110" s="33" t="s">
        <v>545</v>
      </c>
      <c r="Y110" s="33" t="s">
        <v>545</v>
      </c>
    </row>
    <row r="111" spans="1:25">
      <c r="A111" s="29">
        <v>47100104</v>
      </c>
      <c r="B111" s="30" t="s">
        <v>1348</v>
      </c>
      <c r="C111" s="33" t="s">
        <v>1993</v>
      </c>
      <c r="D111" s="33" t="s">
        <v>1049</v>
      </c>
      <c r="E111" s="55" t="b">
        <v>1</v>
      </c>
      <c r="F111" s="30">
        <v>1</v>
      </c>
      <c r="G111" s="200">
        <f t="shared" si="1"/>
        <v>350000</v>
      </c>
      <c r="H111" s="30" t="s">
        <v>475</v>
      </c>
      <c r="I111" s="33">
        <v>100001</v>
      </c>
      <c r="J111" s="50">
        <v>2500</v>
      </c>
      <c r="K111" s="30" t="s">
        <v>475</v>
      </c>
      <c r="L111" s="33">
        <v>100001</v>
      </c>
      <c r="M111" s="50">
        <v>19500</v>
      </c>
      <c r="N111" s="30"/>
      <c r="O111" s="33" t="s">
        <v>545</v>
      </c>
      <c r="P111" s="33" t="s">
        <v>545</v>
      </c>
      <c r="Q111" s="30" t="s">
        <v>2526</v>
      </c>
      <c r="R111" s="33">
        <f>IFERROR(INDEX([1]Item!$A:$A,MATCH(Q111,[1]Item!$B:$B,0)),"-")</f>
        <v>23348101</v>
      </c>
      <c r="S111" s="33">
        <v>1</v>
      </c>
      <c r="T111" s="30" t="s">
        <v>2425</v>
      </c>
      <c r="U111" s="33" t="str">
        <f>IFERROR(INDEX([1]Item!$A:$A,MATCH(T111,[1]Item!$B:$B,0)),"-")</f>
        <v>-</v>
      </c>
      <c r="V111" s="33" t="s">
        <v>545</v>
      </c>
      <c r="W111" s="30"/>
      <c r="X111" s="33" t="s">
        <v>545</v>
      </c>
      <c r="Y111" s="33" t="s">
        <v>545</v>
      </c>
    </row>
    <row r="112" spans="1:25">
      <c r="A112" s="29">
        <v>47100105</v>
      </c>
      <c r="B112" s="30" t="s">
        <v>1913</v>
      </c>
      <c r="C112" s="33" t="s">
        <v>916</v>
      </c>
      <c r="D112" s="33" t="s">
        <v>1049</v>
      </c>
      <c r="E112" s="55" t="b">
        <v>0</v>
      </c>
      <c r="F112" s="30">
        <v>1</v>
      </c>
      <c r="G112" s="200">
        <f t="shared" si="1"/>
        <v>350000</v>
      </c>
      <c r="H112" s="30" t="s">
        <v>0</v>
      </c>
      <c r="I112" s="33" t="s">
        <v>0</v>
      </c>
      <c r="J112" s="50" t="s">
        <v>545</v>
      </c>
      <c r="K112" s="30" t="s">
        <v>0</v>
      </c>
      <c r="L112" s="33" t="s">
        <v>0</v>
      </c>
      <c r="M112" s="50" t="s">
        <v>545</v>
      </c>
      <c r="N112" s="30"/>
      <c r="O112" s="33" t="s">
        <v>545</v>
      </c>
      <c r="P112" s="33" t="s">
        <v>545</v>
      </c>
      <c r="Q112" s="30" t="s">
        <v>2425</v>
      </c>
      <c r="R112" s="33" t="str">
        <f>IFERROR(INDEX([1]Item!$A:$A,MATCH(Q112,[1]Item!$B:$B,0)),"-")</f>
        <v>-</v>
      </c>
      <c r="S112" s="33" t="s">
        <v>0</v>
      </c>
      <c r="T112" s="30" t="s">
        <v>2425</v>
      </c>
      <c r="U112" s="33" t="str">
        <f>IFERROR(INDEX([1]Item!$A:$A,MATCH(T112,[1]Item!$B:$B,0)),"-")</f>
        <v>-</v>
      </c>
      <c r="V112" s="33" t="s">
        <v>545</v>
      </c>
      <c r="W112" s="30"/>
      <c r="X112" s="33" t="s">
        <v>545</v>
      </c>
      <c r="Y112" s="33" t="s">
        <v>545</v>
      </c>
    </row>
    <row r="113" spans="1:25">
      <c r="A113" s="29">
        <v>47100106</v>
      </c>
      <c r="B113" s="30" t="s">
        <v>1914</v>
      </c>
      <c r="C113" s="33" t="s">
        <v>893</v>
      </c>
      <c r="D113" s="33" t="s">
        <v>1049</v>
      </c>
      <c r="E113" s="55" t="b">
        <v>0</v>
      </c>
      <c r="F113" s="30">
        <v>1</v>
      </c>
      <c r="G113" s="200">
        <f t="shared" si="1"/>
        <v>350000</v>
      </c>
      <c r="H113" s="30" t="s">
        <v>0</v>
      </c>
      <c r="I113" s="33" t="s">
        <v>0</v>
      </c>
      <c r="J113" s="50" t="s">
        <v>545</v>
      </c>
      <c r="K113" s="30" t="s">
        <v>0</v>
      </c>
      <c r="L113" s="33" t="s">
        <v>0</v>
      </c>
      <c r="M113" s="50" t="s">
        <v>545</v>
      </c>
      <c r="N113" s="30"/>
      <c r="O113" s="33" t="s">
        <v>545</v>
      </c>
      <c r="P113" s="33" t="s">
        <v>545</v>
      </c>
      <c r="Q113" s="30" t="s">
        <v>2425</v>
      </c>
      <c r="R113" s="33" t="str">
        <f>IFERROR(INDEX([1]Item!$A:$A,MATCH(Q113,[1]Item!$B:$B,0)),"-")</f>
        <v>-</v>
      </c>
      <c r="S113" s="33" t="s">
        <v>0</v>
      </c>
      <c r="T113" s="30" t="s">
        <v>2425</v>
      </c>
      <c r="U113" s="33" t="str">
        <f>IFERROR(INDEX([1]Item!$A:$A,MATCH(T113,[1]Item!$B:$B,0)),"-")</f>
        <v>-</v>
      </c>
      <c r="V113" s="33" t="s">
        <v>545</v>
      </c>
      <c r="W113" s="30"/>
      <c r="X113" s="33" t="s">
        <v>545</v>
      </c>
      <c r="Y113" s="33" t="s">
        <v>545</v>
      </c>
    </row>
    <row r="114" spans="1:25">
      <c r="A114" s="29">
        <v>47100107</v>
      </c>
      <c r="B114" s="30" t="s">
        <v>1915</v>
      </c>
      <c r="C114" s="33" t="s">
        <v>853</v>
      </c>
      <c r="D114" s="33" t="s">
        <v>1049</v>
      </c>
      <c r="E114" s="55" t="b">
        <v>0</v>
      </c>
      <c r="F114" s="30">
        <v>1</v>
      </c>
      <c r="G114" s="200">
        <f t="shared" si="1"/>
        <v>350000</v>
      </c>
      <c r="H114" s="30" t="s">
        <v>0</v>
      </c>
      <c r="I114" s="33" t="s">
        <v>0</v>
      </c>
      <c r="J114" s="50" t="s">
        <v>545</v>
      </c>
      <c r="K114" s="30" t="s">
        <v>0</v>
      </c>
      <c r="L114" s="33" t="s">
        <v>0</v>
      </c>
      <c r="M114" s="50" t="s">
        <v>545</v>
      </c>
      <c r="N114" s="30"/>
      <c r="O114" s="33" t="s">
        <v>545</v>
      </c>
      <c r="P114" s="33" t="s">
        <v>545</v>
      </c>
      <c r="Q114" s="30" t="s">
        <v>2425</v>
      </c>
      <c r="R114" s="33" t="str">
        <f>IFERROR(INDEX([1]Item!$A:$A,MATCH(Q114,[1]Item!$B:$B,0)),"-")</f>
        <v>-</v>
      </c>
      <c r="S114" s="33" t="s">
        <v>0</v>
      </c>
      <c r="T114" s="30" t="s">
        <v>2425</v>
      </c>
      <c r="U114" s="33" t="str">
        <f>IFERROR(INDEX([1]Item!$A:$A,MATCH(T114,[1]Item!$B:$B,0)),"-")</f>
        <v>-</v>
      </c>
      <c r="V114" s="33" t="s">
        <v>545</v>
      </c>
      <c r="W114" s="30"/>
      <c r="X114" s="33" t="s">
        <v>545</v>
      </c>
      <c r="Y114" s="33" t="s">
        <v>545</v>
      </c>
    </row>
    <row r="115" spans="1:25">
      <c r="A115" s="29">
        <v>47100108</v>
      </c>
      <c r="B115" s="30" t="s">
        <v>1917</v>
      </c>
      <c r="C115" s="33" t="s">
        <v>905</v>
      </c>
      <c r="D115" s="33" t="s">
        <v>1049</v>
      </c>
      <c r="E115" s="55" t="b">
        <v>0</v>
      </c>
      <c r="F115" s="30">
        <v>1</v>
      </c>
      <c r="G115" s="200">
        <f t="shared" si="1"/>
        <v>350000</v>
      </c>
      <c r="H115" s="30" t="s">
        <v>0</v>
      </c>
      <c r="I115" s="33" t="s">
        <v>0</v>
      </c>
      <c r="J115" s="50" t="s">
        <v>545</v>
      </c>
      <c r="K115" s="30" t="s">
        <v>0</v>
      </c>
      <c r="L115" s="33" t="s">
        <v>0</v>
      </c>
      <c r="M115" s="50" t="s">
        <v>545</v>
      </c>
      <c r="N115" s="30"/>
      <c r="O115" s="33" t="s">
        <v>545</v>
      </c>
      <c r="P115" s="33" t="s">
        <v>545</v>
      </c>
      <c r="Q115" s="30" t="s">
        <v>2425</v>
      </c>
      <c r="R115" s="33" t="str">
        <f>IFERROR(INDEX([1]Item!$A:$A,MATCH(Q115,[1]Item!$B:$B,0)),"-")</f>
        <v>-</v>
      </c>
      <c r="S115" s="33" t="s">
        <v>0</v>
      </c>
      <c r="T115" s="30" t="s">
        <v>2425</v>
      </c>
      <c r="U115" s="33" t="str">
        <f>IFERROR(INDEX([1]Item!$A:$A,MATCH(T115,[1]Item!$B:$B,0)),"-")</f>
        <v>-</v>
      </c>
      <c r="V115" s="33" t="s">
        <v>545</v>
      </c>
      <c r="W115" s="30"/>
      <c r="X115" s="33" t="s">
        <v>545</v>
      </c>
      <c r="Y115" s="33" t="s">
        <v>545</v>
      </c>
    </row>
    <row r="116" spans="1:25">
      <c r="A116" s="29">
        <v>47100109</v>
      </c>
      <c r="B116" s="30" t="s">
        <v>1918</v>
      </c>
      <c r="C116" s="33" t="s">
        <v>891</v>
      </c>
      <c r="D116" s="33" t="s">
        <v>1049</v>
      </c>
      <c r="E116" s="55" t="b">
        <v>0</v>
      </c>
      <c r="F116" s="30">
        <v>1</v>
      </c>
      <c r="G116" s="200">
        <f t="shared" si="1"/>
        <v>350000</v>
      </c>
      <c r="H116" s="30" t="s">
        <v>0</v>
      </c>
      <c r="I116" s="33" t="s">
        <v>0</v>
      </c>
      <c r="J116" s="50" t="s">
        <v>545</v>
      </c>
      <c r="K116" s="30" t="s">
        <v>0</v>
      </c>
      <c r="L116" s="33" t="s">
        <v>0</v>
      </c>
      <c r="M116" s="50" t="s">
        <v>545</v>
      </c>
      <c r="N116" s="30"/>
      <c r="O116" s="33" t="s">
        <v>545</v>
      </c>
      <c r="P116" s="33" t="s">
        <v>545</v>
      </c>
      <c r="Q116" s="30" t="s">
        <v>2425</v>
      </c>
      <c r="R116" s="33" t="str">
        <f>IFERROR(INDEX([1]Item!$A:$A,MATCH(Q116,[1]Item!$B:$B,0)),"-")</f>
        <v>-</v>
      </c>
      <c r="S116" s="33" t="s">
        <v>0</v>
      </c>
      <c r="T116" s="30" t="s">
        <v>2425</v>
      </c>
      <c r="U116" s="33" t="str">
        <f>IFERROR(INDEX([1]Item!$A:$A,MATCH(T116,[1]Item!$B:$B,0)),"-")</f>
        <v>-</v>
      </c>
      <c r="V116" s="33" t="s">
        <v>545</v>
      </c>
      <c r="W116" s="30"/>
      <c r="X116" s="33" t="s">
        <v>545</v>
      </c>
      <c r="Y116" s="33" t="s">
        <v>545</v>
      </c>
    </row>
    <row r="117" spans="1:25">
      <c r="A117" s="29">
        <v>47100110</v>
      </c>
      <c r="B117" s="30" t="s">
        <v>1919</v>
      </c>
      <c r="C117" s="33" t="s">
        <v>891</v>
      </c>
      <c r="D117" s="33" t="s">
        <v>1049</v>
      </c>
      <c r="E117" s="55" t="b">
        <v>0</v>
      </c>
      <c r="F117" s="30">
        <v>1</v>
      </c>
      <c r="G117" s="200">
        <f t="shared" si="1"/>
        <v>350000</v>
      </c>
      <c r="H117" s="30" t="s">
        <v>0</v>
      </c>
      <c r="I117" s="33" t="s">
        <v>0</v>
      </c>
      <c r="J117" s="50" t="s">
        <v>545</v>
      </c>
      <c r="K117" s="30" t="s">
        <v>0</v>
      </c>
      <c r="L117" s="33" t="s">
        <v>0</v>
      </c>
      <c r="M117" s="50" t="s">
        <v>545</v>
      </c>
      <c r="N117" s="30"/>
      <c r="O117" s="33" t="s">
        <v>545</v>
      </c>
      <c r="P117" s="33" t="s">
        <v>545</v>
      </c>
      <c r="Q117" s="30" t="s">
        <v>2425</v>
      </c>
      <c r="R117" s="33" t="str">
        <f>IFERROR(INDEX([1]Item!$A:$A,MATCH(Q117,[1]Item!$B:$B,0)),"-")</f>
        <v>-</v>
      </c>
      <c r="S117" s="33" t="s">
        <v>0</v>
      </c>
      <c r="T117" s="30" t="s">
        <v>2425</v>
      </c>
      <c r="U117" s="33" t="str">
        <f>IFERROR(INDEX([1]Item!$A:$A,MATCH(T117,[1]Item!$B:$B,0)),"-")</f>
        <v>-</v>
      </c>
      <c r="V117" s="33" t="s">
        <v>545</v>
      </c>
      <c r="W117" s="30"/>
      <c r="X117" s="33" t="s">
        <v>545</v>
      </c>
      <c r="Y117" s="33" t="s">
        <v>545</v>
      </c>
    </row>
    <row r="118" spans="1:25">
      <c r="A118" s="29">
        <v>47100111</v>
      </c>
      <c r="B118" s="30" t="s">
        <v>1992</v>
      </c>
      <c r="C118" s="33" t="s">
        <v>1994</v>
      </c>
      <c r="D118" s="33" t="s">
        <v>1995</v>
      </c>
      <c r="E118" s="55" t="b">
        <v>1</v>
      </c>
      <c r="F118" s="30">
        <v>1</v>
      </c>
      <c r="G118" s="200">
        <f t="shared" si="1"/>
        <v>350000</v>
      </c>
      <c r="H118" s="30" t="s">
        <v>475</v>
      </c>
      <c r="I118" s="33">
        <v>100001</v>
      </c>
      <c r="J118" s="50">
        <v>2500</v>
      </c>
      <c r="K118" s="30" t="s">
        <v>475</v>
      </c>
      <c r="L118" s="33">
        <v>100001</v>
      </c>
      <c r="M118" s="50">
        <v>19500</v>
      </c>
      <c r="N118" s="30"/>
      <c r="O118" s="33" t="s">
        <v>545</v>
      </c>
      <c r="P118" s="33" t="s">
        <v>545</v>
      </c>
      <c r="Q118" s="30" t="s">
        <v>2472</v>
      </c>
      <c r="R118" s="33">
        <f>IFERROR(INDEX([1]Item!$A:$A,MATCH(Q118,[1]Item!$B:$B,0)),"-")</f>
        <v>23348102</v>
      </c>
      <c r="S118" s="33">
        <v>1</v>
      </c>
      <c r="T118" s="30"/>
      <c r="U118" s="33" t="str">
        <f>IFERROR(INDEX([1]Item!$A:$A,MATCH(T118,[1]Item!$B:$B,0)),"-")</f>
        <v>-</v>
      </c>
      <c r="V118" s="33" t="s">
        <v>545</v>
      </c>
      <c r="W118" s="30"/>
      <c r="X118" s="33" t="s">
        <v>545</v>
      </c>
      <c r="Y118" s="33" t="s">
        <v>545</v>
      </c>
    </row>
    <row r="119" spans="1:25">
      <c r="A119" s="29">
        <v>47100112</v>
      </c>
      <c r="B119" s="30" t="s">
        <v>2583</v>
      </c>
      <c r="C119" s="33" t="s">
        <v>2582</v>
      </c>
      <c r="D119" s="33" t="s">
        <v>2591</v>
      </c>
      <c r="E119" s="55" t="b">
        <v>1</v>
      </c>
      <c r="F119" s="30">
        <v>1</v>
      </c>
      <c r="G119" s="200">
        <f t="shared" si="1"/>
        <v>350000</v>
      </c>
      <c r="H119" s="30" t="s">
        <v>475</v>
      </c>
      <c r="I119" s="33">
        <v>100001</v>
      </c>
      <c r="J119" s="49">
        <v>2500</v>
      </c>
      <c r="K119" s="30" t="s">
        <v>475</v>
      </c>
      <c r="L119" s="33">
        <v>100001</v>
      </c>
      <c r="M119" s="50">
        <v>19500</v>
      </c>
      <c r="N119" s="30"/>
      <c r="O119" s="33" t="s">
        <v>545</v>
      </c>
      <c r="P119" s="33" t="s">
        <v>545</v>
      </c>
      <c r="Q119" s="30" t="s">
        <v>2584</v>
      </c>
      <c r="R119" s="33">
        <f>IFERROR(INDEX([1]Item!$A:$A,MATCH(Q119,[1]Item!$B:$B,0)),"-")</f>
        <v>23348103</v>
      </c>
      <c r="S119" s="33">
        <v>1</v>
      </c>
      <c r="T119" s="30"/>
      <c r="U119" s="33" t="str">
        <f>IFERROR(INDEX([1]Item!$A:$A,MATCH(T119,[1]Item!$B:$B,0)),"-")</f>
        <v>-</v>
      </c>
      <c r="V119" s="33" t="s">
        <v>545</v>
      </c>
      <c r="W119" s="30"/>
      <c r="X119" s="33" t="s">
        <v>545</v>
      </c>
      <c r="Y119" s="33" t="s">
        <v>545</v>
      </c>
    </row>
    <row r="120" spans="1:25">
      <c r="A120" s="29">
        <v>47100113</v>
      </c>
      <c r="B120" s="30" t="s">
        <v>2701</v>
      </c>
      <c r="C120" s="33" t="s">
        <v>2703</v>
      </c>
      <c r="D120" s="33" t="s">
        <v>2702</v>
      </c>
      <c r="E120" s="55" t="b">
        <v>1</v>
      </c>
      <c r="F120" s="30">
        <v>3</v>
      </c>
      <c r="G120" s="200">
        <f t="shared" ref="G120" si="2">IFERROR(INT(POWER(3,(POWER(F120-1,1.15)))) * 350000, 0)</f>
        <v>3850000</v>
      </c>
      <c r="H120" s="30" t="s">
        <v>475</v>
      </c>
      <c r="I120" s="33">
        <v>100001</v>
      </c>
      <c r="J120" s="50">
        <v>126500</v>
      </c>
      <c r="K120" s="30" t="s">
        <v>475</v>
      </c>
      <c r="L120" s="33">
        <v>100001</v>
      </c>
      <c r="M120" s="50">
        <v>1009500</v>
      </c>
      <c r="N120" s="30"/>
      <c r="O120" s="33" t="s">
        <v>545</v>
      </c>
      <c r="P120" s="33" t="s">
        <v>545</v>
      </c>
      <c r="Q120" s="30" t="s">
        <v>2708</v>
      </c>
      <c r="R120" s="33">
        <f>IFERROR(INDEX([1]Item!$A:$A,MATCH(Q120,[1]Item!$B:$B,0)),"-")</f>
        <v>23348104</v>
      </c>
      <c r="S120" s="33">
        <v>1</v>
      </c>
      <c r="T120" s="30" t="s">
        <v>2425</v>
      </c>
      <c r="U120" s="33" t="str">
        <f>IFERROR(INDEX([1]Item!$A:$A,MATCH(T120,[1]Item!$B:$B,0)),"-")</f>
        <v>-</v>
      </c>
      <c r="V120" s="33" t="s">
        <v>545</v>
      </c>
      <c r="W120" s="30"/>
      <c r="X120" s="33" t="s">
        <v>545</v>
      </c>
      <c r="Y120" s="33" t="s">
        <v>545</v>
      </c>
    </row>
    <row r="121" spans="1:25">
      <c r="A121" s="29">
        <v>47100114</v>
      </c>
      <c r="B121" s="30" t="s">
        <v>2725</v>
      </c>
      <c r="C121" s="33" t="s">
        <v>2723</v>
      </c>
      <c r="D121" s="33" t="s">
        <v>2724</v>
      </c>
      <c r="E121" s="55" t="b">
        <v>1</v>
      </c>
      <c r="F121" s="30">
        <v>2</v>
      </c>
      <c r="G121" s="200">
        <f t="shared" ref="G121" si="3">IFERROR(INT(POWER(3,(POWER(F121-1,1.15)))) * 350000, 0)</f>
        <v>1050000</v>
      </c>
      <c r="H121" s="30" t="s">
        <v>475</v>
      </c>
      <c r="I121" s="33">
        <v>100001</v>
      </c>
      <c r="J121" s="50">
        <v>20000</v>
      </c>
      <c r="K121" s="30" t="s">
        <v>475</v>
      </c>
      <c r="L121" s="33">
        <v>100001</v>
      </c>
      <c r="M121" s="50">
        <v>157500</v>
      </c>
      <c r="N121" s="30"/>
      <c r="O121" s="33" t="s">
        <v>545</v>
      </c>
      <c r="P121" s="33" t="s">
        <v>545</v>
      </c>
      <c r="Q121" s="30" t="s">
        <v>2726</v>
      </c>
      <c r="R121" s="33">
        <f>IFERROR(INDEX([1]Item!$A:$A,MATCH(Q121,[1]Item!$B:$B,0)),"-")</f>
        <v>23348105</v>
      </c>
      <c r="S121" s="33">
        <v>1</v>
      </c>
      <c r="T121" s="30" t="s">
        <v>2425</v>
      </c>
      <c r="U121" s="33" t="str">
        <f>IFERROR(INDEX([1]Item!$A:$A,MATCH(T121,[1]Item!$B:$B,0)),"-")</f>
        <v>-</v>
      </c>
      <c r="V121" s="33" t="s">
        <v>545</v>
      </c>
      <c r="W121" s="30"/>
      <c r="X121" s="33" t="s">
        <v>545</v>
      </c>
      <c r="Y121" s="33" t="s">
        <v>545</v>
      </c>
    </row>
    <row r="122" spans="1:25">
      <c r="A122" s="29">
        <v>47100115</v>
      </c>
      <c r="B122" s="30" t="s">
        <v>2763</v>
      </c>
      <c r="C122" s="33" t="s">
        <v>2764</v>
      </c>
      <c r="D122" s="33" t="s">
        <v>2765</v>
      </c>
      <c r="E122" s="55" t="b">
        <v>1</v>
      </c>
      <c r="F122" s="30">
        <v>4</v>
      </c>
      <c r="G122" s="200">
        <f t="shared" ref="G122:G127" si="4">IFERROR(INT(POWER(3,(POWER(F122-1,1.15)))) * 350000, 0)</f>
        <v>16800000</v>
      </c>
      <c r="H122" s="30" t="s">
        <v>475</v>
      </c>
      <c r="I122" s="33">
        <v>100001</v>
      </c>
      <c r="J122" s="50">
        <v>679500</v>
      </c>
      <c r="K122" s="30" t="s">
        <v>475</v>
      </c>
      <c r="L122" s="33">
        <v>100001</v>
      </c>
      <c r="M122" s="50">
        <v>5434000</v>
      </c>
      <c r="N122" s="30"/>
      <c r="O122" s="33" t="s">
        <v>545</v>
      </c>
      <c r="P122" s="33" t="s">
        <v>545</v>
      </c>
      <c r="Q122" s="30" t="s">
        <v>2766</v>
      </c>
      <c r="R122" s="33">
        <f>IFERROR(INDEX([1]Item!$A:$A,MATCH(Q122,[1]Item!$B:$B,0)),"-")</f>
        <v>23348106</v>
      </c>
      <c r="S122" s="33">
        <v>1</v>
      </c>
      <c r="T122" s="30" t="s">
        <v>2425</v>
      </c>
      <c r="U122" s="33" t="str">
        <f>IFERROR(INDEX([1]Item!$A:$A,MATCH(T122,[1]Item!$B:$B,0)),"-")</f>
        <v>-</v>
      </c>
      <c r="V122" s="33" t="s">
        <v>545</v>
      </c>
      <c r="W122" s="30"/>
      <c r="X122" s="33" t="s">
        <v>545</v>
      </c>
      <c r="Y122" s="33" t="s">
        <v>545</v>
      </c>
    </row>
    <row r="123" spans="1:25">
      <c r="A123" s="29">
        <v>47100116</v>
      </c>
      <c r="B123" s="30" t="s">
        <v>2790</v>
      </c>
      <c r="C123" s="33" t="s">
        <v>2793</v>
      </c>
      <c r="D123" s="33" t="s">
        <v>2794</v>
      </c>
      <c r="E123" s="55" t="b">
        <v>1</v>
      </c>
      <c r="F123" s="30">
        <v>3</v>
      </c>
      <c r="G123" s="200">
        <f t="shared" si="4"/>
        <v>3850000</v>
      </c>
      <c r="H123" s="30" t="s">
        <v>475</v>
      </c>
      <c r="I123" s="33">
        <v>100001</v>
      </c>
      <c r="J123" s="50">
        <v>126500</v>
      </c>
      <c r="K123" s="30" t="s">
        <v>475</v>
      </c>
      <c r="L123" s="33">
        <v>100001</v>
      </c>
      <c r="M123" s="50">
        <v>1009500</v>
      </c>
      <c r="N123" s="30"/>
      <c r="O123" s="33" t="s">
        <v>545</v>
      </c>
      <c r="P123" s="33" t="s">
        <v>545</v>
      </c>
      <c r="Q123" s="30" t="s">
        <v>2791</v>
      </c>
      <c r="R123" s="33">
        <f>IFERROR(INDEX([1]Item!$A:$A,MATCH(Q123,[1]Item!$B:$B,0)),"-")</f>
        <v>23348107</v>
      </c>
      <c r="S123" s="33">
        <v>1</v>
      </c>
      <c r="T123" s="30"/>
      <c r="U123" s="33" t="str">
        <f>IFERROR(INDEX([1]Item!$A:$A,MATCH(T123,[1]Item!$B:$B,0)),"-")</f>
        <v>-</v>
      </c>
      <c r="V123" s="33" t="s">
        <v>545</v>
      </c>
      <c r="W123" s="30"/>
      <c r="X123" s="33" t="s">
        <v>545</v>
      </c>
      <c r="Y123" s="33" t="s">
        <v>545</v>
      </c>
    </row>
    <row r="124" spans="1:25">
      <c r="A124" s="29">
        <v>47100117</v>
      </c>
      <c r="B124" s="30" t="s">
        <v>2845</v>
      </c>
      <c r="C124" s="33" t="s">
        <v>2846</v>
      </c>
      <c r="D124" s="33" t="s">
        <v>2847</v>
      </c>
      <c r="E124" s="55" t="b">
        <v>1</v>
      </c>
      <c r="F124" s="30">
        <v>1</v>
      </c>
      <c r="G124" s="200">
        <f t="shared" si="4"/>
        <v>350000</v>
      </c>
      <c r="H124" s="30" t="s">
        <v>475</v>
      </c>
      <c r="I124" s="33">
        <v>100001</v>
      </c>
      <c r="J124" s="50">
        <v>2500</v>
      </c>
      <c r="K124" s="30" t="s">
        <v>475</v>
      </c>
      <c r="L124" s="33">
        <v>100001</v>
      </c>
      <c r="M124" s="50">
        <v>19500</v>
      </c>
      <c r="N124" s="30"/>
      <c r="O124" s="33" t="s">
        <v>545</v>
      </c>
      <c r="P124" s="33" t="s">
        <v>545</v>
      </c>
      <c r="Q124" s="30" t="s">
        <v>2859</v>
      </c>
      <c r="R124" s="33">
        <f>IFERROR(INDEX([1]Item!$A:$A,MATCH(Q124,[1]Item!$B:$B,0)),"-")</f>
        <v>23348108</v>
      </c>
      <c r="S124" s="33">
        <v>1</v>
      </c>
      <c r="T124" s="30"/>
      <c r="U124" s="33" t="str">
        <f>IFERROR(INDEX([1]Item!$A:$A,MATCH(T124,[1]Item!$B:$B,0)),"-")</f>
        <v>-</v>
      </c>
      <c r="V124" s="33" t="s">
        <v>545</v>
      </c>
      <c r="W124" s="30"/>
      <c r="X124" s="33" t="s">
        <v>545</v>
      </c>
      <c r="Y124" s="33" t="s">
        <v>545</v>
      </c>
    </row>
    <row r="125" spans="1:25">
      <c r="A125" s="29">
        <v>47100118</v>
      </c>
      <c r="B125" s="30" t="s">
        <v>2864</v>
      </c>
      <c r="C125" s="33" t="s">
        <v>2862</v>
      </c>
      <c r="D125" s="33" t="s">
        <v>2863</v>
      </c>
      <c r="E125" s="55" t="b">
        <v>1</v>
      </c>
      <c r="F125" s="30">
        <v>4</v>
      </c>
      <c r="G125" s="200">
        <f t="shared" si="4"/>
        <v>16800000</v>
      </c>
      <c r="H125" s="30" t="s">
        <v>475</v>
      </c>
      <c r="I125" s="33">
        <v>100001</v>
      </c>
      <c r="J125" s="50">
        <v>679500</v>
      </c>
      <c r="K125" s="30" t="s">
        <v>475</v>
      </c>
      <c r="L125" s="33">
        <v>100001</v>
      </c>
      <c r="M125" s="50">
        <v>5434000</v>
      </c>
      <c r="N125" s="30"/>
      <c r="O125" s="33" t="s">
        <v>545</v>
      </c>
      <c r="P125" s="33" t="s">
        <v>545</v>
      </c>
      <c r="Q125" s="30" t="s">
        <v>2865</v>
      </c>
      <c r="R125" s="33">
        <f>IFERROR(INDEX([1]Item!$A:$A,MATCH(Q125,[1]Item!$B:$B,0)),"-")</f>
        <v>23700086</v>
      </c>
      <c r="S125" s="33">
        <v>1</v>
      </c>
      <c r="T125" s="30"/>
      <c r="U125" s="33" t="str">
        <f>IFERROR(INDEX([1]Item!$A:$A,MATCH(T125,[1]Item!$B:$B,0)),"-")</f>
        <v>-</v>
      </c>
      <c r="V125" s="33" t="s">
        <v>545</v>
      </c>
      <c r="W125" s="30"/>
      <c r="X125" s="33" t="s">
        <v>545</v>
      </c>
      <c r="Y125" s="33" t="s">
        <v>545</v>
      </c>
    </row>
    <row r="126" spans="1:25">
      <c r="A126" s="29">
        <v>47100119</v>
      </c>
      <c r="B126" s="30" t="s">
        <v>2922</v>
      </c>
      <c r="C126" s="33" t="s">
        <v>3252</v>
      </c>
      <c r="D126" s="33" t="s">
        <v>3253</v>
      </c>
      <c r="E126" s="55" t="b">
        <v>1</v>
      </c>
      <c r="F126" s="30">
        <v>4</v>
      </c>
      <c r="G126" s="200">
        <f t="shared" si="4"/>
        <v>16800000</v>
      </c>
      <c r="H126" s="30" t="s">
        <v>475</v>
      </c>
      <c r="I126" s="33">
        <v>100001</v>
      </c>
      <c r="J126" s="50">
        <v>126500</v>
      </c>
      <c r="K126" s="30" t="s">
        <v>475</v>
      </c>
      <c r="L126" s="33">
        <v>100001</v>
      </c>
      <c r="M126" s="50">
        <v>1009500</v>
      </c>
      <c r="N126" s="30"/>
      <c r="O126" s="33" t="s">
        <v>545</v>
      </c>
      <c r="P126" s="33" t="s">
        <v>545</v>
      </c>
      <c r="Q126" s="30" t="s">
        <v>2923</v>
      </c>
      <c r="R126" s="33">
        <f>IFERROR(INDEX([1]Item!$A:$A,MATCH(Q126,[1]Item!$B:$B,0)),"-")</f>
        <v>23348551</v>
      </c>
      <c r="S126" s="33">
        <v>1</v>
      </c>
      <c r="T126" s="30"/>
      <c r="U126" s="33" t="str">
        <f>IFERROR(INDEX([1]Item!$A:$A,MATCH(T126,[1]Item!$B:$B,0)),"-")</f>
        <v>-</v>
      </c>
      <c r="V126" s="33" t="s">
        <v>545</v>
      </c>
      <c r="W126" s="30"/>
      <c r="X126" s="33" t="s">
        <v>545</v>
      </c>
      <c r="Y126" s="33" t="s">
        <v>545</v>
      </c>
    </row>
    <row r="127" spans="1:25">
      <c r="A127" s="29">
        <v>47100120</v>
      </c>
      <c r="B127" s="30" t="s">
        <v>2976</v>
      </c>
      <c r="C127" s="33" t="s">
        <v>2977</v>
      </c>
      <c r="D127" s="33" t="s">
        <v>2997</v>
      </c>
      <c r="E127" s="55" t="b">
        <v>1</v>
      </c>
      <c r="F127" s="30">
        <v>4</v>
      </c>
      <c r="G127" s="200">
        <f t="shared" si="4"/>
        <v>16800000</v>
      </c>
      <c r="H127" s="30" t="s">
        <v>475</v>
      </c>
      <c r="I127" s="33">
        <v>100001</v>
      </c>
      <c r="J127" s="50">
        <v>2500</v>
      </c>
      <c r="K127" s="30" t="s">
        <v>475</v>
      </c>
      <c r="L127" s="33">
        <v>100001</v>
      </c>
      <c r="M127" s="50">
        <v>19500</v>
      </c>
      <c r="N127" s="30"/>
      <c r="O127" s="33" t="s">
        <v>545</v>
      </c>
      <c r="P127" s="33" t="s">
        <v>545</v>
      </c>
      <c r="Q127" s="30" t="s">
        <v>2978</v>
      </c>
      <c r="R127" s="33">
        <f>IFERROR(INDEX([1]Item!$A:$A,MATCH(Q127,[1]Item!$B:$B,0)),"-")</f>
        <v>23348109</v>
      </c>
      <c r="S127" s="33">
        <v>1</v>
      </c>
      <c r="T127" s="30"/>
      <c r="U127" s="33" t="str">
        <f>IFERROR(INDEX([1]Item!$A:$A,MATCH(T127,[1]Item!$B:$B,0)),"-")</f>
        <v>-</v>
      </c>
      <c r="V127" s="33" t="s">
        <v>545</v>
      </c>
      <c r="W127" s="30"/>
      <c r="X127" s="33" t="s">
        <v>545</v>
      </c>
      <c r="Y127" s="33" t="s">
        <v>545</v>
      </c>
    </row>
    <row r="128" spans="1:25">
      <c r="A128" s="29">
        <v>47100121</v>
      </c>
      <c r="B128" s="30" t="s">
        <v>3062</v>
      </c>
      <c r="C128" s="33" t="s">
        <v>3063</v>
      </c>
      <c r="D128" s="33" t="s">
        <v>3064</v>
      </c>
      <c r="E128" s="55" t="b">
        <v>1</v>
      </c>
      <c r="F128" s="30">
        <v>4</v>
      </c>
      <c r="G128" s="200">
        <f t="shared" ref="G128:G130" si="5">IFERROR(INT(POWER(3,(POWER(F128-1,1.15)))) * 350000, 0)</f>
        <v>16800000</v>
      </c>
      <c r="H128" s="30" t="s">
        <v>475</v>
      </c>
      <c r="I128" s="33">
        <v>100001</v>
      </c>
      <c r="J128" s="50">
        <v>2500</v>
      </c>
      <c r="K128" s="30" t="s">
        <v>475</v>
      </c>
      <c r="L128" s="33">
        <v>100001</v>
      </c>
      <c r="M128" s="50">
        <v>19500</v>
      </c>
      <c r="N128" s="30"/>
      <c r="O128" s="33" t="s">
        <v>545</v>
      </c>
      <c r="P128" s="33" t="s">
        <v>545</v>
      </c>
      <c r="Q128" s="30" t="s">
        <v>3065</v>
      </c>
      <c r="R128" s="33">
        <f>IFERROR(INDEX([1]Item!$A:$A,MATCH(Q128,[1]Item!$B:$B,0)),"-")</f>
        <v>23348552</v>
      </c>
      <c r="S128" s="33">
        <v>1</v>
      </c>
      <c r="T128" s="30"/>
      <c r="U128" s="33" t="str">
        <f>IFERROR(INDEX([1]Item!$A:$A,MATCH(T128,[1]Item!$B:$B,0)),"-")</f>
        <v>-</v>
      </c>
      <c r="V128" s="33" t="s">
        <v>545</v>
      </c>
      <c r="W128" s="30"/>
      <c r="X128" s="33" t="s">
        <v>545</v>
      </c>
      <c r="Y128" s="33" t="s">
        <v>545</v>
      </c>
    </row>
    <row r="129" spans="1:26">
      <c r="A129" s="29">
        <v>47100122</v>
      </c>
      <c r="B129" s="30" t="s">
        <v>3128</v>
      </c>
      <c r="C129" s="33" t="s">
        <v>3129</v>
      </c>
      <c r="D129" s="33" t="s">
        <v>3130</v>
      </c>
      <c r="E129" s="55" t="b">
        <v>1</v>
      </c>
      <c r="F129" s="30">
        <v>4</v>
      </c>
      <c r="G129" s="200">
        <f t="shared" si="5"/>
        <v>16800000</v>
      </c>
      <c r="H129" s="30" t="s">
        <v>475</v>
      </c>
      <c r="I129" s="33">
        <v>100001</v>
      </c>
      <c r="J129" s="50">
        <v>2500</v>
      </c>
      <c r="K129" s="30" t="s">
        <v>475</v>
      </c>
      <c r="L129" s="33">
        <v>100001</v>
      </c>
      <c r="M129" s="50">
        <v>19500</v>
      </c>
      <c r="N129" s="30"/>
      <c r="O129" s="33" t="s">
        <v>545</v>
      </c>
      <c r="P129" s="33" t="s">
        <v>545</v>
      </c>
      <c r="Q129" s="30" t="s">
        <v>3131</v>
      </c>
      <c r="R129" s="33">
        <f>IFERROR(INDEX([1]Item!$A:$A,MATCH(Q129,[1]Item!$B:$B,0)),"-")</f>
        <v>23348556</v>
      </c>
      <c r="S129" s="33">
        <v>1</v>
      </c>
      <c r="T129" s="30"/>
      <c r="U129" s="33" t="str">
        <f>IFERROR(INDEX([1]Item!$A:$A,MATCH(T129,[1]Item!$B:$B,0)),"-")</f>
        <v>-</v>
      </c>
      <c r="V129" s="33" t="s">
        <v>545</v>
      </c>
      <c r="W129" s="30"/>
      <c r="X129" s="33" t="s">
        <v>545</v>
      </c>
      <c r="Y129" s="33" t="s">
        <v>545</v>
      </c>
    </row>
    <row r="130" spans="1:26">
      <c r="A130" s="29">
        <v>47100123</v>
      </c>
      <c r="B130" s="30" t="s">
        <v>3135</v>
      </c>
      <c r="C130" s="33" t="s">
        <v>3136</v>
      </c>
      <c r="D130" s="33" t="s">
        <v>3138</v>
      </c>
      <c r="E130" s="55" t="b">
        <v>1</v>
      </c>
      <c r="F130" s="30">
        <v>4</v>
      </c>
      <c r="G130" s="200">
        <f t="shared" si="5"/>
        <v>16800000</v>
      </c>
      <c r="H130" s="30" t="s">
        <v>475</v>
      </c>
      <c r="I130" s="33">
        <v>100001</v>
      </c>
      <c r="J130" s="50">
        <v>679500</v>
      </c>
      <c r="K130" s="30" t="s">
        <v>475</v>
      </c>
      <c r="L130" s="33">
        <v>100001</v>
      </c>
      <c r="M130" s="50">
        <v>5434000</v>
      </c>
      <c r="N130" s="30"/>
      <c r="O130" s="33" t="s">
        <v>545</v>
      </c>
      <c r="P130" s="33" t="s">
        <v>545</v>
      </c>
      <c r="Q130" s="30" t="s">
        <v>3137</v>
      </c>
      <c r="R130" s="33">
        <f>IFERROR(INDEX([1]Item!$A:$A,MATCH(Q130,[1]Item!$B:$B,0)),"-")</f>
        <v>23700066</v>
      </c>
      <c r="S130" s="33">
        <v>1</v>
      </c>
      <c r="T130" s="30"/>
      <c r="U130" s="33" t="str">
        <f>IFERROR(INDEX([1]Item!$A:$A,MATCH(T130,[1]Item!$B:$B,0)),"-")</f>
        <v>-</v>
      </c>
      <c r="V130" s="33" t="s">
        <v>545</v>
      </c>
      <c r="W130" s="30"/>
      <c r="X130" s="33" t="s">
        <v>545</v>
      </c>
      <c r="Y130" s="33" t="s">
        <v>545</v>
      </c>
    </row>
    <row r="131" spans="1:26">
      <c r="A131" s="29">
        <v>47100124</v>
      </c>
      <c r="B131" s="30" t="s">
        <v>3147</v>
      </c>
      <c r="C131" s="33" t="s">
        <v>3148</v>
      </c>
      <c r="D131" s="33" t="s">
        <v>3149</v>
      </c>
      <c r="E131" s="55" t="b">
        <v>1</v>
      </c>
      <c r="F131" s="30">
        <v>4</v>
      </c>
      <c r="G131" s="200">
        <f t="shared" ref="G131:G133" si="6">IFERROR(INT(POWER(3,(POWER(F131-1,1.15)))) * 350000, 0)</f>
        <v>16800000</v>
      </c>
      <c r="H131" s="30" t="s">
        <v>475</v>
      </c>
      <c r="I131" s="33">
        <v>100001</v>
      </c>
      <c r="J131" s="50">
        <v>2500</v>
      </c>
      <c r="K131" s="30" t="s">
        <v>475</v>
      </c>
      <c r="L131" s="33">
        <v>100001</v>
      </c>
      <c r="M131" s="50">
        <v>19500</v>
      </c>
      <c r="N131" s="30"/>
      <c r="O131" s="33" t="s">
        <v>545</v>
      </c>
      <c r="P131" s="33" t="s">
        <v>545</v>
      </c>
      <c r="Q131" s="30" t="s">
        <v>3150</v>
      </c>
      <c r="R131" s="33">
        <f>IFERROR(INDEX([1]Item!$A:$A,MATCH(Q131,[1]Item!$B:$B,0)),"-")</f>
        <v>23348557</v>
      </c>
      <c r="S131" s="33">
        <v>1</v>
      </c>
      <c r="T131" s="30"/>
      <c r="U131" s="33" t="str">
        <f>IFERROR(INDEX([1]Item!$A:$A,MATCH(T131,[1]Item!$B:$B,0)),"-")</f>
        <v>-</v>
      </c>
      <c r="V131" s="33" t="s">
        <v>545</v>
      </c>
      <c r="W131" s="30"/>
      <c r="X131" s="33" t="s">
        <v>545</v>
      </c>
      <c r="Y131" s="33" t="s">
        <v>545</v>
      </c>
    </row>
    <row r="132" spans="1:26">
      <c r="A132" s="29">
        <v>47100125</v>
      </c>
      <c r="B132" s="30" t="s">
        <v>3356</v>
      </c>
      <c r="C132" s="33" t="s">
        <v>3170</v>
      </c>
      <c r="D132" s="33" t="s">
        <v>3171</v>
      </c>
      <c r="E132" s="55" t="b">
        <v>1</v>
      </c>
      <c r="F132" s="30">
        <v>4</v>
      </c>
      <c r="G132" s="200">
        <f t="shared" si="6"/>
        <v>16800000</v>
      </c>
      <c r="H132" s="30" t="s">
        <v>475</v>
      </c>
      <c r="I132" s="33">
        <v>100001</v>
      </c>
      <c r="J132" s="50">
        <v>679500</v>
      </c>
      <c r="K132" s="30" t="s">
        <v>475</v>
      </c>
      <c r="L132" s="33">
        <v>100001</v>
      </c>
      <c r="M132" s="50">
        <v>5434000</v>
      </c>
      <c r="N132" s="30"/>
      <c r="O132" s="33" t="s">
        <v>545</v>
      </c>
      <c r="P132" s="33" t="s">
        <v>545</v>
      </c>
      <c r="Q132" s="30" t="s">
        <v>3172</v>
      </c>
      <c r="R132" s="33">
        <f>IFERROR(INDEX([1]Item!$A:$A,MATCH(Q132,[1]Item!$B:$B,0)),"-")</f>
        <v>23700171</v>
      </c>
      <c r="S132" s="33">
        <v>1</v>
      </c>
      <c r="T132" s="30"/>
      <c r="U132" s="33" t="str">
        <f>IFERROR(INDEX([1]Item!$A:$A,MATCH(T132,[1]Item!$B:$B,0)),"-")</f>
        <v>-</v>
      </c>
      <c r="V132" s="33" t="s">
        <v>545</v>
      </c>
      <c r="W132" s="30"/>
      <c r="X132" s="33" t="s">
        <v>545</v>
      </c>
      <c r="Y132" s="33" t="s">
        <v>545</v>
      </c>
    </row>
    <row r="133" spans="1:26">
      <c r="A133" s="29">
        <v>47100126</v>
      </c>
      <c r="B133" s="30" t="s">
        <v>3354</v>
      </c>
      <c r="C133" s="33" t="s">
        <v>3357</v>
      </c>
      <c r="D133" s="33" t="s">
        <v>3358</v>
      </c>
      <c r="E133" s="55" t="b">
        <v>1</v>
      </c>
      <c r="F133" s="30">
        <v>4</v>
      </c>
      <c r="G133" s="200">
        <f t="shared" si="6"/>
        <v>16800000</v>
      </c>
      <c r="H133" s="30" t="s">
        <v>475</v>
      </c>
      <c r="I133" s="33">
        <v>100001</v>
      </c>
      <c r="J133" s="50">
        <v>2500</v>
      </c>
      <c r="K133" s="30" t="s">
        <v>475</v>
      </c>
      <c r="L133" s="33">
        <v>100001</v>
      </c>
      <c r="M133" s="50">
        <v>19500</v>
      </c>
      <c r="N133" s="30"/>
      <c r="O133" s="33" t="s">
        <v>545</v>
      </c>
      <c r="P133" s="33" t="s">
        <v>545</v>
      </c>
      <c r="Q133" s="30" t="s">
        <v>3355</v>
      </c>
      <c r="R133" s="33">
        <f>IFERROR(INDEX([1]Item!$A:$A,MATCH(Q133,[1]Item!$B:$B,0)),"-")</f>
        <v>23348555</v>
      </c>
      <c r="S133" s="33">
        <v>1</v>
      </c>
      <c r="T133" s="30"/>
      <c r="U133" s="33" t="str">
        <f>IFERROR(INDEX([1]Item!$A:$A,MATCH(T133,[1]Item!$B:$B,0)),"-")</f>
        <v>-</v>
      </c>
      <c r="V133" s="33" t="s">
        <v>545</v>
      </c>
      <c r="W133" s="30"/>
      <c r="X133" s="33" t="s">
        <v>545</v>
      </c>
      <c r="Y133" s="33" t="s">
        <v>545</v>
      </c>
    </row>
    <row r="134" spans="1:26">
      <c r="A134" s="29">
        <v>47100127</v>
      </c>
      <c r="B134" s="30" t="s">
        <v>3849</v>
      </c>
      <c r="C134" s="33" t="s">
        <v>3850</v>
      </c>
      <c r="D134" s="33" t="s">
        <v>3851</v>
      </c>
      <c r="E134" s="55" t="b">
        <v>0</v>
      </c>
      <c r="F134" s="30">
        <v>1</v>
      </c>
      <c r="G134" s="200">
        <f t="shared" ref="G134" si="7">IFERROR(INT(POWER(3,(POWER(F134-1,1.15)))) * 350000, 0)</f>
        <v>350000</v>
      </c>
      <c r="H134" s="30" t="s">
        <v>475</v>
      </c>
      <c r="I134" s="33">
        <v>100001</v>
      </c>
      <c r="J134" s="50">
        <v>2500</v>
      </c>
      <c r="K134" s="30" t="s">
        <v>475</v>
      </c>
      <c r="L134" s="33">
        <v>100001</v>
      </c>
      <c r="M134" s="50">
        <v>19500</v>
      </c>
      <c r="N134" s="30"/>
      <c r="O134" s="33" t="s">
        <v>545</v>
      </c>
      <c r="P134" s="33" t="s">
        <v>545</v>
      </c>
      <c r="Q134" s="30" t="s">
        <v>3852</v>
      </c>
      <c r="R134" s="33">
        <f>IFERROR(INDEX([1]Item!$A:$A,MATCH(Q134,[1]Item!$B:$B,0)),"-")</f>
        <v>23348558</v>
      </c>
      <c r="S134" s="33">
        <v>1</v>
      </c>
      <c r="T134" s="30"/>
      <c r="U134" s="33" t="str">
        <f>IFERROR(INDEX([1]Item!$A:$A,MATCH(T134,[1]Item!$B:$B,0)),"-")</f>
        <v>-</v>
      </c>
      <c r="V134" s="33" t="s">
        <v>545</v>
      </c>
      <c r="W134" s="30"/>
      <c r="X134" s="33" t="s">
        <v>545</v>
      </c>
      <c r="Y134" s="33" t="s">
        <v>545</v>
      </c>
    </row>
    <row r="135" spans="1:26">
      <c r="A135" s="31"/>
      <c r="B135" s="32"/>
      <c r="C135" s="32"/>
      <c r="D135" s="32"/>
      <c r="E135" s="32"/>
      <c r="F135" s="32"/>
      <c r="G135" s="32"/>
      <c r="H135" s="32"/>
      <c r="I135" s="32"/>
      <c r="J135" s="32"/>
      <c r="K135" s="32"/>
      <c r="L135" s="32"/>
      <c r="M135" s="32"/>
      <c r="N135" s="32"/>
      <c r="O135" s="32"/>
      <c r="P135" s="32"/>
      <c r="Q135" s="32"/>
      <c r="R135" s="32"/>
      <c r="S135" s="32"/>
      <c r="T135" s="32"/>
      <c r="U135" s="32"/>
      <c r="V135" s="32"/>
      <c r="W135" s="32"/>
      <c r="X135" s="32"/>
      <c r="Y135" s="32"/>
      <c r="Z135" s="27" t="s">
        <v>8</v>
      </c>
    </row>
    <row r="137" spans="1:26" ht="15">
      <c r="C137" s="211"/>
      <c r="D137" s="211"/>
    </row>
  </sheetData>
  <phoneticPr fontId="5" type="noConversion"/>
  <conditionalFormatting sqref="E9:E134">
    <cfRule type="cellIs" dxfId="3" priority="2" operator="equal">
      <formula>FALSE</formula>
    </cfRule>
    <cfRule type="cellIs" dxfId="2" priority="3" operator="equal">
      <formula>TRUE</formula>
    </cfRule>
  </conditionalFormatting>
  <conditionalFormatting sqref="G9:G134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pageSetup paperSize="9" orientation="portrait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5FA8B-62B0-4E9B-9D4E-7317A97CDD79}">
  <dimension ref="A1:Z137"/>
  <sheetViews>
    <sheetView zoomScale="85" zoomScaleNormal="85" workbookViewId="0">
      <pane xSplit="2" ySplit="8" topLeftCell="C106" activePane="bottomRight" state="frozen"/>
      <selection pane="topRight" activeCell="C1" sqref="C1"/>
      <selection pane="bottomLeft" activeCell="A9" sqref="A9"/>
      <selection pane="bottomRight" activeCell="J143" sqref="J143"/>
    </sheetView>
  </sheetViews>
  <sheetFormatPr defaultColWidth="9.140625" defaultRowHeight="13.5"/>
  <cols>
    <col min="1" max="1" width="19" style="27" customWidth="1"/>
    <col min="2" max="2" width="27" style="27" bestFit="1" customWidth="1"/>
    <col min="3" max="3" width="23.140625" style="27" customWidth="1"/>
    <col min="4" max="4" width="25.5703125" style="27" bestFit="1" customWidth="1"/>
    <col min="5" max="5" width="20" style="27" customWidth="1"/>
    <col min="6" max="6" width="5.7109375" style="27" bestFit="1" customWidth="1"/>
    <col min="7" max="7" width="11" style="27" bestFit="1" customWidth="1"/>
    <col min="8" max="8" width="20" style="27" bestFit="1" customWidth="1"/>
    <col min="9" max="10" width="20" style="27" customWidth="1"/>
    <col min="11" max="11" width="20" style="27" bestFit="1" customWidth="1"/>
    <col min="12" max="13" width="20" style="27" customWidth="1"/>
    <col min="14" max="14" width="20" style="27" bestFit="1" customWidth="1"/>
    <col min="15" max="26" width="20" style="27" customWidth="1"/>
    <col min="27" max="27" width="31.42578125" style="27" customWidth="1"/>
    <col min="28" max="28" width="11" style="27" bestFit="1" customWidth="1"/>
    <col min="29" max="29" width="9.140625" style="27"/>
    <col min="30" max="30" width="24.7109375" style="27" customWidth="1"/>
    <col min="31" max="31" width="22.5703125" style="27" customWidth="1"/>
    <col min="32" max="16384" width="9.140625" style="27"/>
  </cols>
  <sheetData>
    <row r="1" spans="1:25">
      <c r="A1" s="6" t="s">
        <v>5</v>
      </c>
      <c r="B1" s="25"/>
      <c r="C1" s="26" t="s">
        <v>454</v>
      </c>
      <c r="D1" s="26" t="s">
        <v>945</v>
      </c>
      <c r="E1" s="26" t="s">
        <v>717</v>
      </c>
      <c r="F1" s="25"/>
      <c r="G1" s="25"/>
      <c r="H1" s="25"/>
      <c r="I1" s="26" t="s">
        <v>471</v>
      </c>
      <c r="J1" s="26" t="s">
        <v>472</v>
      </c>
      <c r="K1" s="25"/>
      <c r="L1" s="26" t="s">
        <v>473</v>
      </c>
      <c r="M1" s="26" t="s">
        <v>474</v>
      </c>
      <c r="N1" s="25"/>
      <c r="O1" s="26" t="s">
        <v>550</v>
      </c>
      <c r="P1" s="26" t="s">
        <v>551</v>
      </c>
      <c r="Q1" s="25"/>
      <c r="R1" s="26" t="s">
        <v>1249</v>
      </c>
      <c r="S1" s="26" t="s">
        <v>1250</v>
      </c>
      <c r="T1" s="25"/>
      <c r="U1" s="26" t="s">
        <v>1251</v>
      </c>
      <c r="V1" s="26" t="s">
        <v>1252</v>
      </c>
      <c r="W1" s="25"/>
      <c r="X1" s="26" t="s">
        <v>1253</v>
      </c>
      <c r="Y1" s="26" t="s">
        <v>1254</v>
      </c>
    </row>
    <row r="2" spans="1:25" ht="27">
      <c r="A2" s="6" t="s">
        <v>377</v>
      </c>
      <c r="B2" s="25"/>
      <c r="C2" s="26" t="s">
        <v>6</v>
      </c>
      <c r="D2" s="26" t="s">
        <v>6</v>
      </c>
      <c r="E2" s="26" t="s">
        <v>718</v>
      </c>
      <c r="F2" s="25"/>
      <c r="G2" s="25"/>
      <c r="H2" s="25"/>
      <c r="I2" s="26" t="s">
        <v>7</v>
      </c>
      <c r="J2" s="26" t="s">
        <v>7</v>
      </c>
      <c r="K2" s="25"/>
      <c r="L2" s="26" t="s">
        <v>7</v>
      </c>
      <c r="M2" s="26" t="s">
        <v>7</v>
      </c>
      <c r="N2" s="25"/>
      <c r="O2" s="26" t="s">
        <v>7</v>
      </c>
      <c r="P2" s="26" t="s">
        <v>7</v>
      </c>
      <c r="Q2" s="25"/>
      <c r="R2" s="26" t="s">
        <v>7</v>
      </c>
      <c r="S2" s="26" t="s">
        <v>7</v>
      </c>
      <c r="T2" s="25"/>
      <c r="U2" s="26" t="s">
        <v>7</v>
      </c>
      <c r="V2" s="26" t="s">
        <v>7</v>
      </c>
      <c r="W2" s="25"/>
      <c r="X2" s="26" t="s">
        <v>7</v>
      </c>
      <c r="Y2" s="26" t="s">
        <v>7</v>
      </c>
    </row>
    <row r="3" spans="1:25">
      <c r="A3" s="8" t="s">
        <v>1</v>
      </c>
      <c r="B3" s="25"/>
      <c r="C3" s="28">
        <v>1</v>
      </c>
      <c r="D3" s="28" t="s">
        <v>0</v>
      </c>
      <c r="E3" s="28">
        <v>1</v>
      </c>
      <c r="F3" s="25"/>
      <c r="G3" s="25"/>
      <c r="H3" s="25"/>
      <c r="I3" s="28" t="s">
        <v>0</v>
      </c>
      <c r="J3" s="28" t="s">
        <v>0</v>
      </c>
      <c r="K3" s="25"/>
      <c r="L3" s="28" t="s">
        <v>0</v>
      </c>
      <c r="M3" s="28" t="s">
        <v>0</v>
      </c>
      <c r="N3" s="25"/>
      <c r="O3" s="28" t="s">
        <v>0</v>
      </c>
      <c r="P3" s="28" t="s">
        <v>0</v>
      </c>
      <c r="Q3" s="25"/>
      <c r="R3" s="28" t="s">
        <v>0</v>
      </c>
      <c r="S3" s="28" t="s">
        <v>0</v>
      </c>
      <c r="T3" s="25"/>
      <c r="U3" s="28" t="s">
        <v>0</v>
      </c>
      <c r="V3" s="28" t="s">
        <v>0</v>
      </c>
      <c r="W3" s="25"/>
      <c r="X3" s="28" t="s">
        <v>0</v>
      </c>
      <c r="Y3" s="28" t="s">
        <v>0</v>
      </c>
    </row>
    <row r="4" spans="1:25">
      <c r="A4" s="8" t="s">
        <v>2</v>
      </c>
      <c r="B4" s="25"/>
      <c r="C4" s="28" t="s">
        <v>0</v>
      </c>
      <c r="D4" s="28" t="s">
        <v>0</v>
      </c>
      <c r="E4" s="28" t="s">
        <v>545</v>
      </c>
      <c r="F4" s="25"/>
      <c r="G4" s="25"/>
      <c r="H4" s="25"/>
      <c r="I4" s="28" t="s">
        <v>0</v>
      </c>
      <c r="J4" s="28" t="s">
        <v>0</v>
      </c>
      <c r="K4" s="25"/>
      <c r="L4" s="28" t="s">
        <v>0</v>
      </c>
      <c r="M4" s="28" t="s">
        <v>0</v>
      </c>
      <c r="N4" s="25"/>
      <c r="O4" s="28" t="s">
        <v>0</v>
      </c>
      <c r="P4" s="28" t="s">
        <v>0</v>
      </c>
      <c r="Q4" s="25"/>
      <c r="R4" s="28" t="s">
        <v>0</v>
      </c>
      <c r="S4" s="28" t="s">
        <v>0</v>
      </c>
      <c r="T4" s="25"/>
      <c r="U4" s="28" t="s">
        <v>0</v>
      </c>
      <c r="V4" s="28" t="s">
        <v>0</v>
      </c>
      <c r="W4" s="25"/>
      <c r="X4" s="28" t="s">
        <v>0</v>
      </c>
      <c r="Y4" s="28" t="s">
        <v>0</v>
      </c>
    </row>
    <row r="5" spans="1:25">
      <c r="A5" s="8" t="s">
        <v>3</v>
      </c>
      <c r="B5" s="25"/>
      <c r="C5" s="28" t="s">
        <v>0</v>
      </c>
      <c r="D5" s="28" t="s">
        <v>0</v>
      </c>
      <c r="E5" s="28" t="s">
        <v>545</v>
      </c>
      <c r="F5" s="25"/>
      <c r="G5" s="25"/>
      <c r="H5" s="25"/>
      <c r="I5" s="28" t="s">
        <v>0</v>
      </c>
      <c r="J5" s="28" t="s">
        <v>0</v>
      </c>
      <c r="K5" s="25"/>
      <c r="L5" s="28" t="s">
        <v>0</v>
      </c>
      <c r="M5" s="28" t="s">
        <v>0</v>
      </c>
      <c r="N5" s="25"/>
      <c r="O5" s="28" t="s">
        <v>0</v>
      </c>
      <c r="P5" s="28" t="s">
        <v>0</v>
      </c>
      <c r="Q5" s="25"/>
      <c r="R5" s="28" t="s">
        <v>0</v>
      </c>
      <c r="S5" s="28" t="s">
        <v>0</v>
      </c>
      <c r="T5" s="25"/>
      <c r="U5" s="28" t="s">
        <v>0</v>
      </c>
      <c r="V5" s="28" t="s">
        <v>0</v>
      </c>
      <c r="W5" s="25"/>
      <c r="X5" s="28" t="s">
        <v>0</v>
      </c>
      <c r="Y5" s="28" t="s">
        <v>0</v>
      </c>
    </row>
    <row r="6" spans="1:25">
      <c r="A6" s="8" t="s">
        <v>4</v>
      </c>
      <c r="B6" s="25"/>
      <c r="C6" s="28" t="s">
        <v>0</v>
      </c>
      <c r="D6" s="28" t="s">
        <v>0</v>
      </c>
      <c r="E6" s="28" t="s">
        <v>545</v>
      </c>
      <c r="F6" s="25"/>
      <c r="G6" s="25"/>
      <c r="H6" s="25"/>
      <c r="I6" s="28" t="s">
        <v>0</v>
      </c>
      <c r="J6" s="28" t="s">
        <v>0</v>
      </c>
      <c r="K6" s="25"/>
      <c r="L6" s="28" t="s">
        <v>0</v>
      </c>
      <c r="M6" s="28" t="s">
        <v>0</v>
      </c>
      <c r="N6" s="25"/>
      <c r="O6" s="28" t="s">
        <v>0</v>
      </c>
      <c r="P6" s="28" t="s">
        <v>0</v>
      </c>
      <c r="Q6" s="25"/>
      <c r="R6" s="28" t="s">
        <v>0</v>
      </c>
      <c r="S6" s="28" t="s">
        <v>0</v>
      </c>
      <c r="T6" s="25"/>
      <c r="U6" s="28" t="s">
        <v>0</v>
      </c>
      <c r="V6" s="28" t="s">
        <v>0</v>
      </c>
      <c r="W6" s="25"/>
      <c r="X6" s="28" t="s">
        <v>0</v>
      </c>
      <c r="Y6" s="28" t="s">
        <v>0</v>
      </c>
    </row>
    <row r="7" spans="1:25">
      <c r="A7" s="8" t="s">
        <v>10</v>
      </c>
      <c r="B7" s="25"/>
      <c r="C7" s="28" t="s">
        <v>0</v>
      </c>
      <c r="D7" s="28" t="s">
        <v>0</v>
      </c>
      <c r="E7" s="28" t="s">
        <v>545</v>
      </c>
      <c r="F7" s="25"/>
      <c r="G7" s="25"/>
      <c r="H7" s="25"/>
      <c r="I7" s="28" t="s">
        <v>0</v>
      </c>
      <c r="J7" s="28" t="s">
        <v>0</v>
      </c>
      <c r="K7" s="25"/>
      <c r="L7" s="28" t="s">
        <v>0</v>
      </c>
      <c r="M7" s="28" t="s">
        <v>0</v>
      </c>
      <c r="N7" s="25"/>
      <c r="O7" s="28" t="s">
        <v>0</v>
      </c>
      <c r="P7" s="28" t="s">
        <v>0</v>
      </c>
      <c r="Q7" s="25"/>
      <c r="R7" s="28" t="s">
        <v>0</v>
      </c>
      <c r="S7" s="28" t="s">
        <v>0</v>
      </c>
      <c r="T7" s="25"/>
      <c r="U7" s="28" t="s">
        <v>0</v>
      </c>
      <c r="V7" s="28" t="s">
        <v>0</v>
      </c>
      <c r="W7" s="25"/>
      <c r="X7" s="28" t="s">
        <v>0</v>
      </c>
      <c r="Y7" s="28" t="s">
        <v>0</v>
      </c>
    </row>
    <row r="8" spans="1:25">
      <c r="A8" s="8" t="s">
        <v>556</v>
      </c>
      <c r="B8" s="25"/>
      <c r="C8" s="28">
        <v>1</v>
      </c>
      <c r="D8" s="28">
        <v>1</v>
      </c>
      <c r="E8" s="28" t="s">
        <v>545</v>
      </c>
      <c r="F8" s="25" t="s">
        <v>2309</v>
      </c>
      <c r="G8" s="25" t="s">
        <v>2313</v>
      </c>
      <c r="H8" s="25"/>
      <c r="I8" s="28" t="s">
        <v>0</v>
      </c>
      <c r="J8" s="28" t="s">
        <v>0</v>
      </c>
      <c r="K8" s="25"/>
      <c r="L8" s="28" t="s">
        <v>0</v>
      </c>
      <c r="M8" s="28" t="s">
        <v>0</v>
      </c>
      <c r="N8" s="25"/>
      <c r="O8" s="28" t="s">
        <v>0</v>
      </c>
      <c r="P8" s="28" t="s">
        <v>0</v>
      </c>
      <c r="Q8" s="25"/>
      <c r="R8" s="28" t="s">
        <v>0</v>
      </c>
      <c r="S8" s="28" t="s">
        <v>0</v>
      </c>
      <c r="T8" s="25"/>
      <c r="U8" s="28" t="s">
        <v>0</v>
      </c>
      <c r="V8" s="28" t="s">
        <v>0</v>
      </c>
      <c r="W8" s="25"/>
      <c r="X8" s="28" t="s">
        <v>0</v>
      </c>
      <c r="Y8" s="28" t="s">
        <v>0</v>
      </c>
    </row>
    <row r="9" spans="1:25">
      <c r="A9" s="29">
        <v>47100000</v>
      </c>
      <c r="B9" s="30" t="s">
        <v>739</v>
      </c>
      <c r="C9" s="33" t="s">
        <v>1153</v>
      </c>
      <c r="D9" s="33" t="s">
        <v>1152</v>
      </c>
      <c r="E9" s="55" t="b">
        <v>1</v>
      </c>
      <c r="F9" s="30">
        <v>0</v>
      </c>
      <c r="G9" s="200">
        <f>IFERROR(INT(POWER(3,(POWER(F9-1,1.15)))) * 350000, 0)</f>
        <v>0</v>
      </c>
      <c r="H9" s="30" t="s">
        <v>475</v>
      </c>
      <c r="I9" s="33">
        <v>100001</v>
      </c>
      <c r="J9" s="50">
        <v>2500</v>
      </c>
      <c r="K9" s="30" t="s">
        <v>0</v>
      </c>
      <c r="L9" s="33" t="s">
        <v>0</v>
      </c>
      <c r="M9" s="50" t="s">
        <v>545</v>
      </c>
      <c r="N9" s="30"/>
      <c r="O9" s="33" t="s">
        <v>545</v>
      </c>
      <c r="P9" s="33" t="s">
        <v>545</v>
      </c>
      <c r="Q9" s="30" t="s">
        <v>2425</v>
      </c>
      <c r="R9" s="33" t="str">
        <f>IFERROR(INDEX([1]Item!$A:$A,MATCH(Q9,[1]Item!$B:$B,0)),"-")</f>
        <v>-</v>
      </c>
      <c r="S9" s="33" t="s">
        <v>545</v>
      </c>
      <c r="T9" s="30" t="s">
        <v>2425</v>
      </c>
      <c r="U9" s="33" t="str">
        <f>IFERROR(INDEX([1]Item!$A:$A,MATCH(T9,[1]Item!$B:$B,0)),"-")</f>
        <v>-</v>
      </c>
      <c r="V9" s="33" t="s">
        <v>545</v>
      </c>
      <c r="W9" s="30"/>
      <c r="X9" s="33" t="s">
        <v>545</v>
      </c>
      <c r="Y9" s="33" t="s">
        <v>545</v>
      </c>
    </row>
    <row r="10" spans="1:25">
      <c r="A10" s="29">
        <v>47100001</v>
      </c>
      <c r="B10" s="30" t="s">
        <v>1259</v>
      </c>
      <c r="C10" s="33" t="s">
        <v>844</v>
      </c>
      <c r="D10" s="33" t="s">
        <v>948</v>
      </c>
      <c r="E10" s="55" t="b">
        <v>0</v>
      </c>
      <c r="F10" s="30">
        <v>3</v>
      </c>
      <c r="G10" s="200">
        <f t="shared" ref="G10:G73" si="0">IFERROR(INT(POWER(3,(POWER(F10-1,1.15)))) * 350000, 0)</f>
        <v>3850000</v>
      </c>
      <c r="H10" s="30" t="s">
        <v>475</v>
      </c>
      <c r="I10" s="33">
        <v>100001</v>
      </c>
      <c r="J10" s="50">
        <v>126500</v>
      </c>
      <c r="K10" s="30" t="s">
        <v>475</v>
      </c>
      <c r="L10" s="33">
        <v>100001</v>
      </c>
      <c r="M10" s="50">
        <v>1009500</v>
      </c>
      <c r="N10" s="30"/>
      <c r="O10" s="33" t="s">
        <v>545</v>
      </c>
      <c r="P10" s="33" t="s">
        <v>545</v>
      </c>
      <c r="Q10" s="30" t="s">
        <v>2426</v>
      </c>
      <c r="R10" s="33">
        <f>IFERROR(INDEX([1]Item!$A:$A,MATCH(Q10,[1]Item!$B:$B,0)),"-")</f>
        <v>23348000</v>
      </c>
      <c r="S10" s="33">
        <v>1</v>
      </c>
      <c r="T10" s="30" t="s">
        <v>2425</v>
      </c>
      <c r="U10" s="33" t="str">
        <f>IFERROR(INDEX([1]Item!$A:$A,MATCH(T10,[1]Item!$B:$B,0)),"-")</f>
        <v>-</v>
      </c>
      <c r="V10" s="33" t="s">
        <v>545</v>
      </c>
      <c r="W10" s="30"/>
      <c r="X10" s="33" t="s">
        <v>545</v>
      </c>
      <c r="Y10" s="33" t="s">
        <v>545</v>
      </c>
    </row>
    <row r="11" spans="1:25">
      <c r="A11" s="29">
        <v>47100002</v>
      </c>
      <c r="B11" s="30" t="s">
        <v>1260</v>
      </c>
      <c r="C11" s="33" t="s">
        <v>845</v>
      </c>
      <c r="D11" s="33" t="s">
        <v>949</v>
      </c>
      <c r="E11" s="55" t="b">
        <v>0</v>
      </c>
      <c r="F11" s="30">
        <v>3</v>
      </c>
      <c r="G11" s="200">
        <f t="shared" si="0"/>
        <v>3850000</v>
      </c>
      <c r="H11" s="30" t="s">
        <v>475</v>
      </c>
      <c r="I11" s="33">
        <v>100001</v>
      </c>
      <c r="J11" s="50">
        <v>126500</v>
      </c>
      <c r="K11" s="30" t="s">
        <v>475</v>
      </c>
      <c r="L11" s="33">
        <v>100001</v>
      </c>
      <c r="M11" s="50">
        <v>1009500</v>
      </c>
      <c r="N11" s="30"/>
      <c r="O11" s="33" t="s">
        <v>545</v>
      </c>
      <c r="P11" s="33" t="s">
        <v>545</v>
      </c>
      <c r="Q11" s="30" t="s">
        <v>2427</v>
      </c>
      <c r="R11" s="33">
        <f>IFERROR(INDEX([1]Item!$A:$A,MATCH(Q11,[1]Item!$B:$B,0)),"-")</f>
        <v>23348001</v>
      </c>
      <c r="S11" s="33">
        <v>1</v>
      </c>
      <c r="T11" s="30" t="s">
        <v>2425</v>
      </c>
      <c r="U11" s="33" t="str">
        <f>IFERROR(INDEX([1]Item!$A:$A,MATCH(T11,[1]Item!$B:$B,0)),"-")</f>
        <v>-</v>
      </c>
      <c r="V11" s="33" t="s">
        <v>545</v>
      </c>
      <c r="W11" s="30"/>
      <c r="X11" s="33" t="s">
        <v>545</v>
      </c>
      <c r="Y11" s="33" t="s">
        <v>545</v>
      </c>
    </row>
    <row r="12" spans="1:25">
      <c r="A12" s="29">
        <v>47100003</v>
      </c>
      <c r="B12" s="30" t="s">
        <v>1261</v>
      </c>
      <c r="C12" s="33" t="s">
        <v>846</v>
      </c>
      <c r="D12" s="33" t="s">
        <v>950</v>
      </c>
      <c r="E12" s="55" t="b">
        <v>0</v>
      </c>
      <c r="F12" s="30">
        <v>3</v>
      </c>
      <c r="G12" s="200">
        <f t="shared" si="0"/>
        <v>3850000</v>
      </c>
      <c r="H12" s="30" t="s">
        <v>475</v>
      </c>
      <c r="I12" s="33">
        <v>100001</v>
      </c>
      <c r="J12" s="50">
        <v>126500</v>
      </c>
      <c r="K12" s="30" t="s">
        <v>475</v>
      </c>
      <c r="L12" s="33">
        <v>100001</v>
      </c>
      <c r="M12" s="50">
        <v>1009500</v>
      </c>
      <c r="N12" s="30"/>
      <c r="O12" s="33" t="s">
        <v>545</v>
      </c>
      <c r="P12" s="33" t="s">
        <v>545</v>
      </c>
      <c r="Q12" s="30" t="s">
        <v>2428</v>
      </c>
      <c r="R12" s="33">
        <f>IFERROR(INDEX([1]Item!$A:$A,MATCH(Q12,[1]Item!$B:$B,0)),"-")</f>
        <v>23348002</v>
      </c>
      <c r="S12" s="33">
        <v>1</v>
      </c>
      <c r="T12" s="30" t="s">
        <v>2425</v>
      </c>
      <c r="U12" s="33" t="str">
        <f>IFERROR(INDEX([1]Item!$A:$A,MATCH(T12,[1]Item!$B:$B,0)),"-")</f>
        <v>-</v>
      </c>
      <c r="V12" s="33" t="s">
        <v>545</v>
      </c>
      <c r="W12" s="30"/>
      <c r="X12" s="33" t="s">
        <v>545</v>
      </c>
      <c r="Y12" s="33" t="s">
        <v>545</v>
      </c>
    </row>
    <row r="13" spans="1:25">
      <c r="A13" s="29">
        <v>47100004</v>
      </c>
      <c r="B13" s="30" t="s">
        <v>1262</v>
      </c>
      <c r="C13" s="33" t="s">
        <v>847</v>
      </c>
      <c r="D13" s="33" t="s">
        <v>951</v>
      </c>
      <c r="E13" s="55" t="b">
        <v>0</v>
      </c>
      <c r="F13" s="30">
        <v>3</v>
      </c>
      <c r="G13" s="200">
        <f t="shared" si="0"/>
        <v>3850000</v>
      </c>
      <c r="H13" s="30" t="s">
        <v>475</v>
      </c>
      <c r="I13" s="33">
        <v>100001</v>
      </c>
      <c r="J13" s="50">
        <v>126500</v>
      </c>
      <c r="K13" s="30" t="s">
        <v>475</v>
      </c>
      <c r="L13" s="33">
        <v>100001</v>
      </c>
      <c r="M13" s="50">
        <v>1009500</v>
      </c>
      <c r="N13" s="30"/>
      <c r="O13" s="33" t="s">
        <v>545</v>
      </c>
      <c r="P13" s="33" t="s">
        <v>545</v>
      </c>
      <c r="Q13" s="30" t="s">
        <v>2429</v>
      </c>
      <c r="R13" s="33">
        <f>IFERROR(INDEX([1]Item!$A:$A,MATCH(Q13,[1]Item!$B:$B,0)),"-")</f>
        <v>23348003</v>
      </c>
      <c r="S13" s="33">
        <v>1</v>
      </c>
      <c r="T13" s="30" t="s">
        <v>2425</v>
      </c>
      <c r="U13" s="33" t="str">
        <f>IFERROR(INDEX([1]Item!$A:$A,MATCH(T13,[1]Item!$B:$B,0)),"-")</f>
        <v>-</v>
      </c>
      <c r="V13" s="33" t="s">
        <v>545</v>
      </c>
      <c r="W13" s="30"/>
      <c r="X13" s="33" t="s">
        <v>545</v>
      </c>
      <c r="Y13" s="33" t="s">
        <v>545</v>
      </c>
    </row>
    <row r="14" spans="1:25">
      <c r="A14" s="29">
        <v>47100005</v>
      </c>
      <c r="B14" s="30" t="s">
        <v>1263</v>
      </c>
      <c r="C14" s="33" t="s">
        <v>848</v>
      </c>
      <c r="D14" s="33" t="s">
        <v>952</v>
      </c>
      <c r="E14" s="55" t="b">
        <v>0</v>
      </c>
      <c r="F14" s="30">
        <v>3</v>
      </c>
      <c r="G14" s="200">
        <f t="shared" si="0"/>
        <v>3850000</v>
      </c>
      <c r="H14" s="30" t="s">
        <v>475</v>
      </c>
      <c r="I14" s="33">
        <v>100001</v>
      </c>
      <c r="J14" s="50">
        <v>126500</v>
      </c>
      <c r="K14" s="30" t="s">
        <v>475</v>
      </c>
      <c r="L14" s="33">
        <v>100001</v>
      </c>
      <c r="M14" s="50">
        <v>1009500</v>
      </c>
      <c r="N14" s="30"/>
      <c r="O14" s="33" t="s">
        <v>545</v>
      </c>
      <c r="P14" s="33" t="s">
        <v>545</v>
      </c>
      <c r="Q14" s="30" t="s">
        <v>2430</v>
      </c>
      <c r="R14" s="33">
        <f>IFERROR(INDEX([1]Item!$A:$A,MATCH(Q14,[1]Item!$B:$B,0)),"-")</f>
        <v>23348004</v>
      </c>
      <c r="S14" s="33">
        <v>1</v>
      </c>
      <c r="T14" s="30" t="s">
        <v>2527</v>
      </c>
      <c r="U14" s="33">
        <f>IFERROR(INDEX([1]Item!$A:$A,MATCH(T14,[1]Item!$B:$B,0)),"-")</f>
        <v>23347002</v>
      </c>
      <c r="V14" s="33">
        <v>10</v>
      </c>
      <c r="W14" s="30"/>
      <c r="X14" s="33" t="s">
        <v>545</v>
      </c>
      <c r="Y14" s="33" t="s">
        <v>545</v>
      </c>
    </row>
    <row r="15" spans="1:25">
      <c r="A15" s="29">
        <v>47100006</v>
      </c>
      <c r="B15" s="30" t="s">
        <v>1264</v>
      </c>
      <c r="C15" s="33" t="s">
        <v>849</v>
      </c>
      <c r="D15" s="33" t="s">
        <v>953</v>
      </c>
      <c r="E15" s="55" t="b">
        <v>0</v>
      </c>
      <c r="F15" s="30">
        <v>3</v>
      </c>
      <c r="G15" s="200">
        <f t="shared" si="0"/>
        <v>3850000</v>
      </c>
      <c r="H15" s="30" t="s">
        <v>475</v>
      </c>
      <c r="I15" s="33">
        <v>100001</v>
      </c>
      <c r="J15" s="50">
        <v>126500</v>
      </c>
      <c r="K15" s="30" t="s">
        <v>475</v>
      </c>
      <c r="L15" s="33">
        <v>100001</v>
      </c>
      <c r="M15" s="50">
        <v>1009500</v>
      </c>
      <c r="N15" s="30"/>
      <c r="O15" s="33" t="s">
        <v>545</v>
      </c>
      <c r="P15" s="33" t="s">
        <v>545</v>
      </c>
      <c r="Q15" s="30" t="s">
        <v>2473</v>
      </c>
      <c r="R15" s="33">
        <f>IFERROR(INDEX([1]Item!$A:$A,MATCH(Q15,[1]Item!$B:$B,0)),"-")</f>
        <v>23348005</v>
      </c>
      <c r="S15" s="33">
        <v>1</v>
      </c>
      <c r="T15" s="30" t="s">
        <v>2527</v>
      </c>
      <c r="U15" s="33">
        <f>IFERROR(INDEX([1]Item!$A:$A,MATCH(T15,[1]Item!$B:$B,0)),"-")</f>
        <v>23347002</v>
      </c>
      <c r="V15" s="33">
        <v>10</v>
      </c>
      <c r="W15" s="30"/>
      <c r="X15" s="33" t="s">
        <v>545</v>
      </c>
      <c r="Y15" s="33" t="s">
        <v>545</v>
      </c>
    </row>
    <row r="16" spans="1:25">
      <c r="A16" s="29">
        <v>47100007</v>
      </c>
      <c r="B16" s="30" t="s">
        <v>1265</v>
      </c>
      <c r="C16" s="33" t="s">
        <v>850</v>
      </c>
      <c r="D16" s="33" t="s">
        <v>954</v>
      </c>
      <c r="E16" s="55" t="b">
        <v>0</v>
      </c>
      <c r="F16" s="30">
        <v>3</v>
      </c>
      <c r="G16" s="200">
        <f t="shared" si="0"/>
        <v>3850000</v>
      </c>
      <c r="H16" s="30" t="s">
        <v>475</v>
      </c>
      <c r="I16" s="33">
        <v>100001</v>
      </c>
      <c r="J16" s="50">
        <v>126500</v>
      </c>
      <c r="K16" s="30" t="s">
        <v>475</v>
      </c>
      <c r="L16" s="33">
        <v>100001</v>
      </c>
      <c r="M16" s="50">
        <v>1009500</v>
      </c>
      <c r="N16" s="30"/>
      <c r="O16" s="33" t="s">
        <v>545</v>
      </c>
      <c r="P16" s="33" t="s">
        <v>545</v>
      </c>
      <c r="Q16" s="30" t="s">
        <v>2474</v>
      </c>
      <c r="R16" s="33">
        <f>IFERROR(INDEX([1]Item!$A:$A,MATCH(Q16,[1]Item!$B:$B,0)),"-")</f>
        <v>23348006</v>
      </c>
      <c r="S16" s="33">
        <v>1</v>
      </c>
      <c r="T16" s="30" t="s">
        <v>2527</v>
      </c>
      <c r="U16" s="33">
        <f>IFERROR(INDEX([1]Item!$A:$A,MATCH(T16,[1]Item!$B:$B,0)),"-")</f>
        <v>23347002</v>
      </c>
      <c r="V16" s="33">
        <v>10</v>
      </c>
      <c r="W16" s="30"/>
      <c r="X16" s="33" t="s">
        <v>545</v>
      </c>
      <c r="Y16" s="33" t="s">
        <v>545</v>
      </c>
    </row>
    <row r="17" spans="1:25">
      <c r="A17" s="29">
        <v>47100008</v>
      </c>
      <c r="B17" s="30" t="s">
        <v>1266</v>
      </c>
      <c r="C17" s="33" t="s">
        <v>851</v>
      </c>
      <c r="D17" s="33" t="s">
        <v>955</v>
      </c>
      <c r="E17" s="55" t="b">
        <v>0</v>
      </c>
      <c r="F17" s="30">
        <v>3</v>
      </c>
      <c r="G17" s="200">
        <f t="shared" si="0"/>
        <v>3850000</v>
      </c>
      <c r="H17" s="30" t="s">
        <v>475</v>
      </c>
      <c r="I17" s="33">
        <v>100001</v>
      </c>
      <c r="J17" s="50">
        <v>126500</v>
      </c>
      <c r="K17" s="30" t="s">
        <v>475</v>
      </c>
      <c r="L17" s="33">
        <v>100001</v>
      </c>
      <c r="M17" s="50">
        <v>1009500</v>
      </c>
      <c r="N17" s="30"/>
      <c r="O17" s="33" t="s">
        <v>545</v>
      </c>
      <c r="P17" s="33" t="s">
        <v>545</v>
      </c>
      <c r="Q17" s="30" t="s">
        <v>2475</v>
      </c>
      <c r="R17" s="33">
        <f>IFERROR(INDEX([1]Item!$A:$A,MATCH(Q17,[1]Item!$B:$B,0)),"-")</f>
        <v>23348007</v>
      </c>
      <c r="S17" s="33">
        <v>1</v>
      </c>
      <c r="T17" s="30" t="s">
        <v>2527</v>
      </c>
      <c r="U17" s="33">
        <f>IFERROR(INDEX([1]Item!$A:$A,MATCH(T17,[1]Item!$B:$B,0)),"-")</f>
        <v>23347002</v>
      </c>
      <c r="V17" s="33">
        <v>10</v>
      </c>
      <c r="W17" s="30"/>
      <c r="X17" s="33" t="s">
        <v>545</v>
      </c>
      <c r="Y17" s="33" t="s">
        <v>545</v>
      </c>
    </row>
    <row r="18" spans="1:25">
      <c r="A18" s="29">
        <v>47100009</v>
      </c>
      <c r="B18" s="30" t="s">
        <v>1267</v>
      </c>
      <c r="C18" s="33" t="s">
        <v>852</v>
      </c>
      <c r="D18" s="33" t="s">
        <v>956</v>
      </c>
      <c r="E18" s="55" t="b">
        <v>0</v>
      </c>
      <c r="F18" s="30">
        <v>3</v>
      </c>
      <c r="G18" s="200">
        <f t="shared" si="0"/>
        <v>3850000</v>
      </c>
      <c r="H18" s="30" t="s">
        <v>475</v>
      </c>
      <c r="I18" s="33">
        <v>100001</v>
      </c>
      <c r="J18" s="50">
        <v>126500</v>
      </c>
      <c r="K18" s="30" t="s">
        <v>475</v>
      </c>
      <c r="L18" s="33">
        <v>100001</v>
      </c>
      <c r="M18" s="50">
        <v>1009500</v>
      </c>
      <c r="N18" s="30"/>
      <c r="O18" s="33" t="s">
        <v>545</v>
      </c>
      <c r="P18" s="33" t="s">
        <v>545</v>
      </c>
      <c r="Q18" s="30" t="s">
        <v>2476</v>
      </c>
      <c r="R18" s="33">
        <f>IFERROR(INDEX([1]Item!$A:$A,MATCH(Q18,[1]Item!$B:$B,0)),"-")</f>
        <v>23348008</v>
      </c>
      <c r="S18" s="33">
        <v>1</v>
      </c>
      <c r="T18" s="30" t="s">
        <v>2425</v>
      </c>
      <c r="U18" s="33" t="str">
        <f>IFERROR(INDEX([1]Item!$A:$A,MATCH(T18,[1]Item!$B:$B,0)),"-")</f>
        <v>-</v>
      </c>
      <c r="V18" s="33" t="s">
        <v>545</v>
      </c>
      <c r="W18" s="30"/>
      <c r="X18" s="33" t="s">
        <v>545</v>
      </c>
      <c r="Y18" s="33" t="s">
        <v>545</v>
      </c>
    </row>
    <row r="19" spans="1:25">
      <c r="A19" s="29">
        <v>47100010</v>
      </c>
      <c r="B19" s="30" t="s">
        <v>1268</v>
      </c>
      <c r="C19" s="33" t="s">
        <v>853</v>
      </c>
      <c r="D19" s="33" t="s">
        <v>957</v>
      </c>
      <c r="E19" s="55" t="b">
        <v>0</v>
      </c>
      <c r="F19" s="30">
        <v>3</v>
      </c>
      <c r="G19" s="200">
        <f t="shared" si="0"/>
        <v>3850000</v>
      </c>
      <c r="H19" s="30" t="s">
        <v>475</v>
      </c>
      <c r="I19" s="33">
        <v>100001</v>
      </c>
      <c r="J19" s="50">
        <v>126500</v>
      </c>
      <c r="K19" s="30" t="s">
        <v>475</v>
      </c>
      <c r="L19" s="33">
        <v>100001</v>
      </c>
      <c r="M19" s="50">
        <v>1009500</v>
      </c>
      <c r="N19" s="30"/>
      <c r="O19" s="33" t="s">
        <v>545</v>
      </c>
      <c r="P19" s="33" t="s">
        <v>545</v>
      </c>
      <c r="Q19" s="30" t="s">
        <v>2431</v>
      </c>
      <c r="R19" s="33">
        <f>IFERROR(INDEX([1]Item!$A:$A,MATCH(Q19,[1]Item!$B:$B,0)),"-")</f>
        <v>23348009</v>
      </c>
      <c r="S19" s="33">
        <v>1</v>
      </c>
      <c r="T19" s="30" t="s">
        <v>2425</v>
      </c>
      <c r="U19" s="33" t="str">
        <f>IFERROR(INDEX([1]Item!$A:$A,MATCH(T19,[1]Item!$B:$B,0)),"-")</f>
        <v>-</v>
      </c>
      <c r="V19" s="33" t="s">
        <v>545</v>
      </c>
      <c r="W19" s="30"/>
      <c r="X19" s="33" t="s">
        <v>545</v>
      </c>
      <c r="Y19" s="33" t="s">
        <v>545</v>
      </c>
    </row>
    <row r="20" spans="1:25">
      <c r="A20" s="29">
        <v>47100011</v>
      </c>
      <c r="B20" s="30" t="s">
        <v>1269</v>
      </c>
      <c r="C20" s="33" t="s">
        <v>854</v>
      </c>
      <c r="D20" s="33" t="s">
        <v>958</v>
      </c>
      <c r="E20" s="55" t="b">
        <v>0</v>
      </c>
      <c r="F20" s="30">
        <v>3</v>
      </c>
      <c r="G20" s="200">
        <f t="shared" si="0"/>
        <v>3850000</v>
      </c>
      <c r="H20" s="30" t="s">
        <v>475</v>
      </c>
      <c r="I20" s="33">
        <v>100001</v>
      </c>
      <c r="J20" s="50">
        <v>126500</v>
      </c>
      <c r="K20" s="30" t="s">
        <v>475</v>
      </c>
      <c r="L20" s="33">
        <v>100001</v>
      </c>
      <c r="M20" s="50">
        <v>1009500</v>
      </c>
      <c r="N20" s="30"/>
      <c r="O20" s="33" t="s">
        <v>545</v>
      </c>
      <c r="P20" s="33" t="s">
        <v>545</v>
      </c>
      <c r="Q20" s="30" t="s">
        <v>2432</v>
      </c>
      <c r="R20" s="33">
        <f>IFERROR(INDEX([1]Item!$A:$A,MATCH(Q20,[1]Item!$B:$B,0)),"-")</f>
        <v>23348010</v>
      </c>
      <c r="S20" s="33">
        <v>1</v>
      </c>
      <c r="T20" s="30" t="s">
        <v>2425</v>
      </c>
      <c r="U20" s="33" t="str">
        <f>IFERROR(INDEX([1]Item!$A:$A,MATCH(T20,[1]Item!$B:$B,0)),"-")</f>
        <v>-</v>
      </c>
      <c r="V20" s="33" t="s">
        <v>545</v>
      </c>
      <c r="W20" s="30"/>
      <c r="X20" s="33" t="s">
        <v>545</v>
      </c>
      <c r="Y20" s="33" t="s">
        <v>545</v>
      </c>
    </row>
    <row r="21" spans="1:25">
      <c r="A21" s="29">
        <v>47100012</v>
      </c>
      <c r="B21" s="30" t="s">
        <v>1270</v>
      </c>
      <c r="C21" s="33" t="s">
        <v>855</v>
      </c>
      <c r="D21" s="33" t="s">
        <v>959</v>
      </c>
      <c r="E21" s="55" t="b">
        <v>1</v>
      </c>
      <c r="F21" s="30">
        <v>2</v>
      </c>
      <c r="G21" s="200">
        <f t="shared" si="0"/>
        <v>1050000</v>
      </c>
      <c r="H21" s="30" t="s">
        <v>475</v>
      </c>
      <c r="I21" s="33">
        <v>100001</v>
      </c>
      <c r="J21" s="50">
        <v>20000</v>
      </c>
      <c r="K21" s="30" t="s">
        <v>475</v>
      </c>
      <c r="L21" s="33">
        <v>100001</v>
      </c>
      <c r="M21" s="50">
        <v>157500</v>
      </c>
      <c r="N21" s="30"/>
      <c r="O21" s="33" t="s">
        <v>545</v>
      </c>
      <c r="P21" s="33" t="s">
        <v>545</v>
      </c>
      <c r="Q21" s="30" t="s">
        <v>2433</v>
      </c>
      <c r="R21" s="33">
        <f>IFERROR(INDEX([1]Item!$A:$A,MATCH(Q21,[1]Item!$B:$B,0)),"-")</f>
        <v>23348011</v>
      </c>
      <c r="S21" s="33">
        <v>1</v>
      </c>
      <c r="T21" s="30" t="s">
        <v>2528</v>
      </c>
      <c r="U21" s="33">
        <f>IFERROR(INDEX([1]Item!$A:$A,MATCH(T21,[1]Item!$B:$B,0)),"-")</f>
        <v>23347003</v>
      </c>
      <c r="V21" s="33">
        <v>10</v>
      </c>
      <c r="W21" s="30"/>
      <c r="X21" s="33" t="s">
        <v>545</v>
      </c>
      <c r="Y21" s="33" t="s">
        <v>545</v>
      </c>
    </row>
    <row r="22" spans="1:25">
      <c r="A22" s="29">
        <v>47100014</v>
      </c>
      <c r="B22" s="30" t="s">
        <v>1271</v>
      </c>
      <c r="C22" s="33" t="s">
        <v>856</v>
      </c>
      <c r="D22" s="33" t="s">
        <v>960</v>
      </c>
      <c r="E22" s="55" t="b">
        <v>0</v>
      </c>
      <c r="F22" s="30">
        <v>2</v>
      </c>
      <c r="G22" s="200">
        <f t="shared" si="0"/>
        <v>1050000</v>
      </c>
      <c r="H22" s="30" t="s">
        <v>475</v>
      </c>
      <c r="I22" s="33">
        <v>100001</v>
      </c>
      <c r="J22" s="50">
        <v>20000</v>
      </c>
      <c r="K22" s="30" t="s">
        <v>475</v>
      </c>
      <c r="L22" s="33">
        <v>100001</v>
      </c>
      <c r="M22" s="50">
        <v>157500</v>
      </c>
      <c r="N22" s="30"/>
      <c r="O22" s="33" t="s">
        <v>545</v>
      </c>
      <c r="P22" s="33" t="s">
        <v>545</v>
      </c>
      <c r="Q22" s="30" t="s">
        <v>2477</v>
      </c>
      <c r="R22" s="33">
        <f>IFERROR(INDEX([1]Item!$A:$A,MATCH(Q22,[1]Item!$B:$B,0)),"-")</f>
        <v>23348012</v>
      </c>
      <c r="S22" s="33">
        <v>1</v>
      </c>
      <c r="T22" s="30" t="s">
        <v>2425</v>
      </c>
      <c r="U22" s="33" t="str">
        <f>IFERROR(INDEX([1]Item!$A:$A,MATCH(T22,[1]Item!$B:$B,0)),"-")</f>
        <v>-</v>
      </c>
      <c r="V22" s="33" t="s">
        <v>545</v>
      </c>
      <c r="W22" s="30"/>
      <c r="X22" s="33" t="s">
        <v>545</v>
      </c>
      <c r="Y22" s="33" t="s">
        <v>545</v>
      </c>
    </row>
    <row r="23" spans="1:25">
      <c r="A23" s="29">
        <v>47100015</v>
      </c>
      <c r="B23" s="30" t="s">
        <v>1272</v>
      </c>
      <c r="C23" s="33" t="s">
        <v>857</v>
      </c>
      <c r="D23" s="33" t="s">
        <v>961</v>
      </c>
      <c r="E23" s="55" t="b">
        <v>1</v>
      </c>
      <c r="F23" s="30">
        <v>2</v>
      </c>
      <c r="G23" s="200">
        <f t="shared" si="0"/>
        <v>1050000</v>
      </c>
      <c r="H23" s="30" t="s">
        <v>475</v>
      </c>
      <c r="I23" s="33">
        <v>100001</v>
      </c>
      <c r="J23" s="50">
        <v>20000</v>
      </c>
      <c r="K23" s="30" t="s">
        <v>475</v>
      </c>
      <c r="L23" s="33">
        <v>100001</v>
      </c>
      <c r="M23" s="50">
        <v>157500</v>
      </c>
      <c r="N23" s="30"/>
      <c r="O23" s="33" t="s">
        <v>545</v>
      </c>
      <c r="P23" s="33" t="s">
        <v>545</v>
      </c>
      <c r="Q23" s="30" t="s">
        <v>2434</v>
      </c>
      <c r="R23" s="33">
        <f>IFERROR(INDEX([1]Item!$A:$A,MATCH(Q23,[1]Item!$B:$B,0)),"-")</f>
        <v>23348013</v>
      </c>
      <c r="S23" s="33">
        <v>1</v>
      </c>
      <c r="T23" s="30" t="s">
        <v>2425</v>
      </c>
      <c r="U23" s="33" t="str">
        <f>IFERROR(INDEX([1]Item!$A:$A,MATCH(T23,[1]Item!$B:$B,0)),"-")</f>
        <v>-</v>
      </c>
      <c r="V23" s="33" t="s">
        <v>545</v>
      </c>
      <c r="W23" s="30"/>
      <c r="X23" s="33" t="s">
        <v>545</v>
      </c>
      <c r="Y23" s="33" t="s">
        <v>545</v>
      </c>
    </row>
    <row r="24" spans="1:25">
      <c r="A24" s="29">
        <v>47100016</v>
      </c>
      <c r="B24" s="30" t="s">
        <v>1273</v>
      </c>
      <c r="C24" s="33" t="s">
        <v>858</v>
      </c>
      <c r="D24" s="33" t="s">
        <v>962</v>
      </c>
      <c r="E24" s="55" t="b">
        <v>1</v>
      </c>
      <c r="F24" s="30">
        <v>2</v>
      </c>
      <c r="G24" s="200">
        <f t="shared" si="0"/>
        <v>1050000</v>
      </c>
      <c r="H24" s="30" t="s">
        <v>475</v>
      </c>
      <c r="I24" s="33">
        <v>100001</v>
      </c>
      <c r="J24" s="50">
        <v>20000</v>
      </c>
      <c r="K24" s="30" t="s">
        <v>475</v>
      </c>
      <c r="L24" s="33">
        <v>100001</v>
      </c>
      <c r="M24" s="50">
        <v>157500</v>
      </c>
      <c r="N24" s="30"/>
      <c r="O24" s="33" t="s">
        <v>545</v>
      </c>
      <c r="P24" s="33" t="s">
        <v>545</v>
      </c>
      <c r="Q24" s="30" t="s">
        <v>2435</v>
      </c>
      <c r="R24" s="33">
        <f>IFERROR(INDEX([1]Item!$A:$A,MATCH(Q24,[1]Item!$B:$B,0)),"-")</f>
        <v>23348014</v>
      </c>
      <c r="S24" s="33">
        <v>1</v>
      </c>
      <c r="T24" s="30" t="s">
        <v>2425</v>
      </c>
      <c r="U24" s="33" t="str">
        <f>IFERROR(INDEX([1]Item!$A:$A,MATCH(T24,[1]Item!$B:$B,0)),"-")</f>
        <v>-</v>
      </c>
      <c r="V24" s="33" t="s">
        <v>545</v>
      </c>
      <c r="W24" s="30"/>
      <c r="X24" s="33" t="s">
        <v>545</v>
      </c>
      <c r="Y24" s="33" t="s">
        <v>545</v>
      </c>
    </row>
    <row r="25" spans="1:25">
      <c r="A25" s="29">
        <v>47100017</v>
      </c>
      <c r="B25" s="30" t="s">
        <v>1274</v>
      </c>
      <c r="C25" s="33" t="s">
        <v>859</v>
      </c>
      <c r="D25" s="33" t="s">
        <v>963</v>
      </c>
      <c r="E25" s="55" t="b">
        <v>1</v>
      </c>
      <c r="F25" s="30">
        <v>2</v>
      </c>
      <c r="G25" s="200">
        <f t="shared" si="0"/>
        <v>1050000</v>
      </c>
      <c r="H25" s="30" t="s">
        <v>475</v>
      </c>
      <c r="I25" s="33">
        <v>100001</v>
      </c>
      <c r="J25" s="50">
        <v>20000</v>
      </c>
      <c r="K25" s="30" t="s">
        <v>475</v>
      </c>
      <c r="L25" s="33">
        <v>100001</v>
      </c>
      <c r="M25" s="50">
        <v>157500</v>
      </c>
      <c r="N25" s="30"/>
      <c r="O25" s="33" t="s">
        <v>545</v>
      </c>
      <c r="P25" s="33" t="s">
        <v>545</v>
      </c>
      <c r="Q25" s="30" t="s">
        <v>2436</v>
      </c>
      <c r="R25" s="33">
        <f>IFERROR(INDEX([1]Item!$A:$A,MATCH(Q25,[1]Item!$B:$B,0)),"-")</f>
        <v>23348015</v>
      </c>
      <c r="S25" s="33">
        <v>1</v>
      </c>
      <c r="T25" s="30" t="s">
        <v>2425</v>
      </c>
      <c r="U25" s="33" t="str">
        <f>IFERROR(INDEX([1]Item!$A:$A,MATCH(T25,[1]Item!$B:$B,0)),"-")</f>
        <v>-</v>
      </c>
      <c r="V25" s="33" t="s">
        <v>545</v>
      </c>
      <c r="W25" s="30"/>
      <c r="X25" s="33" t="s">
        <v>545</v>
      </c>
      <c r="Y25" s="33" t="s">
        <v>545</v>
      </c>
    </row>
    <row r="26" spans="1:25">
      <c r="A26" s="29">
        <v>47100018</v>
      </c>
      <c r="B26" s="30" t="s">
        <v>1275</v>
      </c>
      <c r="C26" s="33" t="s">
        <v>860</v>
      </c>
      <c r="D26" s="33" t="s">
        <v>964</v>
      </c>
      <c r="E26" s="55" t="b">
        <v>1</v>
      </c>
      <c r="F26" s="30">
        <v>2</v>
      </c>
      <c r="G26" s="200">
        <f t="shared" si="0"/>
        <v>1050000</v>
      </c>
      <c r="H26" s="30" t="s">
        <v>475</v>
      </c>
      <c r="I26" s="33">
        <v>100001</v>
      </c>
      <c r="J26" s="50">
        <v>20000</v>
      </c>
      <c r="K26" s="30" t="s">
        <v>475</v>
      </c>
      <c r="L26" s="33">
        <v>100001</v>
      </c>
      <c r="M26" s="50">
        <v>157500</v>
      </c>
      <c r="N26" s="30"/>
      <c r="O26" s="33" t="s">
        <v>545</v>
      </c>
      <c r="P26" s="33" t="s">
        <v>545</v>
      </c>
      <c r="Q26" s="30" t="s">
        <v>2437</v>
      </c>
      <c r="R26" s="33">
        <f>IFERROR(INDEX([1]Item!$A:$A,MATCH(Q26,[1]Item!$B:$B,0)),"-")</f>
        <v>23348016</v>
      </c>
      <c r="S26" s="33">
        <v>1</v>
      </c>
      <c r="T26" s="30" t="s">
        <v>2425</v>
      </c>
      <c r="U26" s="33" t="str">
        <f>IFERROR(INDEX([1]Item!$A:$A,MATCH(T26,[1]Item!$B:$B,0)),"-")</f>
        <v>-</v>
      </c>
      <c r="V26" s="33" t="s">
        <v>545</v>
      </c>
      <c r="W26" s="30"/>
      <c r="X26" s="33" t="s">
        <v>545</v>
      </c>
      <c r="Y26" s="33" t="s">
        <v>545</v>
      </c>
    </row>
    <row r="27" spans="1:25">
      <c r="A27" s="29">
        <v>47100019</v>
      </c>
      <c r="B27" s="30" t="s">
        <v>1276</v>
      </c>
      <c r="C27" s="33" t="s">
        <v>861</v>
      </c>
      <c r="D27" s="33" t="s">
        <v>965</v>
      </c>
      <c r="E27" s="55" t="b">
        <v>1</v>
      </c>
      <c r="F27" s="30">
        <v>2</v>
      </c>
      <c r="G27" s="200">
        <f t="shared" si="0"/>
        <v>1050000</v>
      </c>
      <c r="H27" s="30" t="s">
        <v>475</v>
      </c>
      <c r="I27" s="33">
        <v>100001</v>
      </c>
      <c r="J27" s="50">
        <v>20000</v>
      </c>
      <c r="K27" s="30" t="s">
        <v>475</v>
      </c>
      <c r="L27" s="33">
        <v>100001</v>
      </c>
      <c r="M27" s="50">
        <v>157500</v>
      </c>
      <c r="N27" s="30"/>
      <c r="O27" s="33" t="s">
        <v>545</v>
      </c>
      <c r="P27" s="33" t="s">
        <v>545</v>
      </c>
      <c r="Q27" s="30" t="s">
        <v>2438</v>
      </c>
      <c r="R27" s="33">
        <f>IFERROR(INDEX([1]Item!$A:$A,MATCH(Q27,[1]Item!$B:$B,0)),"-")</f>
        <v>23348017</v>
      </c>
      <c r="S27" s="33">
        <v>1</v>
      </c>
      <c r="T27" s="30" t="s">
        <v>2425</v>
      </c>
      <c r="U27" s="33" t="str">
        <f>IFERROR(INDEX([1]Item!$A:$A,MATCH(T27,[1]Item!$B:$B,0)),"-")</f>
        <v>-</v>
      </c>
      <c r="V27" s="33" t="s">
        <v>545</v>
      </c>
      <c r="W27" s="30"/>
      <c r="X27" s="33" t="s">
        <v>545</v>
      </c>
      <c r="Y27" s="33" t="s">
        <v>545</v>
      </c>
    </row>
    <row r="28" spans="1:25">
      <c r="A28" s="29">
        <v>47100020</v>
      </c>
      <c r="B28" s="30" t="s">
        <v>1277</v>
      </c>
      <c r="C28" s="33" t="s">
        <v>862</v>
      </c>
      <c r="D28" s="33" t="s">
        <v>966</v>
      </c>
      <c r="E28" s="55" t="b">
        <v>0</v>
      </c>
      <c r="F28" s="30">
        <v>2</v>
      </c>
      <c r="G28" s="200">
        <f t="shared" si="0"/>
        <v>1050000</v>
      </c>
      <c r="H28" s="30" t="s">
        <v>475</v>
      </c>
      <c r="I28" s="33">
        <v>100001</v>
      </c>
      <c r="J28" s="50">
        <v>20000</v>
      </c>
      <c r="K28" s="30" t="s">
        <v>475</v>
      </c>
      <c r="L28" s="33">
        <v>100001</v>
      </c>
      <c r="M28" s="50">
        <v>157500</v>
      </c>
      <c r="N28" s="30"/>
      <c r="O28" s="33" t="s">
        <v>545</v>
      </c>
      <c r="P28" s="33" t="s">
        <v>545</v>
      </c>
      <c r="Q28" s="30" t="s">
        <v>2439</v>
      </c>
      <c r="R28" s="33">
        <f>IFERROR(INDEX([1]Item!$A:$A,MATCH(Q28,[1]Item!$B:$B,0)),"-")</f>
        <v>23348018</v>
      </c>
      <c r="S28" s="33">
        <v>1</v>
      </c>
      <c r="T28" s="30" t="s">
        <v>2425</v>
      </c>
      <c r="U28" s="33" t="str">
        <f>IFERROR(INDEX([1]Item!$A:$A,MATCH(T28,[1]Item!$B:$B,0)),"-")</f>
        <v>-</v>
      </c>
      <c r="V28" s="33" t="s">
        <v>545</v>
      </c>
      <c r="W28" s="30"/>
      <c r="X28" s="33" t="s">
        <v>545</v>
      </c>
      <c r="Y28" s="33" t="s">
        <v>545</v>
      </c>
    </row>
    <row r="29" spans="1:25">
      <c r="A29" s="29">
        <v>47100021</v>
      </c>
      <c r="B29" s="30" t="s">
        <v>1278</v>
      </c>
      <c r="C29" s="33" t="s">
        <v>863</v>
      </c>
      <c r="D29" s="33" t="s">
        <v>967</v>
      </c>
      <c r="E29" s="55" t="b">
        <v>0</v>
      </c>
      <c r="F29" s="30">
        <v>2</v>
      </c>
      <c r="G29" s="200">
        <f t="shared" si="0"/>
        <v>1050000</v>
      </c>
      <c r="H29" s="30" t="s">
        <v>475</v>
      </c>
      <c r="I29" s="33">
        <v>100001</v>
      </c>
      <c r="J29" s="50">
        <v>20000</v>
      </c>
      <c r="K29" s="30" t="s">
        <v>475</v>
      </c>
      <c r="L29" s="33">
        <v>100001</v>
      </c>
      <c r="M29" s="50">
        <v>157500</v>
      </c>
      <c r="N29" s="30"/>
      <c r="O29" s="33" t="s">
        <v>545</v>
      </c>
      <c r="P29" s="33" t="s">
        <v>545</v>
      </c>
      <c r="Q29" s="30" t="s">
        <v>2440</v>
      </c>
      <c r="R29" s="33">
        <f>IFERROR(INDEX([1]Item!$A:$A,MATCH(Q29,[1]Item!$B:$B,0)),"-")</f>
        <v>23348019</v>
      </c>
      <c r="S29" s="33">
        <v>1</v>
      </c>
      <c r="T29" s="30" t="s">
        <v>2425</v>
      </c>
      <c r="U29" s="33" t="str">
        <f>IFERROR(INDEX([1]Item!$A:$A,MATCH(T29,[1]Item!$B:$B,0)),"-")</f>
        <v>-</v>
      </c>
      <c r="V29" s="33" t="s">
        <v>545</v>
      </c>
      <c r="W29" s="30"/>
      <c r="X29" s="33" t="s">
        <v>545</v>
      </c>
      <c r="Y29" s="33" t="s">
        <v>545</v>
      </c>
    </row>
    <row r="30" spans="1:25">
      <c r="A30" s="29">
        <v>47100022</v>
      </c>
      <c r="B30" s="30" t="s">
        <v>1279</v>
      </c>
      <c r="C30" s="33" t="s">
        <v>864</v>
      </c>
      <c r="D30" s="33" t="s">
        <v>968</v>
      </c>
      <c r="E30" s="55" t="b">
        <v>1</v>
      </c>
      <c r="F30" s="30">
        <v>2</v>
      </c>
      <c r="G30" s="200">
        <f t="shared" si="0"/>
        <v>1050000</v>
      </c>
      <c r="H30" s="30" t="s">
        <v>475</v>
      </c>
      <c r="I30" s="33">
        <v>100001</v>
      </c>
      <c r="J30" s="50">
        <v>20000</v>
      </c>
      <c r="K30" s="30" t="s">
        <v>475</v>
      </c>
      <c r="L30" s="33">
        <v>100001</v>
      </c>
      <c r="M30" s="50">
        <v>157500</v>
      </c>
      <c r="N30" s="30"/>
      <c r="O30" s="33" t="s">
        <v>545</v>
      </c>
      <c r="P30" s="33" t="s">
        <v>545</v>
      </c>
      <c r="Q30" s="30" t="s">
        <v>2441</v>
      </c>
      <c r="R30" s="33">
        <f>IFERROR(INDEX([1]Item!$A:$A,MATCH(Q30,[1]Item!$B:$B,0)),"-")</f>
        <v>23348020</v>
      </c>
      <c r="S30" s="33">
        <v>1</v>
      </c>
      <c r="T30" s="30" t="s">
        <v>2425</v>
      </c>
      <c r="U30" s="33" t="str">
        <f>IFERROR(INDEX([1]Item!$A:$A,MATCH(T30,[1]Item!$B:$B,0)),"-")</f>
        <v>-</v>
      </c>
      <c r="V30" s="33" t="s">
        <v>545</v>
      </c>
      <c r="W30" s="30"/>
      <c r="X30" s="33" t="s">
        <v>545</v>
      </c>
      <c r="Y30" s="33" t="s">
        <v>545</v>
      </c>
    </row>
    <row r="31" spans="1:25">
      <c r="A31" s="29">
        <v>47100023</v>
      </c>
      <c r="B31" s="30" t="s">
        <v>1280</v>
      </c>
      <c r="C31" s="33" t="s">
        <v>865</v>
      </c>
      <c r="D31" s="33" t="s">
        <v>969</v>
      </c>
      <c r="E31" s="55" t="b">
        <v>1</v>
      </c>
      <c r="F31" s="30">
        <v>2</v>
      </c>
      <c r="G31" s="200">
        <f t="shared" si="0"/>
        <v>1050000</v>
      </c>
      <c r="H31" s="30" t="s">
        <v>475</v>
      </c>
      <c r="I31" s="33">
        <v>100001</v>
      </c>
      <c r="J31" s="50">
        <v>20000</v>
      </c>
      <c r="K31" s="30" t="s">
        <v>475</v>
      </c>
      <c r="L31" s="33">
        <v>100001</v>
      </c>
      <c r="M31" s="50">
        <v>157500</v>
      </c>
      <c r="N31" s="30"/>
      <c r="O31" s="33" t="s">
        <v>545</v>
      </c>
      <c r="P31" s="33" t="s">
        <v>545</v>
      </c>
      <c r="Q31" s="30" t="s">
        <v>2442</v>
      </c>
      <c r="R31" s="33">
        <f>IFERROR(INDEX([1]Item!$A:$A,MATCH(Q31,[1]Item!$B:$B,0)),"-")</f>
        <v>23348021</v>
      </c>
      <c r="S31" s="33">
        <v>1</v>
      </c>
      <c r="T31" s="30" t="s">
        <v>2425</v>
      </c>
      <c r="U31" s="33" t="str">
        <f>IFERROR(INDEX([1]Item!$A:$A,MATCH(T31,[1]Item!$B:$B,0)),"-")</f>
        <v>-</v>
      </c>
      <c r="V31" s="33" t="s">
        <v>545</v>
      </c>
      <c r="W31" s="30"/>
      <c r="X31" s="33" t="s">
        <v>545</v>
      </c>
      <c r="Y31" s="33" t="s">
        <v>545</v>
      </c>
    </row>
    <row r="32" spans="1:25">
      <c r="A32" s="29">
        <v>47100024</v>
      </c>
      <c r="B32" s="30" t="s">
        <v>1281</v>
      </c>
      <c r="C32" s="33" t="s">
        <v>866</v>
      </c>
      <c r="D32" s="33" t="s">
        <v>970</v>
      </c>
      <c r="E32" s="55" t="b">
        <v>1</v>
      </c>
      <c r="F32" s="30">
        <v>2</v>
      </c>
      <c r="G32" s="200">
        <f t="shared" si="0"/>
        <v>1050000</v>
      </c>
      <c r="H32" s="30" t="s">
        <v>475</v>
      </c>
      <c r="I32" s="33">
        <v>100001</v>
      </c>
      <c r="J32" s="50">
        <v>20000</v>
      </c>
      <c r="K32" s="30" t="s">
        <v>475</v>
      </c>
      <c r="L32" s="33">
        <v>100001</v>
      </c>
      <c r="M32" s="50">
        <v>157500</v>
      </c>
      <c r="N32" s="30"/>
      <c r="O32" s="33" t="s">
        <v>545</v>
      </c>
      <c r="P32" s="33" t="s">
        <v>545</v>
      </c>
      <c r="Q32" s="30" t="s">
        <v>2443</v>
      </c>
      <c r="R32" s="33">
        <f>IFERROR(INDEX([1]Item!$A:$A,MATCH(Q32,[1]Item!$B:$B,0)),"-")</f>
        <v>23348022</v>
      </c>
      <c r="S32" s="33">
        <v>1</v>
      </c>
      <c r="T32" s="30" t="s">
        <v>2425</v>
      </c>
      <c r="U32" s="33" t="str">
        <f>IFERROR(INDEX([1]Item!$A:$A,MATCH(T32,[1]Item!$B:$B,0)),"-")</f>
        <v>-</v>
      </c>
      <c r="V32" s="33" t="s">
        <v>545</v>
      </c>
      <c r="W32" s="30"/>
      <c r="X32" s="33" t="s">
        <v>545</v>
      </c>
      <c r="Y32" s="33" t="s">
        <v>545</v>
      </c>
    </row>
    <row r="33" spans="1:25">
      <c r="A33" s="29">
        <v>47100025</v>
      </c>
      <c r="B33" s="30" t="s">
        <v>1282</v>
      </c>
      <c r="C33" s="33" t="s">
        <v>867</v>
      </c>
      <c r="D33" s="33" t="s">
        <v>971</v>
      </c>
      <c r="E33" s="55" t="b">
        <v>0</v>
      </c>
      <c r="F33" s="30">
        <v>2</v>
      </c>
      <c r="G33" s="200">
        <f t="shared" si="0"/>
        <v>1050000</v>
      </c>
      <c r="H33" s="30" t="s">
        <v>475</v>
      </c>
      <c r="I33" s="33">
        <v>100001</v>
      </c>
      <c r="J33" s="50">
        <v>20000</v>
      </c>
      <c r="K33" s="30" t="s">
        <v>475</v>
      </c>
      <c r="L33" s="33">
        <v>100001</v>
      </c>
      <c r="M33" s="50">
        <v>157500</v>
      </c>
      <c r="N33" s="30"/>
      <c r="O33" s="33" t="s">
        <v>545</v>
      </c>
      <c r="P33" s="33" t="s">
        <v>545</v>
      </c>
      <c r="Q33" s="30" t="s">
        <v>2444</v>
      </c>
      <c r="R33" s="33">
        <f>IFERROR(INDEX([1]Item!$A:$A,MATCH(Q33,[1]Item!$B:$B,0)),"-")</f>
        <v>23348023</v>
      </c>
      <c r="S33" s="33">
        <v>1</v>
      </c>
      <c r="T33" s="30" t="s">
        <v>2425</v>
      </c>
      <c r="U33" s="33" t="str">
        <f>IFERROR(INDEX([1]Item!$A:$A,MATCH(T33,[1]Item!$B:$B,0)),"-")</f>
        <v>-</v>
      </c>
      <c r="V33" s="33" t="s">
        <v>545</v>
      </c>
      <c r="W33" s="30"/>
      <c r="X33" s="33" t="s">
        <v>545</v>
      </c>
      <c r="Y33" s="33" t="s">
        <v>545</v>
      </c>
    </row>
    <row r="34" spans="1:25">
      <c r="A34" s="29">
        <v>47100026</v>
      </c>
      <c r="B34" s="30" t="s">
        <v>1283</v>
      </c>
      <c r="C34" s="33" t="s">
        <v>868</v>
      </c>
      <c r="D34" s="33" t="s">
        <v>972</v>
      </c>
      <c r="E34" s="55" t="b">
        <v>1</v>
      </c>
      <c r="F34" s="30">
        <v>2</v>
      </c>
      <c r="G34" s="200">
        <f t="shared" si="0"/>
        <v>1050000</v>
      </c>
      <c r="H34" s="30" t="s">
        <v>475</v>
      </c>
      <c r="I34" s="33">
        <v>100001</v>
      </c>
      <c r="J34" s="50">
        <v>20000</v>
      </c>
      <c r="K34" s="30" t="s">
        <v>475</v>
      </c>
      <c r="L34" s="33">
        <v>100001</v>
      </c>
      <c r="M34" s="50">
        <v>157500</v>
      </c>
      <c r="N34" s="30"/>
      <c r="O34" s="33" t="s">
        <v>545</v>
      </c>
      <c r="P34" s="33" t="s">
        <v>545</v>
      </c>
      <c r="Q34" s="30" t="s">
        <v>2445</v>
      </c>
      <c r="R34" s="33">
        <f>IFERROR(INDEX([1]Item!$A:$A,MATCH(Q34,[1]Item!$B:$B,0)),"-")</f>
        <v>23348024</v>
      </c>
      <c r="S34" s="33">
        <v>1</v>
      </c>
      <c r="T34" s="30" t="s">
        <v>2425</v>
      </c>
      <c r="U34" s="33" t="str">
        <f>IFERROR(INDEX([1]Item!$A:$A,MATCH(T34,[1]Item!$B:$B,0)),"-")</f>
        <v>-</v>
      </c>
      <c r="V34" s="33" t="s">
        <v>545</v>
      </c>
      <c r="W34" s="30"/>
      <c r="X34" s="33" t="s">
        <v>545</v>
      </c>
      <c r="Y34" s="33" t="s">
        <v>545</v>
      </c>
    </row>
    <row r="35" spans="1:25">
      <c r="A35" s="29">
        <v>47100027</v>
      </c>
      <c r="B35" s="30" t="s">
        <v>1284</v>
      </c>
      <c r="C35" s="33" t="s">
        <v>869</v>
      </c>
      <c r="D35" s="33" t="s">
        <v>973</v>
      </c>
      <c r="E35" s="55" t="b">
        <v>1</v>
      </c>
      <c r="F35" s="30">
        <v>2</v>
      </c>
      <c r="G35" s="200">
        <f t="shared" si="0"/>
        <v>1050000</v>
      </c>
      <c r="H35" s="30" t="s">
        <v>475</v>
      </c>
      <c r="I35" s="33">
        <v>100001</v>
      </c>
      <c r="J35" s="50">
        <v>20000</v>
      </c>
      <c r="K35" s="30" t="s">
        <v>475</v>
      </c>
      <c r="L35" s="33">
        <v>100001</v>
      </c>
      <c r="M35" s="50">
        <v>157500</v>
      </c>
      <c r="N35" s="30"/>
      <c r="O35" s="33" t="s">
        <v>545</v>
      </c>
      <c r="P35" s="33" t="s">
        <v>545</v>
      </c>
      <c r="Q35" s="30" t="s">
        <v>2446</v>
      </c>
      <c r="R35" s="33">
        <f>IFERROR(INDEX([1]Item!$A:$A,MATCH(Q35,[1]Item!$B:$B,0)),"-")</f>
        <v>23348025</v>
      </c>
      <c r="S35" s="33">
        <v>1</v>
      </c>
      <c r="T35" s="30" t="s">
        <v>2425</v>
      </c>
      <c r="U35" s="33" t="str">
        <f>IFERROR(INDEX([1]Item!$A:$A,MATCH(T35,[1]Item!$B:$B,0)),"-")</f>
        <v>-</v>
      </c>
      <c r="V35" s="33" t="s">
        <v>545</v>
      </c>
      <c r="W35" s="30"/>
      <c r="X35" s="33" t="s">
        <v>545</v>
      </c>
      <c r="Y35" s="33" t="s">
        <v>545</v>
      </c>
    </row>
    <row r="36" spans="1:25">
      <c r="A36" s="29">
        <v>47100028</v>
      </c>
      <c r="B36" s="30" t="s">
        <v>2928</v>
      </c>
      <c r="C36" s="33" t="s">
        <v>870</v>
      </c>
      <c r="D36" s="33" t="s">
        <v>974</v>
      </c>
      <c r="E36" s="55" t="b">
        <v>1</v>
      </c>
      <c r="F36" s="30">
        <v>2</v>
      </c>
      <c r="G36" s="200">
        <f t="shared" si="0"/>
        <v>1050000</v>
      </c>
      <c r="H36" s="30" t="s">
        <v>475</v>
      </c>
      <c r="I36" s="33">
        <v>100001</v>
      </c>
      <c r="J36" s="50">
        <v>20000</v>
      </c>
      <c r="K36" s="30" t="s">
        <v>475</v>
      </c>
      <c r="L36" s="33">
        <v>100001</v>
      </c>
      <c r="M36" s="50">
        <v>157500</v>
      </c>
      <c r="N36" s="30"/>
      <c r="O36" s="33" t="s">
        <v>545</v>
      </c>
      <c r="P36" s="33" t="s">
        <v>545</v>
      </c>
      <c r="Q36" s="30" t="s">
        <v>2927</v>
      </c>
      <c r="R36" s="33">
        <f>IFERROR(INDEX([1]Item!$A:$A,MATCH(Q36,[1]Item!$B:$B,0)),"-")</f>
        <v>23348026</v>
      </c>
      <c r="S36" s="33">
        <v>1</v>
      </c>
      <c r="T36" s="30" t="s">
        <v>2425</v>
      </c>
      <c r="U36" s="33" t="str">
        <f>IFERROR(INDEX([1]Item!$A:$A,MATCH(T36,[1]Item!$B:$B,0)),"-")</f>
        <v>-</v>
      </c>
      <c r="V36" s="33" t="s">
        <v>545</v>
      </c>
      <c r="W36" s="30"/>
      <c r="X36" s="33" t="s">
        <v>545</v>
      </c>
      <c r="Y36" s="33" t="s">
        <v>545</v>
      </c>
    </row>
    <row r="37" spans="1:25">
      <c r="A37" s="29">
        <v>47100029</v>
      </c>
      <c r="B37" s="30" t="s">
        <v>1285</v>
      </c>
      <c r="C37" s="33" t="s">
        <v>871</v>
      </c>
      <c r="D37" s="33" t="s">
        <v>975</v>
      </c>
      <c r="E37" s="55" t="b">
        <v>1</v>
      </c>
      <c r="F37" s="30">
        <v>2</v>
      </c>
      <c r="G37" s="200">
        <f t="shared" si="0"/>
        <v>1050000</v>
      </c>
      <c r="H37" s="30" t="s">
        <v>475</v>
      </c>
      <c r="I37" s="33">
        <v>100001</v>
      </c>
      <c r="J37" s="50">
        <v>20000</v>
      </c>
      <c r="K37" s="30" t="s">
        <v>475</v>
      </c>
      <c r="L37" s="33">
        <v>100001</v>
      </c>
      <c r="M37" s="50">
        <v>157500</v>
      </c>
      <c r="N37" s="30"/>
      <c r="O37" s="33" t="s">
        <v>545</v>
      </c>
      <c r="P37" s="33" t="s">
        <v>545</v>
      </c>
      <c r="Q37" s="30" t="s">
        <v>2447</v>
      </c>
      <c r="R37" s="33">
        <f>IFERROR(INDEX([1]Item!$A:$A,MATCH(Q37,[1]Item!$B:$B,0)),"-")</f>
        <v>23348027</v>
      </c>
      <c r="S37" s="33">
        <v>1</v>
      </c>
      <c r="T37" s="30" t="s">
        <v>2425</v>
      </c>
      <c r="U37" s="33" t="str">
        <f>IFERROR(INDEX([1]Item!$A:$A,MATCH(T37,[1]Item!$B:$B,0)),"-")</f>
        <v>-</v>
      </c>
      <c r="V37" s="33" t="s">
        <v>545</v>
      </c>
      <c r="W37" s="30"/>
      <c r="X37" s="33" t="s">
        <v>545</v>
      </c>
      <c r="Y37" s="33" t="s">
        <v>545</v>
      </c>
    </row>
    <row r="38" spans="1:25">
      <c r="A38" s="29">
        <v>47100030</v>
      </c>
      <c r="B38" s="30" t="s">
        <v>1286</v>
      </c>
      <c r="C38" s="33" t="s">
        <v>872</v>
      </c>
      <c r="D38" s="33" t="s">
        <v>976</v>
      </c>
      <c r="E38" s="55" t="b">
        <v>1</v>
      </c>
      <c r="F38" s="30">
        <v>2</v>
      </c>
      <c r="G38" s="200">
        <f t="shared" si="0"/>
        <v>1050000</v>
      </c>
      <c r="H38" s="30" t="s">
        <v>475</v>
      </c>
      <c r="I38" s="33">
        <v>100001</v>
      </c>
      <c r="J38" s="50">
        <v>20000</v>
      </c>
      <c r="K38" s="30" t="s">
        <v>475</v>
      </c>
      <c r="L38" s="33">
        <v>100001</v>
      </c>
      <c r="M38" s="50">
        <v>157500</v>
      </c>
      <c r="N38" s="30"/>
      <c r="O38" s="33" t="s">
        <v>545</v>
      </c>
      <c r="P38" s="33" t="s">
        <v>545</v>
      </c>
      <c r="Q38" s="30" t="s">
        <v>2448</v>
      </c>
      <c r="R38" s="33">
        <f>IFERROR(INDEX([1]Item!$A:$A,MATCH(Q38,[1]Item!$B:$B,0)),"-")</f>
        <v>23348028</v>
      </c>
      <c r="S38" s="33">
        <v>1</v>
      </c>
      <c r="T38" s="30" t="s">
        <v>2425</v>
      </c>
      <c r="U38" s="33" t="str">
        <f>IFERROR(INDEX([1]Item!$A:$A,MATCH(T38,[1]Item!$B:$B,0)),"-")</f>
        <v>-</v>
      </c>
      <c r="V38" s="33" t="s">
        <v>545</v>
      </c>
      <c r="W38" s="30"/>
      <c r="X38" s="33" t="s">
        <v>545</v>
      </c>
      <c r="Y38" s="33" t="s">
        <v>545</v>
      </c>
    </row>
    <row r="39" spans="1:25">
      <c r="A39" s="29">
        <v>47100031</v>
      </c>
      <c r="B39" s="30" t="s">
        <v>1287</v>
      </c>
      <c r="C39" s="33" t="s">
        <v>873</v>
      </c>
      <c r="D39" s="33" t="s">
        <v>977</v>
      </c>
      <c r="E39" s="55" t="b">
        <v>0</v>
      </c>
      <c r="F39" s="30">
        <v>2</v>
      </c>
      <c r="G39" s="200">
        <f t="shared" si="0"/>
        <v>1050000</v>
      </c>
      <c r="H39" s="30" t="s">
        <v>475</v>
      </c>
      <c r="I39" s="33">
        <v>100001</v>
      </c>
      <c r="J39" s="50">
        <v>20000</v>
      </c>
      <c r="K39" s="30" t="s">
        <v>475</v>
      </c>
      <c r="L39" s="33">
        <v>100001</v>
      </c>
      <c r="M39" s="50">
        <v>157500</v>
      </c>
      <c r="N39" s="30"/>
      <c r="O39" s="33" t="s">
        <v>545</v>
      </c>
      <c r="P39" s="33" t="s">
        <v>545</v>
      </c>
      <c r="Q39" s="30" t="s">
        <v>2449</v>
      </c>
      <c r="R39" s="33">
        <f>IFERROR(INDEX([1]Item!$A:$A,MATCH(Q39,[1]Item!$B:$B,0)),"-")</f>
        <v>23348029</v>
      </c>
      <c r="S39" s="33">
        <v>1</v>
      </c>
      <c r="T39" s="30" t="s">
        <v>2425</v>
      </c>
      <c r="U39" s="33" t="str">
        <f>IFERROR(INDEX([1]Item!$A:$A,MATCH(T39,[1]Item!$B:$B,0)),"-")</f>
        <v>-</v>
      </c>
      <c r="V39" s="33" t="s">
        <v>545</v>
      </c>
      <c r="W39" s="30"/>
      <c r="X39" s="33" t="s">
        <v>545</v>
      </c>
      <c r="Y39" s="33" t="s">
        <v>545</v>
      </c>
    </row>
    <row r="40" spans="1:25">
      <c r="A40" s="29">
        <v>47100032</v>
      </c>
      <c r="B40" s="30" t="s">
        <v>1288</v>
      </c>
      <c r="C40" s="33" t="s">
        <v>874</v>
      </c>
      <c r="D40" s="33" t="s">
        <v>978</v>
      </c>
      <c r="E40" s="55" t="b">
        <v>1</v>
      </c>
      <c r="F40" s="30">
        <v>2</v>
      </c>
      <c r="G40" s="200">
        <f t="shared" si="0"/>
        <v>1050000</v>
      </c>
      <c r="H40" s="30" t="s">
        <v>475</v>
      </c>
      <c r="I40" s="33">
        <v>100001</v>
      </c>
      <c r="J40" s="50">
        <v>20000</v>
      </c>
      <c r="K40" s="30" t="s">
        <v>475</v>
      </c>
      <c r="L40" s="33">
        <v>100001</v>
      </c>
      <c r="M40" s="50">
        <v>157500</v>
      </c>
      <c r="N40" s="30"/>
      <c r="O40" s="33" t="s">
        <v>545</v>
      </c>
      <c r="P40" s="33" t="s">
        <v>545</v>
      </c>
      <c r="Q40" s="30" t="s">
        <v>2450</v>
      </c>
      <c r="R40" s="33">
        <f>IFERROR(INDEX([1]Item!$A:$A,MATCH(Q40,[1]Item!$B:$B,0)),"-")</f>
        <v>23348030</v>
      </c>
      <c r="S40" s="33">
        <v>1</v>
      </c>
      <c r="T40" s="30" t="s">
        <v>2425</v>
      </c>
      <c r="U40" s="33" t="str">
        <f>IFERROR(INDEX([1]Item!$A:$A,MATCH(T40,[1]Item!$B:$B,0)),"-")</f>
        <v>-</v>
      </c>
      <c r="V40" s="33" t="s">
        <v>545</v>
      </c>
      <c r="W40" s="30"/>
      <c r="X40" s="33" t="s">
        <v>545</v>
      </c>
      <c r="Y40" s="33" t="s">
        <v>545</v>
      </c>
    </row>
    <row r="41" spans="1:25">
      <c r="A41" s="29">
        <v>47100033</v>
      </c>
      <c r="B41" s="30" t="s">
        <v>1289</v>
      </c>
      <c r="C41" s="33" t="s">
        <v>875</v>
      </c>
      <c r="D41" s="33" t="s">
        <v>979</v>
      </c>
      <c r="E41" s="55" t="b">
        <v>1</v>
      </c>
      <c r="F41" s="30">
        <v>2</v>
      </c>
      <c r="G41" s="200">
        <f t="shared" si="0"/>
        <v>1050000</v>
      </c>
      <c r="H41" s="30" t="s">
        <v>475</v>
      </c>
      <c r="I41" s="33">
        <v>100001</v>
      </c>
      <c r="J41" s="50">
        <v>20000</v>
      </c>
      <c r="K41" s="30" t="s">
        <v>475</v>
      </c>
      <c r="L41" s="33">
        <v>100001</v>
      </c>
      <c r="M41" s="50">
        <v>157500</v>
      </c>
      <c r="N41" s="30"/>
      <c r="O41" s="33" t="s">
        <v>545</v>
      </c>
      <c r="P41" s="33" t="s">
        <v>545</v>
      </c>
      <c r="Q41" s="30" t="s">
        <v>2451</v>
      </c>
      <c r="R41" s="33">
        <f>IFERROR(INDEX([1]Item!$A:$A,MATCH(Q41,[1]Item!$B:$B,0)),"-")</f>
        <v>23348031</v>
      </c>
      <c r="S41" s="33">
        <v>1</v>
      </c>
      <c r="T41" s="30" t="s">
        <v>2425</v>
      </c>
      <c r="U41" s="33" t="str">
        <f>IFERROR(INDEX([1]Item!$A:$A,MATCH(T41,[1]Item!$B:$B,0)),"-")</f>
        <v>-</v>
      </c>
      <c r="V41" s="33" t="s">
        <v>545</v>
      </c>
      <c r="W41" s="30"/>
      <c r="X41" s="33" t="s">
        <v>545</v>
      </c>
      <c r="Y41" s="33" t="s">
        <v>545</v>
      </c>
    </row>
    <row r="42" spans="1:25">
      <c r="A42" s="29">
        <v>47100034</v>
      </c>
      <c r="B42" s="30" t="s">
        <v>1290</v>
      </c>
      <c r="C42" s="33" t="s">
        <v>876</v>
      </c>
      <c r="D42" s="33" t="s">
        <v>980</v>
      </c>
      <c r="E42" s="55" t="b">
        <v>1</v>
      </c>
      <c r="F42" s="30">
        <v>2</v>
      </c>
      <c r="G42" s="200">
        <f t="shared" si="0"/>
        <v>1050000</v>
      </c>
      <c r="H42" s="30" t="s">
        <v>475</v>
      </c>
      <c r="I42" s="33">
        <v>100001</v>
      </c>
      <c r="J42" s="50">
        <v>20000</v>
      </c>
      <c r="K42" s="30" t="s">
        <v>475</v>
      </c>
      <c r="L42" s="33">
        <v>100001</v>
      </c>
      <c r="M42" s="50">
        <v>157500</v>
      </c>
      <c r="N42" s="30"/>
      <c r="O42" s="33" t="s">
        <v>545</v>
      </c>
      <c r="P42" s="33" t="s">
        <v>545</v>
      </c>
      <c r="Q42" s="30" t="s">
        <v>2452</v>
      </c>
      <c r="R42" s="33">
        <f>IFERROR(INDEX([1]Item!$A:$A,MATCH(Q42,[1]Item!$B:$B,0)),"-")</f>
        <v>23348032</v>
      </c>
      <c r="S42" s="33">
        <v>1</v>
      </c>
      <c r="T42" s="30" t="s">
        <v>2425</v>
      </c>
      <c r="U42" s="33" t="str">
        <f>IFERROR(INDEX([1]Item!$A:$A,MATCH(T42,[1]Item!$B:$B,0)),"-")</f>
        <v>-</v>
      </c>
      <c r="V42" s="33" t="s">
        <v>545</v>
      </c>
      <c r="W42" s="30"/>
      <c r="X42" s="33" t="s">
        <v>545</v>
      </c>
      <c r="Y42" s="33" t="s">
        <v>545</v>
      </c>
    </row>
    <row r="43" spans="1:25">
      <c r="A43" s="29">
        <v>47100035</v>
      </c>
      <c r="B43" s="30" t="s">
        <v>1291</v>
      </c>
      <c r="C43" s="33" t="s">
        <v>877</v>
      </c>
      <c r="D43" s="33" t="s">
        <v>981</v>
      </c>
      <c r="E43" s="55" t="b">
        <v>0</v>
      </c>
      <c r="F43" s="30">
        <v>2</v>
      </c>
      <c r="G43" s="200">
        <f t="shared" si="0"/>
        <v>1050000</v>
      </c>
      <c r="H43" s="30" t="s">
        <v>475</v>
      </c>
      <c r="I43" s="33">
        <v>100001</v>
      </c>
      <c r="J43" s="50">
        <v>20000</v>
      </c>
      <c r="K43" s="30" t="s">
        <v>475</v>
      </c>
      <c r="L43" s="33">
        <v>100001</v>
      </c>
      <c r="M43" s="50">
        <v>157500</v>
      </c>
      <c r="N43" s="30"/>
      <c r="O43" s="33" t="s">
        <v>545</v>
      </c>
      <c r="P43" s="33" t="s">
        <v>545</v>
      </c>
      <c r="Q43" s="30" t="s">
        <v>2453</v>
      </c>
      <c r="R43" s="33">
        <f>IFERROR(INDEX([1]Item!$A:$A,MATCH(Q43,[1]Item!$B:$B,0)),"-")</f>
        <v>23348033</v>
      </c>
      <c r="S43" s="33">
        <v>1</v>
      </c>
      <c r="T43" s="30" t="s">
        <v>2425</v>
      </c>
      <c r="U43" s="33" t="str">
        <f>IFERROR(INDEX([1]Item!$A:$A,MATCH(T43,[1]Item!$B:$B,0)),"-")</f>
        <v>-</v>
      </c>
      <c r="V43" s="33" t="s">
        <v>545</v>
      </c>
      <c r="W43" s="30"/>
      <c r="X43" s="33" t="s">
        <v>545</v>
      </c>
      <c r="Y43" s="33" t="s">
        <v>545</v>
      </c>
    </row>
    <row r="44" spans="1:25">
      <c r="A44" s="29">
        <v>47100036</v>
      </c>
      <c r="B44" s="30" t="s">
        <v>1292</v>
      </c>
      <c r="C44" s="33" t="s">
        <v>878</v>
      </c>
      <c r="D44" s="33" t="s">
        <v>982</v>
      </c>
      <c r="E44" s="55" t="b">
        <v>1</v>
      </c>
      <c r="F44" s="30">
        <v>2</v>
      </c>
      <c r="G44" s="200">
        <f t="shared" si="0"/>
        <v>1050000</v>
      </c>
      <c r="H44" s="30" t="s">
        <v>475</v>
      </c>
      <c r="I44" s="33">
        <v>100001</v>
      </c>
      <c r="J44" s="50">
        <v>20000</v>
      </c>
      <c r="K44" s="30" t="s">
        <v>475</v>
      </c>
      <c r="L44" s="33">
        <v>100001</v>
      </c>
      <c r="M44" s="50">
        <v>157500</v>
      </c>
      <c r="N44" s="30"/>
      <c r="O44" s="33" t="s">
        <v>545</v>
      </c>
      <c r="P44" s="33" t="s">
        <v>545</v>
      </c>
      <c r="Q44" s="30" t="s">
        <v>2454</v>
      </c>
      <c r="R44" s="33">
        <f>IFERROR(INDEX([1]Item!$A:$A,MATCH(Q44,[1]Item!$B:$B,0)),"-")</f>
        <v>23348034</v>
      </c>
      <c r="S44" s="33">
        <v>1</v>
      </c>
      <c r="T44" s="30" t="s">
        <v>2528</v>
      </c>
      <c r="U44" s="33">
        <f>IFERROR(INDEX([1]Item!$A:$A,MATCH(T44,[1]Item!$B:$B,0)),"-")</f>
        <v>23347003</v>
      </c>
      <c r="V44" s="33">
        <v>10</v>
      </c>
      <c r="W44" s="30"/>
      <c r="X44" s="33" t="s">
        <v>545</v>
      </c>
      <c r="Y44" s="33" t="s">
        <v>545</v>
      </c>
    </row>
    <row r="45" spans="1:25">
      <c r="A45" s="29">
        <v>47100037</v>
      </c>
      <c r="B45" s="30" t="s">
        <v>1293</v>
      </c>
      <c r="C45" s="33" t="s">
        <v>879</v>
      </c>
      <c r="D45" s="33" t="s">
        <v>983</v>
      </c>
      <c r="E45" s="55" t="b">
        <v>1</v>
      </c>
      <c r="F45" s="30">
        <v>2</v>
      </c>
      <c r="G45" s="200">
        <f t="shared" si="0"/>
        <v>1050000</v>
      </c>
      <c r="H45" s="30" t="s">
        <v>475</v>
      </c>
      <c r="I45" s="33">
        <v>100001</v>
      </c>
      <c r="J45" s="50">
        <v>20000</v>
      </c>
      <c r="K45" s="30" t="s">
        <v>475</v>
      </c>
      <c r="L45" s="33">
        <v>100001</v>
      </c>
      <c r="M45" s="50">
        <v>157500</v>
      </c>
      <c r="N45" s="30"/>
      <c r="O45" s="33" t="s">
        <v>545</v>
      </c>
      <c r="P45" s="33" t="s">
        <v>545</v>
      </c>
      <c r="Q45" s="30" t="s">
        <v>2478</v>
      </c>
      <c r="R45" s="33">
        <f>IFERROR(INDEX([1]Item!$A:$A,MATCH(Q45,[1]Item!$B:$B,0)),"-")</f>
        <v>23348035</v>
      </c>
      <c r="S45" s="33">
        <v>1</v>
      </c>
      <c r="T45" s="30" t="s">
        <v>2425</v>
      </c>
      <c r="U45" s="33" t="str">
        <f>IFERROR(INDEX([1]Item!$A:$A,MATCH(T45,[1]Item!$B:$B,0)),"-")</f>
        <v>-</v>
      </c>
      <c r="V45" s="33" t="s">
        <v>545</v>
      </c>
      <c r="W45" s="30"/>
      <c r="X45" s="33" t="s">
        <v>545</v>
      </c>
      <c r="Y45" s="33" t="s">
        <v>545</v>
      </c>
    </row>
    <row r="46" spans="1:25">
      <c r="A46" s="29">
        <v>47100038</v>
      </c>
      <c r="B46" s="30" t="s">
        <v>1294</v>
      </c>
      <c r="C46" s="33" t="s">
        <v>880</v>
      </c>
      <c r="D46" s="33" t="s">
        <v>984</v>
      </c>
      <c r="E46" s="55" t="b">
        <v>1</v>
      </c>
      <c r="F46" s="30">
        <v>2</v>
      </c>
      <c r="G46" s="200">
        <f t="shared" si="0"/>
        <v>1050000</v>
      </c>
      <c r="H46" s="30" t="s">
        <v>475</v>
      </c>
      <c r="I46" s="33">
        <v>100001</v>
      </c>
      <c r="J46" s="50">
        <v>20000</v>
      </c>
      <c r="K46" s="30" t="s">
        <v>475</v>
      </c>
      <c r="L46" s="33">
        <v>100001</v>
      </c>
      <c r="M46" s="50">
        <v>157500</v>
      </c>
      <c r="N46" s="30"/>
      <c r="O46" s="33" t="s">
        <v>545</v>
      </c>
      <c r="P46" s="33" t="s">
        <v>545</v>
      </c>
      <c r="Q46" s="30" t="s">
        <v>2455</v>
      </c>
      <c r="R46" s="33">
        <f>IFERROR(INDEX([1]Item!$A:$A,MATCH(Q46,[1]Item!$B:$B,0)),"-")</f>
        <v>23348036</v>
      </c>
      <c r="S46" s="33">
        <v>1</v>
      </c>
      <c r="T46" s="30" t="s">
        <v>2528</v>
      </c>
      <c r="U46" s="33">
        <f>IFERROR(INDEX([1]Item!$A:$A,MATCH(T46,[1]Item!$B:$B,0)),"-")</f>
        <v>23347003</v>
      </c>
      <c r="V46" s="33">
        <v>10</v>
      </c>
      <c r="W46" s="30"/>
      <c r="X46" s="33" t="s">
        <v>545</v>
      </c>
      <c r="Y46" s="33" t="s">
        <v>545</v>
      </c>
    </row>
    <row r="47" spans="1:25">
      <c r="A47" s="29">
        <v>47100039</v>
      </c>
      <c r="B47" s="30" t="s">
        <v>1295</v>
      </c>
      <c r="C47" s="33" t="s">
        <v>881</v>
      </c>
      <c r="D47" s="33" t="s">
        <v>985</v>
      </c>
      <c r="E47" s="55" t="b">
        <v>1</v>
      </c>
      <c r="F47" s="30">
        <v>2</v>
      </c>
      <c r="G47" s="200">
        <f t="shared" si="0"/>
        <v>1050000</v>
      </c>
      <c r="H47" s="30" t="s">
        <v>475</v>
      </c>
      <c r="I47" s="33">
        <v>100001</v>
      </c>
      <c r="J47" s="50">
        <v>20000</v>
      </c>
      <c r="K47" s="30" t="s">
        <v>475</v>
      </c>
      <c r="L47" s="33">
        <v>100001</v>
      </c>
      <c r="M47" s="50">
        <v>157500</v>
      </c>
      <c r="N47" s="30"/>
      <c r="O47" s="33" t="s">
        <v>545</v>
      </c>
      <c r="P47" s="33" t="s">
        <v>545</v>
      </c>
      <c r="Q47" s="30" t="s">
        <v>2479</v>
      </c>
      <c r="R47" s="33">
        <f>IFERROR(INDEX([1]Item!$A:$A,MATCH(Q47,[1]Item!$B:$B,0)),"-")</f>
        <v>23348037</v>
      </c>
      <c r="S47" s="33">
        <v>1</v>
      </c>
      <c r="T47" s="30" t="s">
        <v>2528</v>
      </c>
      <c r="U47" s="33">
        <f>IFERROR(INDEX([1]Item!$A:$A,MATCH(T47,[1]Item!$B:$B,0)),"-")</f>
        <v>23347003</v>
      </c>
      <c r="V47" s="33">
        <v>10</v>
      </c>
      <c r="W47" s="30"/>
      <c r="X47" s="33" t="s">
        <v>545</v>
      </c>
      <c r="Y47" s="33" t="s">
        <v>545</v>
      </c>
    </row>
    <row r="48" spans="1:25">
      <c r="A48" s="29">
        <v>47100040</v>
      </c>
      <c r="B48" s="30" t="s">
        <v>1296</v>
      </c>
      <c r="C48" s="33" t="s">
        <v>882</v>
      </c>
      <c r="D48" s="33" t="s">
        <v>986</v>
      </c>
      <c r="E48" s="55" t="b">
        <v>1</v>
      </c>
      <c r="F48" s="30">
        <v>2</v>
      </c>
      <c r="G48" s="200">
        <f t="shared" si="0"/>
        <v>1050000</v>
      </c>
      <c r="H48" s="30" t="s">
        <v>475</v>
      </c>
      <c r="I48" s="33">
        <v>100001</v>
      </c>
      <c r="J48" s="50">
        <v>20000</v>
      </c>
      <c r="K48" s="30" t="s">
        <v>475</v>
      </c>
      <c r="L48" s="33">
        <v>100001</v>
      </c>
      <c r="M48" s="50">
        <v>157500</v>
      </c>
      <c r="N48" s="30"/>
      <c r="O48" s="33" t="s">
        <v>545</v>
      </c>
      <c r="P48" s="33" t="s">
        <v>545</v>
      </c>
      <c r="Q48" s="30" t="s">
        <v>2480</v>
      </c>
      <c r="R48" s="33">
        <f>IFERROR(INDEX([1]Item!$A:$A,MATCH(Q48,[1]Item!$B:$B,0)),"-")</f>
        <v>23348038</v>
      </c>
      <c r="S48" s="33">
        <v>1</v>
      </c>
      <c r="T48" s="30" t="s">
        <v>2425</v>
      </c>
      <c r="U48" s="33" t="str">
        <f>IFERROR(INDEX([1]Item!$A:$A,MATCH(T48,[1]Item!$B:$B,0)),"-")</f>
        <v>-</v>
      </c>
      <c r="V48" s="33" t="s">
        <v>545</v>
      </c>
      <c r="W48" s="30"/>
      <c r="X48" s="33" t="s">
        <v>545</v>
      </c>
      <c r="Y48" s="33" t="s">
        <v>545</v>
      </c>
    </row>
    <row r="49" spans="1:25">
      <c r="A49" s="29">
        <v>47100041</v>
      </c>
      <c r="B49" s="30" t="s">
        <v>1297</v>
      </c>
      <c r="C49" s="33" t="s">
        <v>883</v>
      </c>
      <c r="D49" s="33" t="s">
        <v>987</v>
      </c>
      <c r="E49" s="55" t="b">
        <v>1</v>
      </c>
      <c r="F49" s="30">
        <v>2</v>
      </c>
      <c r="G49" s="200">
        <f t="shared" si="0"/>
        <v>1050000</v>
      </c>
      <c r="H49" s="30" t="s">
        <v>475</v>
      </c>
      <c r="I49" s="33">
        <v>100001</v>
      </c>
      <c r="J49" s="50">
        <v>20000</v>
      </c>
      <c r="K49" s="30" t="s">
        <v>475</v>
      </c>
      <c r="L49" s="33">
        <v>100001</v>
      </c>
      <c r="M49" s="50">
        <v>157500</v>
      </c>
      <c r="N49" s="30"/>
      <c r="O49" s="33" t="s">
        <v>545</v>
      </c>
      <c r="P49" s="33" t="s">
        <v>545</v>
      </c>
      <c r="Q49" s="30" t="s">
        <v>2456</v>
      </c>
      <c r="R49" s="33">
        <f>IFERROR(INDEX([1]Item!$A:$A,MATCH(Q49,[1]Item!$B:$B,0)),"-")</f>
        <v>23348039</v>
      </c>
      <c r="S49" s="33">
        <v>1</v>
      </c>
      <c r="T49" s="30" t="s">
        <v>2528</v>
      </c>
      <c r="U49" s="33">
        <f>IFERROR(INDEX([1]Item!$A:$A,MATCH(T49,[1]Item!$B:$B,0)),"-")</f>
        <v>23347003</v>
      </c>
      <c r="V49" s="33">
        <v>10</v>
      </c>
      <c r="W49" s="30"/>
      <c r="X49" s="33" t="s">
        <v>545</v>
      </c>
      <c r="Y49" s="33" t="s">
        <v>545</v>
      </c>
    </row>
    <row r="50" spans="1:25">
      <c r="A50" s="29">
        <v>47100042</v>
      </c>
      <c r="B50" s="30" t="s">
        <v>1298</v>
      </c>
      <c r="C50" s="33" t="s">
        <v>884</v>
      </c>
      <c r="D50" s="33" t="s">
        <v>988</v>
      </c>
      <c r="E50" s="55" t="b">
        <v>1</v>
      </c>
      <c r="F50" s="30">
        <v>2</v>
      </c>
      <c r="G50" s="200">
        <f t="shared" si="0"/>
        <v>1050000</v>
      </c>
      <c r="H50" s="30" t="s">
        <v>475</v>
      </c>
      <c r="I50" s="33">
        <v>100001</v>
      </c>
      <c r="J50" s="50">
        <v>20000</v>
      </c>
      <c r="K50" s="30" t="s">
        <v>475</v>
      </c>
      <c r="L50" s="33">
        <v>100001</v>
      </c>
      <c r="M50" s="50">
        <v>157500</v>
      </c>
      <c r="N50" s="30"/>
      <c r="O50" s="33" t="s">
        <v>545</v>
      </c>
      <c r="P50" s="33" t="s">
        <v>545</v>
      </c>
      <c r="Q50" s="30" t="s">
        <v>2481</v>
      </c>
      <c r="R50" s="33">
        <f>IFERROR(INDEX([1]Item!$A:$A,MATCH(Q50,[1]Item!$B:$B,0)),"-")</f>
        <v>23348040</v>
      </c>
      <c r="S50" s="33">
        <v>1</v>
      </c>
      <c r="T50" s="30" t="s">
        <v>2528</v>
      </c>
      <c r="U50" s="33">
        <f>IFERROR(INDEX([1]Item!$A:$A,MATCH(T50,[1]Item!$B:$B,0)),"-")</f>
        <v>23347003</v>
      </c>
      <c r="V50" s="33">
        <v>10</v>
      </c>
      <c r="W50" s="30"/>
      <c r="X50" s="33" t="s">
        <v>545</v>
      </c>
      <c r="Y50" s="33" t="s">
        <v>545</v>
      </c>
    </row>
    <row r="51" spans="1:25">
      <c r="A51" s="29">
        <v>47100043</v>
      </c>
      <c r="B51" s="30" t="s">
        <v>1299</v>
      </c>
      <c r="C51" s="33" t="s">
        <v>885</v>
      </c>
      <c r="D51" s="33" t="s">
        <v>989</v>
      </c>
      <c r="E51" s="55" t="b">
        <v>1</v>
      </c>
      <c r="F51" s="30">
        <v>2</v>
      </c>
      <c r="G51" s="200">
        <f t="shared" si="0"/>
        <v>1050000</v>
      </c>
      <c r="H51" s="30" t="s">
        <v>475</v>
      </c>
      <c r="I51" s="33">
        <v>100001</v>
      </c>
      <c r="J51" s="50">
        <v>20000</v>
      </c>
      <c r="K51" s="30" t="s">
        <v>475</v>
      </c>
      <c r="L51" s="33">
        <v>100001</v>
      </c>
      <c r="M51" s="50">
        <v>157500</v>
      </c>
      <c r="N51" s="30"/>
      <c r="O51" s="33" t="s">
        <v>545</v>
      </c>
      <c r="P51" s="33" t="s">
        <v>545</v>
      </c>
      <c r="Q51" s="30" t="s">
        <v>2482</v>
      </c>
      <c r="R51" s="33">
        <f>IFERROR(INDEX([1]Item!$A:$A,MATCH(Q51,[1]Item!$B:$B,0)),"-")</f>
        <v>23348041</v>
      </c>
      <c r="S51" s="33">
        <v>1</v>
      </c>
      <c r="T51" s="30" t="s">
        <v>2528</v>
      </c>
      <c r="U51" s="33">
        <f>IFERROR(INDEX([1]Item!$A:$A,MATCH(T51,[1]Item!$B:$B,0)),"-")</f>
        <v>23347003</v>
      </c>
      <c r="V51" s="33">
        <v>10</v>
      </c>
      <c r="W51" s="30"/>
      <c r="X51" s="33" t="s">
        <v>545</v>
      </c>
      <c r="Y51" s="33" t="s">
        <v>545</v>
      </c>
    </row>
    <row r="52" spans="1:25">
      <c r="A52" s="29">
        <v>47100044</v>
      </c>
      <c r="B52" s="30" t="s">
        <v>1300</v>
      </c>
      <c r="C52" s="33" t="s">
        <v>886</v>
      </c>
      <c r="D52" s="33" t="s">
        <v>990</v>
      </c>
      <c r="E52" s="55" t="b">
        <v>1</v>
      </c>
      <c r="F52" s="30">
        <v>2</v>
      </c>
      <c r="G52" s="200">
        <f t="shared" si="0"/>
        <v>1050000</v>
      </c>
      <c r="H52" s="30" t="s">
        <v>475</v>
      </c>
      <c r="I52" s="33">
        <v>100001</v>
      </c>
      <c r="J52" s="50">
        <v>20000</v>
      </c>
      <c r="K52" s="30" t="s">
        <v>475</v>
      </c>
      <c r="L52" s="33">
        <v>100001</v>
      </c>
      <c r="M52" s="50">
        <v>157500</v>
      </c>
      <c r="N52" s="30"/>
      <c r="O52" s="33" t="s">
        <v>545</v>
      </c>
      <c r="P52" s="33" t="s">
        <v>545</v>
      </c>
      <c r="Q52" s="30" t="s">
        <v>2483</v>
      </c>
      <c r="R52" s="33">
        <f>IFERROR(INDEX([1]Item!$A:$A,MATCH(Q52,[1]Item!$B:$B,0)),"-")</f>
        <v>23348042</v>
      </c>
      <c r="S52" s="33">
        <v>1</v>
      </c>
      <c r="T52" s="30" t="s">
        <v>2528</v>
      </c>
      <c r="U52" s="33">
        <f>IFERROR(INDEX([1]Item!$A:$A,MATCH(T52,[1]Item!$B:$B,0)),"-")</f>
        <v>23347003</v>
      </c>
      <c r="V52" s="33">
        <v>10</v>
      </c>
      <c r="W52" s="30"/>
      <c r="X52" s="33" t="s">
        <v>545</v>
      </c>
      <c r="Y52" s="33" t="s">
        <v>545</v>
      </c>
    </row>
    <row r="53" spans="1:25">
      <c r="A53" s="29">
        <v>47100045</v>
      </c>
      <c r="B53" s="30" t="s">
        <v>1301</v>
      </c>
      <c r="C53" s="33" t="s">
        <v>887</v>
      </c>
      <c r="D53" s="33" t="s">
        <v>991</v>
      </c>
      <c r="E53" s="55" t="b">
        <v>1</v>
      </c>
      <c r="F53" s="30">
        <v>2</v>
      </c>
      <c r="G53" s="200">
        <f t="shared" si="0"/>
        <v>1050000</v>
      </c>
      <c r="H53" s="30" t="s">
        <v>475</v>
      </c>
      <c r="I53" s="33">
        <v>100001</v>
      </c>
      <c r="J53" s="50">
        <v>20000</v>
      </c>
      <c r="K53" s="30" t="s">
        <v>475</v>
      </c>
      <c r="L53" s="33">
        <v>100001</v>
      </c>
      <c r="M53" s="50">
        <v>157500</v>
      </c>
      <c r="N53" s="30"/>
      <c r="O53" s="33" t="s">
        <v>545</v>
      </c>
      <c r="P53" s="33" t="s">
        <v>545</v>
      </c>
      <c r="Q53" s="30" t="s">
        <v>2484</v>
      </c>
      <c r="R53" s="33">
        <f>IFERROR(INDEX([1]Item!$A:$A,MATCH(Q53,[1]Item!$B:$B,0)),"-")</f>
        <v>23348043</v>
      </c>
      <c r="S53" s="33">
        <v>1</v>
      </c>
      <c r="T53" s="30" t="s">
        <v>2528</v>
      </c>
      <c r="U53" s="33">
        <f>IFERROR(INDEX([1]Item!$A:$A,MATCH(T53,[1]Item!$B:$B,0)),"-")</f>
        <v>23347003</v>
      </c>
      <c r="V53" s="33">
        <v>10</v>
      </c>
      <c r="W53" s="30"/>
      <c r="X53" s="33" t="s">
        <v>545</v>
      </c>
      <c r="Y53" s="33" t="s">
        <v>545</v>
      </c>
    </row>
    <row r="54" spans="1:25">
      <c r="A54" s="29">
        <v>47100046</v>
      </c>
      <c r="B54" s="30" t="s">
        <v>1302</v>
      </c>
      <c r="C54" s="33" t="s">
        <v>888</v>
      </c>
      <c r="D54" s="33" t="s">
        <v>992</v>
      </c>
      <c r="E54" s="55" t="b">
        <v>1</v>
      </c>
      <c r="F54" s="30">
        <v>2</v>
      </c>
      <c r="G54" s="200">
        <f t="shared" si="0"/>
        <v>1050000</v>
      </c>
      <c r="H54" s="30" t="s">
        <v>475</v>
      </c>
      <c r="I54" s="33">
        <v>100001</v>
      </c>
      <c r="J54" s="50">
        <v>20000</v>
      </c>
      <c r="K54" s="30" t="s">
        <v>475</v>
      </c>
      <c r="L54" s="33">
        <v>100001</v>
      </c>
      <c r="M54" s="50">
        <v>157500</v>
      </c>
      <c r="N54" s="30"/>
      <c r="O54" s="33" t="s">
        <v>545</v>
      </c>
      <c r="P54" s="33" t="s">
        <v>545</v>
      </c>
      <c r="Q54" s="30" t="s">
        <v>2485</v>
      </c>
      <c r="R54" s="33">
        <f>IFERROR(INDEX([1]Item!$A:$A,MATCH(Q54,[1]Item!$B:$B,0)),"-")</f>
        <v>23348044</v>
      </c>
      <c r="S54" s="33">
        <v>1</v>
      </c>
      <c r="T54" s="30" t="s">
        <v>2529</v>
      </c>
      <c r="U54" s="33">
        <f>IFERROR(INDEX([1]Item!$A:$A,MATCH(T54,[1]Item!$B:$B,0)),"-")</f>
        <v>23347004</v>
      </c>
      <c r="V54" s="33">
        <v>10</v>
      </c>
      <c r="W54" s="30"/>
      <c r="X54" s="33" t="s">
        <v>545</v>
      </c>
      <c r="Y54" s="33" t="s">
        <v>545</v>
      </c>
    </row>
    <row r="55" spans="1:25">
      <c r="A55" s="29">
        <v>47100047</v>
      </c>
      <c r="B55" s="30" t="s">
        <v>1303</v>
      </c>
      <c r="C55" s="33" t="s">
        <v>889</v>
      </c>
      <c r="D55" s="33" t="s">
        <v>993</v>
      </c>
      <c r="E55" s="55" t="b">
        <v>1</v>
      </c>
      <c r="F55" s="30">
        <v>1</v>
      </c>
      <c r="G55" s="200">
        <f t="shared" si="0"/>
        <v>350000</v>
      </c>
      <c r="H55" s="30" t="s">
        <v>475</v>
      </c>
      <c r="I55" s="33">
        <v>100001</v>
      </c>
      <c r="J55" s="50">
        <v>2500</v>
      </c>
      <c r="K55" s="30" t="s">
        <v>475</v>
      </c>
      <c r="L55" s="33">
        <v>100001</v>
      </c>
      <c r="M55" s="50">
        <v>19500</v>
      </c>
      <c r="N55" s="30"/>
      <c r="O55" s="33" t="s">
        <v>545</v>
      </c>
      <c r="P55" s="33" t="s">
        <v>545</v>
      </c>
      <c r="Q55" s="30" t="s">
        <v>2486</v>
      </c>
      <c r="R55" s="33">
        <f>IFERROR(INDEX([1]Item!$A:$A,MATCH(Q55,[1]Item!$B:$B,0)),"-")</f>
        <v>23348045</v>
      </c>
      <c r="S55" s="33">
        <v>1</v>
      </c>
      <c r="T55" s="30" t="s">
        <v>2529</v>
      </c>
      <c r="U55" s="33">
        <f>IFERROR(INDEX([1]Item!$A:$A,MATCH(T55,[1]Item!$B:$B,0)),"-")</f>
        <v>23347004</v>
      </c>
      <c r="V55" s="33">
        <v>10</v>
      </c>
      <c r="W55" s="30"/>
      <c r="X55" s="33" t="s">
        <v>545</v>
      </c>
      <c r="Y55" s="33" t="s">
        <v>545</v>
      </c>
    </row>
    <row r="56" spans="1:25">
      <c r="A56" s="29">
        <v>47100048</v>
      </c>
      <c r="B56" s="30" t="s">
        <v>1304</v>
      </c>
      <c r="C56" s="33" t="s">
        <v>890</v>
      </c>
      <c r="D56" s="33" t="s">
        <v>994</v>
      </c>
      <c r="E56" s="55" t="b">
        <v>1</v>
      </c>
      <c r="F56" s="30">
        <v>1</v>
      </c>
      <c r="G56" s="200">
        <f t="shared" si="0"/>
        <v>350000</v>
      </c>
      <c r="H56" s="30" t="s">
        <v>475</v>
      </c>
      <c r="I56" s="33">
        <v>100001</v>
      </c>
      <c r="J56" s="50">
        <v>2500</v>
      </c>
      <c r="K56" s="30" t="s">
        <v>475</v>
      </c>
      <c r="L56" s="33">
        <v>100001</v>
      </c>
      <c r="M56" s="50">
        <v>19500</v>
      </c>
      <c r="N56" s="30"/>
      <c r="O56" s="33" t="s">
        <v>545</v>
      </c>
      <c r="P56" s="33" t="s">
        <v>545</v>
      </c>
      <c r="Q56" s="30" t="s">
        <v>2487</v>
      </c>
      <c r="R56" s="33">
        <f>IFERROR(INDEX([1]Item!$A:$A,MATCH(Q56,[1]Item!$B:$B,0)),"-")</f>
        <v>23348046</v>
      </c>
      <c r="S56" s="33">
        <v>1</v>
      </c>
      <c r="T56" s="30" t="s">
        <v>2529</v>
      </c>
      <c r="U56" s="33">
        <f>IFERROR(INDEX([1]Item!$A:$A,MATCH(T56,[1]Item!$B:$B,0)),"-")</f>
        <v>23347004</v>
      </c>
      <c r="V56" s="33">
        <v>10</v>
      </c>
      <c r="W56" s="30"/>
      <c r="X56" s="33" t="s">
        <v>545</v>
      </c>
      <c r="Y56" s="33" t="s">
        <v>545</v>
      </c>
    </row>
    <row r="57" spans="1:25">
      <c r="A57" s="29">
        <v>47100049</v>
      </c>
      <c r="B57" s="30" t="s">
        <v>1305</v>
      </c>
      <c r="C57" s="33" t="s">
        <v>891</v>
      </c>
      <c r="D57" s="33" t="s">
        <v>995</v>
      </c>
      <c r="E57" s="55" t="b">
        <v>1</v>
      </c>
      <c r="F57" s="30">
        <v>1</v>
      </c>
      <c r="G57" s="200">
        <f t="shared" si="0"/>
        <v>350000</v>
      </c>
      <c r="H57" s="30" t="s">
        <v>475</v>
      </c>
      <c r="I57" s="33">
        <v>100001</v>
      </c>
      <c r="J57" s="50">
        <v>2500</v>
      </c>
      <c r="K57" s="30" t="s">
        <v>475</v>
      </c>
      <c r="L57" s="33">
        <v>100001</v>
      </c>
      <c r="M57" s="50">
        <v>19500</v>
      </c>
      <c r="N57" s="30"/>
      <c r="O57" s="33" t="s">
        <v>545</v>
      </c>
      <c r="P57" s="33" t="s">
        <v>545</v>
      </c>
      <c r="Q57" s="30" t="s">
        <v>2488</v>
      </c>
      <c r="R57" s="33">
        <f>IFERROR(INDEX([1]Item!$A:$A,MATCH(Q57,[1]Item!$B:$B,0)),"-")</f>
        <v>23348047</v>
      </c>
      <c r="S57" s="33">
        <v>1</v>
      </c>
      <c r="T57" s="30" t="s">
        <v>2529</v>
      </c>
      <c r="U57" s="33">
        <f>IFERROR(INDEX([1]Item!$A:$A,MATCH(T57,[1]Item!$B:$B,0)),"-")</f>
        <v>23347004</v>
      </c>
      <c r="V57" s="33">
        <v>10</v>
      </c>
      <c r="W57" s="30"/>
      <c r="X57" s="33" t="s">
        <v>545</v>
      </c>
      <c r="Y57" s="33" t="s">
        <v>545</v>
      </c>
    </row>
    <row r="58" spans="1:25">
      <c r="A58" s="29">
        <v>47100050</v>
      </c>
      <c r="B58" s="30" t="s">
        <v>1306</v>
      </c>
      <c r="C58" s="33" t="s">
        <v>892</v>
      </c>
      <c r="D58" s="33" t="s">
        <v>996</v>
      </c>
      <c r="E58" s="55" t="b">
        <v>1</v>
      </c>
      <c r="F58" s="30">
        <v>1</v>
      </c>
      <c r="G58" s="200">
        <f t="shared" si="0"/>
        <v>350000</v>
      </c>
      <c r="H58" s="30" t="s">
        <v>475</v>
      </c>
      <c r="I58" s="33">
        <v>100001</v>
      </c>
      <c r="J58" s="50">
        <v>2500</v>
      </c>
      <c r="K58" s="30" t="s">
        <v>475</v>
      </c>
      <c r="L58" s="33">
        <v>100001</v>
      </c>
      <c r="M58" s="50">
        <v>19500</v>
      </c>
      <c r="N58" s="30"/>
      <c r="O58" s="33" t="s">
        <v>545</v>
      </c>
      <c r="P58" s="33" t="s">
        <v>545</v>
      </c>
      <c r="Q58" s="30" t="s">
        <v>2489</v>
      </c>
      <c r="R58" s="33">
        <f>IFERROR(INDEX([1]Item!$A:$A,MATCH(Q58,[1]Item!$B:$B,0)),"-")</f>
        <v>23348048</v>
      </c>
      <c r="S58" s="33">
        <v>1</v>
      </c>
      <c r="T58" s="30" t="s">
        <v>2529</v>
      </c>
      <c r="U58" s="33">
        <f>IFERROR(INDEX([1]Item!$A:$A,MATCH(T58,[1]Item!$B:$B,0)),"-")</f>
        <v>23347004</v>
      </c>
      <c r="V58" s="33">
        <v>10</v>
      </c>
      <c r="W58" s="30"/>
      <c r="X58" s="33" t="s">
        <v>545</v>
      </c>
      <c r="Y58" s="33" t="s">
        <v>545</v>
      </c>
    </row>
    <row r="59" spans="1:25">
      <c r="A59" s="29">
        <v>47100051</v>
      </c>
      <c r="B59" s="30" t="s">
        <v>1307</v>
      </c>
      <c r="C59" s="33" t="s">
        <v>893</v>
      </c>
      <c r="D59" s="33" t="s">
        <v>997</v>
      </c>
      <c r="E59" s="55" t="b">
        <v>1</v>
      </c>
      <c r="F59" s="30">
        <v>1</v>
      </c>
      <c r="G59" s="200">
        <f t="shared" si="0"/>
        <v>350000</v>
      </c>
      <c r="H59" s="30" t="s">
        <v>475</v>
      </c>
      <c r="I59" s="33">
        <v>100001</v>
      </c>
      <c r="J59" s="50">
        <v>2500</v>
      </c>
      <c r="K59" s="30" t="s">
        <v>475</v>
      </c>
      <c r="L59" s="33">
        <v>100001</v>
      </c>
      <c r="M59" s="50">
        <v>19500</v>
      </c>
      <c r="N59" s="30"/>
      <c r="O59" s="33" t="s">
        <v>545</v>
      </c>
      <c r="P59" s="33" t="s">
        <v>545</v>
      </c>
      <c r="Q59" s="30" t="s">
        <v>2490</v>
      </c>
      <c r="R59" s="33">
        <f>IFERROR(INDEX([1]Item!$A:$A,MATCH(Q59,[1]Item!$B:$B,0)),"-")</f>
        <v>23348049</v>
      </c>
      <c r="S59" s="33">
        <v>1</v>
      </c>
      <c r="T59" s="30" t="s">
        <v>2529</v>
      </c>
      <c r="U59" s="33">
        <f>IFERROR(INDEX([1]Item!$A:$A,MATCH(T59,[1]Item!$B:$B,0)),"-")</f>
        <v>23347004</v>
      </c>
      <c r="V59" s="33">
        <v>10</v>
      </c>
      <c r="W59" s="30"/>
      <c r="X59" s="33" t="s">
        <v>545</v>
      </c>
      <c r="Y59" s="33" t="s">
        <v>545</v>
      </c>
    </row>
    <row r="60" spans="1:25">
      <c r="A60" s="29">
        <v>47100052</v>
      </c>
      <c r="B60" s="30" t="s">
        <v>1308</v>
      </c>
      <c r="C60" s="33" t="s">
        <v>894</v>
      </c>
      <c r="D60" s="33" t="s">
        <v>998</v>
      </c>
      <c r="E60" s="55" t="b">
        <v>1</v>
      </c>
      <c r="F60" s="30">
        <v>1</v>
      </c>
      <c r="G60" s="200">
        <f t="shared" si="0"/>
        <v>350000</v>
      </c>
      <c r="H60" s="30" t="s">
        <v>475</v>
      </c>
      <c r="I60" s="33">
        <v>100001</v>
      </c>
      <c r="J60" s="50">
        <v>2500</v>
      </c>
      <c r="K60" s="30" t="s">
        <v>475</v>
      </c>
      <c r="L60" s="33">
        <v>100001</v>
      </c>
      <c r="M60" s="50">
        <v>19500</v>
      </c>
      <c r="N60" s="30"/>
      <c r="O60" s="33" t="s">
        <v>545</v>
      </c>
      <c r="P60" s="33" t="s">
        <v>545</v>
      </c>
      <c r="Q60" s="30" t="s">
        <v>2491</v>
      </c>
      <c r="R60" s="33">
        <f>IFERROR(INDEX([1]Item!$A:$A,MATCH(Q60,[1]Item!$B:$B,0)),"-")</f>
        <v>23348050</v>
      </c>
      <c r="S60" s="33">
        <v>1</v>
      </c>
      <c r="T60" s="30" t="s">
        <v>2529</v>
      </c>
      <c r="U60" s="33">
        <f>IFERROR(INDEX([1]Item!$A:$A,MATCH(T60,[1]Item!$B:$B,0)),"-")</f>
        <v>23347004</v>
      </c>
      <c r="V60" s="33">
        <v>10</v>
      </c>
      <c r="W60" s="30"/>
      <c r="X60" s="33" t="s">
        <v>545</v>
      </c>
      <c r="Y60" s="33" t="s">
        <v>545</v>
      </c>
    </row>
    <row r="61" spans="1:25">
      <c r="A61" s="29">
        <v>47100053</v>
      </c>
      <c r="B61" s="30" t="s">
        <v>1309</v>
      </c>
      <c r="C61" s="33" t="s">
        <v>895</v>
      </c>
      <c r="D61" s="33" t="s">
        <v>999</v>
      </c>
      <c r="E61" s="55" t="b">
        <v>1</v>
      </c>
      <c r="F61" s="30">
        <v>1</v>
      </c>
      <c r="G61" s="200">
        <f t="shared" si="0"/>
        <v>350000</v>
      </c>
      <c r="H61" s="30" t="s">
        <v>475</v>
      </c>
      <c r="I61" s="33">
        <v>100001</v>
      </c>
      <c r="J61" s="50">
        <v>2500</v>
      </c>
      <c r="K61" s="30" t="s">
        <v>475</v>
      </c>
      <c r="L61" s="33">
        <v>100001</v>
      </c>
      <c r="M61" s="50">
        <v>19500</v>
      </c>
      <c r="N61" s="30"/>
      <c r="O61" s="33" t="s">
        <v>545</v>
      </c>
      <c r="P61" s="33" t="s">
        <v>545</v>
      </c>
      <c r="Q61" s="30" t="s">
        <v>2492</v>
      </c>
      <c r="R61" s="33">
        <f>IFERROR(INDEX([1]Item!$A:$A,MATCH(Q61,[1]Item!$B:$B,0)),"-")</f>
        <v>23348051</v>
      </c>
      <c r="S61" s="33">
        <v>1</v>
      </c>
      <c r="T61" s="30" t="s">
        <v>2529</v>
      </c>
      <c r="U61" s="33">
        <f>IFERROR(INDEX([1]Item!$A:$A,MATCH(T61,[1]Item!$B:$B,0)),"-")</f>
        <v>23347004</v>
      </c>
      <c r="V61" s="33">
        <v>10</v>
      </c>
      <c r="W61" s="30"/>
      <c r="X61" s="33" t="s">
        <v>545</v>
      </c>
      <c r="Y61" s="33" t="s">
        <v>545</v>
      </c>
    </row>
    <row r="62" spans="1:25">
      <c r="A62" s="29">
        <v>47100054</v>
      </c>
      <c r="B62" s="30" t="s">
        <v>1310</v>
      </c>
      <c r="C62" s="33" t="s">
        <v>896</v>
      </c>
      <c r="D62" s="33" t="s">
        <v>1000</v>
      </c>
      <c r="E62" s="55" t="b">
        <v>1</v>
      </c>
      <c r="F62" s="30">
        <v>1</v>
      </c>
      <c r="G62" s="200">
        <f t="shared" si="0"/>
        <v>350000</v>
      </c>
      <c r="H62" s="30" t="s">
        <v>475</v>
      </c>
      <c r="I62" s="33">
        <v>100001</v>
      </c>
      <c r="J62" s="50">
        <v>2500</v>
      </c>
      <c r="K62" s="30" t="s">
        <v>475</v>
      </c>
      <c r="L62" s="33">
        <v>100001</v>
      </c>
      <c r="M62" s="50">
        <v>19500</v>
      </c>
      <c r="N62" s="30"/>
      <c r="O62" s="33" t="s">
        <v>545</v>
      </c>
      <c r="P62" s="33" t="s">
        <v>545</v>
      </c>
      <c r="Q62" s="30" t="s">
        <v>2493</v>
      </c>
      <c r="R62" s="33">
        <f>IFERROR(INDEX([1]Item!$A:$A,MATCH(Q62,[1]Item!$B:$B,0)),"-")</f>
        <v>23348052</v>
      </c>
      <c r="S62" s="33">
        <v>1</v>
      </c>
      <c r="T62" s="30" t="s">
        <v>2529</v>
      </c>
      <c r="U62" s="33">
        <f>IFERROR(INDEX([1]Item!$A:$A,MATCH(T62,[1]Item!$B:$B,0)),"-")</f>
        <v>23347004</v>
      </c>
      <c r="V62" s="33">
        <v>10</v>
      </c>
      <c r="W62" s="30"/>
      <c r="X62" s="33" t="s">
        <v>545</v>
      </c>
      <c r="Y62" s="33" t="s">
        <v>545</v>
      </c>
    </row>
    <row r="63" spans="1:25">
      <c r="A63" s="29">
        <v>47100055</v>
      </c>
      <c r="B63" s="30" t="s">
        <v>1311</v>
      </c>
      <c r="C63" s="33" t="s">
        <v>897</v>
      </c>
      <c r="D63" s="33" t="s">
        <v>1001</v>
      </c>
      <c r="E63" s="55" t="b">
        <v>1</v>
      </c>
      <c r="F63" s="30">
        <v>1</v>
      </c>
      <c r="G63" s="200">
        <f t="shared" si="0"/>
        <v>350000</v>
      </c>
      <c r="H63" s="30" t="s">
        <v>475</v>
      </c>
      <c r="I63" s="33">
        <v>100001</v>
      </c>
      <c r="J63" s="50">
        <v>2500</v>
      </c>
      <c r="K63" s="30" t="s">
        <v>475</v>
      </c>
      <c r="L63" s="33">
        <v>100001</v>
      </c>
      <c r="M63" s="50">
        <v>19500</v>
      </c>
      <c r="N63" s="30"/>
      <c r="O63" s="33" t="s">
        <v>545</v>
      </c>
      <c r="P63" s="33" t="s">
        <v>545</v>
      </c>
      <c r="Q63" s="30" t="s">
        <v>2494</v>
      </c>
      <c r="R63" s="33">
        <f>IFERROR(INDEX([1]Item!$A:$A,MATCH(Q63,[1]Item!$B:$B,0)),"-")</f>
        <v>23348053</v>
      </c>
      <c r="S63" s="33">
        <v>1</v>
      </c>
      <c r="T63" s="30" t="s">
        <v>2529</v>
      </c>
      <c r="U63" s="33">
        <f>IFERROR(INDEX([1]Item!$A:$A,MATCH(T63,[1]Item!$B:$B,0)),"-")</f>
        <v>23347004</v>
      </c>
      <c r="V63" s="33">
        <v>10</v>
      </c>
      <c r="W63" s="30"/>
      <c r="X63" s="33" t="s">
        <v>545</v>
      </c>
      <c r="Y63" s="33" t="s">
        <v>545</v>
      </c>
    </row>
    <row r="64" spans="1:25">
      <c r="A64" s="29">
        <v>47100056</v>
      </c>
      <c r="B64" s="30" t="s">
        <v>1312</v>
      </c>
      <c r="C64" s="33" t="s">
        <v>898</v>
      </c>
      <c r="D64" s="33" t="s">
        <v>1002</v>
      </c>
      <c r="E64" s="55" t="b">
        <v>1</v>
      </c>
      <c r="F64" s="30">
        <v>1</v>
      </c>
      <c r="G64" s="200">
        <f t="shared" si="0"/>
        <v>350000</v>
      </c>
      <c r="H64" s="30" t="s">
        <v>475</v>
      </c>
      <c r="I64" s="33">
        <v>100001</v>
      </c>
      <c r="J64" s="50">
        <v>2500</v>
      </c>
      <c r="K64" s="30" t="s">
        <v>475</v>
      </c>
      <c r="L64" s="33">
        <v>100001</v>
      </c>
      <c r="M64" s="50">
        <v>19500</v>
      </c>
      <c r="N64" s="30"/>
      <c r="O64" s="33" t="s">
        <v>545</v>
      </c>
      <c r="P64" s="33" t="s">
        <v>545</v>
      </c>
      <c r="Q64" s="30" t="s">
        <v>2495</v>
      </c>
      <c r="R64" s="33">
        <f>IFERROR(INDEX([1]Item!$A:$A,MATCH(Q64,[1]Item!$B:$B,0)),"-")</f>
        <v>23348054</v>
      </c>
      <c r="S64" s="33">
        <v>1</v>
      </c>
      <c r="T64" s="30" t="s">
        <v>2529</v>
      </c>
      <c r="U64" s="33">
        <f>IFERROR(INDEX([1]Item!$A:$A,MATCH(T64,[1]Item!$B:$B,0)),"-")</f>
        <v>23347004</v>
      </c>
      <c r="V64" s="33">
        <v>10</v>
      </c>
      <c r="W64" s="30"/>
      <c r="X64" s="33" t="s">
        <v>545</v>
      </c>
      <c r="Y64" s="33" t="s">
        <v>545</v>
      </c>
    </row>
    <row r="65" spans="1:25">
      <c r="A65" s="29">
        <v>47100057</v>
      </c>
      <c r="B65" s="30" t="s">
        <v>1313</v>
      </c>
      <c r="C65" s="33" t="s">
        <v>899</v>
      </c>
      <c r="D65" s="33" t="s">
        <v>1003</v>
      </c>
      <c r="E65" s="55" t="b">
        <v>1</v>
      </c>
      <c r="F65" s="30">
        <v>1</v>
      </c>
      <c r="G65" s="200">
        <f t="shared" si="0"/>
        <v>350000</v>
      </c>
      <c r="H65" s="30" t="s">
        <v>475</v>
      </c>
      <c r="I65" s="33">
        <v>100001</v>
      </c>
      <c r="J65" s="50">
        <v>2500</v>
      </c>
      <c r="K65" s="30" t="s">
        <v>475</v>
      </c>
      <c r="L65" s="33">
        <v>100001</v>
      </c>
      <c r="M65" s="50">
        <v>19500</v>
      </c>
      <c r="N65" s="30"/>
      <c r="O65" s="33" t="s">
        <v>545</v>
      </c>
      <c r="P65" s="33" t="s">
        <v>545</v>
      </c>
      <c r="Q65" s="30" t="s">
        <v>2496</v>
      </c>
      <c r="R65" s="33">
        <f>IFERROR(INDEX([1]Item!$A:$A,MATCH(Q65,[1]Item!$B:$B,0)),"-")</f>
        <v>23348055</v>
      </c>
      <c r="S65" s="33">
        <v>1</v>
      </c>
      <c r="T65" s="30" t="s">
        <v>2529</v>
      </c>
      <c r="U65" s="33">
        <f>IFERROR(INDEX([1]Item!$A:$A,MATCH(T65,[1]Item!$B:$B,0)),"-")</f>
        <v>23347004</v>
      </c>
      <c r="V65" s="33">
        <v>10</v>
      </c>
      <c r="W65" s="30"/>
      <c r="X65" s="33" t="s">
        <v>545</v>
      </c>
      <c r="Y65" s="33" t="s">
        <v>545</v>
      </c>
    </row>
    <row r="66" spans="1:25">
      <c r="A66" s="29">
        <v>47100058</v>
      </c>
      <c r="B66" s="30" t="s">
        <v>1314</v>
      </c>
      <c r="C66" s="33" t="s">
        <v>900</v>
      </c>
      <c r="D66" s="33" t="s">
        <v>1004</v>
      </c>
      <c r="E66" s="55" t="b">
        <v>1</v>
      </c>
      <c r="F66" s="30">
        <v>1</v>
      </c>
      <c r="G66" s="200">
        <f t="shared" si="0"/>
        <v>350000</v>
      </c>
      <c r="H66" s="30" t="s">
        <v>475</v>
      </c>
      <c r="I66" s="33">
        <v>100001</v>
      </c>
      <c r="J66" s="50">
        <v>2500</v>
      </c>
      <c r="K66" s="30" t="s">
        <v>475</v>
      </c>
      <c r="L66" s="33">
        <v>100001</v>
      </c>
      <c r="M66" s="50">
        <v>19500</v>
      </c>
      <c r="N66" s="30"/>
      <c r="O66" s="33" t="s">
        <v>545</v>
      </c>
      <c r="P66" s="33" t="s">
        <v>545</v>
      </c>
      <c r="Q66" s="30" t="s">
        <v>2497</v>
      </c>
      <c r="R66" s="33">
        <f>IFERROR(INDEX([1]Item!$A:$A,MATCH(Q66,[1]Item!$B:$B,0)),"-")</f>
        <v>23348056</v>
      </c>
      <c r="S66" s="33">
        <v>1</v>
      </c>
      <c r="T66" s="30" t="s">
        <v>2529</v>
      </c>
      <c r="U66" s="33">
        <f>IFERROR(INDEX([1]Item!$A:$A,MATCH(T66,[1]Item!$B:$B,0)),"-")</f>
        <v>23347004</v>
      </c>
      <c r="V66" s="33">
        <v>10</v>
      </c>
      <c r="W66" s="30"/>
      <c r="X66" s="33" t="s">
        <v>545</v>
      </c>
      <c r="Y66" s="33" t="s">
        <v>545</v>
      </c>
    </row>
    <row r="67" spans="1:25">
      <c r="A67" s="29">
        <v>47100059</v>
      </c>
      <c r="B67" s="30" t="s">
        <v>1315</v>
      </c>
      <c r="C67" s="33" t="s">
        <v>901</v>
      </c>
      <c r="D67" s="33" t="s">
        <v>1005</v>
      </c>
      <c r="E67" s="55" t="b">
        <v>1</v>
      </c>
      <c r="F67" s="30">
        <v>1</v>
      </c>
      <c r="G67" s="200">
        <f t="shared" si="0"/>
        <v>350000</v>
      </c>
      <c r="H67" s="30" t="s">
        <v>475</v>
      </c>
      <c r="I67" s="33">
        <v>100001</v>
      </c>
      <c r="J67" s="50">
        <v>2500</v>
      </c>
      <c r="K67" s="30" t="s">
        <v>475</v>
      </c>
      <c r="L67" s="33">
        <v>100001</v>
      </c>
      <c r="M67" s="50">
        <v>19500</v>
      </c>
      <c r="N67" s="30"/>
      <c r="O67" s="33" t="s">
        <v>545</v>
      </c>
      <c r="P67" s="33" t="s">
        <v>545</v>
      </c>
      <c r="Q67" s="30" t="s">
        <v>2498</v>
      </c>
      <c r="R67" s="33">
        <f>IFERROR(INDEX([1]Item!$A:$A,MATCH(Q67,[1]Item!$B:$B,0)),"-")</f>
        <v>23348057</v>
      </c>
      <c r="S67" s="33">
        <v>1</v>
      </c>
      <c r="T67" s="30" t="s">
        <v>2529</v>
      </c>
      <c r="U67" s="33">
        <f>IFERROR(INDEX([1]Item!$A:$A,MATCH(T67,[1]Item!$B:$B,0)),"-")</f>
        <v>23347004</v>
      </c>
      <c r="V67" s="33">
        <v>10</v>
      </c>
      <c r="W67" s="30"/>
      <c r="X67" s="33" t="s">
        <v>545</v>
      </c>
      <c r="Y67" s="33" t="s">
        <v>545</v>
      </c>
    </row>
    <row r="68" spans="1:25">
      <c r="A68" s="29">
        <v>47100060</v>
      </c>
      <c r="B68" s="30" t="s">
        <v>1316</v>
      </c>
      <c r="C68" s="33" t="s">
        <v>902</v>
      </c>
      <c r="D68" s="33" t="s">
        <v>1006</v>
      </c>
      <c r="E68" s="55" t="b">
        <v>1</v>
      </c>
      <c r="F68" s="30">
        <v>1</v>
      </c>
      <c r="G68" s="200">
        <f t="shared" si="0"/>
        <v>350000</v>
      </c>
      <c r="H68" s="30" t="s">
        <v>475</v>
      </c>
      <c r="I68" s="33">
        <v>100001</v>
      </c>
      <c r="J68" s="50">
        <v>2500</v>
      </c>
      <c r="K68" s="30" t="s">
        <v>475</v>
      </c>
      <c r="L68" s="33">
        <v>100001</v>
      </c>
      <c r="M68" s="50">
        <v>19500</v>
      </c>
      <c r="N68" s="30"/>
      <c r="O68" s="33" t="s">
        <v>545</v>
      </c>
      <c r="P68" s="33" t="s">
        <v>545</v>
      </c>
      <c r="Q68" s="30" t="s">
        <v>2499</v>
      </c>
      <c r="R68" s="33">
        <f>IFERROR(INDEX([1]Item!$A:$A,MATCH(Q68,[1]Item!$B:$B,0)),"-")</f>
        <v>23348058</v>
      </c>
      <c r="S68" s="33">
        <v>1</v>
      </c>
      <c r="T68" s="30" t="s">
        <v>2529</v>
      </c>
      <c r="U68" s="33">
        <f>IFERROR(INDEX([1]Item!$A:$A,MATCH(T68,[1]Item!$B:$B,0)),"-")</f>
        <v>23347004</v>
      </c>
      <c r="V68" s="33">
        <v>10</v>
      </c>
      <c r="W68" s="30"/>
      <c r="X68" s="33" t="s">
        <v>545</v>
      </c>
      <c r="Y68" s="33" t="s">
        <v>545</v>
      </c>
    </row>
    <row r="69" spans="1:25">
      <c r="A69" s="29">
        <v>47100061</v>
      </c>
      <c r="B69" s="30" t="s">
        <v>1317</v>
      </c>
      <c r="C69" s="33" t="s">
        <v>903</v>
      </c>
      <c r="D69" s="33" t="s">
        <v>1007</v>
      </c>
      <c r="E69" s="55" t="b">
        <v>1</v>
      </c>
      <c r="F69" s="30">
        <v>1</v>
      </c>
      <c r="G69" s="200">
        <f t="shared" si="0"/>
        <v>350000</v>
      </c>
      <c r="H69" s="30" t="s">
        <v>475</v>
      </c>
      <c r="I69" s="33">
        <v>100001</v>
      </c>
      <c r="J69" s="50">
        <v>2500</v>
      </c>
      <c r="K69" s="30" t="s">
        <v>475</v>
      </c>
      <c r="L69" s="33">
        <v>100001</v>
      </c>
      <c r="M69" s="50">
        <v>19500</v>
      </c>
      <c r="N69" s="30"/>
      <c r="O69" s="33" t="s">
        <v>545</v>
      </c>
      <c r="P69" s="33" t="s">
        <v>545</v>
      </c>
      <c r="Q69" s="30" t="s">
        <v>2500</v>
      </c>
      <c r="R69" s="33">
        <f>IFERROR(INDEX([1]Item!$A:$A,MATCH(Q69,[1]Item!$B:$B,0)),"-")</f>
        <v>23348059</v>
      </c>
      <c r="S69" s="33">
        <v>1</v>
      </c>
      <c r="T69" s="30" t="s">
        <v>2529</v>
      </c>
      <c r="U69" s="33">
        <f>IFERROR(INDEX([1]Item!$A:$A,MATCH(T69,[1]Item!$B:$B,0)),"-")</f>
        <v>23347004</v>
      </c>
      <c r="V69" s="33">
        <v>10</v>
      </c>
      <c r="W69" s="30"/>
      <c r="X69" s="33" t="s">
        <v>545</v>
      </c>
      <c r="Y69" s="33" t="s">
        <v>545</v>
      </c>
    </row>
    <row r="70" spans="1:25">
      <c r="A70" s="29">
        <v>47100062</v>
      </c>
      <c r="B70" s="30" t="s">
        <v>1318</v>
      </c>
      <c r="C70" s="33" t="s">
        <v>904</v>
      </c>
      <c r="D70" s="33" t="s">
        <v>1008</v>
      </c>
      <c r="E70" s="55" t="b">
        <v>1</v>
      </c>
      <c r="F70" s="30">
        <v>1</v>
      </c>
      <c r="G70" s="200">
        <f t="shared" si="0"/>
        <v>350000</v>
      </c>
      <c r="H70" s="30" t="s">
        <v>475</v>
      </c>
      <c r="I70" s="33">
        <v>100001</v>
      </c>
      <c r="J70" s="50">
        <v>2500</v>
      </c>
      <c r="K70" s="30" t="s">
        <v>475</v>
      </c>
      <c r="L70" s="33">
        <v>100001</v>
      </c>
      <c r="M70" s="50">
        <v>19500</v>
      </c>
      <c r="N70" s="30"/>
      <c r="O70" s="33" t="s">
        <v>545</v>
      </c>
      <c r="P70" s="33" t="s">
        <v>545</v>
      </c>
      <c r="Q70" s="30" t="s">
        <v>2501</v>
      </c>
      <c r="R70" s="33">
        <f>IFERROR(INDEX([1]Item!$A:$A,MATCH(Q70,[1]Item!$B:$B,0)),"-")</f>
        <v>23348060</v>
      </c>
      <c r="S70" s="33">
        <v>1</v>
      </c>
      <c r="T70" s="30" t="s">
        <v>2529</v>
      </c>
      <c r="U70" s="33">
        <f>IFERROR(INDEX([1]Item!$A:$A,MATCH(T70,[1]Item!$B:$B,0)),"-")</f>
        <v>23347004</v>
      </c>
      <c r="V70" s="33">
        <v>10</v>
      </c>
      <c r="W70" s="30"/>
      <c r="X70" s="33" t="s">
        <v>545</v>
      </c>
      <c r="Y70" s="33" t="s">
        <v>545</v>
      </c>
    </row>
    <row r="71" spans="1:25">
      <c r="A71" s="29">
        <v>47100063</v>
      </c>
      <c r="B71" s="30" t="s">
        <v>1319</v>
      </c>
      <c r="C71" s="33" t="s">
        <v>905</v>
      </c>
      <c r="D71" s="33" t="s">
        <v>1009</v>
      </c>
      <c r="E71" s="55" t="b">
        <v>1</v>
      </c>
      <c r="F71" s="30">
        <v>1</v>
      </c>
      <c r="G71" s="200">
        <f t="shared" si="0"/>
        <v>350000</v>
      </c>
      <c r="H71" s="30" t="s">
        <v>475</v>
      </c>
      <c r="I71" s="33">
        <v>100001</v>
      </c>
      <c r="J71" s="50">
        <v>2500</v>
      </c>
      <c r="K71" s="30" t="s">
        <v>475</v>
      </c>
      <c r="L71" s="33">
        <v>100001</v>
      </c>
      <c r="M71" s="50">
        <v>19500</v>
      </c>
      <c r="N71" s="30"/>
      <c r="O71" s="33" t="s">
        <v>545</v>
      </c>
      <c r="P71" s="33" t="s">
        <v>545</v>
      </c>
      <c r="Q71" s="30" t="s">
        <v>2502</v>
      </c>
      <c r="R71" s="33">
        <f>IFERROR(INDEX([1]Item!$A:$A,MATCH(Q71,[1]Item!$B:$B,0)),"-")</f>
        <v>23348061</v>
      </c>
      <c r="S71" s="33">
        <v>1</v>
      </c>
      <c r="T71" s="30" t="s">
        <v>2529</v>
      </c>
      <c r="U71" s="33">
        <f>IFERROR(INDEX([1]Item!$A:$A,MATCH(T71,[1]Item!$B:$B,0)),"-")</f>
        <v>23347004</v>
      </c>
      <c r="V71" s="33">
        <v>10</v>
      </c>
      <c r="W71" s="30"/>
      <c r="X71" s="33" t="s">
        <v>545</v>
      </c>
      <c r="Y71" s="33" t="s">
        <v>545</v>
      </c>
    </row>
    <row r="72" spans="1:25">
      <c r="A72" s="29">
        <v>47100064</v>
      </c>
      <c r="B72" s="30" t="s">
        <v>1320</v>
      </c>
      <c r="C72" s="33" t="s">
        <v>906</v>
      </c>
      <c r="D72" s="33" t="s">
        <v>1010</v>
      </c>
      <c r="E72" s="55" t="b">
        <v>1</v>
      </c>
      <c r="F72" s="30">
        <v>1</v>
      </c>
      <c r="G72" s="200">
        <f t="shared" si="0"/>
        <v>350000</v>
      </c>
      <c r="H72" s="30" t="s">
        <v>475</v>
      </c>
      <c r="I72" s="33">
        <v>100001</v>
      </c>
      <c r="J72" s="50">
        <v>2500</v>
      </c>
      <c r="K72" s="30" t="s">
        <v>475</v>
      </c>
      <c r="L72" s="33">
        <v>100001</v>
      </c>
      <c r="M72" s="50">
        <v>19500</v>
      </c>
      <c r="N72" s="30"/>
      <c r="O72" s="33" t="s">
        <v>545</v>
      </c>
      <c r="P72" s="33" t="s">
        <v>545</v>
      </c>
      <c r="Q72" s="30" t="s">
        <v>2503</v>
      </c>
      <c r="R72" s="33">
        <f>IFERROR(INDEX([1]Item!$A:$A,MATCH(Q72,[1]Item!$B:$B,0)),"-")</f>
        <v>23348062</v>
      </c>
      <c r="S72" s="33">
        <v>1</v>
      </c>
      <c r="T72" s="30" t="s">
        <v>2529</v>
      </c>
      <c r="U72" s="33">
        <f>IFERROR(INDEX([1]Item!$A:$A,MATCH(T72,[1]Item!$B:$B,0)),"-")</f>
        <v>23347004</v>
      </c>
      <c r="V72" s="33">
        <v>10</v>
      </c>
      <c r="W72" s="30"/>
      <c r="X72" s="33" t="s">
        <v>545</v>
      </c>
      <c r="Y72" s="33" t="s">
        <v>545</v>
      </c>
    </row>
    <row r="73" spans="1:25">
      <c r="A73" s="29">
        <v>47100065</v>
      </c>
      <c r="B73" s="30" t="s">
        <v>1321</v>
      </c>
      <c r="C73" s="33" t="s">
        <v>907</v>
      </c>
      <c r="D73" s="33" t="s">
        <v>1011</v>
      </c>
      <c r="E73" s="55" t="b">
        <v>1</v>
      </c>
      <c r="F73" s="30">
        <v>1</v>
      </c>
      <c r="G73" s="200">
        <f t="shared" si="0"/>
        <v>350000</v>
      </c>
      <c r="H73" s="30" t="s">
        <v>475</v>
      </c>
      <c r="I73" s="33">
        <v>100001</v>
      </c>
      <c r="J73" s="50">
        <v>2500</v>
      </c>
      <c r="K73" s="30" t="s">
        <v>475</v>
      </c>
      <c r="L73" s="33">
        <v>100001</v>
      </c>
      <c r="M73" s="50">
        <v>19500</v>
      </c>
      <c r="N73" s="30"/>
      <c r="O73" s="33" t="s">
        <v>545</v>
      </c>
      <c r="P73" s="33" t="s">
        <v>545</v>
      </c>
      <c r="Q73" s="30" t="s">
        <v>2504</v>
      </c>
      <c r="R73" s="33">
        <f>IFERROR(INDEX([1]Item!$A:$A,MATCH(Q73,[1]Item!$B:$B,0)),"-")</f>
        <v>23348063</v>
      </c>
      <c r="S73" s="33">
        <v>1</v>
      </c>
      <c r="T73" s="30" t="s">
        <v>2529</v>
      </c>
      <c r="U73" s="33">
        <f>IFERROR(INDEX([1]Item!$A:$A,MATCH(T73,[1]Item!$B:$B,0)),"-")</f>
        <v>23347004</v>
      </c>
      <c r="V73" s="33">
        <v>10</v>
      </c>
      <c r="W73" s="30"/>
      <c r="X73" s="33" t="s">
        <v>545</v>
      </c>
      <c r="Y73" s="33" t="s">
        <v>545</v>
      </c>
    </row>
    <row r="74" spans="1:25">
      <c r="A74" s="29">
        <v>47100066</v>
      </c>
      <c r="B74" s="30" t="s">
        <v>1322</v>
      </c>
      <c r="C74" s="33" t="s">
        <v>908</v>
      </c>
      <c r="D74" s="33" t="s">
        <v>1012</v>
      </c>
      <c r="E74" s="55" t="b">
        <v>1</v>
      </c>
      <c r="F74" s="30">
        <v>1</v>
      </c>
      <c r="G74" s="200">
        <f t="shared" ref="G74:G134" si="1">IFERROR(INT(POWER(3,(POWER(F74-1,1.15)))) * 350000, 0)</f>
        <v>350000</v>
      </c>
      <c r="H74" s="30" t="s">
        <v>475</v>
      </c>
      <c r="I74" s="33">
        <v>100001</v>
      </c>
      <c r="J74" s="50">
        <v>2500</v>
      </c>
      <c r="K74" s="30" t="s">
        <v>475</v>
      </c>
      <c r="L74" s="33">
        <v>100001</v>
      </c>
      <c r="M74" s="50">
        <v>19500</v>
      </c>
      <c r="N74" s="30"/>
      <c r="O74" s="33" t="s">
        <v>545</v>
      </c>
      <c r="P74" s="33" t="s">
        <v>545</v>
      </c>
      <c r="Q74" s="30" t="s">
        <v>2505</v>
      </c>
      <c r="R74" s="33">
        <f>IFERROR(INDEX([1]Item!$A:$A,MATCH(Q74,[1]Item!$B:$B,0)),"-")</f>
        <v>23348064</v>
      </c>
      <c r="S74" s="33">
        <v>1</v>
      </c>
      <c r="T74" s="30" t="s">
        <v>2529</v>
      </c>
      <c r="U74" s="33">
        <f>IFERROR(INDEX([1]Item!$A:$A,MATCH(T74,[1]Item!$B:$B,0)),"-")</f>
        <v>23347004</v>
      </c>
      <c r="V74" s="33">
        <v>10</v>
      </c>
      <c r="W74" s="30"/>
      <c r="X74" s="33" t="s">
        <v>545</v>
      </c>
      <c r="Y74" s="33" t="s">
        <v>545</v>
      </c>
    </row>
    <row r="75" spans="1:25">
      <c r="A75" s="29">
        <v>47100067</v>
      </c>
      <c r="B75" s="30" t="s">
        <v>1323</v>
      </c>
      <c r="C75" s="33" t="s">
        <v>909</v>
      </c>
      <c r="D75" s="33" t="s">
        <v>1013</v>
      </c>
      <c r="E75" s="55" t="b">
        <v>1</v>
      </c>
      <c r="F75" s="30">
        <v>1</v>
      </c>
      <c r="G75" s="200">
        <f t="shared" si="1"/>
        <v>350000</v>
      </c>
      <c r="H75" s="30" t="s">
        <v>475</v>
      </c>
      <c r="I75" s="33">
        <v>100001</v>
      </c>
      <c r="J75" s="50">
        <v>2500</v>
      </c>
      <c r="K75" s="30" t="s">
        <v>475</v>
      </c>
      <c r="L75" s="33">
        <v>100001</v>
      </c>
      <c r="M75" s="50">
        <v>19500</v>
      </c>
      <c r="N75" s="30"/>
      <c r="O75" s="33" t="s">
        <v>545</v>
      </c>
      <c r="P75" s="33" t="s">
        <v>545</v>
      </c>
      <c r="Q75" s="30" t="s">
        <v>2506</v>
      </c>
      <c r="R75" s="33">
        <f>IFERROR(INDEX([1]Item!$A:$A,MATCH(Q75,[1]Item!$B:$B,0)),"-")</f>
        <v>23348065</v>
      </c>
      <c r="S75" s="33">
        <v>1</v>
      </c>
      <c r="T75" s="30" t="s">
        <v>2425</v>
      </c>
      <c r="U75" s="33" t="str">
        <f>IFERROR(INDEX([1]Item!$A:$A,MATCH(T75,[1]Item!$B:$B,0)),"-")</f>
        <v>-</v>
      </c>
      <c r="V75" s="33" t="s">
        <v>545</v>
      </c>
      <c r="W75" s="30"/>
      <c r="X75" s="33" t="s">
        <v>545</v>
      </c>
      <c r="Y75" s="33" t="s">
        <v>545</v>
      </c>
    </row>
    <row r="76" spans="1:25">
      <c r="A76" s="29">
        <v>47100068</v>
      </c>
      <c r="B76" s="30" t="s">
        <v>1324</v>
      </c>
      <c r="C76" s="33" t="s">
        <v>910</v>
      </c>
      <c r="D76" s="33" t="s">
        <v>1014</v>
      </c>
      <c r="E76" s="55" t="b">
        <v>1</v>
      </c>
      <c r="F76" s="30">
        <v>4</v>
      </c>
      <c r="G76" s="200">
        <f t="shared" si="1"/>
        <v>16800000</v>
      </c>
      <c r="H76" s="30" t="s">
        <v>475</v>
      </c>
      <c r="I76" s="33">
        <v>100001</v>
      </c>
      <c r="J76" s="50">
        <v>679500</v>
      </c>
      <c r="K76" s="30" t="s">
        <v>475</v>
      </c>
      <c r="L76" s="33">
        <v>100001</v>
      </c>
      <c r="M76" s="50">
        <v>5434000</v>
      </c>
      <c r="N76" s="30"/>
      <c r="O76" s="33" t="s">
        <v>545</v>
      </c>
      <c r="P76" s="33" t="s">
        <v>545</v>
      </c>
      <c r="Q76" s="30" t="s">
        <v>2457</v>
      </c>
      <c r="R76" s="33">
        <f>IFERROR(INDEX([1]Item!$A:$A,MATCH(Q76,[1]Item!$B:$B,0)),"-")</f>
        <v>23348066</v>
      </c>
      <c r="S76" s="33">
        <v>1</v>
      </c>
      <c r="T76" s="30" t="s">
        <v>2530</v>
      </c>
      <c r="U76" s="33">
        <f>IFERROR(INDEX([1]Item!$A:$A,MATCH(T76,[1]Item!$B:$B,0)),"-")</f>
        <v>23347001</v>
      </c>
      <c r="V76" s="33">
        <v>10</v>
      </c>
      <c r="W76" s="30"/>
      <c r="X76" s="33" t="s">
        <v>545</v>
      </c>
      <c r="Y76" s="33" t="s">
        <v>545</v>
      </c>
    </row>
    <row r="77" spans="1:25">
      <c r="A77" s="29">
        <v>47100069</v>
      </c>
      <c r="B77" s="30" t="s">
        <v>378</v>
      </c>
      <c r="C77" s="33" t="s">
        <v>911</v>
      </c>
      <c r="D77" s="33" t="s">
        <v>1015</v>
      </c>
      <c r="E77" s="55" t="b">
        <v>0</v>
      </c>
      <c r="F77" s="30">
        <v>4</v>
      </c>
      <c r="G77" s="200">
        <f t="shared" si="1"/>
        <v>16800000</v>
      </c>
      <c r="H77" s="30" t="s">
        <v>475</v>
      </c>
      <c r="I77" s="33">
        <v>100001</v>
      </c>
      <c r="J77" s="50">
        <v>679500</v>
      </c>
      <c r="K77" s="30" t="s">
        <v>475</v>
      </c>
      <c r="L77" s="33">
        <v>100001</v>
      </c>
      <c r="M77" s="50">
        <v>5434000</v>
      </c>
      <c r="N77" s="30"/>
      <c r="O77" s="33" t="s">
        <v>545</v>
      </c>
      <c r="P77" s="33" t="s">
        <v>545</v>
      </c>
      <c r="Q77" s="30" t="s">
        <v>2507</v>
      </c>
      <c r="R77" s="33">
        <f>IFERROR(INDEX([1]Item!$A:$A,MATCH(Q77,[1]Item!$B:$B,0)),"-")</f>
        <v>23348067</v>
      </c>
      <c r="S77" s="33">
        <v>1</v>
      </c>
      <c r="T77" s="30" t="s">
        <v>2425</v>
      </c>
      <c r="U77" s="33" t="str">
        <f>IFERROR(INDEX([1]Item!$A:$A,MATCH(T77,[1]Item!$B:$B,0)),"-")</f>
        <v>-</v>
      </c>
      <c r="V77" s="33" t="s">
        <v>545</v>
      </c>
      <c r="W77" s="30"/>
      <c r="X77" s="33" t="s">
        <v>545</v>
      </c>
      <c r="Y77" s="33" t="s">
        <v>545</v>
      </c>
    </row>
    <row r="78" spans="1:25">
      <c r="A78" s="29">
        <v>47100070</v>
      </c>
      <c r="B78" s="30" t="s">
        <v>379</v>
      </c>
      <c r="C78" s="33" t="s">
        <v>912</v>
      </c>
      <c r="D78" s="33" t="s">
        <v>1016</v>
      </c>
      <c r="E78" s="55" t="b">
        <v>0</v>
      </c>
      <c r="F78" s="30">
        <v>4</v>
      </c>
      <c r="G78" s="200">
        <f t="shared" si="1"/>
        <v>16800000</v>
      </c>
      <c r="H78" s="30" t="s">
        <v>475</v>
      </c>
      <c r="I78" s="33">
        <v>100001</v>
      </c>
      <c r="J78" s="50">
        <v>679500</v>
      </c>
      <c r="K78" s="30" t="s">
        <v>475</v>
      </c>
      <c r="L78" s="33">
        <v>100001</v>
      </c>
      <c r="M78" s="50">
        <v>5434000</v>
      </c>
      <c r="N78" s="30"/>
      <c r="O78" s="33" t="s">
        <v>545</v>
      </c>
      <c r="P78" s="33" t="s">
        <v>545</v>
      </c>
      <c r="Q78" s="30" t="s">
        <v>2458</v>
      </c>
      <c r="R78" s="33">
        <f>IFERROR(INDEX([1]Item!$A:$A,MATCH(Q78,[1]Item!$B:$B,0)),"-")</f>
        <v>23348068</v>
      </c>
      <c r="S78" s="33">
        <v>1</v>
      </c>
      <c r="T78" s="30" t="s">
        <v>2425</v>
      </c>
      <c r="U78" s="33" t="str">
        <f>IFERROR(INDEX([1]Item!$A:$A,MATCH(T78,[1]Item!$B:$B,0)),"-")</f>
        <v>-</v>
      </c>
      <c r="V78" s="33" t="s">
        <v>545</v>
      </c>
      <c r="W78" s="30"/>
      <c r="X78" s="33" t="s">
        <v>545</v>
      </c>
      <c r="Y78" s="33" t="s">
        <v>545</v>
      </c>
    </row>
    <row r="79" spans="1:25">
      <c r="A79" s="29">
        <v>47100071</v>
      </c>
      <c r="B79" s="30" t="s">
        <v>380</v>
      </c>
      <c r="C79" s="33" t="s">
        <v>913</v>
      </c>
      <c r="D79" s="33" t="s">
        <v>1017</v>
      </c>
      <c r="E79" s="55" t="b">
        <v>0</v>
      </c>
      <c r="F79" s="30">
        <v>4</v>
      </c>
      <c r="G79" s="200">
        <f t="shared" si="1"/>
        <v>16800000</v>
      </c>
      <c r="H79" s="30" t="s">
        <v>475</v>
      </c>
      <c r="I79" s="33">
        <v>100001</v>
      </c>
      <c r="J79" s="50">
        <v>679500</v>
      </c>
      <c r="K79" s="30" t="s">
        <v>475</v>
      </c>
      <c r="L79" s="33">
        <v>100001</v>
      </c>
      <c r="M79" s="50">
        <v>5434000</v>
      </c>
      <c r="N79" s="30"/>
      <c r="O79" s="33" t="s">
        <v>545</v>
      </c>
      <c r="P79" s="33" t="s">
        <v>545</v>
      </c>
      <c r="Q79" s="30" t="s">
        <v>2459</v>
      </c>
      <c r="R79" s="33">
        <f>IFERROR(INDEX([1]Item!$A:$A,MATCH(Q79,[1]Item!$B:$B,0)),"-")</f>
        <v>23348069</v>
      </c>
      <c r="S79" s="33">
        <v>1</v>
      </c>
      <c r="T79" s="30" t="s">
        <v>2425</v>
      </c>
      <c r="U79" s="33" t="str">
        <f>IFERROR(INDEX([1]Item!$A:$A,MATCH(T79,[1]Item!$B:$B,0)),"-")</f>
        <v>-</v>
      </c>
      <c r="V79" s="33" t="s">
        <v>545</v>
      </c>
      <c r="W79" s="30"/>
      <c r="X79" s="33" t="s">
        <v>545</v>
      </c>
      <c r="Y79" s="33" t="s">
        <v>545</v>
      </c>
    </row>
    <row r="80" spans="1:25">
      <c r="A80" s="29">
        <v>47100072</v>
      </c>
      <c r="B80" s="30" t="s">
        <v>381</v>
      </c>
      <c r="C80" s="33" t="s">
        <v>914</v>
      </c>
      <c r="D80" s="33" t="s">
        <v>1018</v>
      </c>
      <c r="E80" s="55" t="b">
        <v>0</v>
      </c>
      <c r="F80" s="30">
        <v>4</v>
      </c>
      <c r="G80" s="200">
        <f t="shared" si="1"/>
        <v>16800000</v>
      </c>
      <c r="H80" s="30" t="s">
        <v>475</v>
      </c>
      <c r="I80" s="33">
        <v>100001</v>
      </c>
      <c r="J80" s="50">
        <v>679500</v>
      </c>
      <c r="K80" s="30" t="s">
        <v>475</v>
      </c>
      <c r="L80" s="33">
        <v>100001</v>
      </c>
      <c r="M80" s="50">
        <v>5434000</v>
      </c>
      <c r="N80" s="30"/>
      <c r="O80" s="33" t="s">
        <v>545</v>
      </c>
      <c r="P80" s="33" t="s">
        <v>545</v>
      </c>
      <c r="Q80" s="30" t="s">
        <v>2460</v>
      </c>
      <c r="R80" s="33">
        <f>IFERROR(INDEX([1]Item!$A:$A,MATCH(Q80,[1]Item!$B:$B,0)),"-")</f>
        <v>23348070</v>
      </c>
      <c r="S80" s="33">
        <v>1</v>
      </c>
      <c r="T80" s="30" t="s">
        <v>2530</v>
      </c>
      <c r="U80" s="33">
        <f>IFERROR(INDEX([1]Item!$A:$A,MATCH(T80,[1]Item!$B:$B,0)),"-")</f>
        <v>23347001</v>
      </c>
      <c r="V80" s="33">
        <v>10</v>
      </c>
      <c r="W80" s="30"/>
      <c r="X80" s="33" t="s">
        <v>545</v>
      </c>
      <c r="Y80" s="33" t="s">
        <v>545</v>
      </c>
    </row>
    <row r="81" spans="1:25">
      <c r="A81" s="29">
        <v>47100073</v>
      </c>
      <c r="B81" s="30" t="s">
        <v>382</v>
      </c>
      <c r="C81" s="33" t="s">
        <v>915</v>
      </c>
      <c r="D81" s="33" t="s">
        <v>1019</v>
      </c>
      <c r="E81" s="55" t="b">
        <v>0</v>
      </c>
      <c r="F81" s="30">
        <v>4</v>
      </c>
      <c r="G81" s="200">
        <f t="shared" si="1"/>
        <v>16800000</v>
      </c>
      <c r="H81" s="30" t="s">
        <v>475</v>
      </c>
      <c r="I81" s="33">
        <v>100001</v>
      </c>
      <c r="J81" s="50">
        <v>679500</v>
      </c>
      <c r="K81" s="30" t="s">
        <v>475</v>
      </c>
      <c r="L81" s="33">
        <v>100001</v>
      </c>
      <c r="M81" s="50">
        <v>5434000</v>
      </c>
      <c r="N81" s="30"/>
      <c r="O81" s="33" t="s">
        <v>545</v>
      </c>
      <c r="P81" s="33" t="s">
        <v>545</v>
      </c>
      <c r="Q81" s="30" t="s">
        <v>2508</v>
      </c>
      <c r="R81" s="33">
        <f>IFERROR(INDEX([1]Item!$A:$A,MATCH(Q81,[1]Item!$B:$B,0)),"-")</f>
        <v>23348071</v>
      </c>
      <c r="S81" s="33">
        <v>1</v>
      </c>
      <c r="T81" s="30" t="s">
        <v>2425</v>
      </c>
      <c r="U81" s="33" t="str">
        <f>IFERROR(INDEX([1]Item!$A:$A,MATCH(T81,[1]Item!$B:$B,0)),"-")</f>
        <v>-</v>
      </c>
      <c r="V81" s="33" t="s">
        <v>545</v>
      </c>
      <c r="W81" s="30"/>
      <c r="X81" s="33" t="s">
        <v>545</v>
      </c>
      <c r="Y81" s="33" t="s">
        <v>545</v>
      </c>
    </row>
    <row r="82" spans="1:25">
      <c r="A82" s="29">
        <v>47100074</v>
      </c>
      <c r="B82" s="30" t="s">
        <v>1325</v>
      </c>
      <c r="C82" s="33" t="s">
        <v>916</v>
      </c>
      <c r="D82" s="33" t="s">
        <v>1020</v>
      </c>
      <c r="E82" s="55" t="b">
        <v>0</v>
      </c>
      <c r="F82" s="30">
        <v>4</v>
      </c>
      <c r="G82" s="200">
        <f t="shared" si="1"/>
        <v>16800000</v>
      </c>
      <c r="H82" s="30" t="s">
        <v>475</v>
      </c>
      <c r="I82" s="33">
        <v>100001</v>
      </c>
      <c r="J82" s="50">
        <v>679500</v>
      </c>
      <c r="K82" s="30" t="s">
        <v>475</v>
      </c>
      <c r="L82" s="33">
        <v>100001</v>
      </c>
      <c r="M82" s="50">
        <v>5434000</v>
      </c>
      <c r="N82" s="30"/>
      <c r="O82" s="33" t="s">
        <v>545</v>
      </c>
      <c r="P82" s="33" t="s">
        <v>545</v>
      </c>
      <c r="Q82" s="30" t="s">
        <v>2461</v>
      </c>
      <c r="R82" s="33">
        <f>IFERROR(INDEX([1]Item!$A:$A,MATCH(Q82,[1]Item!$B:$B,0)),"-")</f>
        <v>23348072</v>
      </c>
      <c r="S82" s="33">
        <v>1</v>
      </c>
      <c r="T82" s="30" t="s">
        <v>2425</v>
      </c>
      <c r="U82" s="33" t="str">
        <f>IFERROR(INDEX([1]Item!$A:$A,MATCH(T82,[1]Item!$B:$B,0)),"-")</f>
        <v>-</v>
      </c>
      <c r="V82" s="33" t="s">
        <v>545</v>
      </c>
      <c r="W82" s="30"/>
      <c r="X82" s="33" t="s">
        <v>545</v>
      </c>
      <c r="Y82" s="33" t="s">
        <v>545</v>
      </c>
    </row>
    <row r="83" spans="1:25">
      <c r="A83" s="29">
        <v>47100075</v>
      </c>
      <c r="B83" s="30" t="s">
        <v>383</v>
      </c>
      <c r="C83" s="33" t="s">
        <v>917</v>
      </c>
      <c r="D83" s="33" t="s">
        <v>1021</v>
      </c>
      <c r="E83" s="55" t="b">
        <v>0</v>
      </c>
      <c r="F83" s="30">
        <v>4</v>
      </c>
      <c r="G83" s="200">
        <f t="shared" si="1"/>
        <v>16800000</v>
      </c>
      <c r="H83" s="30" t="s">
        <v>475</v>
      </c>
      <c r="I83" s="33">
        <v>100001</v>
      </c>
      <c r="J83" s="50">
        <v>679500</v>
      </c>
      <c r="K83" s="30" t="s">
        <v>475</v>
      </c>
      <c r="L83" s="33">
        <v>100001</v>
      </c>
      <c r="M83" s="50">
        <v>5434000</v>
      </c>
      <c r="N83" s="30"/>
      <c r="O83" s="33" t="s">
        <v>545</v>
      </c>
      <c r="P83" s="33" t="s">
        <v>545</v>
      </c>
      <c r="Q83" s="30" t="s">
        <v>2462</v>
      </c>
      <c r="R83" s="33">
        <f>IFERROR(INDEX([1]Item!$A:$A,MATCH(Q83,[1]Item!$B:$B,0)),"-")</f>
        <v>23348073</v>
      </c>
      <c r="S83" s="33">
        <v>1</v>
      </c>
      <c r="T83" s="30" t="s">
        <v>2530</v>
      </c>
      <c r="U83" s="33">
        <f>IFERROR(INDEX([1]Item!$A:$A,MATCH(T83,[1]Item!$B:$B,0)),"-")</f>
        <v>23347001</v>
      </c>
      <c r="V83" s="33">
        <v>10</v>
      </c>
      <c r="W83" s="30"/>
      <c r="X83" s="33" t="s">
        <v>545</v>
      </c>
      <c r="Y83" s="33" t="s">
        <v>545</v>
      </c>
    </row>
    <row r="84" spans="1:25">
      <c r="A84" s="29">
        <v>47100076</v>
      </c>
      <c r="B84" s="30" t="s">
        <v>384</v>
      </c>
      <c r="C84" s="33" t="s">
        <v>918</v>
      </c>
      <c r="D84" s="33" t="s">
        <v>1022</v>
      </c>
      <c r="E84" s="55" t="b">
        <v>0</v>
      </c>
      <c r="F84" s="30">
        <v>4</v>
      </c>
      <c r="G84" s="200">
        <f t="shared" si="1"/>
        <v>16800000</v>
      </c>
      <c r="H84" s="30" t="s">
        <v>475</v>
      </c>
      <c r="I84" s="33">
        <v>100001</v>
      </c>
      <c r="J84" s="50">
        <v>679500</v>
      </c>
      <c r="K84" s="30" t="s">
        <v>475</v>
      </c>
      <c r="L84" s="33">
        <v>100001</v>
      </c>
      <c r="M84" s="50">
        <v>5434000</v>
      </c>
      <c r="N84" s="30"/>
      <c r="O84" s="33" t="s">
        <v>545</v>
      </c>
      <c r="P84" s="33" t="s">
        <v>545</v>
      </c>
      <c r="Q84" s="30" t="s">
        <v>2641</v>
      </c>
      <c r="R84" s="33">
        <f>IFERROR(INDEX([1]Item!$A:$A,MATCH(Q84,[1]Item!$B:$B,0)),"-")</f>
        <v>23348074</v>
      </c>
      <c r="S84" s="33">
        <v>1</v>
      </c>
      <c r="T84" s="30" t="s">
        <v>2425</v>
      </c>
      <c r="U84" s="33" t="str">
        <f>IFERROR(INDEX([1]Item!$A:$A,MATCH(T84,[1]Item!$B:$B,0)),"-")</f>
        <v>-</v>
      </c>
      <c r="V84" s="33" t="s">
        <v>545</v>
      </c>
      <c r="W84" s="30"/>
      <c r="X84" s="33" t="s">
        <v>545</v>
      </c>
      <c r="Y84" s="33" t="s">
        <v>545</v>
      </c>
    </row>
    <row r="85" spans="1:25">
      <c r="A85" s="29">
        <v>47100077</v>
      </c>
      <c r="B85" s="30" t="s">
        <v>385</v>
      </c>
      <c r="C85" s="33" t="s">
        <v>919</v>
      </c>
      <c r="D85" s="33" t="s">
        <v>1023</v>
      </c>
      <c r="E85" s="55" t="b">
        <v>1</v>
      </c>
      <c r="F85" s="30">
        <v>4</v>
      </c>
      <c r="G85" s="200">
        <f t="shared" si="1"/>
        <v>16800000</v>
      </c>
      <c r="H85" s="30" t="s">
        <v>475</v>
      </c>
      <c r="I85" s="33">
        <v>100001</v>
      </c>
      <c r="J85" s="50">
        <v>679500</v>
      </c>
      <c r="K85" s="30" t="s">
        <v>475</v>
      </c>
      <c r="L85" s="33">
        <v>100001</v>
      </c>
      <c r="M85" s="50">
        <v>5434000</v>
      </c>
      <c r="N85" s="30"/>
      <c r="O85" s="33" t="s">
        <v>545</v>
      </c>
      <c r="P85" s="33" t="s">
        <v>545</v>
      </c>
      <c r="Q85" s="30" t="s">
        <v>2463</v>
      </c>
      <c r="R85" s="33">
        <f>IFERROR(INDEX([1]Item!$A:$A,MATCH(Q85,[1]Item!$B:$B,0)),"-")</f>
        <v>23348075</v>
      </c>
      <c r="S85" s="33">
        <v>1</v>
      </c>
      <c r="T85" s="30" t="s">
        <v>2530</v>
      </c>
      <c r="U85" s="33">
        <f>IFERROR(INDEX([1]Item!$A:$A,MATCH(T85,[1]Item!$B:$B,0)),"-")</f>
        <v>23347001</v>
      </c>
      <c r="V85" s="33">
        <v>10</v>
      </c>
      <c r="W85" s="30"/>
      <c r="X85" s="33" t="s">
        <v>545</v>
      </c>
      <c r="Y85" s="33" t="s">
        <v>545</v>
      </c>
    </row>
    <row r="86" spans="1:25">
      <c r="A86" s="29">
        <v>47100078</v>
      </c>
      <c r="B86" s="30" t="s">
        <v>386</v>
      </c>
      <c r="C86" s="33" t="s">
        <v>920</v>
      </c>
      <c r="D86" s="33" t="s">
        <v>1024</v>
      </c>
      <c r="E86" s="55" t="b">
        <v>0</v>
      </c>
      <c r="F86" s="30">
        <v>4</v>
      </c>
      <c r="G86" s="200">
        <f t="shared" si="1"/>
        <v>16800000</v>
      </c>
      <c r="H86" s="30" t="s">
        <v>475</v>
      </c>
      <c r="I86" s="33">
        <v>100001</v>
      </c>
      <c r="J86" s="50">
        <v>679500</v>
      </c>
      <c r="K86" s="30" t="s">
        <v>475</v>
      </c>
      <c r="L86" s="33">
        <v>100001</v>
      </c>
      <c r="M86" s="50">
        <v>5434000</v>
      </c>
      <c r="N86" s="30"/>
      <c r="O86" s="33" t="s">
        <v>545</v>
      </c>
      <c r="P86" s="33" t="s">
        <v>545</v>
      </c>
      <c r="Q86" s="30" t="s">
        <v>2509</v>
      </c>
      <c r="R86" s="33">
        <f>IFERROR(INDEX([1]Item!$A:$A,MATCH(Q86,[1]Item!$B:$B,0)),"-")</f>
        <v>23348076</v>
      </c>
      <c r="S86" s="33">
        <v>1</v>
      </c>
      <c r="T86" s="30" t="s">
        <v>2425</v>
      </c>
      <c r="U86" s="33" t="str">
        <f>IFERROR(INDEX([1]Item!$A:$A,MATCH(T86,[1]Item!$B:$B,0)),"-")</f>
        <v>-</v>
      </c>
      <c r="V86" s="33" t="s">
        <v>545</v>
      </c>
      <c r="W86" s="30"/>
      <c r="X86" s="33" t="s">
        <v>545</v>
      </c>
      <c r="Y86" s="33" t="s">
        <v>545</v>
      </c>
    </row>
    <row r="87" spans="1:25">
      <c r="A87" s="29">
        <v>47100080</v>
      </c>
      <c r="B87" s="30" t="s">
        <v>1326</v>
      </c>
      <c r="C87" s="33" t="s">
        <v>921</v>
      </c>
      <c r="D87" s="33" t="s">
        <v>1025</v>
      </c>
      <c r="E87" s="55" t="b">
        <v>1</v>
      </c>
      <c r="F87" s="30">
        <v>4</v>
      </c>
      <c r="G87" s="200">
        <f t="shared" si="1"/>
        <v>16800000</v>
      </c>
      <c r="H87" s="30" t="s">
        <v>475</v>
      </c>
      <c r="I87" s="33">
        <v>100001</v>
      </c>
      <c r="J87" s="50">
        <v>679500</v>
      </c>
      <c r="K87" s="30" t="s">
        <v>475</v>
      </c>
      <c r="L87" s="33">
        <v>100001</v>
      </c>
      <c r="M87" s="50">
        <v>5434000</v>
      </c>
      <c r="N87" s="30"/>
      <c r="O87" s="33" t="s">
        <v>545</v>
      </c>
      <c r="P87" s="33" t="s">
        <v>545</v>
      </c>
      <c r="Q87" s="30" t="s">
        <v>2464</v>
      </c>
      <c r="R87" s="33">
        <f>IFERROR(INDEX([1]Item!$A:$A,MATCH(Q87,[1]Item!$B:$B,0)),"-")</f>
        <v>23348077</v>
      </c>
      <c r="S87" s="33">
        <v>1</v>
      </c>
      <c r="T87" s="30" t="s">
        <v>2425</v>
      </c>
      <c r="U87" s="33" t="str">
        <f>IFERROR(INDEX([1]Item!$A:$A,MATCH(T87,[1]Item!$B:$B,0)),"-")</f>
        <v>-</v>
      </c>
      <c r="V87" s="33" t="s">
        <v>545</v>
      </c>
      <c r="W87" s="30"/>
      <c r="X87" s="33" t="s">
        <v>545</v>
      </c>
      <c r="Y87" s="33" t="s">
        <v>545</v>
      </c>
    </row>
    <row r="88" spans="1:25">
      <c r="A88" s="29">
        <v>47100081</v>
      </c>
      <c r="B88" s="30" t="s">
        <v>1327</v>
      </c>
      <c r="C88" s="33" t="s">
        <v>922</v>
      </c>
      <c r="D88" s="33" t="s">
        <v>1026</v>
      </c>
      <c r="E88" s="55" t="b">
        <v>1</v>
      </c>
      <c r="F88" s="30">
        <v>4</v>
      </c>
      <c r="G88" s="200">
        <f t="shared" si="1"/>
        <v>16800000</v>
      </c>
      <c r="H88" s="30" t="s">
        <v>475</v>
      </c>
      <c r="I88" s="33">
        <v>100001</v>
      </c>
      <c r="J88" s="50">
        <v>679500</v>
      </c>
      <c r="K88" s="30" t="s">
        <v>475</v>
      </c>
      <c r="L88" s="33">
        <v>100001</v>
      </c>
      <c r="M88" s="50">
        <v>5434000</v>
      </c>
      <c r="N88" s="30"/>
      <c r="O88" s="33" t="s">
        <v>545</v>
      </c>
      <c r="P88" s="33" t="s">
        <v>545</v>
      </c>
      <c r="Q88" s="30" t="s">
        <v>2465</v>
      </c>
      <c r="R88" s="33">
        <f>IFERROR(INDEX([1]Item!$A:$A,MATCH(Q88,[1]Item!$B:$B,0)),"-")</f>
        <v>23348078</v>
      </c>
      <c r="S88" s="33">
        <v>1</v>
      </c>
      <c r="T88" s="30" t="s">
        <v>2530</v>
      </c>
      <c r="U88" s="33">
        <f>IFERROR(INDEX([1]Item!$A:$A,MATCH(T88,[1]Item!$B:$B,0)),"-")</f>
        <v>23347001</v>
      </c>
      <c r="V88" s="33">
        <v>10</v>
      </c>
      <c r="W88" s="30"/>
      <c r="X88" s="33" t="s">
        <v>545</v>
      </c>
      <c r="Y88" s="33" t="s">
        <v>545</v>
      </c>
    </row>
    <row r="89" spans="1:25">
      <c r="A89" s="29">
        <v>47100082</v>
      </c>
      <c r="B89" s="30" t="s">
        <v>387</v>
      </c>
      <c r="C89" s="33" t="s">
        <v>923</v>
      </c>
      <c r="D89" s="33" t="s">
        <v>1027</v>
      </c>
      <c r="E89" s="55" t="b">
        <v>0</v>
      </c>
      <c r="F89" s="30">
        <v>4</v>
      </c>
      <c r="G89" s="200">
        <f t="shared" si="1"/>
        <v>16800000</v>
      </c>
      <c r="H89" s="30" t="s">
        <v>475</v>
      </c>
      <c r="I89" s="33">
        <v>100001</v>
      </c>
      <c r="J89" s="50">
        <v>679500</v>
      </c>
      <c r="K89" s="30" t="s">
        <v>475</v>
      </c>
      <c r="L89" s="33">
        <v>100001</v>
      </c>
      <c r="M89" s="50">
        <v>5434000</v>
      </c>
      <c r="N89" s="30"/>
      <c r="O89" s="33" t="s">
        <v>545</v>
      </c>
      <c r="P89" s="33" t="s">
        <v>545</v>
      </c>
      <c r="Q89" s="30" t="s">
        <v>2510</v>
      </c>
      <c r="R89" s="33">
        <f>IFERROR(INDEX([1]Item!$A:$A,MATCH(Q89,[1]Item!$B:$B,0)),"-")</f>
        <v>23348079</v>
      </c>
      <c r="S89" s="33">
        <v>1</v>
      </c>
      <c r="T89" s="30" t="s">
        <v>2530</v>
      </c>
      <c r="U89" s="33">
        <f>IFERROR(INDEX([1]Item!$A:$A,MATCH(T89,[1]Item!$B:$B,0)),"-")</f>
        <v>23347001</v>
      </c>
      <c r="V89" s="33">
        <v>10</v>
      </c>
      <c r="W89" s="30"/>
      <c r="X89" s="33" t="s">
        <v>545</v>
      </c>
      <c r="Y89" s="33" t="s">
        <v>545</v>
      </c>
    </row>
    <row r="90" spans="1:25">
      <c r="A90" s="29">
        <v>47100083</v>
      </c>
      <c r="B90" s="30" t="s">
        <v>388</v>
      </c>
      <c r="C90" s="33" t="s">
        <v>924</v>
      </c>
      <c r="D90" s="33" t="s">
        <v>1028</v>
      </c>
      <c r="E90" s="55" t="b">
        <v>0</v>
      </c>
      <c r="F90" s="30">
        <v>4</v>
      </c>
      <c r="G90" s="200">
        <f t="shared" si="1"/>
        <v>16800000</v>
      </c>
      <c r="H90" s="30" t="s">
        <v>475</v>
      </c>
      <c r="I90" s="33">
        <v>100001</v>
      </c>
      <c r="J90" s="50">
        <v>679500</v>
      </c>
      <c r="K90" s="30" t="s">
        <v>475</v>
      </c>
      <c r="L90" s="33">
        <v>100001</v>
      </c>
      <c r="M90" s="50">
        <v>5434000</v>
      </c>
      <c r="N90" s="30"/>
      <c r="O90" s="33" t="s">
        <v>545</v>
      </c>
      <c r="P90" s="33" t="s">
        <v>545</v>
      </c>
      <c r="Q90" s="30" t="s">
        <v>2511</v>
      </c>
      <c r="R90" s="33">
        <f>IFERROR(INDEX([1]Item!$A:$A,MATCH(Q90,[1]Item!$B:$B,0)),"-")</f>
        <v>23348080</v>
      </c>
      <c r="S90" s="33">
        <v>1</v>
      </c>
      <c r="T90" s="30" t="s">
        <v>2425</v>
      </c>
      <c r="U90" s="33" t="str">
        <f>IFERROR(INDEX([1]Item!$A:$A,MATCH(T90,[1]Item!$B:$B,0)),"-")</f>
        <v>-</v>
      </c>
      <c r="V90" s="33" t="s">
        <v>545</v>
      </c>
      <c r="W90" s="30"/>
      <c r="X90" s="33" t="s">
        <v>545</v>
      </c>
      <c r="Y90" s="33" t="s">
        <v>545</v>
      </c>
    </row>
    <row r="91" spans="1:25">
      <c r="A91" s="29">
        <v>47100084</v>
      </c>
      <c r="B91" s="30" t="s">
        <v>1328</v>
      </c>
      <c r="C91" s="33" t="s">
        <v>925</v>
      </c>
      <c r="D91" s="33" t="s">
        <v>1029</v>
      </c>
      <c r="E91" s="55" t="b">
        <v>0</v>
      </c>
      <c r="F91" s="30">
        <v>4</v>
      </c>
      <c r="G91" s="200">
        <f t="shared" si="1"/>
        <v>16800000</v>
      </c>
      <c r="H91" s="30" t="s">
        <v>475</v>
      </c>
      <c r="I91" s="33">
        <v>100001</v>
      </c>
      <c r="J91" s="50">
        <v>679500</v>
      </c>
      <c r="K91" s="30" t="s">
        <v>475</v>
      </c>
      <c r="L91" s="33">
        <v>100001</v>
      </c>
      <c r="M91" s="50">
        <v>5434000</v>
      </c>
      <c r="N91" s="30"/>
      <c r="O91" s="33" t="s">
        <v>545</v>
      </c>
      <c r="P91" s="33" t="s">
        <v>545</v>
      </c>
      <c r="Q91" s="30" t="s">
        <v>2466</v>
      </c>
      <c r="R91" s="33">
        <f>IFERROR(INDEX([1]Item!$A:$A,MATCH(Q91,[1]Item!$B:$B,0)),"-")</f>
        <v>23348081</v>
      </c>
      <c r="S91" s="33">
        <v>1</v>
      </c>
      <c r="T91" s="30" t="s">
        <v>2528</v>
      </c>
      <c r="U91" s="33">
        <f>IFERROR(INDEX([1]Item!$A:$A,MATCH(T91,[1]Item!$B:$B,0)),"-")</f>
        <v>23347003</v>
      </c>
      <c r="V91" s="33">
        <v>10</v>
      </c>
      <c r="W91" s="30"/>
      <c r="X91" s="33" t="s">
        <v>545</v>
      </c>
      <c r="Y91" s="33" t="s">
        <v>545</v>
      </c>
    </row>
    <row r="92" spans="1:25">
      <c r="A92" s="29">
        <v>47100085</v>
      </c>
      <c r="B92" s="30" t="s">
        <v>1329</v>
      </c>
      <c r="C92" s="33" t="s">
        <v>926</v>
      </c>
      <c r="D92" s="33" t="s">
        <v>1030</v>
      </c>
      <c r="E92" s="55" t="b">
        <v>1</v>
      </c>
      <c r="F92" s="30">
        <v>2</v>
      </c>
      <c r="G92" s="200">
        <f t="shared" si="1"/>
        <v>1050000</v>
      </c>
      <c r="H92" s="30" t="s">
        <v>475</v>
      </c>
      <c r="I92" s="33">
        <v>100001</v>
      </c>
      <c r="J92" s="50">
        <v>20000</v>
      </c>
      <c r="K92" s="30" t="s">
        <v>475</v>
      </c>
      <c r="L92" s="33">
        <v>100001</v>
      </c>
      <c r="M92" s="50">
        <v>157500</v>
      </c>
      <c r="N92" s="30"/>
      <c r="O92" s="33" t="s">
        <v>545</v>
      </c>
      <c r="P92" s="33" t="s">
        <v>545</v>
      </c>
      <c r="Q92" s="30" t="s">
        <v>2512</v>
      </c>
      <c r="R92" s="33">
        <f>IFERROR(INDEX([1]Item!$A:$A,MATCH(Q92,[1]Item!$B:$B,0)),"-")</f>
        <v>23348082</v>
      </c>
      <c r="S92" s="33">
        <v>1</v>
      </c>
      <c r="T92" s="30" t="s">
        <v>2528</v>
      </c>
      <c r="U92" s="33">
        <f>IFERROR(INDEX([1]Item!$A:$A,MATCH(T92,[1]Item!$B:$B,0)),"-")</f>
        <v>23347003</v>
      </c>
      <c r="V92" s="33">
        <v>10</v>
      </c>
      <c r="W92" s="30"/>
      <c r="X92" s="33" t="s">
        <v>545</v>
      </c>
      <c r="Y92" s="33" t="s">
        <v>545</v>
      </c>
    </row>
    <row r="93" spans="1:25">
      <c r="A93" s="29">
        <v>47100086</v>
      </c>
      <c r="B93" s="30" t="s">
        <v>1330</v>
      </c>
      <c r="C93" s="33" t="s">
        <v>927</v>
      </c>
      <c r="D93" s="33" t="s">
        <v>1031</v>
      </c>
      <c r="E93" s="55" t="b">
        <v>1</v>
      </c>
      <c r="F93" s="30">
        <v>2</v>
      </c>
      <c r="G93" s="200">
        <f t="shared" si="1"/>
        <v>1050000</v>
      </c>
      <c r="H93" s="30" t="s">
        <v>475</v>
      </c>
      <c r="I93" s="33">
        <v>100001</v>
      </c>
      <c r="J93" s="50">
        <v>20000</v>
      </c>
      <c r="K93" s="30" t="s">
        <v>475</v>
      </c>
      <c r="L93" s="33">
        <v>100001</v>
      </c>
      <c r="M93" s="50">
        <v>157500</v>
      </c>
      <c r="N93" s="30"/>
      <c r="O93" s="33" t="s">
        <v>545</v>
      </c>
      <c r="P93" s="33" t="s">
        <v>545</v>
      </c>
      <c r="Q93" s="30" t="s">
        <v>2513</v>
      </c>
      <c r="R93" s="33">
        <f>IFERROR(INDEX([1]Item!$A:$A,MATCH(Q93,[1]Item!$B:$B,0)),"-")</f>
        <v>23348083</v>
      </c>
      <c r="S93" s="33">
        <v>1</v>
      </c>
      <c r="T93" s="30" t="s">
        <v>2425</v>
      </c>
      <c r="U93" s="33" t="str">
        <f>IFERROR(INDEX([1]Item!$A:$A,MATCH(T93,[1]Item!$B:$B,0)),"-")</f>
        <v>-</v>
      </c>
      <c r="V93" s="33" t="s">
        <v>545</v>
      </c>
      <c r="W93" s="30"/>
      <c r="X93" s="33" t="s">
        <v>545</v>
      </c>
      <c r="Y93" s="33" t="s">
        <v>545</v>
      </c>
    </row>
    <row r="94" spans="1:25">
      <c r="A94" s="29">
        <v>47100087</v>
      </c>
      <c r="B94" s="30" t="s">
        <v>1331</v>
      </c>
      <c r="C94" s="33" t="s">
        <v>928</v>
      </c>
      <c r="D94" s="33" t="s">
        <v>1032</v>
      </c>
      <c r="E94" s="55" t="b">
        <v>1</v>
      </c>
      <c r="F94" s="30">
        <v>3</v>
      </c>
      <c r="G94" s="200">
        <f t="shared" si="1"/>
        <v>3850000</v>
      </c>
      <c r="H94" s="30" t="s">
        <v>475</v>
      </c>
      <c r="I94" s="33">
        <v>100001</v>
      </c>
      <c r="J94" s="50">
        <v>126500</v>
      </c>
      <c r="K94" s="30" t="s">
        <v>475</v>
      </c>
      <c r="L94" s="33">
        <v>100001</v>
      </c>
      <c r="M94" s="50">
        <v>1009500</v>
      </c>
      <c r="N94" s="30"/>
      <c r="O94" s="33" t="s">
        <v>545</v>
      </c>
      <c r="P94" s="33" t="s">
        <v>545</v>
      </c>
      <c r="Q94" s="30" t="s">
        <v>2467</v>
      </c>
      <c r="R94" s="33">
        <f>IFERROR(INDEX([1]Item!$A:$A,MATCH(Q94,[1]Item!$B:$B,0)),"-")</f>
        <v>23348084</v>
      </c>
      <c r="S94" s="33">
        <v>1</v>
      </c>
      <c r="T94" s="30" t="s">
        <v>2425</v>
      </c>
      <c r="U94" s="33" t="str">
        <f>IFERROR(INDEX([1]Item!$A:$A,MATCH(T94,[1]Item!$B:$B,0)),"-")</f>
        <v>-</v>
      </c>
      <c r="V94" s="33" t="s">
        <v>545</v>
      </c>
      <c r="W94" s="30"/>
      <c r="X94" s="33" t="s">
        <v>545</v>
      </c>
      <c r="Y94" s="33" t="s">
        <v>545</v>
      </c>
    </row>
    <row r="95" spans="1:25">
      <c r="A95" s="29">
        <v>47100088</v>
      </c>
      <c r="B95" s="30" t="s">
        <v>1332</v>
      </c>
      <c r="C95" s="33" t="s">
        <v>929</v>
      </c>
      <c r="D95" s="33" t="s">
        <v>1033</v>
      </c>
      <c r="E95" s="55" t="b">
        <v>1</v>
      </c>
      <c r="F95" s="30">
        <v>3</v>
      </c>
      <c r="G95" s="200">
        <f t="shared" si="1"/>
        <v>3850000</v>
      </c>
      <c r="H95" s="30" t="s">
        <v>475</v>
      </c>
      <c r="I95" s="33">
        <v>100001</v>
      </c>
      <c r="J95" s="50">
        <v>126500</v>
      </c>
      <c r="K95" s="30" t="s">
        <v>475</v>
      </c>
      <c r="L95" s="33">
        <v>100001</v>
      </c>
      <c r="M95" s="50">
        <v>1009500</v>
      </c>
      <c r="N95" s="30"/>
      <c r="O95" s="33" t="s">
        <v>545</v>
      </c>
      <c r="P95" s="33" t="s">
        <v>545</v>
      </c>
      <c r="Q95" s="30" t="s">
        <v>2468</v>
      </c>
      <c r="R95" s="33">
        <f>IFERROR(INDEX([1]Item!$A:$A,MATCH(Q95,[1]Item!$B:$B,0)),"-")</f>
        <v>23348085</v>
      </c>
      <c r="S95" s="33">
        <v>1</v>
      </c>
      <c r="T95" s="30" t="s">
        <v>2425</v>
      </c>
      <c r="U95" s="33" t="str">
        <f>IFERROR(INDEX([1]Item!$A:$A,MATCH(T95,[1]Item!$B:$B,0)),"-")</f>
        <v>-</v>
      </c>
      <c r="V95" s="33" t="s">
        <v>545</v>
      </c>
      <c r="W95" s="30"/>
      <c r="X95" s="33" t="s">
        <v>545</v>
      </c>
      <c r="Y95" s="33" t="s">
        <v>545</v>
      </c>
    </row>
    <row r="96" spans="1:25">
      <c r="A96" s="29">
        <v>47100089</v>
      </c>
      <c r="B96" s="30" t="s">
        <v>1333</v>
      </c>
      <c r="C96" s="33" t="s">
        <v>930</v>
      </c>
      <c r="D96" s="33" t="s">
        <v>1034</v>
      </c>
      <c r="E96" s="55" t="b">
        <v>1</v>
      </c>
      <c r="F96" s="30">
        <v>3</v>
      </c>
      <c r="G96" s="200">
        <f t="shared" si="1"/>
        <v>3850000</v>
      </c>
      <c r="H96" s="30" t="s">
        <v>475</v>
      </c>
      <c r="I96" s="33">
        <v>100001</v>
      </c>
      <c r="J96" s="50">
        <v>126500</v>
      </c>
      <c r="K96" s="30" t="s">
        <v>475</v>
      </c>
      <c r="L96" s="33">
        <v>100001</v>
      </c>
      <c r="M96" s="50">
        <v>1009500</v>
      </c>
      <c r="N96" s="30"/>
      <c r="O96" s="33" t="s">
        <v>545</v>
      </c>
      <c r="P96" s="33" t="s">
        <v>545</v>
      </c>
      <c r="Q96" s="30" t="s">
        <v>2469</v>
      </c>
      <c r="R96" s="33">
        <f>IFERROR(INDEX([1]Item!$A:$A,MATCH(Q96,[1]Item!$B:$B,0)),"-")</f>
        <v>23348086</v>
      </c>
      <c r="S96" s="33">
        <v>1</v>
      </c>
      <c r="T96" s="30" t="s">
        <v>2425</v>
      </c>
      <c r="U96" s="33" t="str">
        <f>IFERROR(INDEX([1]Item!$A:$A,MATCH(T96,[1]Item!$B:$B,0)),"-")</f>
        <v>-</v>
      </c>
      <c r="V96" s="33" t="s">
        <v>545</v>
      </c>
      <c r="W96" s="30"/>
      <c r="X96" s="33" t="s">
        <v>545</v>
      </c>
      <c r="Y96" s="33" t="s">
        <v>545</v>
      </c>
    </row>
    <row r="97" spans="1:25">
      <c r="A97" s="29">
        <v>47100090</v>
      </c>
      <c r="B97" s="30" t="s">
        <v>1334</v>
      </c>
      <c r="C97" s="33" t="s">
        <v>931</v>
      </c>
      <c r="D97" s="33" t="s">
        <v>1035</v>
      </c>
      <c r="E97" s="55" t="b">
        <v>1</v>
      </c>
      <c r="F97" s="30">
        <v>3</v>
      </c>
      <c r="G97" s="200">
        <f t="shared" si="1"/>
        <v>3850000</v>
      </c>
      <c r="H97" s="30" t="s">
        <v>475</v>
      </c>
      <c r="I97" s="33">
        <v>100001</v>
      </c>
      <c r="J97" s="50">
        <v>126500</v>
      </c>
      <c r="K97" s="30" t="s">
        <v>475</v>
      </c>
      <c r="L97" s="33">
        <v>100001</v>
      </c>
      <c r="M97" s="50">
        <v>1009500</v>
      </c>
      <c r="N97" s="30"/>
      <c r="O97" s="33" t="s">
        <v>545</v>
      </c>
      <c r="P97" s="33" t="s">
        <v>545</v>
      </c>
      <c r="Q97" s="30" t="s">
        <v>2470</v>
      </c>
      <c r="R97" s="33">
        <f>IFERROR(INDEX([1]Item!$A:$A,MATCH(Q97,[1]Item!$B:$B,0)),"-")</f>
        <v>23348087</v>
      </c>
      <c r="S97" s="33">
        <v>1</v>
      </c>
      <c r="T97" s="30" t="s">
        <v>2425</v>
      </c>
      <c r="U97" s="33" t="str">
        <f>IFERROR(INDEX([1]Item!$A:$A,MATCH(T97,[1]Item!$B:$B,0)),"-")</f>
        <v>-</v>
      </c>
      <c r="V97" s="33" t="s">
        <v>545</v>
      </c>
      <c r="W97" s="30"/>
      <c r="X97" s="33" t="s">
        <v>545</v>
      </c>
      <c r="Y97" s="33" t="s">
        <v>545</v>
      </c>
    </row>
    <row r="98" spans="1:25">
      <c r="A98" s="29">
        <v>47100091</v>
      </c>
      <c r="B98" s="30" t="s">
        <v>1335</v>
      </c>
      <c r="C98" s="33" t="s">
        <v>932</v>
      </c>
      <c r="D98" s="33" t="s">
        <v>1036</v>
      </c>
      <c r="E98" s="55" t="b">
        <v>1</v>
      </c>
      <c r="F98" s="30">
        <v>4</v>
      </c>
      <c r="G98" s="200">
        <f t="shared" si="1"/>
        <v>16800000</v>
      </c>
      <c r="H98" s="30" t="s">
        <v>475</v>
      </c>
      <c r="I98" s="33">
        <v>100001</v>
      </c>
      <c r="J98" s="50">
        <v>679500</v>
      </c>
      <c r="K98" s="30" t="s">
        <v>475</v>
      </c>
      <c r="L98" s="33">
        <v>100001</v>
      </c>
      <c r="M98" s="50">
        <v>5434000</v>
      </c>
      <c r="N98" s="30"/>
      <c r="O98" s="33" t="s">
        <v>545</v>
      </c>
      <c r="P98" s="33" t="s">
        <v>545</v>
      </c>
      <c r="Q98" s="30" t="s">
        <v>2471</v>
      </c>
      <c r="R98" s="33">
        <f>IFERROR(INDEX([1]Item!$A:$A,MATCH(Q98,[1]Item!$B:$B,0)),"-")</f>
        <v>23348088</v>
      </c>
      <c r="S98" s="33">
        <v>1</v>
      </c>
      <c r="T98" s="30" t="s">
        <v>2529</v>
      </c>
      <c r="U98" s="33">
        <f>IFERROR(INDEX([1]Item!$A:$A,MATCH(T98,[1]Item!$B:$B,0)),"-")</f>
        <v>23347004</v>
      </c>
      <c r="V98" s="33">
        <v>10</v>
      </c>
      <c r="W98" s="30"/>
      <c r="X98" s="33" t="s">
        <v>545</v>
      </c>
      <c r="Y98" s="33" t="s">
        <v>545</v>
      </c>
    </row>
    <row r="99" spans="1:25">
      <c r="A99" s="29">
        <v>47100092</v>
      </c>
      <c r="B99" s="30" t="s">
        <v>1336</v>
      </c>
      <c r="C99" s="33" t="s">
        <v>933</v>
      </c>
      <c r="D99" s="33" t="s">
        <v>1037</v>
      </c>
      <c r="E99" s="55" t="b">
        <v>1</v>
      </c>
      <c r="F99" s="30">
        <v>1</v>
      </c>
      <c r="G99" s="200">
        <f t="shared" si="1"/>
        <v>350000</v>
      </c>
      <c r="H99" s="30" t="s">
        <v>475</v>
      </c>
      <c r="I99" s="33">
        <v>100001</v>
      </c>
      <c r="J99" s="50">
        <v>2500</v>
      </c>
      <c r="K99" s="30" t="s">
        <v>475</v>
      </c>
      <c r="L99" s="33">
        <v>100001</v>
      </c>
      <c r="M99" s="50">
        <v>19500</v>
      </c>
      <c r="N99" s="30"/>
      <c r="O99" s="33" t="s">
        <v>545</v>
      </c>
      <c r="P99" s="33" t="s">
        <v>545</v>
      </c>
      <c r="Q99" s="30" t="s">
        <v>2514</v>
      </c>
      <c r="R99" s="33">
        <f>IFERROR(INDEX([1]Item!$A:$A,MATCH(Q99,[1]Item!$B:$B,0)),"-")</f>
        <v>23348089</v>
      </c>
      <c r="S99" s="33">
        <v>1</v>
      </c>
      <c r="T99" s="30" t="s">
        <v>2528</v>
      </c>
      <c r="U99" s="33">
        <f>IFERROR(INDEX([1]Item!$A:$A,MATCH(T99,[1]Item!$B:$B,0)),"-")</f>
        <v>23347003</v>
      </c>
      <c r="V99" s="33">
        <v>10</v>
      </c>
      <c r="W99" s="30"/>
      <c r="X99" s="33" t="s">
        <v>545</v>
      </c>
      <c r="Y99" s="33" t="s">
        <v>545</v>
      </c>
    </row>
    <row r="100" spans="1:25">
      <c r="A100" s="29">
        <v>47100093</v>
      </c>
      <c r="B100" s="30" t="s">
        <v>1337</v>
      </c>
      <c r="C100" s="33" t="s">
        <v>934</v>
      </c>
      <c r="D100" s="33" t="s">
        <v>1038</v>
      </c>
      <c r="E100" s="55" t="b">
        <v>1</v>
      </c>
      <c r="F100" s="30">
        <v>2</v>
      </c>
      <c r="G100" s="200">
        <f t="shared" si="1"/>
        <v>1050000</v>
      </c>
      <c r="H100" s="30" t="s">
        <v>475</v>
      </c>
      <c r="I100" s="33">
        <v>100001</v>
      </c>
      <c r="J100" s="50">
        <v>20000</v>
      </c>
      <c r="K100" s="30" t="s">
        <v>475</v>
      </c>
      <c r="L100" s="33">
        <v>100001</v>
      </c>
      <c r="M100" s="50">
        <v>157500</v>
      </c>
      <c r="N100" s="30"/>
      <c r="O100" s="33" t="s">
        <v>545</v>
      </c>
      <c r="P100" s="33" t="s">
        <v>545</v>
      </c>
      <c r="Q100" s="30" t="s">
        <v>2515</v>
      </c>
      <c r="R100" s="33">
        <f>IFERROR(INDEX([1]Item!$A:$A,MATCH(Q100,[1]Item!$B:$B,0)),"-")</f>
        <v>23348090</v>
      </c>
      <c r="S100" s="33">
        <v>1</v>
      </c>
      <c r="T100" s="30" t="s">
        <v>2529</v>
      </c>
      <c r="U100" s="33">
        <f>IFERROR(INDEX([1]Item!$A:$A,MATCH(T100,[1]Item!$B:$B,0)),"-")</f>
        <v>23347004</v>
      </c>
      <c r="V100" s="33">
        <v>10</v>
      </c>
      <c r="W100" s="30"/>
      <c r="X100" s="33" t="s">
        <v>545</v>
      </c>
      <c r="Y100" s="33" t="s">
        <v>545</v>
      </c>
    </row>
    <row r="101" spans="1:25">
      <c r="A101" s="29">
        <v>47100094</v>
      </c>
      <c r="B101" s="30" t="s">
        <v>1338</v>
      </c>
      <c r="C101" s="33" t="s">
        <v>935</v>
      </c>
      <c r="D101" s="33" t="s">
        <v>1039</v>
      </c>
      <c r="E101" s="55" t="b">
        <v>1</v>
      </c>
      <c r="F101" s="30">
        <v>1</v>
      </c>
      <c r="G101" s="200">
        <f t="shared" si="1"/>
        <v>350000</v>
      </c>
      <c r="H101" s="30" t="s">
        <v>475</v>
      </c>
      <c r="I101" s="33">
        <v>100001</v>
      </c>
      <c r="J101" s="50">
        <v>2500</v>
      </c>
      <c r="K101" s="30" t="s">
        <v>475</v>
      </c>
      <c r="L101" s="33">
        <v>100001</v>
      </c>
      <c r="M101" s="50">
        <v>19500</v>
      </c>
      <c r="N101" s="30"/>
      <c r="O101" s="33" t="s">
        <v>545</v>
      </c>
      <c r="P101" s="33" t="s">
        <v>545</v>
      </c>
      <c r="Q101" s="30" t="s">
        <v>2516</v>
      </c>
      <c r="R101" s="33">
        <f>IFERROR(INDEX([1]Item!$A:$A,MATCH(Q101,[1]Item!$B:$B,0)),"-")</f>
        <v>23348091</v>
      </c>
      <c r="S101" s="33">
        <v>1</v>
      </c>
      <c r="T101" s="30" t="s">
        <v>2529</v>
      </c>
      <c r="U101" s="33">
        <f>IFERROR(INDEX([1]Item!$A:$A,MATCH(T101,[1]Item!$B:$B,0)),"-")</f>
        <v>23347004</v>
      </c>
      <c r="V101" s="33">
        <v>10</v>
      </c>
      <c r="W101" s="30"/>
      <c r="X101" s="33" t="s">
        <v>545</v>
      </c>
      <c r="Y101" s="33" t="s">
        <v>545</v>
      </c>
    </row>
    <row r="102" spans="1:25">
      <c r="A102" s="29">
        <v>47100095</v>
      </c>
      <c r="B102" s="30" t="s">
        <v>1339</v>
      </c>
      <c r="C102" s="33" t="s">
        <v>936</v>
      </c>
      <c r="D102" s="33" t="s">
        <v>1040</v>
      </c>
      <c r="E102" s="55" t="b">
        <v>1</v>
      </c>
      <c r="F102" s="30">
        <v>1</v>
      </c>
      <c r="G102" s="200">
        <f t="shared" si="1"/>
        <v>350000</v>
      </c>
      <c r="H102" s="30" t="s">
        <v>475</v>
      </c>
      <c r="I102" s="33">
        <v>100001</v>
      </c>
      <c r="J102" s="50">
        <v>2500</v>
      </c>
      <c r="K102" s="30" t="s">
        <v>475</v>
      </c>
      <c r="L102" s="33">
        <v>100001</v>
      </c>
      <c r="M102" s="50">
        <v>19500</v>
      </c>
      <c r="N102" s="30"/>
      <c r="O102" s="33" t="s">
        <v>545</v>
      </c>
      <c r="P102" s="33" t="s">
        <v>545</v>
      </c>
      <c r="Q102" s="30" t="s">
        <v>2517</v>
      </c>
      <c r="R102" s="33">
        <f>IFERROR(INDEX([1]Item!$A:$A,MATCH(Q102,[1]Item!$B:$B,0)),"-")</f>
        <v>23348092</v>
      </c>
      <c r="S102" s="33">
        <v>1</v>
      </c>
      <c r="T102" s="30" t="s">
        <v>2528</v>
      </c>
      <c r="U102" s="33">
        <f>IFERROR(INDEX([1]Item!$A:$A,MATCH(T102,[1]Item!$B:$B,0)),"-")</f>
        <v>23347003</v>
      </c>
      <c r="V102" s="33">
        <v>10</v>
      </c>
      <c r="W102" s="30"/>
      <c r="X102" s="33" t="s">
        <v>545</v>
      </c>
      <c r="Y102" s="33" t="s">
        <v>545</v>
      </c>
    </row>
    <row r="103" spans="1:25">
      <c r="A103" s="29">
        <v>47100096</v>
      </c>
      <c r="B103" s="30" t="s">
        <v>1340</v>
      </c>
      <c r="C103" s="33" t="s">
        <v>937</v>
      </c>
      <c r="D103" s="33" t="s">
        <v>1041</v>
      </c>
      <c r="E103" s="55" t="b">
        <v>1</v>
      </c>
      <c r="F103" s="30">
        <v>2</v>
      </c>
      <c r="G103" s="200">
        <f t="shared" si="1"/>
        <v>1050000</v>
      </c>
      <c r="H103" s="30" t="s">
        <v>475</v>
      </c>
      <c r="I103" s="33">
        <v>100001</v>
      </c>
      <c r="J103" s="50">
        <v>20000</v>
      </c>
      <c r="K103" s="30" t="s">
        <v>475</v>
      </c>
      <c r="L103" s="33">
        <v>100001</v>
      </c>
      <c r="M103" s="50">
        <v>157500</v>
      </c>
      <c r="N103" s="30"/>
      <c r="O103" s="33" t="s">
        <v>545</v>
      </c>
      <c r="P103" s="33" t="s">
        <v>545</v>
      </c>
      <c r="Q103" s="30" t="s">
        <v>2518</v>
      </c>
      <c r="R103" s="33">
        <f>IFERROR(INDEX([1]Item!$A:$A,MATCH(Q103,[1]Item!$B:$B,0)),"-")</f>
        <v>23348093</v>
      </c>
      <c r="S103" s="33">
        <v>1</v>
      </c>
      <c r="T103" s="30" t="s">
        <v>2529</v>
      </c>
      <c r="U103" s="33">
        <f>IFERROR(INDEX([1]Item!$A:$A,MATCH(T103,[1]Item!$B:$B,0)),"-")</f>
        <v>23347004</v>
      </c>
      <c r="V103" s="33">
        <v>10</v>
      </c>
      <c r="W103" s="30"/>
      <c r="X103" s="33" t="s">
        <v>545</v>
      </c>
      <c r="Y103" s="33" t="s">
        <v>545</v>
      </c>
    </row>
    <row r="104" spans="1:25">
      <c r="A104" s="29">
        <v>47100097</v>
      </c>
      <c r="B104" s="30" t="s">
        <v>1341</v>
      </c>
      <c r="C104" s="33" t="s">
        <v>938</v>
      </c>
      <c r="D104" s="33" t="s">
        <v>1042</v>
      </c>
      <c r="E104" s="55" t="b">
        <v>1</v>
      </c>
      <c r="F104" s="30">
        <v>1</v>
      </c>
      <c r="G104" s="200">
        <f t="shared" si="1"/>
        <v>350000</v>
      </c>
      <c r="H104" s="30" t="s">
        <v>475</v>
      </c>
      <c r="I104" s="33">
        <v>100001</v>
      </c>
      <c r="J104" s="50">
        <v>2500</v>
      </c>
      <c r="K104" s="30" t="s">
        <v>475</v>
      </c>
      <c r="L104" s="33">
        <v>100001</v>
      </c>
      <c r="M104" s="50">
        <v>19500</v>
      </c>
      <c r="N104" s="30"/>
      <c r="O104" s="33" t="s">
        <v>545</v>
      </c>
      <c r="P104" s="33" t="s">
        <v>545</v>
      </c>
      <c r="Q104" s="30" t="s">
        <v>2519</v>
      </c>
      <c r="R104" s="33">
        <f>IFERROR(INDEX([1]Item!$A:$A,MATCH(Q104,[1]Item!$B:$B,0)),"-")</f>
        <v>23348094</v>
      </c>
      <c r="S104" s="33">
        <v>1</v>
      </c>
      <c r="T104" s="30" t="s">
        <v>2528</v>
      </c>
      <c r="U104" s="33">
        <f>IFERROR(INDEX([1]Item!$A:$A,MATCH(T104,[1]Item!$B:$B,0)),"-")</f>
        <v>23347003</v>
      </c>
      <c r="V104" s="33">
        <v>10</v>
      </c>
      <c r="W104" s="30"/>
      <c r="X104" s="33" t="s">
        <v>545</v>
      </c>
      <c r="Y104" s="33" t="s">
        <v>545</v>
      </c>
    </row>
    <row r="105" spans="1:25">
      <c r="A105" s="29">
        <v>47100098</v>
      </c>
      <c r="B105" s="30" t="s">
        <v>1342</v>
      </c>
      <c r="C105" s="33" t="s">
        <v>939</v>
      </c>
      <c r="D105" s="33" t="s">
        <v>1043</v>
      </c>
      <c r="E105" s="55" t="b">
        <v>1</v>
      </c>
      <c r="F105" s="30">
        <v>2</v>
      </c>
      <c r="G105" s="200">
        <f t="shared" si="1"/>
        <v>1050000</v>
      </c>
      <c r="H105" s="30" t="s">
        <v>475</v>
      </c>
      <c r="I105" s="33">
        <v>100001</v>
      </c>
      <c r="J105" s="50">
        <v>20000</v>
      </c>
      <c r="K105" s="30" t="s">
        <v>475</v>
      </c>
      <c r="L105" s="33">
        <v>100001</v>
      </c>
      <c r="M105" s="50">
        <v>157500</v>
      </c>
      <c r="N105" s="30"/>
      <c r="O105" s="33" t="s">
        <v>545</v>
      </c>
      <c r="P105" s="33" t="s">
        <v>545</v>
      </c>
      <c r="Q105" s="30" t="s">
        <v>2520</v>
      </c>
      <c r="R105" s="33">
        <f>IFERROR(INDEX([1]Item!$A:$A,MATCH(Q105,[1]Item!$B:$B,0)),"-")</f>
        <v>23348095</v>
      </c>
      <c r="S105" s="33">
        <v>1</v>
      </c>
      <c r="T105" s="30" t="s">
        <v>2529</v>
      </c>
      <c r="U105" s="33">
        <f>IFERROR(INDEX([1]Item!$A:$A,MATCH(T105,[1]Item!$B:$B,0)),"-")</f>
        <v>23347004</v>
      </c>
      <c r="V105" s="33">
        <v>10</v>
      </c>
      <c r="W105" s="30"/>
      <c r="X105" s="33" t="s">
        <v>545</v>
      </c>
      <c r="Y105" s="33" t="s">
        <v>545</v>
      </c>
    </row>
    <row r="106" spans="1:25">
      <c r="A106" s="29">
        <v>47100099</v>
      </c>
      <c r="B106" s="30" t="s">
        <v>1343</v>
      </c>
      <c r="C106" s="33" t="s">
        <v>940</v>
      </c>
      <c r="D106" s="33" t="s">
        <v>1044</v>
      </c>
      <c r="E106" s="55" t="b">
        <v>1</v>
      </c>
      <c r="F106" s="30">
        <v>1</v>
      </c>
      <c r="G106" s="200">
        <f t="shared" si="1"/>
        <v>350000</v>
      </c>
      <c r="H106" s="30" t="s">
        <v>475</v>
      </c>
      <c r="I106" s="33">
        <v>100001</v>
      </c>
      <c r="J106" s="50">
        <v>2500</v>
      </c>
      <c r="K106" s="30" t="s">
        <v>475</v>
      </c>
      <c r="L106" s="33">
        <v>100001</v>
      </c>
      <c r="M106" s="50">
        <v>19500</v>
      </c>
      <c r="N106" s="30"/>
      <c r="O106" s="33" t="s">
        <v>545</v>
      </c>
      <c r="P106" s="33" t="s">
        <v>545</v>
      </c>
      <c r="Q106" s="30" t="s">
        <v>2521</v>
      </c>
      <c r="R106" s="33">
        <f>IFERROR(INDEX([1]Item!$A:$A,MATCH(Q106,[1]Item!$B:$B,0)),"-")</f>
        <v>23348096</v>
      </c>
      <c r="S106" s="33">
        <v>1</v>
      </c>
      <c r="T106" s="30" t="s">
        <v>2528</v>
      </c>
      <c r="U106" s="33">
        <f>IFERROR(INDEX([1]Item!$A:$A,MATCH(T106,[1]Item!$B:$B,0)),"-")</f>
        <v>23347003</v>
      </c>
      <c r="V106" s="33">
        <v>10</v>
      </c>
      <c r="W106" s="30"/>
      <c r="X106" s="33" t="s">
        <v>545</v>
      </c>
      <c r="Y106" s="33" t="s">
        <v>545</v>
      </c>
    </row>
    <row r="107" spans="1:25">
      <c r="A107" s="29">
        <v>47100100</v>
      </c>
      <c r="B107" s="30" t="s">
        <v>1344</v>
      </c>
      <c r="C107" s="33" t="s">
        <v>941</v>
      </c>
      <c r="D107" s="33" t="s">
        <v>1045</v>
      </c>
      <c r="E107" s="55" t="b">
        <v>1</v>
      </c>
      <c r="F107" s="30">
        <v>2</v>
      </c>
      <c r="G107" s="200">
        <f t="shared" si="1"/>
        <v>1050000</v>
      </c>
      <c r="H107" s="30" t="s">
        <v>475</v>
      </c>
      <c r="I107" s="33">
        <v>100001</v>
      </c>
      <c r="J107" s="50">
        <v>20000</v>
      </c>
      <c r="K107" s="30" t="s">
        <v>475</v>
      </c>
      <c r="L107" s="33">
        <v>100001</v>
      </c>
      <c r="M107" s="50">
        <v>157500</v>
      </c>
      <c r="N107" s="30"/>
      <c r="O107" s="33" t="s">
        <v>545</v>
      </c>
      <c r="P107" s="33" t="s">
        <v>545</v>
      </c>
      <c r="Q107" s="30" t="s">
        <v>2522</v>
      </c>
      <c r="R107" s="33">
        <f>IFERROR(INDEX([1]Item!$A:$A,MATCH(Q107,[1]Item!$B:$B,0)),"-")</f>
        <v>23348097</v>
      </c>
      <c r="S107" s="33">
        <v>1</v>
      </c>
      <c r="T107" s="30" t="s">
        <v>2527</v>
      </c>
      <c r="U107" s="33">
        <f>IFERROR(INDEX([1]Item!$A:$A,MATCH(T107,[1]Item!$B:$B,0)),"-")</f>
        <v>23347002</v>
      </c>
      <c r="V107" s="33">
        <v>10</v>
      </c>
      <c r="W107" s="30"/>
      <c r="X107" s="33" t="s">
        <v>545</v>
      </c>
      <c r="Y107" s="33" t="s">
        <v>545</v>
      </c>
    </row>
    <row r="108" spans="1:25">
      <c r="A108" s="29">
        <v>47100101</v>
      </c>
      <c r="B108" s="30" t="s">
        <v>1345</v>
      </c>
      <c r="C108" s="33" t="s">
        <v>942</v>
      </c>
      <c r="D108" s="33" t="s">
        <v>1046</v>
      </c>
      <c r="E108" s="55" t="b">
        <v>1</v>
      </c>
      <c r="F108" s="30">
        <v>3</v>
      </c>
      <c r="G108" s="200">
        <f t="shared" si="1"/>
        <v>3850000</v>
      </c>
      <c r="H108" s="30" t="s">
        <v>475</v>
      </c>
      <c r="I108" s="33">
        <v>100001</v>
      </c>
      <c r="J108" s="50">
        <v>126500</v>
      </c>
      <c r="K108" s="30" t="s">
        <v>475</v>
      </c>
      <c r="L108" s="33">
        <v>100001</v>
      </c>
      <c r="M108" s="50">
        <v>1009500</v>
      </c>
      <c r="N108" s="30"/>
      <c r="O108" s="33" t="s">
        <v>545</v>
      </c>
      <c r="P108" s="33" t="s">
        <v>545</v>
      </c>
      <c r="Q108" s="30" t="s">
        <v>2523</v>
      </c>
      <c r="R108" s="33">
        <f>IFERROR(INDEX([1]Item!$A:$A,MATCH(Q108,[1]Item!$B:$B,0)),"-")</f>
        <v>23348098</v>
      </c>
      <c r="S108" s="33">
        <v>1</v>
      </c>
      <c r="T108" s="30" t="s">
        <v>2529</v>
      </c>
      <c r="U108" s="33">
        <f>IFERROR(INDEX([1]Item!$A:$A,MATCH(T108,[1]Item!$B:$B,0)),"-")</f>
        <v>23347004</v>
      </c>
      <c r="V108" s="33">
        <v>10</v>
      </c>
      <c r="W108" s="30"/>
      <c r="X108" s="33" t="s">
        <v>545</v>
      </c>
      <c r="Y108" s="33" t="s">
        <v>545</v>
      </c>
    </row>
    <row r="109" spans="1:25">
      <c r="A109" s="29">
        <v>47100102</v>
      </c>
      <c r="B109" s="30" t="s">
        <v>1346</v>
      </c>
      <c r="C109" s="33" t="s">
        <v>943</v>
      </c>
      <c r="D109" s="33" t="s">
        <v>1047</v>
      </c>
      <c r="E109" s="55" t="b">
        <v>1</v>
      </c>
      <c r="F109" s="30">
        <v>1</v>
      </c>
      <c r="G109" s="200">
        <f t="shared" si="1"/>
        <v>350000</v>
      </c>
      <c r="H109" s="30" t="s">
        <v>475</v>
      </c>
      <c r="I109" s="33">
        <v>100001</v>
      </c>
      <c r="J109" s="50">
        <v>2500</v>
      </c>
      <c r="K109" s="30" t="s">
        <v>475</v>
      </c>
      <c r="L109" s="33">
        <v>100001</v>
      </c>
      <c r="M109" s="50">
        <v>19500</v>
      </c>
      <c r="N109" s="30"/>
      <c r="O109" s="33" t="s">
        <v>545</v>
      </c>
      <c r="P109" s="33" t="s">
        <v>545</v>
      </c>
      <c r="Q109" s="30" t="s">
        <v>2524</v>
      </c>
      <c r="R109" s="33">
        <f>IFERROR(INDEX([1]Item!$A:$A,MATCH(Q109,[1]Item!$B:$B,0)),"-")</f>
        <v>23348099</v>
      </c>
      <c r="S109" s="33">
        <v>1</v>
      </c>
      <c r="T109" s="30" t="s">
        <v>2529</v>
      </c>
      <c r="U109" s="33">
        <f>IFERROR(INDEX([1]Item!$A:$A,MATCH(T109,[1]Item!$B:$B,0)),"-")</f>
        <v>23347004</v>
      </c>
      <c r="V109" s="33">
        <v>10</v>
      </c>
      <c r="W109" s="30"/>
      <c r="X109" s="33" t="s">
        <v>545</v>
      </c>
      <c r="Y109" s="33" t="s">
        <v>545</v>
      </c>
    </row>
    <row r="110" spans="1:25">
      <c r="A110" s="29">
        <v>47100103</v>
      </c>
      <c r="B110" s="30" t="s">
        <v>1347</v>
      </c>
      <c r="C110" s="33" t="s">
        <v>944</v>
      </c>
      <c r="D110" s="33" t="s">
        <v>1048</v>
      </c>
      <c r="E110" s="55" t="b">
        <v>1</v>
      </c>
      <c r="F110" s="30">
        <v>1</v>
      </c>
      <c r="G110" s="200">
        <f t="shared" si="1"/>
        <v>350000</v>
      </c>
      <c r="H110" s="30" t="s">
        <v>475</v>
      </c>
      <c r="I110" s="33">
        <v>100001</v>
      </c>
      <c r="J110" s="50">
        <v>2500</v>
      </c>
      <c r="K110" s="30" t="s">
        <v>475</v>
      </c>
      <c r="L110" s="33">
        <v>100001</v>
      </c>
      <c r="M110" s="50">
        <v>19500</v>
      </c>
      <c r="N110" s="30"/>
      <c r="O110" s="33" t="s">
        <v>545</v>
      </c>
      <c r="P110" s="33" t="s">
        <v>545</v>
      </c>
      <c r="Q110" s="30" t="s">
        <v>2525</v>
      </c>
      <c r="R110" s="33">
        <f>IFERROR(INDEX([1]Item!$A:$A,MATCH(Q110,[1]Item!$B:$B,0)),"-")</f>
        <v>23348100</v>
      </c>
      <c r="S110" s="33">
        <v>1</v>
      </c>
      <c r="T110" s="30" t="s">
        <v>2529</v>
      </c>
      <c r="U110" s="33">
        <f>IFERROR(INDEX([1]Item!$A:$A,MATCH(T110,[1]Item!$B:$B,0)),"-")</f>
        <v>23347004</v>
      </c>
      <c r="V110" s="33">
        <v>10</v>
      </c>
      <c r="W110" s="30"/>
      <c r="X110" s="33" t="s">
        <v>545</v>
      </c>
      <c r="Y110" s="33" t="s">
        <v>545</v>
      </c>
    </row>
    <row r="111" spans="1:25">
      <c r="A111" s="29">
        <v>47100104</v>
      </c>
      <c r="B111" s="30" t="s">
        <v>1348</v>
      </c>
      <c r="C111" s="33" t="s">
        <v>1993</v>
      </c>
      <c r="D111" s="33" t="s">
        <v>1049</v>
      </c>
      <c r="E111" s="55" t="b">
        <v>1</v>
      </c>
      <c r="F111" s="30">
        <v>1</v>
      </c>
      <c r="G111" s="200">
        <f t="shared" si="1"/>
        <v>350000</v>
      </c>
      <c r="H111" s="30" t="s">
        <v>475</v>
      </c>
      <c r="I111" s="33">
        <v>100001</v>
      </c>
      <c r="J111" s="50">
        <v>2500</v>
      </c>
      <c r="K111" s="30" t="s">
        <v>475</v>
      </c>
      <c r="L111" s="33">
        <v>100001</v>
      </c>
      <c r="M111" s="50">
        <v>19500</v>
      </c>
      <c r="N111" s="30"/>
      <c r="O111" s="33" t="s">
        <v>545</v>
      </c>
      <c r="P111" s="33" t="s">
        <v>545</v>
      </c>
      <c r="Q111" s="30" t="s">
        <v>2526</v>
      </c>
      <c r="R111" s="33">
        <f>IFERROR(INDEX([1]Item!$A:$A,MATCH(Q111,[1]Item!$B:$B,0)),"-")</f>
        <v>23348101</v>
      </c>
      <c r="S111" s="33">
        <v>1</v>
      </c>
      <c r="T111" s="30" t="s">
        <v>2425</v>
      </c>
      <c r="U111" s="33" t="str">
        <f>IFERROR(INDEX([1]Item!$A:$A,MATCH(T111,[1]Item!$B:$B,0)),"-")</f>
        <v>-</v>
      </c>
      <c r="V111" s="33" t="s">
        <v>545</v>
      </c>
      <c r="W111" s="30"/>
      <c r="X111" s="33" t="s">
        <v>545</v>
      </c>
      <c r="Y111" s="33" t="s">
        <v>545</v>
      </c>
    </row>
    <row r="112" spans="1:25">
      <c r="A112" s="29">
        <v>47100105</v>
      </c>
      <c r="B112" s="30" t="s">
        <v>1913</v>
      </c>
      <c r="C112" s="33" t="s">
        <v>916</v>
      </c>
      <c r="D112" s="33" t="s">
        <v>1049</v>
      </c>
      <c r="E112" s="55" t="b">
        <v>0</v>
      </c>
      <c r="F112" s="30">
        <v>1</v>
      </c>
      <c r="G112" s="200">
        <f t="shared" si="1"/>
        <v>350000</v>
      </c>
      <c r="H112" s="30" t="s">
        <v>0</v>
      </c>
      <c r="I112" s="33" t="s">
        <v>0</v>
      </c>
      <c r="J112" s="50" t="s">
        <v>545</v>
      </c>
      <c r="K112" s="30" t="s">
        <v>0</v>
      </c>
      <c r="L112" s="33" t="s">
        <v>0</v>
      </c>
      <c r="M112" s="50" t="s">
        <v>545</v>
      </c>
      <c r="N112" s="30"/>
      <c r="O112" s="33" t="s">
        <v>545</v>
      </c>
      <c r="P112" s="33" t="s">
        <v>545</v>
      </c>
      <c r="Q112" s="30" t="s">
        <v>2425</v>
      </c>
      <c r="R112" s="33" t="str">
        <f>IFERROR(INDEX([1]Item!$A:$A,MATCH(Q112,[1]Item!$B:$B,0)),"-")</f>
        <v>-</v>
      </c>
      <c r="S112" s="33" t="s">
        <v>0</v>
      </c>
      <c r="T112" s="30" t="s">
        <v>2425</v>
      </c>
      <c r="U112" s="33" t="str">
        <f>IFERROR(INDEX([1]Item!$A:$A,MATCH(T112,[1]Item!$B:$B,0)),"-")</f>
        <v>-</v>
      </c>
      <c r="V112" s="33" t="s">
        <v>545</v>
      </c>
      <c r="W112" s="30"/>
      <c r="X112" s="33" t="s">
        <v>545</v>
      </c>
      <c r="Y112" s="33" t="s">
        <v>545</v>
      </c>
    </row>
    <row r="113" spans="1:25">
      <c r="A113" s="29">
        <v>47100106</v>
      </c>
      <c r="B113" s="30" t="s">
        <v>1914</v>
      </c>
      <c r="C113" s="33" t="s">
        <v>893</v>
      </c>
      <c r="D113" s="33" t="s">
        <v>1049</v>
      </c>
      <c r="E113" s="55" t="b">
        <v>0</v>
      </c>
      <c r="F113" s="30">
        <v>1</v>
      </c>
      <c r="G113" s="200">
        <f t="shared" si="1"/>
        <v>350000</v>
      </c>
      <c r="H113" s="30" t="s">
        <v>0</v>
      </c>
      <c r="I113" s="33" t="s">
        <v>0</v>
      </c>
      <c r="J113" s="50" t="s">
        <v>545</v>
      </c>
      <c r="K113" s="30" t="s">
        <v>0</v>
      </c>
      <c r="L113" s="33" t="s">
        <v>0</v>
      </c>
      <c r="M113" s="50" t="s">
        <v>545</v>
      </c>
      <c r="N113" s="30"/>
      <c r="O113" s="33" t="s">
        <v>545</v>
      </c>
      <c r="P113" s="33" t="s">
        <v>545</v>
      </c>
      <c r="Q113" s="30" t="s">
        <v>2425</v>
      </c>
      <c r="R113" s="33" t="str">
        <f>IFERROR(INDEX([1]Item!$A:$A,MATCH(Q113,[1]Item!$B:$B,0)),"-")</f>
        <v>-</v>
      </c>
      <c r="S113" s="33" t="s">
        <v>0</v>
      </c>
      <c r="T113" s="30" t="s">
        <v>2425</v>
      </c>
      <c r="U113" s="33" t="str">
        <f>IFERROR(INDEX([1]Item!$A:$A,MATCH(T113,[1]Item!$B:$B,0)),"-")</f>
        <v>-</v>
      </c>
      <c r="V113" s="33" t="s">
        <v>545</v>
      </c>
      <c r="W113" s="30"/>
      <c r="X113" s="33" t="s">
        <v>545</v>
      </c>
      <c r="Y113" s="33" t="s">
        <v>545</v>
      </c>
    </row>
    <row r="114" spans="1:25">
      <c r="A114" s="29">
        <v>47100107</v>
      </c>
      <c r="B114" s="30" t="s">
        <v>1915</v>
      </c>
      <c r="C114" s="33" t="s">
        <v>853</v>
      </c>
      <c r="D114" s="33" t="s">
        <v>1049</v>
      </c>
      <c r="E114" s="55" t="b">
        <v>0</v>
      </c>
      <c r="F114" s="30">
        <v>1</v>
      </c>
      <c r="G114" s="200">
        <f t="shared" si="1"/>
        <v>350000</v>
      </c>
      <c r="H114" s="30" t="s">
        <v>0</v>
      </c>
      <c r="I114" s="33" t="s">
        <v>0</v>
      </c>
      <c r="J114" s="50" t="s">
        <v>545</v>
      </c>
      <c r="K114" s="30" t="s">
        <v>0</v>
      </c>
      <c r="L114" s="33" t="s">
        <v>0</v>
      </c>
      <c r="M114" s="50" t="s">
        <v>545</v>
      </c>
      <c r="N114" s="30"/>
      <c r="O114" s="33" t="s">
        <v>545</v>
      </c>
      <c r="P114" s="33" t="s">
        <v>545</v>
      </c>
      <c r="Q114" s="30" t="s">
        <v>2425</v>
      </c>
      <c r="R114" s="33" t="str">
        <f>IFERROR(INDEX([1]Item!$A:$A,MATCH(Q114,[1]Item!$B:$B,0)),"-")</f>
        <v>-</v>
      </c>
      <c r="S114" s="33" t="s">
        <v>0</v>
      </c>
      <c r="T114" s="30" t="s">
        <v>2425</v>
      </c>
      <c r="U114" s="33" t="str">
        <f>IFERROR(INDEX([1]Item!$A:$A,MATCH(T114,[1]Item!$B:$B,0)),"-")</f>
        <v>-</v>
      </c>
      <c r="V114" s="33" t="s">
        <v>545</v>
      </c>
      <c r="W114" s="30"/>
      <c r="X114" s="33" t="s">
        <v>545</v>
      </c>
      <c r="Y114" s="33" t="s">
        <v>545</v>
      </c>
    </row>
    <row r="115" spans="1:25">
      <c r="A115" s="29">
        <v>47100108</v>
      </c>
      <c r="B115" s="30" t="s">
        <v>1917</v>
      </c>
      <c r="C115" s="33" t="s">
        <v>905</v>
      </c>
      <c r="D115" s="33" t="s">
        <v>1049</v>
      </c>
      <c r="E115" s="55" t="b">
        <v>0</v>
      </c>
      <c r="F115" s="30">
        <v>1</v>
      </c>
      <c r="G115" s="200">
        <f t="shared" si="1"/>
        <v>350000</v>
      </c>
      <c r="H115" s="30" t="s">
        <v>0</v>
      </c>
      <c r="I115" s="33" t="s">
        <v>0</v>
      </c>
      <c r="J115" s="50" t="s">
        <v>545</v>
      </c>
      <c r="K115" s="30" t="s">
        <v>0</v>
      </c>
      <c r="L115" s="33" t="s">
        <v>0</v>
      </c>
      <c r="M115" s="50" t="s">
        <v>545</v>
      </c>
      <c r="N115" s="30"/>
      <c r="O115" s="33" t="s">
        <v>545</v>
      </c>
      <c r="P115" s="33" t="s">
        <v>545</v>
      </c>
      <c r="Q115" s="30" t="s">
        <v>2425</v>
      </c>
      <c r="R115" s="33" t="str">
        <f>IFERROR(INDEX([1]Item!$A:$A,MATCH(Q115,[1]Item!$B:$B,0)),"-")</f>
        <v>-</v>
      </c>
      <c r="S115" s="33" t="s">
        <v>0</v>
      </c>
      <c r="T115" s="30" t="s">
        <v>2425</v>
      </c>
      <c r="U115" s="33" t="str">
        <f>IFERROR(INDEX([1]Item!$A:$A,MATCH(T115,[1]Item!$B:$B,0)),"-")</f>
        <v>-</v>
      </c>
      <c r="V115" s="33" t="s">
        <v>545</v>
      </c>
      <c r="W115" s="30"/>
      <c r="X115" s="33" t="s">
        <v>545</v>
      </c>
      <c r="Y115" s="33" t="s">
        <v>545</v>
      </c>
    </row>
    <row r="116" spans="1:25">
      <c r="A116" s="29">
        <v>47100109</v>
      </c>
      <c r="B116" s="30" t="s">
        <v>1918</v>
      </c>
      <c r="C116" s="33" t="s">
        <v>891</v>
      </c>
      <c r="D116" s="33" t="s">
        <v>1049</v>
      </c>
      <c r="E116" s="55" t="b">
        <v>0</v>
      </c>
      <c r="F116" s="30">
        <v>1</v>
      </c>
      <c r="G116" s="200">
        <f t="shared" si="1"/>
        <v>350000</v>
      </c>
      <c r="H116" s="30" t="s">
        <v>0</v>
      </c>
      <c r="I116" s="33" t="s">
        <v>0</v>
      </c>
      <c r="J116" s="50" t="s">
        <v>545</v>
      </c>
      <c r="K116" s="30" t="s">
        <v>0</v>
      </c>
      <c r="L116" s="33" t="s">
        <v>0</v>
      </c>
      <c r="M116" s="50" t="s">
        <v>545</v>
      </c>
      <c r="N116" s="30"/>
      <c r="O116" s="33" t="s">
        <v>545</v>
      </c>
      <c r="P116" s="33" t="s">
        <v>545</v>
      </c>
      <c r="Q116" s="30" t="s">
        <v>2425</v>
      </c>
      <c r="R116" s="33" t="str">
        <f>IFERROR(INDEX([1]Item!$A:$A,MATCH(Q116,[1]Item!$B:$B,0)),"-")</f>
        <v>-</v>
      </c>
      <c r="S116" s="33" t="s">
        <v>0</v>
      </c>
      <c r="T116" s="30" t="s">
        <v>2425</v>
      </c>
      <c r="U116" s="33" t="str">
        <f>IFERROR(INDEX([1]Item!$A:$A,MATCH(T116,[1]Item!$B:$B,0)),"-")</f>
        <v>-</v>
      </c>
      <c r="V116" s="33" t="s">
        <v>545</v>
      </c>
      <c r="W116" s="30"/>
      <c r="X116" s="33" t="s">
        <v>545</v>
      </c>
      <c r="Y116" s="33" t="s">
        <v>545</v>
      </c>
    </row>
    <row r="117" spans="1:25">
      <c r="A117" s="29">
        <v>47100110</v>
      </c>
      <c r="B117" s="30" t="s">
        <v>1919</v>
      </c>
      <c r="C117" s="33" t="s">
        <v>891</v>
      </c>
      <c r="D117" s="33" t="s">
        <v>1049</v>
      </c>
      <c r="E117" s="55" t="b">
        <v>0</v>
      </c>
      <c r="F117" s="30">
        <v>1</v>
      </c>
      <c r="G117" s="200">
        <f t="shared" si="1"/>
        <v>350000</v>
      </c>
      <c r="H117" s="30" t="s">
        <v>0</v>
      </c>
      <c r="I117" s="33" t="s">
        <v>0</v>
      </c>
      <c r="J117" s="50" t="s">
        <v>545</v>
      </c>
      <c r="K117" s="30" t="s">
        <v>0</v>
      </c>
      <c r="L117" s="33" t="s">
        <v>0</v>
      </c>
      <c r="M117" s="50" t="s">
        <v>545</v>
      </c>
      <c r="N117" s="30"/>
      <c r="O117" s="33" t="s">
        <v>545</v>
      </c>
      <c r="P117" s="33" t="s">
        <v>545</v>
      </c>
      <c r="Q117" s="30" t="s">
        <v>2425</v>
      </c>
      <c r="R117" s="33" t="str">
        <f>IFERROR(INDEX([1]Item!$A:$A,MATCH(Q117,[1]Item!$B:$B,0)),"-")</f>
        <v>-</v>
      </c>
      <c r="S117" s="33" t="s">
        <v>0</v>
      </c>
      <c r="T117" s="30" t="s">
        <v>2425</v>
      </c>
      <c r="U117" s="33" t="str">
        <f>IFERROR(INDEX([1]Item!$A:$A,MATCH(T117,[1]Item!$B:$B,0)),"-")</f>
        <v>-</v>
      </c>
      <c r="V117" s="33" t="s">
        <v>545</v>
      </c>
      <c r="W117" s="30"/>
      <c r="X117" s="33" t="s">
        <v>545</v>
      </c>
      <c r="Y117" s="33" t="s">
        <v>545</v>
      </c>
    </row>
    <row r="118" spans="1:25">
      <c r="A118" s="29">
        <v>47100111</v>
      </c>
      <c r="B118" s="30" t="s">
        <v>1992</v>
      </c>
      <c r="C118" s="33" t="s">
        <v>1994</v>
      </c>
      <c r="D118" s="33" t="s">
        <v>1995</v>
      </c>
      <c r="E118" s="55" t="b">
        <v>0</v>
      </c>
      <c r="F118" s="30">
        <v>1</v>
      </c>
      <c r="G118" s="200">
        <f t="shared" si="1"/>
        <v>350000</v>
      </c>
      <c r="H118" s="30" t="s">
        <v>475</v>
      </c>
      <c r="I118" s="33">
        <v>100001</v>
      </c>
      <c r="J118" s="50">
        <v>2500</v>
      </c>
      <c r="K118" s="30" t="s">
        <v>475</v>
      </c>
      <c r="L118" s="33">
        <v>100001</v>
      </c>
      <c r="M118" s="50">
        <v>19500</v>
      </c>
      <c r="N118" s="30"/>
      <c r="O118" s="33" t="s">
        <v>545</v>
      </c>
      <c r="P118" s="33" t="s">
        <v>545</v>
      </c>
      <c r="Q118" s="30" t="s">
        <v>2472</v>
      </c>
      <c r="R118" s="33">
        <f>IFERROR(INDEX([1]Item!$A:$A,MATCH(Q118,[1]Item!$B:$B,0)),"-")</f>
        <v>23348102</v>
      </c>
      <c r="S118" s="33">
        <v>1</v>
      </c>
      <c r="T118" s="30"/>
      <c r="U118" s="33" t="str">
        <f>IFERROR(INDEX([1]Item!$A:$A,MATCH(T118,[1]Item!$B:$B,0)),"-")</f>
        <v>-</v>
      </c>
      <c r="V118" s="33" t="s">
        <v>545</v>
      </c>
      <c r="W118" s="30"/>
      <c r="X118" s="33" t="s">
        <v>545</v>
      </c>
      <c r="Y118" s="33" t="s">
        <v>545</v>
      </c>
    </row>
    <row r="119" spans="1:25">
      <c r="A119" s="29">
        <v>47100112</v>
      </c>
      <c r="B119" s="30" t="s">
        <v>2583</v>
      </c>
      <c r="C119" s="33" t="s">
        <v>2582</v>
      </c>
      <c r="D119" s="33" t="s">
        <v>2591</v>
      </c>
      <c r="E119" s="55" t="b">
        <v>0</v>
      </c>
      <c r="F119" s="30">
        <v>1</v>
      </c>
      <c r="G119" s="200">
        <f t="shared" si="1"/>
        <v>350000</v>
      </c>
      <c r="H119" s="30" t="s">
        <v>475</v>
      </c>
      <c r="I119" s="33">
        <v>100001</v>
      </c>
      <c r="J119" s="49">
        <v>2500</v>
      </c>
      <c r="K119" s="30" t="s">
        <v>475</v>
      </c>
      <c r="L119" s="33">
        <v>100001</v>
      </c>
      <c r="M119" s="50">
        <v>19500</v>
      </c>
      <c r="N119" s="30"/>
      <c r="O119" s="33" t="s">
        <v>545</v>
      </c>
      <c r="P119" s="33" t="s">
        <v>545</v>
      </c>
      <c r="Q119" s="30" t="s">
        <v>2584</v>
      </c>
      <c r="R119" s="33">
        <f>IFERROR(INDEX([1]Item!$A:$A,MATCH(Q119,[1]Item!$B:$B,0)),"-")</f>
        <v>23348103</v>
      </c>
      <c r="S119" s="33">
        <v>1</v>
      </c>
      <c r="T119" s="30"/>
      <c r="U119" s="33" t="str">
        <f>IFERROR(INDEX([1]Item!$A:$A,MATCH(T119,[1]Item!$B:$B,0)),"-")</f>
        <v>-</v>
      </c>
      <c r="V119" s="33" t="s">
        <v>545</v>
      </c>
      <c r="W119" s="30"/>
      <c r="X119" s="33" t="s">
        <v>545</v>
      </c>
      <c r="Y119" s="33" t="s">
        <v>545</v>
      </c>
    </row>
    <row r="120" spans="1:25">
      <c r="A120" s="29">
        <v>47100113</v>
      </c>
      <c r="B120" s="30" t="s">
        <v>2701</v>
      </c>
      <c r="C120" s="33" t="s">
        <v>2703</v>
      </c>
      <c r="D120" s="33" t="s">
        <v>2702</v>
      </c>
      <c r="E120" s="55" t="b">
        <v>0</v>
      </c>
      <c r="F120" s="30">
        <v>3</v>
      </c>
      <c r="G120" s="200">
        <f t="shared" si="1"/>
        <v>3850000</v>
      </c>
      <c r="H120" s="30" t="s">
        <v>475</v>
      </c>
      <c r="I120" s="33">
        <v>100001</v>
      </c>
      <c r="J120" s="50">
        <v>126500</v>
      </c>
      <c r="K120" s="30" t="s">
        <v>475</v>
      </c>
      <c r="L120" s="33">
        <v>100001</v>
      </c>
      <c r="M120" s="50">
        <v>1009500</v>
      </c>
      <c r="N120" s="30"/>
      <c r="O120" s="33" t="s">
        <v>545</v>
      </c>
      <c r="P120" s="33" t="s">
        <v>545</v>
      </c>
      <c r="Q120" s="30" t="s">
        <v>2708</v>
      </c>
      <c r="R120" s="33">
        <f>IFERROR(INDEX([1]Item!$A:$A,MATCH(Q120,[1]Item!$B:$B,0)),"-")</f>
        <v>23348104</v>
      </c>
      <c r="S120" s="33">
        <v>1</v>
      </c>
      <c r="T120" s="30" t="s">
        <v>2425</v>
      </c>
      <c r="U120" s="33" t="str">
        <f>IFERROR(INDEX([1]Item!$A:$A,MATCH(T120,[1]Item!$B:$B,0)),"-")</f>
        <v>-</v>
      </c>
      <c r="V120" s="33" t="s">
        <v>545</v>
      </c>
      <c r="W120" s="30"/>
      <c r="X120" s="33" t="s">
        <v>545</v>
      </c>
      <c r="Y120" s="33" t="s">
        <v>545</v>
      </c>
    </row>
    <row r="121" spans="1:25">
      <c r="A121" s="29">
        <v>47100114</v>
      </c>
      <c r="B121" s="30" t="s">
        <v>2725</v>
      </c>
      <c r="C121" s="33" t="s">
        <v>2723</v>
      </c>
      <c r="D121" s="33" t="s">
        <v>2724</v>
      </c>
      <c r="E121" s="55" t="b">
        <v>0</v>
      </c>
      <c r="F121" s="30">
        <v>2</v>
      </c>
      <c r="G121" s="200">
        <f t="shared" si="1"/>
        <v>1050000</v>
      </c>
      <c r="H121" s="30" t="s">
        <v>475</v>
      </c>
      <c r="I121" s="33">
        <v>100001</v>
      </c>
      <c r="J121" s="50">
        <v>20000</v>
      </c>
      <c r="K121" s="30" t="s">
        <v>475</v>
      </c>
      <c r="L121" s="33">
        <v>100001</v>
      </c>
      <c r="M121" s="50">
        <v>157500</v>
      </c>
      <c r="N121" s="30"/>
      <c r="O121" s="33" t="s">
        <v>545</v>
      </c>
      <c r="P121" s="33" t="s">
        <v>545</v>
      </c>
      <c r="Q121" s="30" t="s">
        <v>2726</v>
      </c>
      <c r="R121" s="33">
        <f>IFERROR(INDEX([1]Item!$A:$A,MATCH(Q121,[1]Item!$B:$B,0)),"-")</f>
        <v>23348105</v>
      </c>
      <c r="S121" s="33">
        <v>1</v>
      </c>
      <c r="T121" s="30" t="s">
        <v>2425</v>
      </c>
      <c r="U121" s="33" t="str">
        <f>IFERROR(INDEX([1]Item!$A:$A,MATCH(T121,[1]Item!$B:$B,0)),"-")</f>
        <v>-</v>
      </c>
      <c r="V121" s="33" t="s">
        <v>545</v>
      </c>
      <c r="W121" s="30"/>
      <c r="X121" s="33" t="s">
        <v>545</v>
      </c>
      <c r="Y121" s="33" t="s">
        <v>545</v>
      </c>
    </row>
    <row r="122" spans="1:25">
      <c r="A122" s="29">
        <v>47100115</v>
      </c>
      <c r="B122" s="30" t="s">
        <v>2763</v>
      </c>
      <c r="C122" s="33" t="s">
        <v>2764</v>
      </c>
      <c r="D122" s="33" t="s">
        <v>2765</v>
      </c>
      <c r="E122" s="55" t="b">
        <v>0</v>
      </c>
      <c r="F122" s="30">
        <v>4</v>
      </c>
      <c r="G122" s="200">
        <f t="shared" si="1"/>
        <v>16800000</v>
      </c>
      <c r="H122" s="30" t="s">
        <v>475</v>
      </c>
      <c r="I122" s="33">
        <v>100001</v>
      </c>
      <c r="J122" s="50">
        <v>679500</v>
      </c>
      <c r="K122" s="30" t="s">
        <v>475</v>
      </c>
      <c r="L122" s="33">
        <v>100001</v>
      </c>
      <c r="M122" s="50">
        <v>5434000</v>
      </c>
      <c r="N122" s="30"/>
      <c r="O122" s="33" t="s">
        <v>545</v>
      </c>
      <c r="P122" s="33" t="s">
        <v>545</v>
      </c>
      <c r="Q122" s="30" t="s">
        <v>2766</v>
      </c>
      <c r="R122" s="33">
        <f>IFERROR(INDEX([1]Item!$A:$A,MATCH(Q122,[1]Item!$B:$B,0)),"-")</f>
        <v>23348106</v>
      </c>
      <c r="S122" s="33">
        <v>1</v>
      </c>
      <c r="T122" s="30" t="s">
        <v>2425</v>
      </c>
      <c r="U122" s="33" t="str">
        <f>IFERROR(INDEX([1]Item!$A:$A,MATCH(T122,[1]Item!$B:$B,0)),"-")</f>
        <v>-</v>
      </c>
      <c r="V122" s="33" t="s">
        <v>545</v>
      </c>
      <c r="W122" s="30"/>
      <c r="X122" s="33" t="s">
        <v>545</v>
      </c>
      <c r="Y122" s="33" t="s">
        <v>545</v>
      </c>
    </row>
    <row r="123" spans="1:25">
      <c r="A123" s="29">
        <v>47100116</v>
      </c>
      <c r="B123" s="30" t="s">
        <v>2790</v>
      </c>
      <c r="C123" s="33" t="s">
        <v>2793</v>
      </c>
      <c r="D123" s="33" t="s">
        <v>2794</v>
      </c>
      <c r="E123" s="55" t="b">
        <v>0</v>
      </c>
      <c r="F123" s="30">
        <v>3</v>
      </c>
      <c r="G123" s="200">
        <f t="shared" si="1"/>
        <v>3850000</v>
      </c>
      <c r="H123" s="30" t="s">
        <v>475</v>
      </c>
      <c r="I123" s="33">
        <v>100001</v>
      </c>
      <c r="J123" s="50">
        <v>126500</v>
      </c>
      <c r="K123" s="30" t="s">
        <v>475</v>
      </c>
      <c r="L123" s="33">
        <v>100001</v>
      </c>
      <c r="M123" s="50">
        <v>1009500</v>
      </c>
      <c r="N123" s="30"/>
      <c r="O123" s="33" t="s">
        <v>545</v>
      </c>
      <c r="P123" s="33" t="s">
        <v>545</v>
      </c>
      <c r="Q123" s="30" t="s">
        <v>2791</v>
      </c>
      <c r="R123" s="33">
        <f>IFERROR(INDEX([1]Item!$A:$A,MATCH(Q123,[1]Item!$B:$B,0)),"-")</f>
        <v>23348107</v>
      </c>
      <c r="S123" s="33">
        <v>1</v>
      </c>
      <c r="T123" s="30"/>
      <c r="U123" s="33" t="str">
        <f>IFERROR(INDEX([1]Item!$A:$A,MATCH(T123,[1]Item!$B:$B,0)),"-")</f>
        <v>-</v>
      </c>
      <c r="V123" s="33" t="s">
        <v>545</v>
      </c>
      <c r="W123" s="30"/>
      <c r="X123" s="33" t="s">
        <v>545</v>
      </c>
      <c r="Y123" s="33" t="s">
        <v>545</v>
      </c>
    </row>
    <row r="124" spans="1:25">
      <c r="A124" s="29">
        <v>47100117</v>
      </c>
      <c r="B124" s="30" t="s">
        <v>2845</v>
      </c>
      <c r="C124" s="33" t="s">
        <v>2846</v>
      </c>
      <c r="D124" s="33" t="s">
        <v>2847</v>
      </c>
      <c r="E124" s="55" t="b">
        <v>0</v>
      </c>
      <c r="F124" s="30">
        <v>1</v>
      </c>
      <c r="G124" s="200">
        <f t="shared" si="1"/>
        <v>350000</v>
      </c>
      <c r="H124" s="30" t="s">
        <v>475</v>
      </c>
      <c r="I124" s="33">
        <v>100001</v>
      </c>
      <c r="J124" s="50">
        <v>2500</v>
      </c>
      <c r="K124" s="30" t="s">
        <v>475</v>
      </c>
      <c r="L124" s="33">
        <v>100001</v>
      </c>
      <c r="M124" s="50">
        <v>19500</v>
      </c>
      <c r="N124" s="30"/>
      <c r="O124" s="33" t="s">
        <v>545</v>
      </c>
      <c r="P124" s="33" t="s">
        <v>545</v>
      </c>
      <c r="Q124" s="30" t="s">
        <v>2859</v>
      </c>
      <c r="R124" s="33">
        <f>IFERROR(INDEX([1]Item!$A:$A,MATCH(Q124,[1]Item!$B:$B,0)),"-")</f>
        <v>23348108</v>
      </c>
      <c r="S124" s="33">
        <v>1</v>
      </c>
      <c r="T124" s="30"/>
      <c r="U124" s="33" t="str">
        <f>IFERROR(INDEX([1]Item!$A:$A,MATCH(T124,[1]Item!$B:$B,0)),"-")</f>
        <v>-</v>
      </c>
      <c r="V124" s="33" t="s">
        <v>545</v>
      </c>
      <c r="W124" s="30"/>
      <c r="X124" s="33" t="s">
        <v>545</v>
      </c>
      <c r="Y124" s="33" t="s">
        <v>545</v>
      </c>
    </row>
    <row r="125" spans="1:25">
      <c r="A125" s="29">
        <v>47100118</v>
      </c>
      <c r="B125" s="30" t="s">
        <v>2864</v>
      </c>
      <c r="C125" s="33" t="s">
        <v>2862</v>
      </c>
      <c r="D125" s="33" t="s">
        <v>2863</v>
      </c>
      <c r="E125" s="55" t="b">
        <v>0</v>
      </c>
      <c r="F125" s="30">
        <v>4</v>
      </c>
      <c r="G125" s="200">
        <f t="shared" si="1"/>
        <v>16800000</v>
      </c>
      <c r="H125" s="30" t="s">
        <v>475</v>
      </c>
      <c r="I125" s="33">
        <v>100001</v>
      </c>
      <c r="J125" s="50">
        <v>679500</v>
      </c>
      <c r="K125" s="30" t="s">
        <v>475</v>
      </c>
      <c r="L125" s="33">
        <v>100001</v>
      </c>
      <c r="M125" s="50">
        <v>5434000</v>
      </c>
      <c r="N125" s="30"/>
      <c r="O125" s="33" t="s">
        <v>545</v>
      </c>
      <c r="P125" s="33" t="s">
        <v>545</v>
      </c>
      <c r="Q125" s="30" t="s">
        <v>2865</v>
      </c>
      <c r="R125" s="33">
        <f>IFERROR(INDEX([1]Item!$A:$A,MATCH(Q125,[1]Item!$B:$B,0)),"-")</f>
        <v>23700086</v>
      </c>
      <c r="S125" s="33">
        <v>1</v>
      </c>
      <c r="T125" s="30"/>
      <c r="U125" s="33" t="str">
        <f>IFERROR(INDEX([1]Item!$A:$A,MATCH(T125,[1]Item!$B:$B,0)),"-")</f>
        <v>-</v>
      </c>
      <c r="V125" s="33" t="s">
        <v>545</v>
      </c>
      <c r="W125" s="30"/>
      <c r="X125" s="33" t="s">
        <v>545</v>
      </c>
      <c r="Y125" s="33" t="s">
        <v>545</v>
      </c>
    </row>
    <row r="126" spans="1:25">
      <c r="A126" s="29">
        <v>47100119</v>
      </c>
      <c r="B126" s="30" t="s">
        <v>2922</v>
      </c>
      <c r="C126" s="33" t="s">
        <v>3252</v>
      </c>
      <c r="D126" s="33" t="s">
        <v>3253</v>
      </c>
      <c r="E126" s="55" t="b">
        <v>0</v>
      </c>
      <c r="F126" s="30">
        <v>4</v>
      </c>
      <c r="G126" s="200">
        <f t="shared" si="1"/>
        <v>16800000</v>
      </c>
      <c r="H126" s="30" t="s">
        <v>475</v>
      </c>
      <c r="I126" s="33">
        <v>100001</v>
      </c>
      <c r="J126" s="50">
        <v>126500</v>
      </c>
      <c r="K126" s="30" t="s">
        <v>475</v>
      </c>
      <c r="L126" s="33">
        <v>100001</v>
      </c>
      <c r="M126" s="50">
        <v>1009500</v>
      </c>
      <c r="N126" s="30"/>
      <c r="O126" s="33" t="s">
        <v>545</v>
      </c>
      <c r="P126" s="33" t="s">
        <v>545</v>
      </c>
      <c r="Q126" s="30" t="s">
        <v>2923</v>
      </c>
      <c r="R126" s="33">
        <f>IFERROR(INDEX([1]Item!$A:$A,MATCH(Q126,[1]Item!$B:$B,0)),"-")</f>
        <v>23348551</v>
      </c>
      <c r="S126" s="33">
        <v>1</v>
      </c>
      <c r="T126" s="30"/>
      <c r="U126" s="33" t="str">
        <f>IFERROR(INDEX([1]Item!$A:$A,MATCH(T126,[1]Item!$B:$B,0)),"-")</f>
        <v>-</v>
      </c>
      <c r="V126" s="33" t="s">
        <v>545</v>
      </c>
      <c r="W126" s="30"/>
      <c r="X126" s="33" t="s">
        <v>545</v>
      </c>
      <c r="Y126" s="33" t="s">
        <v>545</v>
      </c>
    </row>
    <row r="127" spans="1:25">
      <c r="A127" s="29">
        <v>47100120</v>
      </c>
      <c r="B127" s="30" t="s">
        <v>2976</v>
      </c>
      <c r="C127" s="33" t="s">
        <v>2977</v>
      </c>
      <c r="D127" s="33" t="s">
        <v>2997</v>
      </c>
      <c r="E127" s="55" t="b">
        <v>0</v>
      </c>
      <c r="F127" s="30">
        <v>4</v>
      </c>
      <c r="G127" s="200">
        <f t="shared" si="1"/>
        <v>16800000</v>
      </c>
      <c r="H127" s="30" t="s">
        <v>475</v>
      </c>
      <c r="I127" s="33">
        <v>100001</v>
      </c>
      <c r="J127" s="50">
        <v>2500</v>
      </c>
      <c r="K127" s="30" t="s">
        <v>475</v>
      </c>
      <c r="L127" s="33">
        <v>100001</v>
      </c>
      <c r="M127" s="50">
        <v>19500</v>
      </c>
      <c r="N127" s="30"/>
      <c r="O127" s="33" t="s">
        <v>545</v>
      </c>
      <c r="P127" s="33" t="s">
        <v>545</v>
      </c>
      <c r="Q127" s="30" t="s">
        <v>2978</v>
      </c>
      <c r="R127" s="33">
        <f>IFERROR(INDEX([1]Item!$A:$A,MATCH(Q127,[1]Item!$B:$B,0)),"-")</f>
        <v>23348109</v>
      </c>
      <c r="S127" s="33">
        <v>1</v>
      </c>
      <c r="T127" s="30"/>
      <c r="U127" s="33" t="str">
        <f>IFERROR(INDEX([1]Item!$A:$A,MATCH(T127,[1]Item!$B:$B,0)),"-")</f>
        <v>-</v>
      </c>
      <c r="V127" s="33" t="s">
        <v>545</v>
      </c>
      <c r="W127" s="30"/>
      <c r="X127" s="33" t="s">
        <v>545</v>
      </c>
      <c r="Y127" s="33" t="s">
        <v>545</v>
      </c>
    </row>
    <row r="128" spans="1:25">
      <c r="A128" s="29">
        <v>47100121</v>
      </c>
      <c r="B128" s="30" t="s">
        <v>3062</v>
      </c>
      <c r="C128" s="33" t="s">
        <v>3063</v>
      </c>
      <c r="D128" s="33" t="s">
        <v>3064</v>
      </c>
      <c r="E128" s="55" t="b">
        <v>0</v>
      </c>
      <c r="F128" s="30">
        <v>4</v>
      </c>
      <c r="G128" s="200">
        <f t="shared" si="1"/>
        <v>16800000</v>
      </c>
      <c r="H128" s="30" t="s">
        <v>475</v>
      </c>
      <c r="I128" s="33">
        <v>100001</v>
      </c>
      <c r="J128" s="50">
        <v>2500</v>
      </c>
      <c r="K128" s="30" t="s">
        <v>475</v>
      </c>
      <c r="L128" s="33">
        <v>100001</v>
      </c>
      <c r="M128" s="50">
        <v>19500</v>
      </c>
      <c r="N128" s="30"/>
      <c r="O128" s="33" t="s">
        <v>545</v>
      </c>
      <c r="P128" s="33" t="s">
        <v>545</v>
      </c>
      <c r="Q128" s="30" t="s">
        <v>3065</v>
      </c>
      <c r="R128" s="33">
        <f>IFERROR(INDEX([1]Item!$A:$A,MATCH(Q128,[1]Item!$B:$B,0)),"-")</f>
        <v>23348552</v>
      </c>
      <c r="S128" s="33">
        <v>1</v>
      </c>
      <c r="T128" s="30"/>
      <c r="U128" s="33" t="str">
        <f>IFERROR(INDEX([1]Item!$A:$A,MATCH(T128,[1]Item!$B:$B,0)),"-")</f>
        <v>-</v>
      </c>
      <c r="V128" s="33" t="s">
        <v>545</v>
      </c>
      <c r="W128" s="30"/>
      <c r="X128" s="33" t="s">
        <v>545</v>
      </c>
      <c r="Y128" s="33" t="s">
        <v>545</v>
      </c>
    </row>
    <row r="129" spans="1:26">
      <c r="A129" s="29">
        <v>47100122</v>
      </c>
      <c r="B129" s="30" t="s">
        <v>3128</v>
      </c>
      <c r="C129" s="33" t="s">
        <v>3129</v>
      </c>
      <c r="D129" s="33" t="s">
        <v>3130</v>
      </c>
      <c r="E129" s="55" t="b">
        <v>0</v>
      </c>
      <c r="F129" s="30">
        <v>4</v>
      </c>
      <c r="G129" s="200">
        <f t="shared" si="1"/>
        <v>16800000</v>
      </c>
      <c r="H129" s="30" t="s">
        <v>475</v>
      </c>
      <c r="I129" s="33">
        <v>100001</v>
      </c>
      <c r="J129" s="50">
        <v>2500</v>
      </c>
      <c r="K129" s="30" t="s">
        <v>475</v>
      </c>
      <c r="L129" s="33">
        <v>100001</v>
      </c>
      <c r="M129" s="50">
        <v>19500</v>
      </c>
      <c r="N129" s="30"/>
      <c r="O129" s="33" t="s">
        <v>545</v>
      </c>
      <c r="P129" s="33" t="s">
        <v>545</v>
      </c>
      <c r="Q129" s="30" t="s">
        <v>3131</v>
      </c>
      <c r="R129" s="33">
        <f>IFERROR(INDEX([1]Item!$A:$A,MATCH(Q129,[1]Item!$B:$B,0)),"-")</f>
        <v>23348556</v>
      </c>
      <c r="S129" s="33">
        <v>1</v>
      </c>
      <c r="T129" s="30"/>
      <c r="U129" s="33" t="str">
        <f>IFERROR(INDEX([1]Item!$A:$A,MATCH(T129,[1]Item!$B:$B,0)),"-")</f>
        <v>-</v>
      </c>
      <c r="V129" s="33" t="s">
        <v>545</v>
      </c>
      <c r="W129" s="30"/>
      <c r="X129" s="33" t="s">
        <v>545</v>
      </c>
      <c r="Y129" s="33" t="s">
        <v>545</v>
      </c>
    </row>
    <row r="130" spans="1:26">
      <c r="A130" s="29">
        <v>47100123</v>
      </c>
      <c r="B130" s="30" t="s">
        <v>3135</v>
      </c>
      <c r="C130" s="33" t="s">
        <v>3136</v>
      </c>
      <c r="D130" s="33" t="s">
        <v>3138</v>
      </c>
      <c r="E130" s="55" t="b">
        <v>0</v>
      </c>
      <c r="F130" s="30">
        <v>4</v>
      </c>
      <c r="G130" s="200">
        <f t="shared" si="1"/>
        <v>16800000</v>
      </c>
      <c r="H130" s="30" t="s">
        <v>475</v>
      </c>
      <c r="I130" s="33">
        <v>100001</v>
      </c>
      <c r="J130" s="50">
        <v>679500</v>
      </c>
      <c r="K130" s="30" t="s">
        <v>475</v>
      </c>
      <c r="L130" s="33">
        <v>100001</v>
      </c>
      <c r="M130" s="50">
        <v>5434000</v>
      </c>
      <c r="N130" s="30"/>
      <c r="O130" s="33" t="s">
        <v>545</v>
      </c>
      <c r="P130" s="33" t="s">
        <v>545</v>
      </c>
      <c r="Q130" s="30" t="s">
        <v>3137</v>
      </c>
      <c r="R130" s="33">
        <f>IFERROR(INDEX([1]Item!$A:$A,MATCH(Q130,[1]Item!$B:$B,0)),"-")</f>
        <v>23700066</v>
      </c>
      <c r="S130" s="33">
        <v>1</v>
      </c>
      <c r="T130" s="30"/>
      <c r="U130" s="33" t="str">
        <f>IFERROR(INDEX([1]Item!$A:$A,MATCH(T130,[1]Item!$B:$B,0)),"-")</f>
        <v>-</v>
      </c>
      <c r="V130" s="33" t="s">
        <v>545</v>
      </c>
      <c r="W130" s="30"/>
      <c r="X130" s="33" t="s">
        <v>545</v>
      </c>
      <c r="Y130" s="33" t="s">
        <v>545</v>
      </c>
    </row>
    <row r="131" spans="1:26">
      <c r="A131" s="29">
        <v>47100124</v>
      </c>
      <c r="B131" s="30" t="s">
        <v>3147</v>
      </c>
      <c r="C131" s="33" t="s">
        <v>3148</v>
      </c>
      <c r="D131" s="33" t="s">
        <v>3149</v>
      </c>
      <c r="E131" s="55" t="b">
        <v>0</v>
      </c>
      <c r="F131" s="30">
        <v>4</v>
      </c>
      <c r="G131" s="200">
        <f t="shared" si="1"/>
        <v>16800000</v>
      </c>
      <c r="H131" s="30" t="s">
        <v>475</v>
      </c>
      <c r="I131" s="33">
        <v>100001</v>
      </c>
      <c r="J131" s="50">
        <v>2500</v>
      </c>
      <c r="K131" s="30" t="s">
        <v>475</v>
      </c>
      <c r="L131" s="33">
        <v>100001</v>
      </c>
      <c r="M131" s="50">
        <v>19500</v>
      </c>
      <c r="N131" s="30"/>
      <c r="O131" s="33" t="s">
        <v>545</v>
      </c>
      <c r="P131" s="33" t="s">
        <v>545</v>
      </c>
      <c r="Q131" s="30" t="s">
        <v>3150</v>
      </c>
      <c r="R131" s="33">
        <f>IFERROR(INDEX([1]Item!$A:$A,MATCH(Q131,[1]Item!$B:$B,0)),"-")</f>
        <v>23348557</v>
      </c>
      <c r="S131" s="33">
        <v>1</v>
      </c>
      <c r="T131" s="30"/>
      <c r="U131" s="33" t="str">
        <f>IFERROR(INDEX([1]Item!$A:$A,MATCH(T131,[1]Item!$B:$B,0)),"-")</f>
        <v>-</v>
      </c>
      <c r="V131" s="33" t="s">
        <v>545</v>
      </c>
      <c r="W131" s="30"/>
      <c r="X131" s="33" t="s">
        <v>545</v>
      </c>
      <c r="Y131" s="33" t="s">
        <v>545</v>
      </c>
    </row>
    <row r="132" spans="1:26">
      <c r="A132" s="29">
        <v>47100125</v>
      </c>
      <c r="B132" s="30" t="s">
        <v>3356</v>
      </c>
      <c r="C132" s="33" t="s">
        <v>3170</v>
      </c>
      <c r="D132" s="33" t="s">
        <v>3171</v>
      </c>
      <c r="E132" s="55" t="b">
        <v>0</v>
      </c>
      <c r="F132" s="30">
        <v>4</v>
      </c>
      <c r="G132" s="200">
        <f t="shared" si="1"/>
        <v>16800000</v>
      </c>
      <c r="H132" s="30" t="s">
        <v>475</v>
      </c>
      <c r="I132" s="33">
        <v>100001</v>
      </c>
      <c r="J132" s="50">
        <v>679500</v>
      </c>
      <c r="K132" s="30" t="s">
        <v>475</v>
      </c>
      <c r="L132" s="33">
        <v>100001</v>
      </c>
      <c r="M132" s="50">
        <v>5434000</v>
      </c>
      <c r="N132" s="30"/>
      <c r="O132" s="33" t="s">
        <v>545</v>
      </c>
      <c r="P132" s="33" t="s">
        <v>545</v>
      </c>
      <c r="Q132" s="30" t="s">
        <v>3172</v>
      </c>
      <c r="R132" s="33">
        <f>IFERROR(INDEX([1]Item!$A:$A,MATCH(Q132,[1]Item!$B:$B,0)),"-")</f>
        <v>23700171</v>
      </c>
      <c r="S132" s="33">
        <v>1</v>
      </c>
      <c r="T132" s="30"/>
      <c r="U132" s="33" t="str">
        <f>IFERROR(INDEX([1]Item!$A:$A,MATCH(T132,[1]Item!$B:$B,0)),"-")</f>
        <v>-</v>
      </c>
      <c r="V132" s="33" t="s">
        <v>545</v>
      </c>
      <c r="W132" s="30"/>
      <c r="X132" s="33" t="s">
        <v>545</v>
      </c>
      <c r="Y132" s="33" t="s">
        <v>545</v>
      </c>
    </row>
    <row r="133" spans="1:26">
      <c r="A133" s="29">
        <v>47100126</v>
      </c>
      <c r="B133" s="30" t="s">
        <v>3354</v>
      </c>
      <c r="C133" s="33" t="s">
        <v>3357</v>
      </c>
      <c r="D133" s="33" t="s">
        <v>3358</v>
      </c>
      <c r="E133" s="55" t="b">
        <v>0</v>
      </c>
      <c r="F133" s="30">
        <v>4</v>
      </c>
      <c r="G133" s="200">
        <f t="shared" si="1"/>
        <v>16800000</v>
      </c>
      <c r="H133" s="30" t="s">
        <v>475</v>
      </c>
      <c r="I133" s="33">
        <v>100001</v>
      </c>
      <c r="J133" s="50">
        <v>2500</v>
      </c>
      <c r="K133" s="30" t="s">
        <v>475</v>
      </c>
      <c r="L133" s="33">
        <v>100001</v>
      </c>
      <c r="M133" s="50">
        <v>19500</v>
      </c>
      <c r="N133" s="30"/>
      <c r="O133" s="33" t="s">
        <v>545</v>
      </c>
      <c r="P133" s="33" t="s">
        <v>545</v>
      </c>
      <c r="Q133" s="30" t="s">
        <v>3355</v>
      </c>
      <c r="R133" s="33">
        <f>IFERROR(INDEX([1]Item!$A:$A,MATCH(Q133,[1]Item!$B:$B,0)),"-")</f>
        <v>23348555</v>
      </c>
      <c r="S133" s="33">
        <v>1</v>
      </c>
      <c r="T133" s="30"/>
      <c r="U133" s="33" t="str">
        <f>IFERROR(INDEX([1]Item!$A:$A,MATCH(T133,[1]Item!$B:$B,0)),"-")</f>
        <v>-</v>
      </c>
      <c r="V133" s="33" t="s">
        <v>545</v>
      </c>
      <c r="W133" s="30"/>
      <c r="X133" s="33" t="s">
        <v>545</v>
      </c>
      <c r="Y133" s="33" t="s">
        <v>545</v>
      </c>
    </row>
    <row r="134" spans="1:26">
      <c r="A134" s="29">
        <v>47100127</v>
      </c>
      <c r="B134" s="30" t="s">
        <v>3849</v>
      </c>
      <c r="C134" s="33" t="s">
        <v>3850</v>
      </c>
      <c r="D134" s="33" t="s">
        <v>3851</v>
      </c>
      <c r="E134" s="55" t="b">
        <v>1</v>
      </c>
      <c r="F134" s="30">
        <v>1</v>
      </c>
      <c r="G134" s="200">
        <f t="shared" si="1"/>
        <v>350000</v>
      </c>
      <c r="H134" s="30" t="s">
        <v>475</v>
      </c>
      <c r="I134" s="33">
        <v>100001</v>
      </c>
      <c r="J134" s="50">
        <v>2500</v>
      </c>
      <c r="K134" s="30" t="s">
        <v>475</v>
      </c>
      <c r="L134" s="33">
        <v>100001</v>
      </c>
      <c r="M134" s="50">
        <v>19500</v>
      </c>
      <c r="N134" s="30"/>
      <c r="O134" s="33" t="s">
        <v>545</v>
      </c>
      <c r="P134" s="33" t="s">
        <v>545</v>
      </c>
      <c r="Q134" s="30" t="s">
        <v>3852</v>
      </c>
      <c r="R134" s="33">
        <f>IFERROR(INDEX([1]Item!$A:$A,MATCH(Q134,[1]Item!$B:$B,0)),"-")</f>
        <v>23348558</v>
      </c>
      <c r="S134" s="33">
        <v>1</v>
      </c>
      <c r="T134" s="30"/>
      <c r="U134" s="33" t="str">
        <f>IFERROR(INDEX([1]Item!$A:$A,MATCH(T134,[1]Item!$B:$B,0)),"-")</f>
        <v>-</v>
      </c>
      <c r="V134" s="33" t="s">
        <v>545</v>
      </c>
      <c r="W134" s="30"/>
      <c r="X134" s="33" t="s">
        <v>545</v>
      </c>
      <c r="Y134" s="33" t="s">
        <v>545</v>
      </c>
    </row>
    <row r="135" spans="1:26">
      <c r="A135" s="31"/>
      <c r="B135" s="32"/>
      <c r="C135" s="32"/>
      <c r="D135" s="32"/>
      <c r="E135" s="32"/>
      <c r="F135" s="32"/>
      <c r="G135" s="32"/>
      <c r="H135" s="32"/>
      <c r="I135" s="32"/>
      <c r="J135" s="32"/>
      <c r="K135" s="32"/>
      <c r="L135" s="32"/>
      <c r="M135" s="32"/>
      <c r="N135" s="32"/>
      <c r="O135" s="32"/>
      <c r="P135" s="32"/>
      <c r="Q135" s="32"/>
      <c r="R135" s="32"/>
      <c r="S135" s="32"/>
      <c r="T135" s="32"/>
      <c r="U135" s="32"/>
      <c r="V135" s="32"/>
      <c r="W135" s="32"/>
      <c r="X135" s="32"/>
      <c r="Y135" s="32"/>
      <c r="Z135" s="27" t="s">
        <v>8</v>
      </c>
    </row>
    <row r="137" spans="1:26" ht="15">
      <c r="A137" s="59" t="s">
        <v>3716</v>
      </c>
      <c r="C137" s="211"/>
      <c r="D137" s="211"/>
    </row>
  </sheetData>
  <phoneticPr fontId="5" type="noConversion"/>
  <conditionalFormatting sqref="E9:E134">
    <cfRule type="cellIs" dxfId="1" priority="2" operator="equal">
      <formula>FALSE</formula>
    </cfRule>
    <cfRule type="cellIs" dxfId="0" priority="3" operator="equal">
      <formula>TRUE</formula>
    </cfRule>
  </conditionalFormatting>
  <conditionalFormatting sqref="G9:G133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134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pageSetup paperSize="9" orientation="portrait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Y129"/>
  <sheetViews>
    <sheetView zoomScale="85" zoomScaleNormal="85" workbookViewId="0">
      <pane ySplit="7" topLeftCell="A65" activePane="bottomLeft" state="frozen"/>
      <selection activeCell="D60" sqref="D60"/>
      <selection pane="bottomLeft" activeCell="B128" sqref="B128"/>
    </sheetView>
  </sheetViews>
  <sheetFormatPr defaultColWidth="9.140625" defaultRowHeight="13.5"/>
  <cols>
    <col min="1" max="1" width="19" style="27" customWidth="1"/>
    <col min="2" max="2" width="28.140625" style="27" bestFit="1" customWidth="1"/>
    <col min="3" max="3" width="20" style="27" bestFit="1" customWidth="1"/>
    <col min="4" max="5" width="9.140625" style="201"/>
    <col min="6" max="6" width="20" style="27" customWidth="1"/>
    <col min="7" max="7" width="20" style="27" bestFit="1" customWidth="1"/>
    <col min="8" max="9" width="20" style="27" customWidth="1"/>
    <col min="10" max="10" width="20" style="27" bestFit="1" customWidth="1"/>
    <col min="11" max="12" width="20" style="27" customWidth="1"/>
    <col min="13" max="13" width="20" style="27" bestFit="1" customWidth="1"/>
    <col min="14" max="25" width="20" style="27" customWidth="1"/>
    <col min="26" max="26" width="31.42578125" style="27" customWidth="1"/>
    <col min="27" max="27" width="11" style="27" bestFit="1" customWidth="1"/>
    <col min="28" max="28" width="9.140625" style="27"/>
    <col min="29" max="29" width="24.7109375" style="27" customWidth="1"/>
    <col min="30" max="30" width="22.5703125" style="27" customWidth="1"/>
    <col min="31" max="16384" width="9.140625" style="27"/>
  </cols>
  <sheetData>
    <row r="1" spans="1:24">
      <c r="A1" s="6" t="s">
        <v>5</v>
      </c>
      <c r="B1" s="25"/>
      <c r="C1" s="26" t="s">
        <v>552</v>
      </c>
      <c r="D1" s="25"/>
      <c r="E1" s="25"/>
      <c r="F1" s="26" t="s">
        <v>717</v>
      </c>
      <c r="G1" s="25"/>
      <c r="H1" s="26" t="s">
        <v>471</v>
      </c>
      <c r="I1" s="26" t="s">
        <v>472</v>
      </c>
      <c r="J1" s="25"/>
      <c r="K1" s="26" t="s">
        <v>473</v>
      </c>
      <c r="L1" s="26" t="s">
        <v>474</v>
      </c>
      <c r="M1" s="25"/>
      <c r="N1" s="26" t="s">
        <v>550</v>
      </c>
      <c r="O1" s="26" t="s">
        <v>551</v>
      </c>
      <c r="P1" s="25"/>
      <c r="Q1" s="26" t="s">
        <v>1249</v>
      </c>
      <c r="R1" s="26" t="s">
        <v>1250</v>
      </c>
      <c r="S1" s="25"/>
      <c r="T1" s="26" t="s">
        <v>1251</v>
      </c>
      <c r="U1" s="26" t="s">
        <v>1252</v>
      </c>
      <c r="V1" s="25"/>
      <c r="W1" s="26" t="s">
        <v>1253</v>
      </c>
      <c r="X1" s="26" t="s">
        <v>1254</v>
      </c>
    </row>
    <row r="2" spans="1:24" ht="27">
      <c r="A2" s="6" t="s">
        <v>480</v>
      </c>
      <c r="B2" s="25"/>
      <c r="C2" s="26" t="s">
        <v>7</v>
      </c>
      <c r="D2" s="25"/>
      <c r="E2" s="25"/>
      <c r="F2" s="26" t="s">
        <v>718</v>
      </c>
      <c r="G2" s="25"/>
      <c r="H2" s="26" t="s">
        <v>7</v>
      </c>
      <c r="I2" s="26" t="s">
        <v>7</v>
      </c>
      <c r="J2" s="25"/>
      <c r="K2" s="26" t="s">
        <v>7</v>
      </c>
      <c r="L2" s="26" t="s">
        <v>7</v>
      </c>
      <c r="M2" s="25"/>
      <c r="N2" s="26" t="s">
        <v>7</v>
      </c>
      <c r="O2" s="26" t="s">
        <v>7</v>
      </c>
      <c r="P2" s="25"/>
      <c r="Q2" s="26" t="s">
        <v>7</v>
      </c>
      <c r="R2" s="26" t="s">
        <v>7</v>
      </c>
      <c r="S2" s="25"/>
      <c r="T2" s="26" t="s">
        <v>7</v>
      </c>
      <c r="U2" s="26" t="s">
        <v>7</v>
      </c>
      <c r="V2" s="25"/>
      <c r="W2" s="26" t="s">
        <v>7</v>
      </c>
      <c r="X2" s="26" t="s">
        <v>7</v>
      </c>
    </row>
    <row r="3" spans="1:24">
      <c r="A3" s="8" t="s">
        <v>1</v>
      </c>
      <c r="B3" s="25"/>
      <c r="C3" s="28" t="s">
        <v>0</v>
      </c>
      <c r="D3" s="25"/>
      <c r="E3" s="25"/>
      <c r="F3" s="28">
        <v>1</v>
      </c>
      <c r="G3" s="25"/>
      <c r="H3" s="28" t="s">
        <v>0</v>
      </c>
      <c r="I3" s="28" t="s">
        <v>0</v>
      </c>
      <c r="J3" s="25"/>
      <c r="K3" s="28" t="s">
        <v>0</v>
      </c>
      <c r="L3" s="28" t="s">
        <v>0</v>
      </c>
      <c r="M3" s="25"/>
      <c r="N3" s="28" t="s">
        <v>0</v>
      </c>
      <c r="O3" s="28" t="s">
        <v>0</v>
      </c>
      <c r="P3" s="25"/>
      <c r="Q3" s="28" t="s">
        <v>0</v>
      </c>
      <c r="R3" s="28" t="s">
        <v>0</v>
      </c>
      <c r="S3" s="25"/>
      <c r="T3" s="28" t="s">
        <v>0</v>
      </c>
      <c r="U3" s="28" t="s">
        <v>0</v>
      </c>
      <c r="V3" s="25"/>
      <c r="W3" s="28" t="s">
        <v>0</v>
      </c>
      <c r="X3" s="28" t="s">
        <v>0</v>
      </c>
    </row>
    <row r="4" spans="1:24">
      <c r="A4" s="8" t="s">
        <v>2</v>
      </c>
      <c r="B4" s="25"/>
      <c r="C4" s="28" t="s">
        <v>0</v>
      </c>
      <c r="D4" s="25"/>
      <c r="E4" s="25"/>
      <c r="F4" s="28" t="s">
        <v>545</v>
      </c>
      <c r="G4" s="25"/>
      <c r="H4" s="28" t="s">
        <v>0</v>
      </c>
      <c r="I4" s="28" t="s">
        <v>0</v>
      </c>
      <c r="J4" s="25"/>
      <c r="K4" s="28" t="s">
        <v>0</v>
      </c>
      <c r="L4" s="28" t="s">
        <v>0</v>
      </c>
      <c r="M4" s="25"/>
      <c r="N4" s="28" t="s">
        <v>0</v>
      </c>
      <c r="O4" s="28" t="s">
        <v>0</v>
      </c>
      <c r="P4" s="25"/>
      <c r="Q4" s="28" t="s">
        <v>0</v>
      </c>
      <c r="R4" s="28" t="s">
        <v>0</v>
      </c>
      <c r="S4" s="25"/>
      <c r="T4" s="28" t="s">
        <v>0</v>
      </c>
      <c r="U4" s="28" t="s">
        <v>0</v>
      </c>
      <c r="V4" s="25"/>
      <c r="W4" s="28" t="s">
        <v>0</v>
      </c>
      <c r="X4" s="28" t="s">
        <v>0</v>
      </c>
    </row>
    <row r="5" spans="1:24">
      <c r="A5" s="8" t="s">
        <v>3</v>
      </c>
      <c r="B5" s="25"/>
      <c r="C5" s="28" t="s">
        <v>0</v>
      </c>
      <c r="D5" s="25"/>
      <c r="E5" s="25"/>
      <c r="F5" s="28" t="s">
        <v>545</v>
      </c>
      <c r="G5" s="25"/>
      <c r="H5" s="28" t="s">
        <v>0</v>
      </c>
      <c r="I5" s="28" t="s">
        <v>0</v>
      </c>
      <c r="J5" s="25"/>
      <c r="K5" s="28" t="s">
        <v>0</v>
      </c>
      <c r="L5" s="28" t="s">
        <v>0</v>
      </c>
      <c r="M5" s="25"/>
      <c r="N5" s="28" t="s">
        <v>0</v>
      </c>
      <c r="O5" s="28" t="s">
        <v>0</v>
      </c>
      <c r="P5" s="25"/>
      <c r="Q5" s="28" t="s">
        <v>0</v>
      </c>
      <c r="R5" s="28" t="s">
        <v>0</v>
      </c>
      <c r="S5" s="25"/>
      <c r="T5" s="28" t="s">
        <v>0</v>
      </c>
      <c r="U5" s="28" t="s">
        <v>0</v>
      </c>
      <c r="V5" s="25"/>
      <c r="W5" s="28" t="s">
        <v>0</v>
      </c>
      <c r="X5" s="28" t="s">
        <v>0</v>
      </c>
    </row>
    <row r="6" spans="1:24">
      <c r="A6" s="8" t="s">
        <v>4</v>
      </c>
      <c r="B6" s="25"/>
      <c r="C6" s="28" t="s">
        <v>0</v>
      </c>
      <c r="D6" s="25"/>
      <c r="E6" s="25"/>
      <c r="F6" s="28" t="s">
        <v>545</v>
      </c>
      <c r="G6" s="25"/>
      <c r="H6" s="28" t="s">
        <v>0</v>
      </c>
      <c r="I6" s="28" t="s">
        <v>0</v>
      </c>
      <c r="J6" s="25"/>
      <c r="K6" s="28" t="s">
        <v>0</v>
      </c>
      <c r="L6" s="28" t="s">
        <v>0</v>
      </c>
      <c r="M6" s="25"/>
      <c r="N6" s="28" t="s">
        <v>0</v>
      </c>
      <c r="O6" s="28" t="s">
        <v>0</v>
      </c>
      <c r="P6" s="25"/>
      <c r="Q6" s="28" t="s">
        <v>0</v>
      </c>
      <c r="R6" s="28" t="s">
        <v>0</v>
      </c>
      <c r="S6" s="25"/>
      <c r="T6" s="28" t="s">
        <v>0</v>
      </c>
      <c r="U6" s="28" t="s">
        <v>0</v>
      </c>
      <c r="V6" s="25"/>
      <c r="W6" s="28" t="s">
        <v>0</v>
      </c>
      <c r="X6" s="28" t="s">
        <v>0</v>
      </c>
    </row>
    <row r="7" spans="1:24">
      <c r="A7" s="8" t="s">
        <v>10</v>
      </c>
      <c r="B7" s="25"/>
      <c r="C7" s="28" t="s">
        <v>0</v>
      </c>
      <c r="D7" s="25" t="s">
        <v>2309</v>
      </c>
      <c r="E7" s="25" t="s">
        <v>2310</v>
      </c>
      <c r="F7" s="28" t="s">
        <v>545</v>
      </c>
      <c r="G7" s="25"/>
      <c r="H7" s="28" t="s">
        <v>0</v>
      </c>
      <c r="I7" s="28" t="s">
        <v>0</v>
      </c>
      <c r="J7" s="25"/>
      <c r="K7" s="28" t="s">
        <v>0</v>
      </c>
      <c r="L7" s="28" t="s">
        <v>0</v>
      </c>
      <c r="M7" s="25"/>
      <c r="N7" s="28" t="s">
        <v>0</v>
      </c>
      <c r="O7" s="28" t="s">
        <v>0</v>
      </c>
      <c r="P7" s="25"/>
      <c r="Q7" s="28" t="s">
        <v>0</v>
      </c>
      <c r="R7" s="28" t="s">
        <v>0</v>
      </c>
      <c r="S7" s="25"/>
      <c r="T7" s="28" t="s">
        <v>0</v>
      </c>
      <c r="U7" s="28" t="s">
        <v>0</v>
      </c>
      <c r="V7" s="25"/>
      <c r="W7" s="28" t="s">
        <v>0</v>
      </c>
      <c r="X7" s="28" t="s">
        <v>0</v>
      </c>
    </row>
    <row r="8" spans="1:24">
      <c r="A8" s="29">
        <v>47300000</v>
      </c>
      <c r="B8" s="30" t="s">
        <v>629</v>
      </c>
      <c r="C8" s="61" t="s">
        <v>630</v>
      </c>
      <c r="D8" s="200">
        <v>0</v>
      </c>
      <c r="E8" s="200">
        <f>IFERROR(INT(POWER(5,(POWER(D8-1,1.25)))) * 50000, 0)</f>
        <v>0</v>
      </c>
      <c r="F8" s="204" t="b">
        <v>1</v>
      </c>
      <c r="G8" s="30" t="s">
        <v>475</v>
      </c>
      <c r="H8" s="33">
        <v>100001</v>
      </c>
      <c r="I8" s="50">
        <v>500</v>
      </c>
      <c r="J8" s="30" t="s">
        <v>561</v>
      </c>
      <c r="K8" s="33" t="s">
        <v>545</v>
      </c>
      <c r="L8" s="50" t="s">
        <v>545</v>
      </c>
      <c r="M8" s="30" t="s">
        <v>561</v>
      </c>
      <c r="N8" s="33" t="s">
        <v>545</v>
      </c>
      <c r="O8" s="33" t="s">
        <v>545</v>
      </c>
      <c r="P8" s="30"/>
      <c r="Q8" s="33" t="str">
        <f>IFERROR(INDEX([1]Item!$A:$A,MATCH(P8,[1]Item!$B:$B,0)),"-")</f>
        <v>-</v>
      </c>
      <c r="R8" s="33" t="s">
        <v>545</v>
      </c>
      <c r="S8" s="30"/>
      <c r="T8" s="33" t="s">
        <v>545</v>
      </c>
      <c r="U8" s="33" t="s">
        <v>545</v>
      </c>
      <c r="V8" s="30"/>
      <c r="W8" s="33" t="s">
        <v>545</v>
      </c>
      <c r="X8" s="33" t="s">
        <v>545</v>
      </c>
    </row>
    <row r="9" spans="1:24">
      <c r="A9" s="29">
        <v>47300001</v>
      </c>
      <c r="B9" s="30" t="s">
        <v>481</v>
      </c>
      <c r="C9" s="62" t="s">
        <v>631</v>
      </c>
      <c r="D9" s="200">
        <v>0</v>
      </c>
      <c r="E9" s="200">
        <f t="shared" ref="E9:E53" si="0">IFERROR(INT(POWER(5,(POWER(D9-1,1.25)))) * 50000, 0)</f>
        <v>0</v>
      </c>
      <c r="F9" s="204" t="b">
        <v>1</v>
      </c>
      <c r="G9" s="30" t="s">
        <v>475</v>
      </c>
      <c r="H9" s="33">
        <v>100001</v>
      </c>
      <c r="I9" s="50">
        <v>500</v>
      </c>
      <c r="J9" s="30" t="s">
        <v>561</v>
      </c>
      <c r="K9" s="33" t="s">
        <v>545</v>
      </c>
      <c r="L9" s="50" t="s">
        <v>545</v>
      </c>
      <c r="M9" s="30" t="s">
        <v>561</v>
      </c>
      <c r="N9" s="33" t="s">
        <v>545</v>
      </c>
      <c r="O9" s="33" t="s">
        <v>545</v>
      </c>
      <c r="P9" s="30"/>
      <c r="Q9" s="33" t="str">
        <f>IFERROR(INDEX([1]Item!$A:$A,MATCH(P9,[1]Item!$B:$B,0)),"-")</f>
        <v>-</v>
      </c>
      <c r="R9" s="33" t="s">
        <v>545</v>
      </c>
      <c r="S9" s="30"/>
      <c r="T9" s="33" t="s">
        <v>545</v>
      </c>
      <c r="U9" s="33" t="s">
        <v>545</v>
      </c>
      <c r="V9" s="30"/>
      <c r="W9" s="33" t="s">
        <v>545</v>
      </c>
      <c r="X9" s="33" t="s">
        <v>545</v>
      </c>
    </row>
    <row r="10" spans="1:24">
      <c r="A10" s="29">
        <v>47300002</v>
      </c>
      <c r="B10" s="30" t="s">
        <v>536</v>
      </c>
      <c r="C10" s="63" t="s">
        <v>632</v>
      </c>
      <c r="D10" s="200">
        <v>2</v>
      </c>
      <c r="E10" s="200">
        <f t="shared" si="0"/>
        <v>250000</v>
      </c>
      <c r="F10" s="204" t="b">
        <v>1</v>
      </c>
      <c r="G10" s="30" t="s">
        <v>475</v>
      </c>
      <c r="H10" s="33">
        <v>100001</v>
      </c>
      <c r="I10" s="50">
        <v>3000</v>
      </c>
      <c r="J10" s="30" t="s">
        <v>475</v>
      </c>
      <c r="K10" s="33">
        <v>100001</v>
      </c>
      <c r="L10" s="50">
        <v>22500</v>
      </c>
      <c r="M10" s="30" t="s">
        <v>561</v>
      </c>
      <c r="N10" s="33" t="s">
        <v>545</v>
      </c>
      <c r="O10" s="33" t="s">
        <v>545</v>
      </c>
      <c r="P10" s="30" t="s">
        <v>2571</v>
      </c>
      <c r="Q10" s="33">
        <f>IFERROR(INDEX([1]Item!$A:$A,MATCH(P10,[1]Item!$B:$B,0)),"-")</f>
        <v>23347007</v>
      </c>
      <c r="R10" s="33">
        <v>1</v>
      </c>
      <c r="S10" s="30"/>
      <c r="T10" s="33" t="s">
        <v>545</v>
      </c>
      <c r="U10" s="33" t="s">
        <v>545</v>
      </c>
      <c r="V10" s="30"/>
      <c r="W10" s="33" t="s">
        <v>545</v>
      </c>
      <c r="X10" s="33" t="s">
        <v>545</v>
      </c>
    </row>
    <row r="11" spans="1:24">
      <c r="A11" s="29">
        <v>47300003</v>
      </c>
      <c r="B11" s="30" t="s">
        <v>483</v>
      </c>
      <c r="C11" s="64" t="s">
        <v>633</v>
      </c>
      <c r="D11" s="200">
        <v>2</v>
      </c>
      <c r="E11" s="200">
        <f t="shared" si="0"/>
        <v>250000</v>
      </c>
      <c r="F11" s="204" t="b">
        <v>1</v>
      </c>
      <c r="G11" s="30" t="s">
        <v>475</v>
      </c>
      <c r="H11" s="33">
        <v>100001</v>
      </c>
      <c r="I11" s="50">
        <v>18500</v>
      </c>
      <c r="J11" s="30" t="s">
        <v>475</v>
      </c>
      <c r="K11" s="33">
        <v>100001</v>
      </c>
      <c r="L11" s="50">
        <v>144500</v>
      </c>
      <c r="M11" s="30" t="s">
        <v>561</v>
      </c>
      <c r="N11" s="33" t="s">
        <v>545</v>
      </c>
      <c r="O11" s="33" t="s">
        <v>545</v>
      </c>
      <c r="P11" s="30" t="s">
        <v>2572</v>
      </c>
      <c r="Q11" s="33">
        <f>IFERROR(INDEX([1]Item!$A:$A,MATCH(P11,[1]Item!$B:$B,0)),"-")</f>
        <v>23347006</v>
      </c>
      <c r="R11" s="33">
        <v>1</v>
      </c>
      <c r="S11" s="30"/>
      <c r="T11" s="33" t="s">
        <v>545</v>
      </c>
      <c r="U11" s="33" t="s">
        <v>545</v>
      </c>
      <c r="V11" s="30"/>
      <c r="W11" s="33" t="s">
        <v>545</v>
      </c>
      <c r="X11" s="33" t="s">
        <v>545</v>
      </c>
    </row>
    <row r="12" spans="1:24">
      <c r="A12" s="29">
        <v>47300004</v>
      </c>
      <c r="B12" s="30" t="s">
        <v>484</v>
      </c>
      <c r="C12" s="65" t="s">
        <v>634</v>
      </c>
      <c r="D12" s="200">
        <v>1</v>
      </c>
      <c r="E12" s="200">
        <f t="shared" si="0"/>
        <v>50000</v>
      </c>
      <c r="F12" s="204" t="b">
        <v>1</v>
      </c>
      <c r="G12" s="30" t="s">
        <v>475</v>
      </c>
      <c r="H12" s="33">
        <v>100001</v>
      </c>
      <c r="I12" s="50">
        <v>500</v>
      </c>
      <c r="J12" s="30" t="s">
        <v>475</v>
      </c>
      <c r="K12" s="33">
        <v>100001</v>
      </c>
      <c r="L12" s="50">
        <v>3000</v>
      </c>
      <c r="M12" s="30" t="s">
        <v>561</v>
      </c>
      <c r="N12" s="33" t="s">
        <v>545</v>
      </c>
      <c r="O12" s="33" t="s">
        <v>545</v>
      </c>
      <c r="P12" s="30" t="s">
        <v>2573</v>
      </c>
      <c r="Q12" s="33">
        <f>IFERROR(INDEX([1]Item!$A:$A,MATCH(P12,[1]Item!$B:$B,0)),"-")</f>
        <v>23347008</v>
      </c>
      <c r="R12" s="33">
        <v>1</v>
      </c>
      <c r="S12" s="30"/>
      <c r="T12" s="33" t="s">
        <v>545</v>
      </c>
      <c r="U12" s="33" t="s">
        <v>545</v>
      </c>
      <c r="V12" s="30"/>
      <c r="W12" s="33" t="s">
        <v>545</v>
      </c>
      <c r="X12" s="33" t="s">
        <v>545</v>
      </c>
    </row>
    <row r="13" spans="1:24">
      <c r="A13" s="29">
        <v>47300005</v>
      </c>
      <c r="B13" s="30" t="s">
        <v>485</v>
      </c>
      <c r="C13" s="66" t="s">
        <v>635</v>
      </c>
      <c r="D13" s="200">
        <v>3</v>
      </c>
      <c r="E13" s="200">
        <f t="shared" si="0"/>
        <v>2250000</v>
      </c>
      <c r="F13" s="204" t="b">
        <v>1</v>
      </c>
      <c r="G13" s="30" t="s">
        <v>475</v>
      </c>
      <c r="H13" s="33">
        <v>100001</v>
      </c>
      <c r="I13" s="50">
        <v>97500</v>
      </c>
      <c r="J13" s="30" t="s">
        <v>475</v>
      </c>
      <c r="K13" s="33">
        <v>100001</v>
      </c>
      <c r="L13" s="50">
        <v>776500</v>
      </c>
      <c r="M13" s="30" t="s">
        <v>561</v>
      </c>
      <c r="N13" s="33" t="s">
        <v>545</v>
      </c>
      <c r="O13" s="33" t="s">
        <v>545</v>
      </c>
      <c r="P13" s="30" t="s">
        <v>2574</v>
      </c>
      <c r="Q13" s="33">
        <f>IFERROR(INDEX([1]Item!$A:$A,MATCH(P13,[1]Item!$B:$B,0)),"-")</f>
        <v>23347005</v>
      </c>
      <c r="R13" s="33">
        <v>1</v>
      </c>
      <c r="S13" s="30"/>
      <c r="T13" s="33" t="s">
        <v>545</v>
      </c>
      <c r="U13" s="33" t="s">
        <v>545</v>
      </c>
      <c r="V13" s="30"/>
      <c r="W13" s="33" t="s">
        <v>545</v>
      </c>
      <c r="X13" s="33" t="s">
        <v>545</v>
      </c>
    </row>
    <row r="14" spans="1:24">
      <c r="A14" s="29">
        <v>47300006</v>
      </c>
      <c r="B14" s="30" t="s">
        <v>486</v>
      </c>
      <c r="C14" s="67" t="s">
        <v>636</v>
      </c>
      <c r="D14" s="200">
        <v>1</v>
      </c>
      <c r="E14" s="200">
        <f t="shared" si="0"/>
        <v>50000</v>
      </c>
      <c r="F14" s="204" t="b">
        <v>1</v>
      </c>
      <c r="G14" s="30" t="s">
        <v>475</v>
      </c>
      <c r="H14" s="33">
        <v>100001</v>
      </c>
      <c r="I14" s="50">
        <v>97500</v>
      </c>
      <c r="J14" s="30" t="s">
        <v>475</v>
      </c>
      <c r="K14" s="33">
        <v>100001</v>
      </c>
      <c r="L14" s="50">
        <v>776500</v>
      </c>
      <c r="M14" s="30" t="s">
        <v>561</v>
      </c>
      <c r="N14" s="33" t="s">
        <v>545</v>
      </c>
      <c r="O14" s="33" t="s">
        <v>545</v>
      </c>
      <c r="P14" s="30" t="s">
        <v>2574</v>
      </c>
      <c r="Q14" s="33">
        <f>IFERROR(INDEX([1]Item!$A:$A,MATCH(P14,[1]Item!$B:$B,0)),"-")</f>
        <v>23347005</v>
      </c>
      <c r="R14" s="33">
        <v>1</v>
      </c>
      <c r="S14" s="30"/>
      <c r="T14" s="33" t="s">
        <v>545</v>
      </c>
      <c r="U14" s="33" t="s">
        <v>545</v>
      </c>
      <c r="V14" s="30"/>
      <c r="W14" s="33" t="s">
        <v>545</v>
      </c>
      <c r="X14" s="33" t="s">
        <v>545</v>
      </c>
    </row>
    <row r="15" spans="1:24">
      <c r="A15" s="29">
        <v>47300007</v>
      </c>
      <c r="B15" s="30" t="s">
        <v>487</v>
      </c>
      <c r="C15" s="68" t="s">
        <v>637</v>
      </c>
      <c r="D15" s="200">
        <v>2</v>
      </c>
      <c r="E15" s="200">
        <f t="shared" si="0"/>
        <v>250000</v>
      </c>
      <c r="F15" s="204" t="b">
        <v>1</v>
      </c>
      <c r="G15" s="30" t="s">
        <v>475</v>
      </c>
      <c r="H15" s="33">
        <v>100001</v>
      </c>
      <c r="I15" s="50">
        <v>3000</v>
      </c>
      <c r="J15" s="30" t="s">
        <v>475</v>
      </c>
      <c r="K15" s="33">
        <v>100001</v>
      </c>
      <c r="L15" s="50">
        <v>22500</v>
      </c>
      <c r="M15" s="30" t="s">
        <v>561</v>
      </c>
      <c r="N15" s="33" t="s">
        <v>545</v>
      </c>
      <c r="O15" s="33" t="s">
        <v>545</v>
      </c>
      <c r="P15" s="30" t="s">
        <v>2571</v>
      </c>
      <c r="Q15" s="33">
        <f>IFERROR(INDEX([1]Item!$A:$A,MATCH(P15,[1]Item!$B:$B,0)),"-")</f>
        <v>23347007</v>
      </c>
      <c r="R15" s="33">
        <v>1</v>
      </c>
      <c r="S15" s="30"/>
      <c r="T15" s="33" t="s">
        <v>545</v>
      </c>
      <c r="U15" s="33" t="s">
        <v>545</v>
      </c>
      <c r="V15" s="30"/>
      <c r="W15" s="33" t="s">
        <v>545</v>
      </c>
      <c r="X15" s="33" t="s">
        <v>545</v>
      </c>
    </row>
    <row r="16" spans="1:24">
      <c r="A16" s="29">
        <v>47300008</v>
      </c>
      <c r="B16" s="30" t="s">
        <v>488</v>
      </c>
      <c r="C16" s="69" t="s">
        <v>638</v>
      </c>
      <c r="D16" s="200">
        <v>2</v>
      </c>
      <c r="E16" s="200">
        <f t="shared" si="0"/>
        <v>250000</v>
      </c>
      <c r="F16" s="204" t="b">
        <v>1</v>
      </c>
      <c r="G16" s="30" t="s">
        <v>475</v>
      </c>
      <c r="H16" s="33">
        <v>100001</v>
      </c>
      <c r="I16" s="50">
        <v>3000</v>
      </c>
      <c r="J16" s="30" t="s">
        <v>475</v>
      </c>
      <c r="K16" s="33">
        <v>100001</v>
      </c>
      <c r="L16" s="50">
        <v>22500</v>
      </c>
      <c r="M16" s="30" t="s">
        <v>561</v>
      </c>
      <c r="N16" s="33" t="s">
        <v>545</v>
      </c>
      <c r="O16" s="33" t="s">
        <v>545</v>
      </c>
      <c r="P16" s="30" t="s">
        <v>2571</v>
      </c>
      <c r="Q16" s="33">
        <f>IFERROR(INDEX([1]Item!$A:$A,MATCH(P16,[1]Item!$B:$B,0)),"-")</f>
        <v>23347007</v>
      </c>
      <c r="R16" s="33">
        <v>1</v>
      </c>
      <c r="S16" s="30"/>
      <c r="T16" s="33" t="s">
        <v>545</v>
      </c>
      <c r="U16" s="33" t="s">
        <v>545</v>
      </c>
      <c r="V16" s="30"/>
      <c r="W16" s="33" t="s">
        <v>545</v>
      </c>
      <c r="X16" s="33" t="s">
        <v>545</v>
      </c>
    </row>
    <row r="17" spans="1:24">
      <c r="A17" s="29">
        <v>47300009</v>
      </c>
      <c r="B17" s="30" t="s">
        <v>489</v>
      </c>
      <c r="C17" s="70" t="s">
        <v>639</v>
      </c>
      <c r="D17" s="200">
        <v>3</v>
      </c>
      <c r="E17" s="200">
        <f t="shared" si="0"/>
        <v>2250000</v>
      </c>
      <c r="F17" s="204" t="b">
        <v>1</v>
      </c>
      <c r="G17" s="30" t="s">
        <v>475</v>
      </c>
      <c r="H17" s="33">
        <v>100001</v>
      </c>
      <c r="I17" s="50">
        <v>18500</v>
      </c>
      <c r="J17" s="30" t="s">
        <v>475</v>
      </c>
      <c r="K17" s="33">
        <v>100001</v>
      </c>
      <c r="L17" s="50">
        <v>144500</v>
      </c>
      <c r="M17" s="30" t="s">
        <v>561</v>
      </c>
      <c r="N17" s="33" t="s">
        <v>545</v>
      </c>
      <c r="O17" s="33" t="s">
        <v>545</v>
      </c>
      <c r="P17" s="30" t="s">
        <v>2572</v>
      </c>
      <c r="Q17" s="33">
        <f>IFERROR(INDEX([1]Item!$A:$A,MATCH(P17,[1]Item!$B:$B,0)),"-")</f>
        <v>23347006</v>
      </c>
      <c r="R17" s="33">
        <v>1</v>
      </c>
      <c r="S17" s="30"/>
      <c r="T17" s="33" t="s">
        <v>545</v>
      </c>
      <c r="U17" s="33" t="s">
        <v>545</v>
      </c>
      <c r="V17" s="30"/>
      <c r="W17" s="33" t="s">
        <v>545</v>
      </c>
      <c r="X17" s="33" t="s">
        <v>545</v>
      </c>
    </row>
    <row r="18" spans="1:24">
      <c r="A18" s="29">
        <v>47300010</v>
      </c>
      <c r="B18" s="30" t="s">
        <v>490</v>
      </c>
      <c r="C18" s="71" t="s">
        <v>640</v>
      </c>
      <c r="D18" s="200">
        <v>1</v>
      </c>
      <c r="E18" s="200">
        <f t="shared" si="0"/>
        <v>50000</v>
      </c>
      <c r="F18" s="204" t="b">
        <v>1</v>
      </c>
      <c r="G18" s="30" t="s">
        <v>475</v>
      </c>
      <c r="H18" s="33">
        <v>100001</v>
      </c>
      <c r="I18" s="50">
        <v>500</v>
      </c>
      <c r="J18" s="30" t="s">
        <v>475</v>
      </c>
      <c r="K18" s="33">
        <v>100001</v>
      </c>
      <c r="L18" s="50">
        <v>3000</v>
      </c>
      <c r="M18" s="30" t="s">
        <v>561</v>
      </c>
      <c r="N18" s="33" t="s">
        <v>545</v>
      </c>
      <c r="O18" s="33" t="s">
        <v>545</v>
      </c>
      <c r="P18" s="30" t="s">
        <v>2573</v>
      </c>
      <c r="Q18" s="33">
        <f>IFERROR(INDEX([1]Item!$A:$A,MATCH(P18,[1]Item!$B:$B,0)),"-")</f>
        <v>23347008</v>
      </c>
      <c r="R18" s="33">
        <v>1</v>
      </c>
      <c r="S18" s="30"/>
      <c r="T18" s="33" t="s">
        <v>545</v>
      </c>
      <c r="U18" s="33" t="s">
        <v>545</v>
      </c>
      <c r="V18" s="30"/>
      <c r="W18" s="33" t="s">
        <v>545</v>
      </c>
      <c r="X18" s="33" t="s">
        <v>545</v>
      </c>
    </row>
    <row r="19" spans="1:24">
      <c r="A19" s="29">
        <v>47300011</v>
      </c>
      <c r="B19" s="30" t="s">
        <v>641</v>
      </c>
      <c r="C19" s="72" t="s">
        <v>642</v>
      </c>
      <c r="D19" s="200">
        <v>1</v>
      </c>
      <c r="E19" s="200">
        <f t="shared" si="0"/>
        <v>50000</v>
      </c>
      <c r="F19" s="204" t="b">
        <v>1</v>
      </c>
      <c r="G19" s="30" t="s">
        <v>475</v>
      </c>
      <c r="H19" s="33">
        <v>100001</v>
      </c>
      <c r="I19" s="50">
        <v>500</v>
      </c>
      <c r="J19" s="30" t="s">
        <v>475</v>
      </c>
      <c r="K19" s="33">
        <v>100001</v>
      </c>
      <c r="L19" s="50">
        <v>3000</v>
      </c>
      <c r="M19" s="30" t="s">
        <v>561</v>
      </c>
      <c r="N19" s="33" t="s">
        <v>545</v>
      </c>
      <c r="O19" s="33" t="s">
        <v>545</v>
      </c>
      <c r="P19" s="30" t="s">
        <v>2573</v>
      </c>
      <c r="Q19" s="33">
        <f>IFERROR(INDEX([1]Item!$A:$A,MATCH(P19,[1]Item!$B:$B,0)),"-")</f>
        <v>23347008</v>
      </c>
      <c r="R19" s="33">
        <v>1</v>
      </c>
      <c r="S19" s="30"/>
      <c r="T19" s="33" t="s">
        <v>545</v>
      </c>
      <c r="U19" s="33" t="s">
        <v>545</v>
      </c>
      <c r="V19" s="30"/>
      <c r="W19" s="33" t="s">
        <v>545</v>
      </c>
      <c r="X19" s="33" t="s">
        <v>545</v>
      </c>
    </row>
    <row r="20" spans="1:24">
      <c r="A20" s="29">
        <v>47300012</v>
      </c>
      <c r="B20" s="30" t="s">
        <v>643</v>
      </c>
      <c r="C20" s="73" t="s">
        <v>644</v>
      </c>
      <c r="D20" s="200">
        <v>1</v>
      </c>
      <c r="E20" s="200">
        <f t="shared" si="0"/>
        <v>50000</v>
      </c>
      <c r="F20" s="204" t="b">
        <v>1</v>
      </c>
      <c r="G20" s="30" t="s">
        <v>475</v>
      </c>
      <c r="H20" s="33">
        <v>100001</v>
      </c>
      <c r="I20" s="50">
        <v>500</v>
      </c>
      <c r="J20" s="30" t="s">
        <v>475</v>
      </c>
      <c r="K20" s="33">
        <v>100001</v>
      </c>
      <c r="L20" s="50">
        <v>3000</v>
      </c>
      <c r="M20" s="30" t="s">
        <v>561</v>
      </c>
      <c r="N20" s="33" t="s">
        <v>545</v>
      </c>
      <c r="O20" s="33" t="s">
        <v>545</v>
      </c>
      <c r="P20" s="30" t="s">
        <v>2573</v>
      </c>
      <c r="Q20" s="33">
        <f>IFERROR(INDEX([1]Item!$A:$A,MATCH(P20,[1]Item!$B:$B,0)),"-")</f>
        <v>23347008</v>
      </c>
      <c r="R20" s="33">
        <v>1</v>
      </c>
      <c r="S20" s="30"/>
      <c r="T20" s="33" t="s">
        <v>545</v>
      </c>
      <c r="U20" s="33" t="s">
        <v>545</v>
      </c>
      <c r="V20" s="30"/>
      <c r="W20" s="33" t="s">
        <v>545</v>
      </c>
      <c r="X20" s="33" t="s">
        <v>545</v>
      </c>
    </row>
    <row r="21" spans="1:24">
      <c r="A21" s="29">
        <v>47300013</v>
      </c>
      <c r="B21" s="30" t="s">
        <v>645</v>
      </c>
      <c r="C21" s="74" t="s">
        <v>646</v>
      </c>
      <c r="D21" s="200">
        <v>2</v>
      </c>
      <c r="E21" s="200">
        <f t="shared" si="0"/>
        <v>250000</v>
      </c>
      <c r="F21" s="204" t="b">
        <v>1</v>
      </c>
      <c r="G21" s="30" t="s">
        <v>475</v>
      </c>
      <c r="H21" s="33">
        <v>100001</v>
      </c>
      <c r="I21" s="50">
        <v>3000</v>
      </c>
      <c r="J21" s="30" t="s">
        <v>475</v>
      </c>
      <c r="K21" s="33">
        <v>100001</v>
      </c>
      <c r="L21" s="50">
        <v>22500</v>
      </c>
      <c r="M21" s="30" t="s">
        <v>561</v>
      </c>
      <c r="N21" s="33" t="s">
        <v>545</v>
      </c>
      <c r="O21" s="33" t="s">
        <v>545</v>
      </c>
      <c r="P21" s="30" t="s">
        <v>2571</v>
      </c>
      <c r="Q21" s="33">
        <f>IFERROR(INDEX([1]Item!$A:$A,MATCH(P21,[1]Item!$B:$B,0)),"-")</f>
        <v>23347007</v>
      </c>
      <c r="R21" s="33">
        <v>1</v>
      </c>
      <c r="S21" s="30"/>
      <c r="T21" s="33" t="s">
        <v>545</v>
      </c>
      <c r="U21" s="33" t="s">
        <v>545</v>
      </c>
      <c r="V21" s="30"/>
      <c r="W21" s="33" t="s">
        <v>545</v>
      </c>
      <c r="X21" s="33" t="s">
        <v>545</v>
      </c>
    </row>
    <row r="22" spans="1:24">
      <c r="A22" s="29">
        <v>47300014</v>
      </c>
      <c r="B22" s="30" t="s">
        <v>647</v>
      </c>
      <c r="C22" s="75" t="s">
        <v>648</v>
      </c>
      <c r="D22" s="200">
        <v>1</v>
      </c>
      <c r="E22" s="200">
        <f t="shared" si="0"/>
        <v>50000</v>
      </c>
      <c r="F22" s="204" t="b">
        <v>1</v>
      </c>
      <c r="G22" s="30" t="s">
        <v>475</v>
      </c>
      <c r="H22" s="33">
        <v>100001</v>
      </c>
      <c r="I22" s="50">
        <v>500</v>
      </c>
      <c r="J22" s="30" t="s">
        <v>475</v>
      </c>
      <c r="K22" s="33">
        <v>100001</v>
      </c>
      <c r="L22" s="50">
        <v>3000</v>
      </c>
      <c r="M22" s="30" t="s">
        <v>561</v>
      </c>
      <c r="N22" s="33" t="s">
        <v>545</v>
      </c>
      <c r="O22" s="33" t="s">
        <v>545</v>
      </c>
      <c r="P22" s="30" t="s">
        <v>2573</v>
      </c>
      <c r="Q22" s="33">
        <f>IFERROR(INDEX([1]Item!$A:$A,MATCH(P22,[1]Item!$B:$B,0)),"-")</f>
        <v>23347008</v>
      </c>
      <c r="R22" s="33">
        <v>1</v>
      </c>
      <c r="S22" s="30"/>
      <c r="T22" s="33" t="s">
        <v>545</v>
      </c>
      <c r="U22" s="33" t="s">
        <v>545</v>
      </c>
      <c r="V22" s="30"/>
      <c r="W22" s="33" t="s">
        <v>545</v>
      </c>
      <c r="X22" s="33" t="s">
        <v>545</v>
      </c>
    </row>
    <row r="23" spans="1:24">
      <c r="A23" s="29">
        <v>47300015</v>
      </c>
      <c r="B23" s="30" t="s">
        <v>649</v>
      </c>
      <c r="C23" s="76" t="s">
        <v>650</v>
      </c>
      <c r="D23" s="200">
        <v>3</v>
      </c>
      <c r="E23" s="200">
        <f t="shared" si="0"/>
        <v>2250000</v>
      </c>
      <c r="F23" s="204" t="b">
        <v>1</v>
      </c>
      <c r="G23" s="30" t="s">
        <v>475</v>
      </c>
      <c r="H23" s="33">
        <v>100001</v>
      </c>
      <c r="I23" s="50">
        <v>18500</v>
      </c>
      <c r="J23" s="30" t="s">
        <v>475</v>
      </c>
      <c r="K23" s="33">
        <v>100001</v>
      </c>
      <c r="L23" s="50">
        <v>144500</v>
      </c>
      <c r="M23" s="30" t="s">
        <v>561</v>
      </c>
      <c r="N23" s="33" t="s">
        <v>545</v>
      </c>
      <c r="O23" s="33" t="s">
        <v>545</v>
      </c>
      <c r="P23" s="30" t="s">
        <v>2572</v>
      </c>
      <c r="Q23" s="33">
        <f>IFERROR(INDEX([1]Item!$A:$A,MATCH(P23,[1]Item!$B:$B,0)),"-")</f>
        <v>23347006</v>
      </c>
      <c r="R23" s="33">
        <v>1</v>
      </c>
      <c r="S23" s="30"/>
      <c r="T23" s="33" t="s">
        <v>545</v>
      </c>
      <c r="U23" s="33" t="s">
        <v>545</v>
      </c>
      <c r="V23" s="30"/>
      <c r="W23" s="33" t="s">
        <v>545</v>
      </c>
      <c r="X23" s="33" t="s">
        <v>545</v>
      </c>
    </row>
    <row r="24" spans="1:24">
      <c r="A24" s="29">
        <v>47300016</v>
      </c>
      <c r="B24" s="30" t="s">
        <v>651</v>
      </c>
      <c r="C24" s="77" t="s">
        <v>652</v>
      </c>
      <c r="D24" s="200">
        <v>2</v>
      </c>
      <c r="E24" s="200">
        <f t="shared" si="0"/>
        <v>250000</v>
      </c>
      <c r="F24" s="204" t="b">
        <v>1</v>
      </c>
      <c r="G24" s="30" t="s">
        <v>475</v>
      </c>
      <c r="H24" s="33">
        <v>100001</v>
      </c>
      <c r="I24" s="50">
        <v>3000</v>
      </c>
      <c r="J24" s="30" t="s">
        <v>475</v>
      </c>
      <c r="K24" s="33">
        <v>100001</v>
      </c>
      <c r="L24" s="50">
        <v>22500</v>
      </c>
      <c r="M24" s="30" t="s">
        <v>561</v>
      </c>
      <c r="N24" s="33" t="s">
        <v>545</v>
      </c>
      <c r="O24" s="33" t="s">
        <v>545</v>
      </c>
      <c r="P24" s="30" t="s">
        <v>2571</v>
      </c>
      <c r="Q24" s="33">
        <f>IFERROR(INDEX([1]Item!$A:$A,MATCH(P24,[1]Item!$B:$B,0)),"-")</f>
        <v>23347007</v>
      </c>
      <c r="R24" s="33">
        <v>1</v>
      </c>
      <c r="S24" s="30"/>
      <c r="T24" s="33" t="s">
        <v>545</v>
      </c>
      <c r="U24" s="33" t="s">
        <v>545</v>
      </c>
      <c r="V24" s="30"/>
      <c r="W24" s="33" t="s">
        <v>545</v>
      </c>
      <c r="X24" s="33" t="s">
        <v>545</v>
      </c>
    </row>
    <row r="25" spans="1:24">
      <c r="A25" s="29">
        <v>47300017</v>
      </c>
      <c r="B25" s="30" t="s">
        <v>653</v>
      </c>
      <c r="C25" s="78" t="s">
        <v>654</v>
      </c>
      <c r="D25" s="200">
        <v>1</v>
      </c>
      <c r="E25" s="200">
        <f t="shared" si="0"/>
        <v>50000</v>
      </c>
      <c r="F25" s="204" t="b">
        <v>1</v>
      </c>
      <c r="G25" s="30" t="s">
        <v>475</v>
      </c>
      <c r="H25" s="33">
        <v>100001</v>
      </c>
      <c r="I25" s="50">
        <v>500</v>
      </c>
      <c r="J25" s="30" t="s">
        <v>475</v>
      </c>
      <c r="K25" s="33">
        <v>100001</v>
      </c>
      <c r="L25" s="50">
        <v>3000</v>
      </c>
      <c r="M25" s="30" t="s">
        <v>561</v>
      </c>
      <c r="N25" s="33" t="s">
        <v>545</v>
      </c>
      <c r="O25" s="33" t="s">
        <v>545</v>
      </c>
      <c r="P25" s="30" t="s">
        <v>2573</v>
      </c>
      <c r="Q25" s="33">
        <f>IFERROR(INDEX([1]Item!$A:$A,MATCH(P25,[1]Item!$B:$B,0)),"-")</f>
        <v>23347008</v>
      </c>
      <c r="R25" s="33">
        <v>1</v>
      </c>
      <c r="S25" s="30"/>
      <c r="T25" s="33" t="s">
        <v>545</v>
      </c>
      <c r="U25" s="33" t="s">
        <v>545</v>
      </c>
      <c r="V25" s="30"/>
      <c r="W25" s="33" t="s">
        <v>545</v>
      </c>
      <c r="X25" s="33" t="s">
        <v>545</v>
      </c>
    </row>
    <row r="26" spans="1:24">
      <c r="A26" s="29">
        <v>47300018</v>
      </c>
      <c r="B26" s="30" t="s">
        <v>655</v>
      </c>
      <c r="C26" s="79" t="s">
        <v>656</v>
      </c>
      <c r="D26" s="200">
        <v>1</v>
      </c>
      <c r="E26" s="200">
        <f t="shared" si="0"/>
        <v>50000</v>
      </c>
      <c r="F26" s="204" t="b">
        <v>1</v>
      </c>
      <c r="G26" s="30" t="s">
        <v>475</v>
      </c>
      <c r="H26" s="33">
        <v>100001</v>
      </c>
      <c r="I26" s="50">
        <v>500</v>
      </c>
      <c r="J26" s="30" t="s">
        <v>475</v>
      </c>
      <c r="K26" s="33">
        <v>100001</v>
      </c>
      <c r="L26" s="50">
        <v>3000</v>
      </c>
      <c r="M26" s="30" t="s">
        <v>561</v>
      </c>
      <c r="N26" s="33" t="s">
        <v>545</v>
      </c>
      <c r="O26" s="33" t="s">
        <v>545</v>
      </c>
      <c r="P26" s="30" t="s">
        <v>2573</v>
      </c>
      <c r="Q26" s="33">
        <f>IFERROR(INDEX([1]Item!$A:$A,MATCH(P26,[1]Item!$B:$B,0)),"-")</f>
        <v>23347008</v>
      </c>
      <c r="R26" s="33">
        <v>1</v>
      </c>
      <c r="S26" s="30"/>
      <c r="T26" s="33" t="s">
        <v>545</v>
      </c>
      <c r="U26" s="33" t="s">
        <v>545</v>
      </c>
      <c r="V26" s="30"/>
      <c r="W26" s="33" t="s">
        <v>545</v>
      </c>
      <c r="X26" s="33" t="s">
        <v>545</v>
      </c>
    </row>
    <row r="27" spans="1:24">
      <c r="A27" s="29">
        <v>47300019</v>
      </c>
      <c r="B27" s="30" t="s">
        <v>657</v>
      </c>
      <c r="C27" s="80" t="s">
        <v>658</v>
      </c>
      <c r="D27" s="200">
        <v>2</v>
      </c>
      <c r="E27" s="200">
        <f t="shared" si="0"/>
        <v>250000</v>
      </c>
      <c r="F27" s="204" t="b">
        <v>1</v>
      </c>
      <c r="G27" s="30" t="s">
        <v>475</v>
      </c>
      <c r="H27" s="33">
        <v>100001</v>
      </c>
      <c r="I27" s="50">
        <v>18500</v>
      </c>
      <c r="J27" s="30" t="s">
        <v>475</v>
      </c>
      <c r="K27" s="33">
        <v>100001</v>
      </c>
      <c r="L27" s="50">
        <v>144500</v>
      </c>
      <c r="M27" s="30" t="s">
        <v>561</v>
      </c>
      <c r="N27" s="33" t="s">
        <v>545</v>
      </c>
      <c r="O27" s="33" t="s">
        <v>545</v>
      </c>
      <c r="P27" s="30" t="s">
        <v>2572</v>
      </c>
      <c r="Q27" s="33">
        <f>IFERROR(INDEX([1]Item!$A:$A,MATCH(P27,[1]Item!$B:$B,0)),"-")</f>
        <v>23347006</v>
      </c>
      <c r="R27" s="33">
        <v>1</v>
      </c>
      <c r="S27" s="30"/>
      <c r="T27" s="33" t="s">
        <v>545</v>
      </c>
      <c r="U27" s="33" t="s">
        <v>545</v>
      </c>
      <c r="V27" s="30"/>
      <c r="W27" s="33" t="s">
        <v>545</v>
      </c>
      <c r="X27" s="33" t="s">
        <v>545</v>
      </c>
    </row>
    <row r="28" spans="1:24">
      <c r="A28" s="29">
        <v>47300020</v>
      </c>
      <c r="B28" s="30" t="s">
        <v>659</v>
      </c>
      <c r="C28" s="81" t="s">
        <v>660</v>
      </c>
      <c r="D28" s="200">
        <v>1</v>
      </c>
      <c r="E28" s="200">
        <f t="shared" si="0"/>
        <v>50000</v>
      </c>
      <c r="F28" s="204" t="b">
        <v>1</v>
      </c>
      <c r="G28" s="30" t="s">
        <v>475</v>
      </c>
      <c r="H28" s="33">
        <v>100001</v>
      </c>
      <c r="I28" s="50">
        <v>500</v>
      </c>
      <c r="J28" s="30" t="s">
        <v>475</v>
      </c>
      <c r="K28" s="33">
        <v>100001</v>
      </c>
      <c r="L28" s="50">
        <v>3000</v>
      </c>
      <c r="M28" s="30" t="s">
        <v>561</v>
      </c>
      <c r="N28" s="33" t="s">
        <v>545</v>
      </c>
      <c r="O28" s="33" t="s">
        <v>545</v>
      </c>
      <c r="P28" s="30" t="s">
        <v>2573</v>
      </c>
      <c r="Q28" s="33">
        <f>IFERROR(INDEX([1]Item!$A:$A,MATCH(P28,[1]Item!$B:$B,0)),"-")</f>
        <v>23347008</v>
      </c>
      <c r="R28" s="33">
        <v>1</v>
      </c>
      <c r="S28" s="30"/>
      <c r="T28" s="33" t="s">
        <v>545</v>
      </c>
      <c r="U28" s="33" t="s">
        <v>545</v>
      </c>
      <c r="V28" s="30"/>
      <c r="W28" s="33" t="s">
        <v>545</v>
      </c>
      <c r="X28" s="33" t="s">
        <v>545</v>
      </c>
    </row>
    <row r="29" spans="1:24">
      <c r="A29" s="29">
        <v>47300021</v>
      </c>
      <c r="B29" s="30" t="s">
        <v>661</v>
      </c>
      <c r="C29" s="82" t="s">
        <v>662</v>
      </c>
      <c r="D29" s="200">
        <v>1</v>
      </c>
      <c r="E29" s="200">
        <f t="shared" si="0"/>
        <v>50000</v>
      </c>
      <c r="F29" s="204" t="b">
        <v>1</v>
      </c>
      <c r="G29" s="30" t="s">
        <v>475</v>
      </c>
      <c r="H29" s="33">
        <v>100001</v>
      </c>
      <c r="I29" s="50">
        <v>500</v>
      </c>
      <c r="J29" s="30" t="s">
        <v>475</v>
      </c>
      <c r="K29" s="33">
        <v>100001</v>
      </c>
      <c r="L29" s="50">
        <v>3000</v>
      </c>
      <c r="M29" s="30" t="s">
        <v>561</v>
      </c>
      <c r="N29" s="33" t="s">
        <v>545</v>
      </c>
      <c r="O29" s="33" t="s">
        <v>545</v>
      </c>
      <c r="P29" s="30" t="s">
        <v>2573</v>
      </c>
      <c r="Q29" s="33">
        <f>IFERROR(INDEX([1]Item!$A:$A,MATCH(P29,[1]Item!$B:$B,0)),"-")</f>
        <v>23347008</v>
      </c>
      <c r="R29" s="33">
        <v>1</v>
      </c>
      <c r="S29" s="30"/>
      <c r="T29" s="33" t="s">
        <v>545</v>
      </c>
      <c r="U29" s="33" t="s">
        <v>545</v>
      </c>
      <c r="V29" s="30"/>
      <c r="W29" s="33" t="s">
        <v>545</v>
      </c>
      <c r="X29" s="33" t="s">
        <v>545</v>
      </c>
    </row>
    <row r="30" spans="1:24">
      <c r="A30" s="29">
        <v>47300022</v>
      </c>
      <c r="B30" s="30" t="s">
        <v>663</v>
      </c>
      <c r="C30" s="83" t="s">
        <v>664</v>
      </c>
      <c r="D30" s="200">
        <v>1</v>
      </c>
      <c r="E30" s="200">
        <f t="shared" si="0"/>
        <v>50000</v>
      </c>
      <c r="F30" s="204" t="b">
        <v>1</v>
      </c>
      <c r="G30" s="30" t="s">
        <v>475</v>
      </c>
      <c r="H30" s="33">
        <v>100001</v>
      </c>
      <c r="I30" s="50">
        <v>500</v>
      </c>
      <c r="J30" s="30" t="s">
        <v>475</v>
      </c>
      <c r="K30" s="33">
        <v>100001</v>
      </c>
      <c r="L30" s="50">
        <v>3000</v>
      </c>
      <c r="M30" s="30" t="s">
        <v>561</v>
      </c>
      <c r="N30" s="33" t="s">
        <v>545</v>
      </c>
      <c r="O30" s="33" t="s">
        <v>545</v>
      </c>
      <c r="P30" s="30" t="s">
        <v>2573</v>
      </c>
      <c r="Q30" s="33">
        <f>IFERROR(INDEX([1]Item!$A:$A,MATCH(P30,[1]Item!$B:$B,0)),"-")</f>
        <v>23347008</v>
      </c>
      <c r="R30" s="33">
        <v>1</v>
      </c>
      <c r="S30" s="30"/>
      <c r="T30" s="33" t="s">
        <v>545</v>
      </c>
      <c r="U30" s="33" t="s">
        <v>545</v>
      </c>
      <c r="V30" s="30"/>
      <c r="W30" s="33" t="s">
        <v>545</v>
      </c>
      <c r="X30" s="33" t="s">
        <v>545</v>
      </c>
    </row>
    <row r="31" spans="1:24">
      <c r="A31" s="29">
        <v>47300023</v>
      </c>
      <c r="B31" s="30" t="s">
        <v>665</v>
      </c>
      <c r="C31" s="84" t="s">
        <v>666</v>
      </c>
      <c r="D31" s="200">
        <v>2</v>
      </c>
      <c r="E31" s="200">
        <f t="shared" si="0"/>
        <v>250000</v>
      </c>
      <c r="F31" s="204" t="b">
        <v>1</v>
      </c>
      <c r="G31" s="30" t="s">
        <v>475</v>
      </c>
      <c r="H31" s="33">
        <v>100001</v>
      </c>
      <c r="I31" s="50">
        <v>3000</v>
      </c>
      <c r="J31" s="30" t="s">
        <v>475</v>
      </c>
      <c r="K31" s="33">
        <v>100001</v>
      </c>
      <c r="L31" s="50">
        <v>22500</v>
      </c>
      <c r="M31" s="30" t="s">
        <v>561</v>
      </c>
      <c r="N31" s="33" t="s">
        <v>545</v>
      </c>
      <c r="O31" s="33" t="s">
        <v>545</v>
      </c>
      <c r="P31" s="30" t="s">
        <v>2571</v>
      </c>
      <c r="Q31" s="33">
        <f>IFERROR(INDEX([1]Item!$A:$A,MATCH(P31,[1]Item!$B:$B,0)),"-")</f>
        <v>23347007</v>
      </c>
      <c r="R31" s="33">
        <v>1</v>
      </c>
      <c r="S31" s="30"/>
      <c r="T31" s="33" t="s">
        <v>545</v>
      </c>
      <c r="U31" s="33" t="s">
        <v>545</v>
      </c>
      <c r="V31" s="30"/>
      <c r="W31" s="33" t="s">
        <v>545</v>
      </c>
      <c r="X31" s="33" t="s">
        <v>545</v>
      </c>
    </row>
    <row r="32" spans="1:24">
      <c r="A32" s="29">
        <v>47300024</v>
      </c>
      <c r="B32" s="30" t="s">
        <v>667</v>
      </c>
      <c r="C32" s="85" t="s">
        <v>668</v>
      </c>
      <c r="D32" s="200">
        <v>1</v>
      </c>
      <c r="E32" s="200">
        <f t="shared" si="0"/>
        <v>50000</v>
      </c>
      <c r="F32" s="204" t="b">
        <v>1</v>
      </c>
      <c r="G32" s="30" t="s">
        <v>475</v>
      </c>
      <c r="H32" s="33">
        <v>100001</v>
      </c>
      <c r="I32" s="50">
        <v>18500</v>
      </c>
      <c r="J32" s="30" t="s">
        <v>475</v>
      </c>
      <c r="K32" s="33">
        <v>100001</v>
      </c>
      <c r="L32" s="50">
        <v>144500</v>
      </c>
      <c r="M32" s="30" t="s">
        <v>561</v>
      </c>
      <c r="N32" s="33" t="s">
        <v>545</v>
      </c>
      <c r="O32" s="33" t="s">
        <v>545</v>
      </c>
      <c r="P32" s="30" t="s">
        <v>2572</v>
      </c>
      <c r="Q32" s="33">
        <f>IFERROR(INDEX([1]Item!$A:$A,MATCH(P32,[1]Item!$B:$B,0)),"-")</f>
        <v>23347006</v>
      </c>
      <c r="R32" s="33">
        <v>1</v>
      </c>
      <c r="S32" s="30"/>
      <c r="T32" s="33" t="s">
        <v>545</v>
      </c>
      <c r="U32" s="33" t="s">
        <v>545</v>
      </c>
      <c r="V32" s="30"/>
      <c r="W32" s="33" t="s">
        <v>545</v>
      </c>
      <c r="X32" s="33" t="s">
        <v>545</v>
      </c>
    </row>
    <row r="33" spans="1:24">
      <c r="A33" s="29">
        <v>47300025</v>
      </c>
      <c r="B33" s="30" t="s">
        <v>669</v>
      </c>
      <c r="C33" s="86" t="s">
        <v>670</v>
      </c>
      <c r="D33" s="200">
        <v>1</v>
      </c>
      <c r="E33" s="200">
        <f t="shared" si="0"/>
        <v>50000</v>
      </c>
      <c r="F33" s="204" t="b">
        <v>1</v>
      </c>
      <c r="G33" s="30" t="s">
        <v>475</v>
      </c>
      <c r="H33" s="33">
        <v>100001</v>
      </c>
      <c r="I33" s="50">
        <v>500</v>
      </c>
      <c r="J33" s="30" t="s">
        <v>475</v>
      </c>
      <c r="K33" s="33">
        <v>100001</v>
      </c>
      <c r="L33" s="50">
        <v>3000</v>
      </c>
      <c r="M33" s="30" t="s">
        <v>561</v>
      </c>
      <c r="N33" s="33" t="s">
        <v>545</v>
      </c>
      <c r="O33" s="33" t="s">
        <v>545</v>
      </c>
      <c r="P33" s="30" t="s">
        <v>2573</v>
      </c>
      <c r="Q33" s="33">
        <f>IFERROR(INDEX([1]Item!$A:$A,MATCH(P33,[1]Item!$B:$B,0)),"-")</f>
        <v>23347008</v>
      </c>
      <c r="R33" s="33">
        <v>1</v>
      </c>
      <c r="S33" s="30"/>
      <c r="T33" s="33" t="s">
        <v>545</v>
      </c>
      <c r="U33" s="33" t="s">
        <v>545</v>
      </c>
      <c r="V33" s="30"/>
      <c r="W33" s="33" t="s">
        <v>545</v>
      </c>
      <c r="X33" s="33" t="s">
        <v>545</v>
      </c>
    </row>
    <row r="34" spans="1:24">
      <c r="A34" s="29">
        <v>47300026</v>
      </c>
      <c r="B34" s="30" t="s">
        <v>671</v>
      </c>
      <c r="C34" s="87" t="s">
        <v>672</v>
      </c>
      <c r="D34" s="200">
        <v>2</v>
      </c>
      <c r="E34" s="200">
        <f t="shared" si="0"/>
        <v>250000</v>
      </c>
      <c r="F34" s="204" t="b">
        <v>1</v>
      </c>
      <c r="G34" s="30" t="s">
        <v>475</v>
      </c>
      <c r="H34" s="33">
        <v>100001</v>
      </c>
      <c r="I34" s="50">
        <v>3000</v>
      </c>
      <c r="J34" s="30" t="s">
        <v>475</v>
      </c>
      <c r="K34" s="33">
        <v>100001</v>
      </c>
      <c r="L34" s="50">
        <v>22500</v>
      </c>
      <c r="M34" s="30" t="s">
        <v>561</v>
      </c>
      <c r="N34" s="33" t="s">
        <v>545</v>
      </c>
      <c r="O34" s="33" t="s">
        <v>545</v>
      </c>
      <c r="P34" s="30" t="s">
        <v>2571</v>
      </c>
      <c r="Q34" s="33">
        <f>IFERROR(INDEX([1]Item!$A:$A,MATCH(P34,[1]Item!$B:$B,0)),"-")</f>
        <v>23347007</v>
      </c>
      <c r="R34" s="33">
        <v>1</v>
      </c>
      <c r="S34" s="30"/>
      <c r="T34" s="33" t="s">
        <v>545</v>
      </c>
      <c r="U34" s="33" t="s">
        <v>545</v>
      </c>
      <c r="V34" s="30"/>
      <c r="W34" s="33" t="s">
        <v>545</v>
      </c>
      <c r="X34" s="33" t="s">
        <v>545</v>
      </c>
    </row>
    <row r="35" spans="1:24">
      <c r="A35" s="29">
        <v>47300027</v>
      </c>
      <c r="B35" s="30" t="s">
        <v>673</v>
      </c>
      <c r="C35" s="88" t="s">
        <v>674</v>
      </c>
      <c r="D35" s="200">
        <v>3</v>
      </c>
      <c r="E35" s="200">
        <f t="shared" si="0"/>
        <v>2250000</v>
      </c>
      <c r="F35" s="204" t="b">
        <v>1</v>
      </c>
      <c r="G35" s="30" t="s">
        <v>475</v>
      </c>
      <c r="H35" s="33">
        <v>100001</v>
      </c>
      <c r="I35" s="200">
        <v>18500</v>
      </c>
      <c r="J35" s="30" t="s">
        <v>475</v>
      </c>
      <c r="K35" s="33">
        <v>100001</v>
      </c>
      <c r="L35" s="50">
        <v>144500</v>
      </c>
      <c r="M35" s="30" t="s">
        <v>561</v>
      </c>
      <c r="N35" s="33" t="s">
        <v>545</v>
      </c>
      <c r="O35" s="33" t="s">
        <v>545</v>
      </c>
      <c r="P35" s="30" t="s">
        <v>2572</v>
      </c>
      <c r="Q35" s="33">
        <f>IFERROR(INDEX([1]Item!$A:$A,MATCH(P35,[1]Item!$B:$B,0)),"-")</f>
        <v>23347006</v>
      </c>
      <c r="R35" s="33">
        <v>1</v>
      </c>
      <c r="S35" s="30"/>
      <c r="T35" s="33" t="s">
        <v>545</v>
      </c>
      <c r="U35" s="33" t="s">
        <v>545</v>
      </c>
      <c r="V35" s="30"/>
      <c r="W35" s="33" t="s">
        <v>545</v>
      </c>
      <c r="X35" s="33" t="s">
        <v>545</v>
      </c>
    </row>
    <row r="36" spans="1:24">
      <c r="A36" s="29">
        <v>47300028</v>
      </c>
      <c r="B36" s="30" t="s">
        <v>675</v>
      </c>
      <c r="C36" s="89" t="s">
        <v>676</v>
      </c>
      <c r="D36" s="200">
        <v>1</v>
      </c>
      <c r="E36" s="200">
        <f t="shared" si="0"/>
        <v>50000</v>
      </c>
      <c r="F36" s="204" t="b">
        <v>1</v>
      </c>
      <c r="G36" s="30" t="s">
        <v>475</v>
      </c>
      <c r="H36" s="33">
        <v>100001</v>
      </c>
      <c r="I36" s="200">
        <v>500</v>
      </c>
      <c r="J36" s="30" t="s">
        <v>475</v>
      </c>
      <c r="K36" s="33">
        <v>100001</v>
      </c>
      <c r="L36" s="50">
        <v>3000</v>
      </c>
      <c r="M36" s="30" t="s">
        <v>561</v>
      </c>
      <c r="N36" s="33" t="s">
        <v>545</v>
      </c>
      <c r="O36" s="33" t="s">
        <v>545</v>
      </c>
      <c r="P36" s="30" t="s">
        <v>2573</v>
      </c>
      <c r="Q36" s="33">
        <f>IFERROR(INDEX([1]Item!$A:$A,MATCH(P36,[1]Item!$B:$B,0)),"-")</f>
        <v>23347008</v>
      </c>
      <c r="R36" s="33">
        <v>1</v>
      </c>
      <c r="S36" s="30"/>
      <c r="T36" s="33" t="s">
        <v>545</v>
      </c>
      <c r="U36" s="33" t="s">
        <v>545</v>
      </c>
      <c r="V36" s="30"/>
      <c r="W36" s="33" t="s">
        <v>545</v>
      </c>
      <c r="X36" s="33" t="s">
        <v>545</v>
      </c>
    </row>
    <row r="37" spans="1:24">
      <c r="A37" s="29">
        <v>47300029</v>
      </c>
      <c r="B37" s="30" t="s">
        <v>677</v>
      </c>
      <c r="C37" s="90" t="s">
        <v>678</v>
      </c>
      <c r="D37" s="200">
        <v>2</v>
      </c>
      <c r="E37" s="200">
        <f t="shared" si="0"/>
        <v>250000</v>
      </c>
      <c r="F37" s="204" t="b">
        <v>1</v>
      </c>
      <c r="G37" s="30" t="s">
        <v>475</v>
      </c>
      <c r="H37" s="33">
        <v>100001</v>
      </c>
      <c r="I37" s="200">
        <v>3000</v>
      </c>
      <c r="J37" s="30" t="s">
        <v>475</v>
      </c>
      <c r="K37" s="33">
        <v>100001</v>
      </c>
      <c r="L37" s="50">
        <v>22500</v>
      </c>
      <c r="M37" s="30" t="s">
        <v>561</v>
      </c>
      <c r="N37" s="33" t="s">
        <v>545</v>
      </c>
      <c r="O37" s="33" t="s">
        <v>545</v>
      </c>
      <c r="P37" s="30" t="s">
        <v>2571</v>
      </c>
      <c r="Q37" s="33">
        <f>IFERROR(INDEX([1]Item!$A:$A,MATCH(P37,[1]Item!$B:$B,0)),"-")</f>
        <v>23347007</v>
      </c>
      <c r="R37" s="33">
        <v>1</v>
      </c>
      <c r="S37" s="30"/>
      <c r="T37" s="33" t="s">
        <v>545</v>
      </c>
      <c r="U37" s="33" t="s">
        <v>545</v>
      </c>
      <c r="V37" s="30"/>
      <c r="W37" s="33" t="s">
        <v>545</v>
      </c>
      <c r="X37" s="33" t="s">
        <v>545</v>
      </c>
    </row>
    <row r="38" spans="1:24">
      <c r="A38" s="29">
        <v>47300030</v>
      </c>
      <c r="B38" s="30" t="s">
        <v>679</v>
      </c>
      <c r="C38" s="91" t="s">
        <v>680</v>
      </c>
      <c r="D38" s="200">
        <v>1</v>
      </c>
      <c r="E38" s="200">
        <f t="shared" si="0"/>
        <v>50000</v>
      </c>
      <c r="F38" s="204" t="b">
        <v>1</v>
      </c>
      <c r="G38" s="30" t="s">
        <v>475</v>
      </c>
      <c r="H38" s="33">
        <v>100001</v>
      </c>
      <c r="I38" s="200">
        <v>97500</v>
      </c>
      <c r="J38" s="30" t="s">
        <v>475</v>
      </c>
      <c r="K38" s="33">
        <v>100001</v>
      </c>
      <c r="L38" s="50">
        <v>776500</v>
      </c>
      <c r="M38" s="30" t="s">
        <v>561</v>
      </c>
      <c r="N38" s="33" t="s">
        <v>545</v>
      </c>
      <c r="O38" s="33" t="s">
        <v>545</v>
      </c>
      <c r="P38" s="30" t="s">
        <v>2574</v>
      </c>
      <c r="Q38" s="33">
        <f>IFERROR(INDEX([1]Item!$A:$A,MATCH(P38,[1]Item!$B:$B,0)),"-")</f>
        <v>23347005</v>
      </c>
      <c r="R38" s="33">
        <v>1</v>
      </c>
      <c r="S38" s="30"/>
      <c r="T38" s="33" t="s">
        <v>545</v>
      </c>
      <c r="U38" s="33" t="s">
        <v>545</v>
      </c>
      <c r="V38" s="30"/>
      <c r="W38" s="33" t="s">
        <v>545</v>
      </c>
      <c r="X38" s="33" t="s">
        <v>545</v>
      </c>
    </row>
    <row r="39" spans="1:24">
      <c r="A39" s="29">
        <v>47300031</v>
      </c>
      <c r="B39" s="30" t="s">
        <v>681</v>
      </c>
      <c r="C39" s="92" t="s">
        <v>682</v>
      </c>
      <c r="D39" s="200">
        <v>2</v>
      </c>
      <c r="E39" s="200">
        <f t="shared" si="0"/>
        <v>250000</v>
      </c>
      <c r="F39" s="204" t="b">
        <v>1</v>
      </c>
      <c r="G39" s="30" t="s">
        <v>475</v>
      </c>
      <c r="H39" s="33">
        <v>100001</v>
      </c>
      <c r="I39" s="200">
        <v>3000</v>
      </c>
      <c r="J39" s="30" t="s">
        <v>475</v>
      </c>
      <c r="K39" s="33">
        <v>100001</v>
      </c>
      <c r="L39" s="50">
        <v>22500</v>
      </c>
      <c r="M39" s="30" t="s">
        <v>561</v>
      </c>
      <c r="N39" s="33" t="s">
        <v>545</v>
      </c>
      <c r="O39" s="33" t="s">
        <v>545</v>
      </c>
      <c r="P39" s="30" t="s">
        <v>2571</v>
      </c>
      <c r="Q39" s="33">
        <f>IFERROR(INDEX([1]Item!$A:$A,MATCH(P39,[1]Item!$B:$B,0)),"-")</f>
        <v>23347007</v>
      </c>
      <c r="R39" s="33">
        <v>1</v>
      </c>
      <c r="S39" s="30"/>
      <c r="T39" s="33" t="s">
        <v>545</v>
      </c>
      <c r="U39" s="33" t="s">
        <v>545</v>
      </c>
      <c r="V39" s="30"/>
      <c r="W39" s="33" t="s">
        <v>545</v>
      </c>
      <c r="X39" s="33" t="s">
        <v>545</v>
      </c>
    </row>
    <row r="40" spans="1:24">
      <c r="A40" s="29">
        <v>47300032</v>
      </c>
      <c r="B40" s="30" t="s">
        <v>683</v>
      </c>
      <c r="C40" s="93" t="s">
        <v>684</v>
      </c>
      <c r="D40" s="200">
        <v>3</v>
      </c>
      <c r="E40" s="200">
        <f t="shared" si="0"/>
        <v>2250000</v>
      </c>
      <c r="F40" s="204" t="b">
        <v>1</v>
      </c>
      <c r="G40" s="30" t="s">
        <v>475</v>
      </c>
      <c r="H40" s="33">
        <v>100001</v>
      </c>
      <c r="I40" s="200">
        <v>18500</v>
      </c>
      <c r="J40" s="30" t="s">
        <v>475</v>
      </c>
      <c r="K40" s="33">
        <v>100001</v>
      </c>
      <c r="L40" s="50">
        <v>144500</v>
      </c>
      <c r="M40" s="30" t="s">
        <v>561</v>
      </c>
      <c r="N40" s="33" t="s">
        <v>545</v>
      </c>
      <c r="O40" s="33" t="s">
        <v>545</v>
      </c>
      <c r="P40" s="30" t="s">
        <v>2572</v>
      </c>
      <c r="Q40" s="33">
        <f>IFERROR(INDEX([1]Item!$A:$A,MATCH(P40,[1]Item!$B:$B,0)),"-")</f>
        <v>23347006</v>
      </c>
      <c r="R40" s="33">
        <v>1</v>
      </c>
      <c r="S40" s="30"/>
      <c r="T40" s="33" t="s">
        <v>545</v>
      </c>
      <c r="U40" s="33" t="s">
        <v>545</v>
      </c>
      <c r="V40" s="30"/>
      <c r="W40" s="33" t="s">
        <v>545</v>
      </c>
      <c r="X40" s="33" t="s">
        <v>545</v>
      </c>
    </row>
    <row r="41" spans="1:24">
      <c r="A41" s="29">
        <v>47300033</v>
      </c>
      <c r="B41" s="30" t="s">
        <v>685</v>
      </c>
      <c r="C41" s="94" t="s">
        <v>686</v>
      </c>
      <c r="D41" s="200">
        <v>2</v>
      </c>
      <c r="E41" s="200">
        <f t="shared" si="0"/>
        <v>250000</v>
      </c>
      <c r="F41" s="204" t="b">
        <v>1</v>
      </c>
      <c r="G41" s="30" t="s">
        <v>475</v>
      </c>
      <c r="H41" s="33">
        <v>100001</v>
      </c>
      <c r="I41" s="200">
        <v>18500</v>
      </c>
      <c r="J41" s="30" t="s">
        <v>475</v>
      </c>
      <c r="K41" s="33">
        <v>100001</v>
      </c>
      <c r="L41" s="50">
        <v>144500</v>
      </c>
      <c r="M41" s="30" t="s">
        <v>561</v>
      </c>
      <c r="N41" s="33" t="s">
        <v>545</v>
      </c>
      <c r="O41" s="33" t="s">
        <v>545</v>
      </c>
      <c r="P41" s="30" t="s">
        <v>2572</v>
      </c>
      <c r="Q41" s="33">
        <f>IFERROR(INDEX([1]Item!$A:$A,MATCH(P41,[1]Item!$B:$B,0)),"-")</f>
        <v>23347006</v>
      </c>
      <c r="R41" s="33">
        <v>1</v>
      </c>
      <c r="S41" s="30"/>
      <c r="T41" s="33" t="s">
        <v>545</v>
      </c>
      <c r="U41" s="33" t="s">
        <v>545</v>
      </c>
      <c r="V41" s="30"/>
      <c r="W41" s="33" t="s">
        <v>545</v>
      </c>
      <c r="X41" s="33" t="s">
        <v>545</v>
      </c>
    </row>
    <row r="42" spans="1:24">
      <c r="A42" s="29">
        <v>47300034</v>
      </c>
      <c r="B42" s="30" t="s">
        <v>687</v>
      </c>
      <c r="C42" s="95" t="s">
        <v>688</v>
      </c>
      <c r="D42" s="200">
        <v>1</v>
      </c>
      <c r="E42" s="200">
        <f t="shared" si="0"/>
        <v>50000</v>
      </c>
      <c r="F42" s="204" t="b">
        <v>1</v>
      </c>
      <c r="G42" s="30" t="s">
        <v>475</v>
      </c>
      <c r="H42" s="33">
        <v>100001</v>
      </c>
      <c r="I42" s="200">
        <v>500</v>
      </c>
      <c r="J42" s="30" t="s">
        <v>475</v>
      </c>
      <c r="K42" s="33">
        <v>100001</v>
      </c>
      <c r="L42" s="50">
        <v>3000</v>
      </c>
      <c r="M42" s="30" t="s">
        <v>561</v>
      </c>
      <c r="N42" s="33" t="s">
        <v>545</v>
      </c>
      <c r="O42" s="33" t="s">
        <v>545</v>
      </c>
      <c r="P42" s="30" t="s">
        <v>2573</v>
      </c>
      <c r="Q42" s="33">
        <f>IFERROR(INDEX([1]Item!$A:$A,MATCH(P42,[1]Item!$B:$B,0)),"-")</f>
        <v>23347008</v>
      </c>
      <c r="R42" s="33">
        <v>1</v>
      </c>
      <c r="S42" s="30"/>
      <c r="T42" s="33" t="s">
        <v>545</v>
      </c>
      <c r="U42" s="33" t="s">
        <v>545</v>
      </c>
      <c r="V42" s="30"/>
      <c r="W42" s="33" t="s">
        <v>545</v>
      </c>
      <c r="X42" s="33" t="s">
        <v>545</v>
      </c>
    </row>
    <row r="43" spans="1:24">
      <c r="A43" s="29">
        <v>47300035</v>
      </c>
      <c r="B43" s="30" t="s">
        <v>689</v>
      </c>
      <c r="C43" s="96" t="s">
        <v>690</v>
      </c>
      <c r="D43" s="200">
        <v>1</v>
      </c>
      <c r="E43" s="200">
        <f t="shared" si="0"/>
        <v>50000</v>
      </c>
      <c r="F43" s="204" t="b">
        <v>1</v>
      </c>
      <c r="G43" s="30" t="s">
        <v>475</v>
      </c>
      <c r="H43" s="33">
        <v>100001</v>
      </c>
      <c r="I43" s="200">
        <v>500</v>
      </c>
      <c r="J43" s="30" t="s">
        <v>475</v>
      </c>
      <c r="K43" s="33">
        <v>100001</v>
      </c>
      <c r="L43" s="50">
        <v>3000</v>
      </c>
      <c r="M43" s="30" t="s">
        <v>561</v>
      </c>
      <c r="N43" s="33" t="s">
        <v>545</v>
      </c>
      <c r="O43" s="33" t="s">
        <v>545</v>
      </c>
      <c r="P43" s="30" t="s">
        <v>2573</v>
      </c>
      <c r="Q43" s="33">
        <f>IFERROR(INDEX([1]Item!$A:$A,MATCH(P43,[1]Item!$B:$B,0)),"-")</f>
        <v>23347008</v>
      </c>
      <c r="R43" s="33">
        <v>1</v>
      </c>
      <c r="S43" s="30"/>
      <c r="T43" s="33" t="s">
        <v>545</v>
      </c>
      <c r="U43" s="33" t="s">
        <v>545</v>
      </c>
      <c r="V43" s="30"/>
      <c r="W43" s="33" t="s">
        <v>545</v>
      </c>
      <c r="X43" s="33" t="s">
        <v>545</v>
      </c>
    </row>
    <row r="44" spans="1:24">
      <c r="A44" s="29">
        <v>47300036</v>
      </c>
      <c r="B44" s="30" t="s">
        <v>691</v>
      </c>
      <c r="C44" s="97" t="s">
        <v>692</v>
      </c>
      <c r="D44" s="200">
        <v>1</v>
      </c>
      <c r="E44" s="200">
        <f t="shared" si="0"/>
        <v>50000</v>
      </c>
      <c r="F44" s="204" t="b">
        <v>1</v>
      </c>
      <c r="G44" s="30" t="s">
        <v>475</v>
      </c>
      <c r="H44" s="33">
        <v>100001</v>
      </c>
      <c r="I44" s="200">
        <v>500</v>
      </c>
      <c r="J44" s="30" t="s">
        <v>475</v>
      </c>
      <c r="K44" s="33">
        <v>100001</v>
      </c>
      <c r="L44" s="50">
        <v>3000</v>
      </c>
      <c r="M44" s="30" t="s">
        <v>561</v>
      </c>
      <c r="N44" s="33" t="s">
        <v>545</v>
      </c>
      <c r="O44" s="33" t="s">
        <v>545</v>
      </c>
      <c r="P44" s="30" t="s">
        <v>2573</v>
      </c>
      <c r="Q44" s="33">
        <f>IFERROR(INDEX([1]Item!$A:$A,MATCH(P44,[1]Item!$B:$B,0)),"-")</f>
        <v>23347008</v>
      </c>
      <c r="R44" s="33">
        <v>1</v>
      </c>
      <c r="S44" s="30"/>
      <c r="T44" s="33" t="s">
        <v>545</v>
      </c>
      <c r="U44" s="33" t="s">
        <v>545</v>
      </c>
      <c r="V44" s="30"/>
      <c r="W44" s="33" t="s">
        <v>545</v>
      </c>
      <c r="X44" s="33" t="s">
        <v>545</v>
      </c>
    </row>
    <row r="45" spans="1:24">
      <c r="A45" s="29">
        <v>47300037</v>
      </c>
      <c r="B45" s="30" t="s">
        <v>693</v>
      </c>
      <c r="C45" s="98" t="s">
        <v>694</v>
      </c>
      <c r="D45" s="200">
        <v>2</v>
      </c>
      <c r="E45" s="200">
        <f t="shared" si="0"/>
        <v>250000</v>
      </c>
      <c r="F45" s="204" t="b">
        <v>1</v>
      </c>
      <c r="G45" s="30" t="s">
        <v>475</v>
      </c>
      <c r="H45" s="33">
        <v>100001</v>
      </c>
      <c r="I45" s="200">
        <v>3000</v>
      </c>
      <c r="J45" s="30" t="s">
        <v>475</v>
      </c>
      <c r="K45" s="33">
        <v>100001</v>
      </c>
      <c r="L45" s="50">
        <v>22500</v>
      </c>
      <c r="M45" s="30" t="s">
        <v>561</v>
      </c>
      <c r="N45" s="33" t="s">
        <v>545</v>
      </c>
      <c r="O45" s="33" t="s">
        <v>545</v>
      </c>
      <c r="P45" s="30" t="s">
        <v>2571</v>
      </c>
      <c r="Q45" s="33">
        <f>IFERROR(INDEX([1]Item!$A:$A,MATCH(P45,[1]Item!$B:$B,0)),"-")</f>
        <v>23347007</v>
      </c>
      <c r="R45" s="33">
        <v>1</v>
      </c>
      <c r="S45" s="30"/>
      <c r="T45" s="33" t="s">
        <v>545</v>
      </c>
      <c r="U45" s="33" t="s">
        <v>545</v>
      </c>
      <c r="V45" s="30"/>
      <c r="W45" s="33" t="s">
        <v>545</v>
      </c>
      <c r="X45" s="33" t="s">
        <v>545</v>
      </c>
    </row>
    <row r="46" spans="1:24">
      <c r="A46" s="29">
        <v>47300038</v>
      </c>
      <c r="B46" s="30" t="s">
        <v>695</v>
      </c>
      <c r="C46" s="99" t="s">
        <v>696</v>
      </c>
      <c r="D46" s="200">
        <v>1</v>
      </c>
      <c r="E46" s="200">
        <f t="shared" si="0"/>
        <v>50000</v>
      </c>
      <c r="F46" s="204" t="b">
        <v>1</v>
      </c>
      <c r="G46" s="30" t="s">
        <v>475</v>
      </c>
      <c r="H46" s="33">
        <v>100001</v>
      </c>
      <c r="I46" s="200">
        <v>500</v>
      </c>
      <c r="J46" s="30" t="s">
        <v>475</v>
      </c>
      <c r="K46" s="33">
        <v>100001</v>
      </c>
      <c r="L46" s="50">
        <v>3000</v>
      </c>
      <c r="M46" s="30" t="s">
        <v>561</v>
      </c>
      <c r="N46" s="33" t="s">
        <v>545</v>
      </c>
      <c r="O46" s="33" t="s">
        <v>545</v>
      </c>
      <c r="P46" s="30" t="s">
        <v>2573</v>
      </c>
      <c r="Q46" s="33">
        <f>IFERROR(INDEX([1]Item!$A:$A,MATCH(P46,[1]Item!$B:$B,0)),"-")</f>
        <v>23347008</v>
      </c>
      <c r="R46" s="33">
        <v>1</v>
      </c>
      <c r="S46" s="30"/>
      <c r="T46" s="33" t="s">
        <v>545</v>
      </c>
      <c r="U46" s="33" t="s">
        <v>545</v>
      </c>
      <c r="V46" s="30"/>
      <c r="W46" s="33" t="s">
        <v>545</v>
      </c>
      <c r="X46" s="33" t="s">
        <v>545</v>
      </c>
    </row>
    <row r="47" spans="1:24">
      <c r="A47" s="29">
        <v>47300039</v>
      </c>
      <c r="B47" s="30" t="s">
        <v>697</v>
      </c>
      <c r="C47" s="100" t="s">
        <v>698</v>
      </c>
      <c r="D47" s="200">
        <v>1</v>
      </c>
      <c r="E47" s="200">
        <f t="shared" si="0"/>
        <v>50000</v>
      </c>
      <c r="F47" s="204" t="b">
        <v>1</v>
      </c>
      <c r="G47" s="30" t="s">
        <v>475</v>
      </c>
      <c r="H47" s="33">
        <v>100001</v>
      </c>
      <c r="I47" s="200">
        <v>500</v>
      </c>
      <c r="J47" s="30" t="s">
        <v>475</v>
      </c>
      <c r="K47" s="33">
        <v>100001</v>
      </c>
      <c r="L47" s="50">
        <v>3000</v>
      </c>
      <c r="M47" s="30" t="s">
        <v>561</v>
      </c>
      <c r="N47" s="33" t="s">
        <v>545</v>
      </c>
      <c r="O47" s="33" t="s">
        <v>545</v>
      </c>
      <c r="P47" s="30" t="s">
        <v>2573</v>
      </c>
      <c r="Q47" s="33">
        <f>IFERROR(INDEX([1]Item!$A:$A,MATCH(P47,[1]Item!$B:$B,0)),"-")</f>
        <v>23347008</v>
      </c>
      <c r="R47" s="33">
        <v>1</v>
      </c>
      <c r="S47" s="30"/>
      <c r="T47" s="33" t="s">
        <v>545</v>
      </c>
      <c r="U47" s="33" t="s">
        <v>545</v>
      </c>
      <c r="V47" s="30"/>
      <c r="W47" s="33" t="s">
        <v>545</v>
      </c>
      <c r="X47" s="33" t="s">
        <v>545</v>
      </c>
    </row>
    <row r="48" spans="1:24">
      <c r="A48" s="29">
        <v>47300040</v>
      </c>
      <c r="B48" s="30" t="s">
        <v>699</v>
      </c>
      <c r="C48" s="101" t="s">
        <v>700</v>
      </c>
      <c r="D48" s="200">
        <v>1</v>
      </c>
      <c r="E48" s="200">
        <f t="shared" si="0"/>
        <v>50000</v>
      </c>
      <c r="F48" s="204" t="b">
        <v>1</v>
      </c>
      <c r="G48" s="30" t="s">
        <v>475</v>
      </c>
      <c r="H48" s="33">
        <v>100001</v>
      </c>
      <c r="I48" s="200">
        <v>500</v>
      </c>
      <c r="J48" s="30" t="s">
        <v>475</v>
      </c>
      <c r="K48" s="33">
        <v>100001</v>
      </c>
      <c r="L48" s="50">
        <v>3000</v>
      </c>
      <c r="M48" s="30" t="s">
        <v>561</v>
      </c>
      <c r="N48" s="33" t="s">
        <v>545</v>
      </c>
      <c r="O48" s="33" t="s">
        <v>545</v>
      </c>
      <c r="P48" s="30" t="s">
        <v>2573</v>
      </c>
      <c r="Q48" s="33">
        <f>IFERROR(INDEX([1]Item!$A:$A,MATCH(P48,[1]Item!$B:$B,0)),"-")</f>
        <v>23347008</v>
      </c>
      <c r="R48" s="33">
        <v>1</v>
      </c>
      <c r="S48" s="30"/>
      <c r="T48" s="33" t="s">
        <v>545</v>
      </c>
      <c r="U48" s="33" t="s">
        <v>545</v>
      </c>
      <c r="V48" s="30"/>
      <c r="W48" s="33" t="s">
        <v>545</v>
      </c>
      <c r="X48" s="33" t="s">
        <v>545</v>
      </c>
    </row>
    <row r="49" spans="1:24">
      <c r="A49" s="29">
        <v>47300041</v>
      </c>
      <c r="B49" s="30" t="s">
        <v>701</v>
      </c>
      <c r="C49" s="102" t="s">
        <v>702</v>
      </c>
      <c r="D49" s="200">
        <v>2</v>
      </c>
      <c r="E49" s="200">
        <f t="shared" si="0"/>
        <v>250000</v>
      </c>
      <c r="F49" s="204" t="b">
        <v>1</v>
      </c>
      <c r="G49" s="30" t="s">
        <v>475</v>
      </c>
      <c r="H49" s="33">
        <v>100001</v>
      </c>
      <c r="I49" s="200">
        <v>3000</v>
      </c>
      <c r="J49" s="30" t="s">
        <v>475</v>
      </c>
      <c r="K49" s="33">
        <v>100001</v>
      </c>
      <c r="L49" s="50">
        <v>22500</v>
      </c>
      <c r="M49" s="30" t="s">
        <v>561</v>
      </c>
      <c r="N49" s="33" t="s">
        <v>545</v>
      </c>
      <c r="O49" s="33" t="s">
        <v>545</v>
      </c>
      <c r="P49" s="30" t="s">
        <v>2571</v>
      </c>
      <c r="Q49" s="33">
        <f>IFERROR(INDEX([1]Item!$A:$A,MATCH(P49,[1]Item!$B:$B,0)),"-")</f>
        <v>23347007</v>
      </c>
      <c r="R49" s="33">
        <v>1</v>
      </c>
      <c r="S49" s="30"/>
      <c r="T49" s="33" t="s">
        <v>545</v>
      </c>
      <c r="U49" s="33" t="s">
        <v>545</v>
      </c>
      <c r="V49" s="30"/>
      <c r="W49" s="33" t="s">
        <v>545</v>
      </c>
      <c r="X49" s="33" t="s">
        <v>545</v>
      </c>
    </row>
    <row r="50" spans="1:24">
      <c r="A50" s="29">
        <v>47300042</v>
      </c>
      <c r="B50" s="30" t="s">
        <v>703</v>
      </c>
      <c r="C50" s="103" t="s">
        <v>704</v>
      </c>
      <c r="D50" s="200">
        <v>1</v>
      </c>
      <c r="E50" s="200">
        <f t="shared" si="0"/>
        <v>50000</v>
      </c>
      <c r="F50" s="204" t="b">
        <v>1</v>
      </c>
      <c r="G50" s="30" t="s">
        <v>475</v>
      </c>
      <c r="H50" s="33">
        <v>100001</v>
      </c>
      <c r="I50" s="200">
        <v>500</v>
      </c>
      <c r="J50" s="30" t="s">
        <v>475</v>
      </c>
      <c r="K50" s="33">
        <v>100001</v>
      </c>
      <c r="L50" s="50">
        <v>3000</v>
      </c>
      <c r="M50" s="30" t="s">
        <v>561</v>
      </c>
      <c r="N50" s="33" t="s">
        <v>545</v>
      </c>
      <c r="O50" s="33" t="s">
        <v>545</v>
      </c>
      <c r="P50" s="30" t="s">
        <v>2573</v>
      </c>
      <c r="Q50" s="33">
        <f>IFERROR(INDEX([1]Item!$A:$A,MATCH(P50,[1]Item!$B:$B,0)),"-")</f>
        <v>23347008</v>
      </c>
      <c r="R50" s="33">
        <v>1</v>
      </c>
      <c r="S50" s="30"/>
      <c r="T50" s="33" t="s">
        <v>545</v>
      </c>
      <c r="U50" s="33" t="s">
        <v>545</v>
      </c>
      <c r="V50" s="30"/>
      <c r="W50" s="33" t="s">
        <v>545</v>
      </c>
      <c r="X50" s="33" t="s">
        <v>545</v>
      </c>
    </row>
    <row r="51" spans="1:24">
      <c r="A51" s="29">
        <v>47300043</v>
      </c>
      <c r="B51" s="30" t="s">
        <v>705</v>
      </c>
      <c r="C51" s="104" t="s">
        <v>706</v>
      </c>
      <c r="D51" s="200">
        <v>1</v>
      </c>
      <c r="E51" s="200">
        <f t="shared" si="0"/>
        <v>50000</v>
      </c>
      <c r="F51" s="204" t="b">
        <v>1</v>
      </c>
      <c r="G51" s="30" t="s">
        <v>475</v>
      </c>
      <c r="H51" s="33">
        <v>100001</v>
      </c>
      <c r="I51" s="200">
        <v>500</v>
      </c>
      <c r="J51" s="30" t="s">
        <v>475</v>
      </c>
      <c r="K51" s="33">
        <v>100001</v>
      </c>
      <c r="L51" s="50">
        <v>3000</v>
      </c>
      <c r="M51" s="30" t="s">
        <v>561</v>
      </c>
      <c r="N51" s="33" t="s">
        <v>545</v>
      </c>
      <c r="O51" s="33" t="s">
        <v>545</v>
      </c>
      <c r="P51" s="30" t="s">
        <v>2573</v>
      </c>
      <c r="Q51" s="33">
        <f>IFERROR(INDEX([1]Item!$A:$A,MATCH(P51,[1]Item!$B:$B,0)),"-")</f>
        <v>23347008</v>
      </c>
      <c r="R51" s="33">
        <v>1</v>
      </c>
      <c r="S51" s="30"/>
      <c r="T51" s="33" t="s">
        <v>545</v>
      </c>
      <c r="U51" s="33" t="s">
        <v>545</v>
      </c>
      <c r="V51" s="30"/>
      <c r="W51" s="33" t="s">
        <v>545</v>
      </c>
      <c r="X51" s="33" t="s">
        <v>545</v>
      </c>
    </row>
    <row r="52" spans="1:24">
      <c r="A52" s="29">
        <v>47300044</v>
      </c>
      <c r="B52" s="30" t="s">
        <v>707</v>
      </c>
      <c r="C52" s="105" t="s">
        <v>708</v>
      </c>
      <c r="D52" s="200">
        <v>2</v>
      </c>
      <c r="E52" s="200">
        <f t="shared" si="0"/>
        <v>250000</v>
      </c>
      <c r="F52" s="204" t="b">
        <v>1</v>
      </c>
      <c r="G52" s="30" t="s">
        <v>475</v>
      </c>
      <c r="H52" s="33">
        <v>100001</v>
      </c>
      <c r="I52" s="200">
        <v>3000</v>
      </c>
      <c r="J52" s="30" t="s">
        <v>475</v>
      </c>
      <c r="K52" s="33">
        <v>100001</v>
      </c>
      <c r="L52" s="50">
        <v>22500</v>
      </c>
      <c r="M52" s="30" t="s">
        <v>561</v>
      </c>
      <c r="N52" s="33" t="s">
        <v>545</v>
      </c>
      <c r="O52" s="33" t="s">
        <v>545</v>
      </c>
      <c r="P52" s="30" t="s">
        <v>2571</v>
      </c>
      <c r="Q52" s="33">
        <f>IFERROR(INDEX([1]Item!$A:$A,MATCH(P52,[1]Item!$B:$B,0)),"-")</f>
        <v>23347007</v>
      </c>
      <c r="R52" s="33">
        <v>1</v>
      </c>
      <c r="S52" s="30"/>
      <c r="T52" s="33" t="s">
        <v>545</v>
      </c>
      <c r="U52" s="33" t="s">
        <v>545</v>
      </c>
      <c r="V52" s="30"/>
      <c r="W52" s="33" t="s">
        <v>545</v>
      </c>
      <c r="X52" s="33" t="s">
        <v>545</v>
      </c>
    </row>
    <row r="53" spans="1:24">
      <c r="A53" s="29">
        <v>47300045</v>
      </c>
      <c r="B53" s="30" t="s">
        <v>709</v>
      </c>
      <c r="C53" s="106" t="s">
        <v>710</v>
      </c>
      <c r="D53" s="200">
        <v>3</v>
      </c>
      <c r="E53" s="200">
        <f t="shared" si="0"/>
        <v>2250000</v>
      </c>
      <c r="F53" s="204" t="b">
        <v>1</v>
      </c>
      <c r="G53" s="30" t="s">
        <v>475</v>
      </c>
      <c r="H53" s="33">
        <v>100001</v>
      </c>
      <c r="I53" s="200">
        <v>97500</v>
      </c>
      <c r="J53" s="30" t="s">
        <v>475</v>
      </c>
      <c r="K53" s="33">
        <v>100001</v>
      </c>
      <c r="L53" s="50">
        <v>776500</v>
      </c>
      <c r="M53" s="30" t="s">
        <v>561</v>
      </c>
      <c r="N53" s="33" t="s">
        <v>545</v>
      </c>
      <c r="O53" s="33" t="s">
        <v>545</v>
      </c>
      <c r="P53" s="30" t="s">
        <v>2572</v>
      </c>
      <c r="Q53" s="33">
        <f>IFERROR(INDEX([1]Item!$A:$A,MATCH(P53,[1]Item!$B:$B,0)),"-")</f>
        <v>23347006</v>
      </c>
      <c r="R53" s="33">
        <v>1</v>
      </c>
      <c r="S53" s="30"/>
      <c r="T53" s="33" t="s">
        <v>545</v>
      </c>
      <c r="U53" s="33" t="s">
        <v>545</v>
      </c>
      <c r="V53" s="30"/>
      <c r="W53" s="33" t="s">
        <v>545</v>
      </c>
      <c r="X53" s="33" t="s">
        <v>545</v>
      </c>
    </row>
    <row r="54" spans="1:24">
      <c r="A54" s="29">
        <v>47300101</v>
      </c>
      <c r="B54" s="30" t="s">
        <v>2264</v>
      </c>
      <c r="C54" s="112" t="s">
        <v>2174</v>
      </c>
      <c r="D54" s="30">
        <v>2</v>
      </c>
      <c r="E54" s="200">
        <f t="shared" ref="E54:E110" si="1">IFERROR(INT(POWER(5,(POWER(D54-1,1.02)))) * 50000, 0)</f>
        <v>250000</v>
      </c>
      <c r="F54" s="204" t="b">
        <v>1</v>
      </c>
      <c r="G54" s="30" t="s">
        <v>475</v>
      </c>
      <c r="H54" s="33">
        <v>100001</v>
      </c>
      <c r="I54" s="200">
        <v>3000</v>
      </c>
      <c r="J54" s="30" t="s">
        <v>475</v>
      </c>
      <c r="K54" s="33">
        <v>100001</v>
      </c>
      <c r="L54" s="50">
        <v>22500</v>
      </c>
      <c r="M54" s="30" t="s">
        <v>561</v>
      </c>
      <c r="N54" s="33" t="s">
        <v>545</v>
      </c>
      <c r="O54" s="33" t="s">
        <v>545</v>
      </c>
      <c r="P54" s="30" t="s">
        <v>2571</v>
      </c>
      <c r="Q54" s="33">
        <f>IFERROR(INDEX([1]Item!$A:$A,MATCH(P54,[1]Item!$B:$B,0)),"-")</f>
        <v>23347007</v>
      </c>
      <c r="R54" s="33">
        <v>1</v>
      </c>
      <c r="S54" s="30"/>
      <c r="T54" s="33" t="s">
        <v>545</v>
      </c>
      <c r="U54" s="33" t="s">
        <v>545</v>
      </c>
      <c r="V54" s="30"/>
      <c r="W54" s="33" t="s">
        <v>545</v>
      </c>
      <c r="X54" s="33" t="s">
        <v>545</v>
      </c>
    </row>
    <row r="55" spans="1:24">
      <c r="A55" s="29">
        <v>47300102</v>
      </c>
      <c r="B55" s="30" t="s">
        <v>2265</v>
      </c>
      <c r="C55" s="114" t="s">
        <v>2176</v>
      </c>
      <c r="D55" s="30">
        <v>3</v>
      </c>
      <c r="E55" s="200">
        <f t="shared" si="1"/>
        <v>1300000</v>
      </c>
      <c r="F55" s="204" t="b">
        <v>1</v>
      </c>
      <c r="G55" s="30" t="s">
        <v>475</v>
      </c>
      <c r="H55" s="33">
        <v>100001</v>
      </c>
      <c r="I55" s="200">
        <v>18500</v>
      </c>
      <c r="J55" s="30" t="s">
        <v>475</v>
      </c>
      <c r="K55" s="33">
        <v>100001</v>
      </c>
      <c r="L55" s="50">
        <v>144500</v>
      </c>
      <c r="M55" s="30" t="s">
        <v>561</v>
      </c>
      <c r="N55" s="33" t="s">
        <v>545</v>
      </c>
      <c r="O55" s="33" t="s">
        <v>545</v>
      </c>
      <c r="P55" s="30" t="s">
        <v>2572</v>
      </c>
      <c r="Q55" s="33">
        <f>IFERROR(INDEX([1]Item!$A:$A,MATCH(P55,[1]Item!$B:$B,0)),"-")</f>
        <v>23347006</v>
      </c>
      <c r="R55" s="33">
        <v>1</v>
      </c>
      <c r="S55" s="30"/>
      <c r="T55" s="33" t="s">
        <v>545</v>
      </c>
      <c r="U55" s="33" t="s">
        <v>545</v>
      </c>
      <c r="V55" s="30"/>
      <c r="W55" s="33" t="s">
        <v>545</v>
      </c>
      <c r="X55" s="33" t="s">
        <v>545</v>
      </c>
    </row>
    <row r="56" spans="1:24">
      <c r="A56" s="29">
        <v>47300103</v>
      </c>
      <c r="B56" s="30" t="s">
        <v>2266</v>
      </c>
      <c r="C56" s="115" t="s">
        <v>2178</v>
      </c>
      <c r="D56" s="30">
        <v>2</v>
      </c>
      <c r="E56" s="200">
        <f t="shared" si="1"/>
        <v>250000</v>
      </c>
      <c r="F56" s="204" t="b">
        <v>1</v>
      </c>
      <c r="G56" s="30" t="s">
        <v>475</v>
      </c>
      <c r="H56" s="33">
        <v>100001</v>
      </c>
      <c r="I56" s="200">
        <v>18500</v>
      </c>
      <c r="J56" s="30" t="s">
        <v>475</v>
      </c>
      <c r="K56" s="33">
        <v>100001</v>
      </c>
      <c r="L56" s="50">
        <v>144500</v>
      </c>
      <c r="M56" s="30" t="s">
        <v>561</v>
      </c>
      <c r="N56" s="33" t="s">
        <v>545</v>
      </c>
      <c r="O56" s="33" t="s">
        <v>545</v>
      </c>
      <c r="P56" s="30" t="s">
        <v>2572</v>
      </c>
      <c r="Q56" s="33">
        <f>IFERROR(INDEX([1]Item!$A:$A,MATCH(P56,[1]Item!$B:$B,0)),"-")</f>
        <v>23347006</v>
      </c>
      <c r="R56" s="33">
        <v>1</v>
      </c>
      <c r="S56" s="30"/>
      <c r="T56" s="33" t="s">
        <v>545</v>
      </c>
      <c r="U56" s="33" t="s">
        <v>545</v>
      </c>
      <c r="V56" s="30"/>
      <c r="W56" s="33" t="s">
        <v>545</v>
      </c>
      <c r="X56" s="33" t="s">
        <v>545</v>
      </c>
    </row>
    <row r="57" spans="1:24">
      <c r="A57" s="29">
        <v>47300104</v>
      </c>
      <c r="B57" s="30" t="s">
        <v>2267</v>
      </c>
      <c r="C57" s="116" t="s">
        <v>2179</v>
      </c>
      <c r="D57" s="30">
        <v>1</v>
      </c>
      <c r="E57" s="200">
        <f t="shared" si="1"/>
        <v>50000</v>
      </c>
      <c r="F57" s="204" t="b">
        <v>1</v>
      </c>
      <c r="G57" s="30" t="s">
        <v>475</v>
      </c>
      <c r="H57" s="33">
        <v>100001</v>
      </c>
      <c r="I57" s="200">
        <v>18500</v>
      </c>
      <c r="J57" s="30" t="s">
        <v>475</v>
      </c>
      <c r="K57" s="33">
        <v>100001</v>
      </c>
      <c r="L57" s="50">
        <v>144500</v>
      </c>
      <c r="M57" s="30" t="s">
        <v>561</v>
      </c>
      <c r="N57" s="33" t="s">
        <v>545</v>
      </c>
      <c r="O57" s="33" t="s">
        <v>545</v>
      </c>
      <c r="P57" s="30" t="s">
        <v>2572</v>
      </c>
      <c r="Q57" s="33">
        <f>IFERROR(INDEX([1]Item!$A:$A,MATCH(P57,[1]Item!$B:$B,0)),"-")</f>
        <v>23347006</v>
      </c>
      <c r="R57" s="33">
        <v>1</v>
      </c>
      <c r="S57" s="30"/>
      <c r="T57" s="33" t="s">
        <v>545</v>
      </c>
      <c r="U57" s="33" t="s">
        <v>545</v>
      </c>
      <c r="V57" s="30"/>
      <c r="W57" s="33" t="s">
        <v>545</v>
      </c>
      <c r="X57" s="33" t="s">
        <v>545</v>
      </c>
    </row>
    <row r="58" spans="1:24">
      <c r="A58" s="29">
        <v>47300105</v>
      </c>
      <c r="B58" s="30" t="s">
        <v>2268</v>
      </c>
      <c r="C58" s="117" t="s">
        <v>2180</v>
      </c>
      <c r="D58" s="30">
        <v>1</v>
      </c>
      <c r="E58" s="200">
        <f t="shared" si="1"/>
        <v>50000</v>
      </c>
      <c r="F58" s="204" t="b">
        <v>1</v>
      </c>
      <c r="G58" s="30" t="s">
        <v>475</v>
      </c>
      <c r="H58" s="33">
        <v>100001</v>
      </c>
      <c r="I58" s="200">
        <v>500</v>
      </c>
      <c r="J58" s="30" t="s">
        <v>475</v>
      </c>
      <c r="K58" s="33">
        <v>100001</v>
      </c>
      <c r="L58" s="50">
        <v>3000</v>
      </c>
      <c r="M58" s="30" t="s">
        <v>561</v>
      </c>
      <c r="N58" s="33" t="s">
        <v>545</v>
      </c>
      <c r="O58" s="33" t="s">
        <v>545</v>
      </c>
      <c r="P58" s="30" t="s">
        <v>2573</v>
      </c>
      <c r="Q58" s="33">
        <f>IFERROR(INDEX([1]Item!$A:$A,MATCH(P58,[1]Item!$B:$B,0)),"-")</f>
        <v>23347008</v>
      </c>
      <c r="R58" s="33">
        <v>1</v>
      </c>
      <c r="S58" s="30"/>
      <c r="T58" s="33" t="s">
        <v>545</v>
      </c>
      <c r="U58" s="33" t="s">
        <v>545</v>
      </c>
      <c r="V58" s="30"/>
      <c r="W58" s="33" t="s">
        <v>545</v>
      </c>
      <c r="X58" s="33" t="s">
        <v>545</v>
      </c>
    </row>
    <row r="59" spans="1:24">
      <c r="A59" s="29">
        <v>47300106</v>
      </c>
      <c r="B59" s="30" t="s">
        <v>2269</v>
      </c>
      <c r="C59" s="119" t="s">
        <v>2182</v>
      </c>
      <c r="D59" s="30">
        <v>2</v>
      </c>
      <c r="E59" s="200">
        <f t="shared" si="1"/>
        <v>250000</v>
      </c>
      <c r="F59" s="204" t="b">
        <v>1</v>
      </c>
      <c r="G59" s="30" t="s">
        <v>475</v>
      </c>
      <c r="H59" s="33">
        <v>100001</v>
      </c>
      <c r="I59" s="200">
        <v>3000</v>
      </c>
      <c r="J59" s="30" t="s">
        <v>475</v>
      </c>
      <c r="K59" s="33">
        <v>100001</v>
      </c>
      <c r="L59" s="50">
        <v>22500</v>
      </c>
      <c r="M59" s="30" t="s">
        <v>561</v>
      </c>
      <c r="N59" s="33" t="s">
        <v>545</v>
      </c>
      <c r="O59" s="33" t="s">
        <v>545</v>
      </c>
      <c r="P59" s="30" t="s">
        <v>2571</v>
      </c>
      <c r="Q59" s="33">
        <f>IFERROR(INDEX([1]Item!$A:$A,MATCH(P59,[1]Item!$B:$B,0)),"-")</f>
        <v>23347007</v>
      </c>
      <c r="R59" s="33">
        <v>1</v>
      </c>
      <c r="S59" s="30"/>
      <c r="T59" s="33" t="s">
        <v>545</v>
      </c>
      <c r="U59" s="33" t="s">
        <v>545</v>
      </c>
      <c r="V59" s="30"/>
      <c r="W59" s="33" t="s">
        <v>545</v>
      </c>
      <c r="X59" s="33" t="s">
        <v>545</v>
      </c>
    </row>
    <row r="60" spans="1:24">
      <c r="A60" s="29">
        <v>47300107</v>
      </c>
      <c r="B60" s="30" t="s">
        <v>2270</v>
      </c>
      <c r="C60" s="121" t="s">
        <v>2184</v>
      </c>
      <c r="D60" s="30">
        <v>1</v>
      </c>
      <c r="E60" s="200">
        <f t="shared" si="1"/>
        <v>50000</v>
      </c>
      <c r="F60" s="204" t="b">
        <v>1</v>
      </c>
      <c r="G60" s="30" t="s">
        <v>475</v>
      </c>
      <c r="H60" s="33">
        <v>100001</v>
      </c>
      <c r="I60" s="200">
        <v>500</v>
      </c>
      <c r="J60" s="30" t="s">
        <v>475</v>
      </c>
      <c r="K60" s="33">
        <v>100001</v>
      </c>
      <c r="L60" s="50">
        <v>3000</v>
      </c>
      <c r="M60" s="30" t="s">
        <v>561</v>
      </c>
      <c r="N60" s="33" t="s">
        <v>545</v>
      </c>
      <c r="O60" s="33" t="s">
        <v>545</v>
      </c>
      <c r="P60" s="30" t="s">
        <v>2573</v>
      </c>
      <c r="Q60" s="33">
        <f>IFERROR(INDEX([1]Item!$A:$A,MATCH(P60,[1]Item!$B:$B,0)),"-")</f>
        <v>23347008</v>
      </c>
      <c r="R60" s="33">
        <v>1</v>
      </c>
      <c r="S60" s="30"/>
      <c r="T60" s="33" t="s">
        <v>545</v>
      </c>
      <c r="U60" s="33" t="s">
        <v>545</v>
      </c>
      <c r="V60" s="30"/>
      <c r="W60" s="33" t="s">
        <v>545</v>
      </c>
      <c r="X60" s="33" t="s">
        <v>545</v>
      </c>
    </row>
    <row r="61" spans="1:24">
      <c r="A61" s="29">
        <v>47300108</v>
      </c>
      <c r="B61" s="30" t="s">
        <v>2271</v>
      </c>
      <c r="C61" s="122" t="s">
        <v>2185</v>
      </c>
      <c r="D61" s="30">
        <v>0</v>
      </c>
      <c r="E61" s="200">
        <f t="shared" si="1"/>
        <v>0</v>
      </c>
      <c r="F61" s="36" t="b">
        <v>0</v>
      </c>
      <c r="G61" s="30" t="s">
        <v>0</v>
      </c>
      <c r="H61" s="33" t="s">
        <v>0</v>
      </c>
      <c r="I61" s="200" t="s">
        <v>545</v>
      </c>
      <c r="J61" s="30"/>
      <c r="K61" s="33" t="s">
        <v>0</v>
      </c>
      <c r="L61" s="50" t="s">
        <v>545</v>
      </c>
      <c r="M61" s="30" t="s">
        <v>561</v>
      </c>
      <c r="N61" s="33" t="s">
        <v>545</v>
      </c>
      <c r="O61" s="33" t="s">
        <v>545</v>
      </c>
      <c r="P61" s="30" t="s">
        <v>2573</v>
      </c>
      <c r="Q61" s="33">
        <f>IFERROR(INDEX([1]Item!$A:$A,MATCH(P61,[1]Item!$B:$B,0)),"-")</f>
        <v>23347008</v>
      </c>
      <c r="R61" s="33">
        <v>1</v>
      </c>
      <c r="S61" s="30"/>
      <c r="T61" s="33" t="s">
        <v>545</v>
      </c>
      <c r="U61" s="33" t="s">
        <v>545</v>
      </c>
      <c r="V61" s="30"/>
      <c r="W61" s="33" t="s">
        <v>545</v>
      </c>
      <c r="X61" s="33" t="s">
        <v>545</v>
      </c>
    </row>
    <row r="62" spans="1:24">
      <c r="A62" s="29">
        <v>47300109</v>
      </c>
      <c r="B62" s="30" t="s">
        <v>2272</v>
      </c>
      <c r="C62" s="128" t="s">
        <v>2192</v>
      </c>
      <c r="D62" s="30">
        <v>1</v>
      </c>
      <c r="E62" s="200">
        <f t="shared" si="1"/>
        <v>50000</v>
      </c>
      <c r="F62" s="204" t="b">
        <v>1</v>
      </c>
      <c r="G62" s="30" t="s">
        <v>475</v>
      </c>
      <c r="H62" s="33">
        <v>100001</v>
      </c>
      <c r="I62" s="200">
        <v>500</v>
      </c>
      <c r="J62" s="30" t="s">
        <v>475</v>
      </c>
      <c r="K62" s="33">
        <v>100001</v>
      </c>
      <c r="L62" s="50">
        <v>3000</v>
      </c>
      <c r="M62" s="30" t="s">
        <v>561</v>
      </c>
      <c r="N62" s="33" t="s">
        <v>545</v>
      </c>
      <c r="O62" s="33" t="s">
        <v>545</v>
      </c>
      <c r="P62" s="30" t="s">
        <v>2573</v>
      </c>
      <c r="Q62" s="33">
        <f>IFERROR(INDEX([1]Item!$A:$A,MATCH(P62,[1]Item!$B:$B,0)),"-")</f>
        <v>23347008</v>
      </c>
      <c r="R62" s="33">
        <v>1</v>
      </c>
      <c r="S62" s="30"/>
      <c r="T62" s="33" t="s">
        <v>545</v>
      </c>
      <c r="U62" s="33" t="s">
        <v>545</v>
      </c>
      <c r="V62" s="30"/>
      <c r="W62" s="33" t="s">
        <v>545</v>
      </c>
      <c r="X62" s="33" t="s">
        <v>545</v>
      </c>
    </row>
    <row r="63" spans="1:24">
      <c r="A63" s="29">
        <v>47300110</v>
      </c>
      <c r="B63" s="30" t="s">
        <v>2273</v>
      </c>
      <c r="C63" s="130" t="s">
        <v>2194</v>
      </c>
      <c r="D63" s="30">
        <v>2</v>
      </c>
      <c r="E63" s="200">
        <f t="shared" si="1"/>
        <v>250000</v>
      </c>
      <c r="F63" s="204" t="b">
        <v>1</v>
      </c>
      <c r="G63" s="30" t="s">
        <v>475</v>
      </c>
      <c r="H63" s="33">
        <v>100001</v>
      </c>
      <c r="I63" s="200">
        <v>3000</v>
      </c>
      <c r="J63" s="30" t="s">
        <v>475</v>
      </c>
      <c r="K63" s="33">
        <v>100001</v>
      </c>
      <c r="L63" s="50">
        <v>22500</v>
      </c>
      <c r="M63" s="30" t="s">
        <v>561</v>
      </c>
      <c r="N63" s="33" t="s">
        <v>545</v>
      </c>
      <c r="O63" s="33" t="s">
        <v>545</v>
      </c>
      <c r="P63" s="30" t="s">
        <v>2571</v>
      </c>
      <c r="Q63" s="33">
        <f>IFERROR(INDEX([1]Item!$A:$A,MATCH(P63,[1]Item!$B:$B,0)),"-")</f>
        <v>23347007</v>
      </c>
      <c r="R63" s="33">
        <v>1</v>
      </c>
      <c r="S63" s="30"/>
      <c r="T63" s="33" t="s">
        <v>545</v>
      </c>
      <c r="U63" s="33" t="s">
        <v>545</v>
      </c>
      <c r="V63" s="30"/>
      <c r="W63" s="33" t="s">
        <v>545</v>
      </c>
      <c r="X63" s="33" t="s">
        <v>545</v>
      </c>
    </row>
    <row r="64" spans="1:24">
      <c r="A64" s="29">
        <v>47300111</v>
      </c>
      <c r="B64" s="30" t="s">
        <v>2274</v>
      </c>
      <c r="C64" s="131" t="s">
        <v>2195</v>
      </c>
      <c r="D64" s="30">
        <v>1</v>
      </c>
      <c r="E64" s="200">
        <f t="shared" si="1"/>
        <v>50000</v>
      </c>
      <c r="F64" s="204" t="b">
        <v>1</v>
      </c>
      <c r="G64" s="30" t="s">
        <v>475</v>
      </c>
      <c r="H64" s="33">
        <v>100001</v>
      </c>
      <c r="I64" s="200">
        <v>500</v>
      </c>
      <c r="J64" s="30" t="s">
        <v>475</v>
      </c>
      <c r="K64" s="33">
        <v>100001</v>
      </c>
      <c r="L64" s="50">
        <v>3000</v>
      </c>
      <c r="M64" s="30" t="s">
        <v>561</v>
      </c>
      <c r="N64" s="33" t="s">
        <v>545</v>
      </c>
      <c r="O64" s="33" t="s">
        <v>545</v>
      </c>
      <c r="P64" s="30" t="s">
        <v>2573</v>
      </c>
      <c r="Q64" s="33">
        <f>IFERROR(INDEX([1]Item!$A:$A,MATCH(P64,[1]Item!$B:$B,0)),"-")</f>
        <v>23347008</v>
      </c>
      <c r="R64" s="33">
        <v>1</v>
      </c>
      <c r="S64" s="30"/>
      <c r="T64" s="33" t="s">
        <v>545</v>
      </c>
      <c r="U64" s="33" t="s">
        <v>545</v>
      </c>
      <c r="V64" s="30"/>
      <c r="W64" s="33" t="s">
        <v>545</v>
      </c>
      <c r="X64" s="33" t="s">
        <v>545</v>
      </c>
    </row>
    <row r="65" spans="1:24">
      <c r="A65" s="29">
        <v>47300112</v>
      </c>
      <c r="B65" s="30" t="s">
        <v>2275</v>
      </c>
      <c r="C65" s="133" t="s">
        <v>2197</v>
      </c>
      <c r="D65" s="30">
        <v>1</v>
      </c>
      <c r="E65" s="200">
        <f t="shared" si="1"/>
        <v>50000</v>
      </c>
      <c r="F65" s="204" t="b">
        <v>1</v>
      </c>
      <c r="G65" s="30" t="s">
        <v>475</v>
      </c>
      <c r="H65" s="33">
        <v>100001</v>
      </c>
      <c r="I65" s="200">
        <v>500</v>
      </c>
      <c r="J65" s="30" t="s">
        <v>475</v>
      </c>
      <c r="K65" s="33">
        <v>100001</v>
      </c>
      <c r="L65" s="50">
        <v>3000</v>
      </c>
      <c r="M65" s="30" t="s">
        <v>561</v>
      </c>
      <c r="N65" s="33" t="s">
        <v>545</v>
      </c>
      <c r="O65" s="33" t="s">
        <v>545</v>
      </c>
      <c r="P65" s="30" t="s">
        <v>2573</v>
      </c>
      <c r="Q65" s="33">
        <f>IFERROR(INDEX([1]Item!$A:$A,MATCH(P65,[1]Item!$B:$B,0)),"-")</f>
        <v>23347008</v>
      </c>
      <c r="R65" s="33">
        <v>1</v>
      </c>
      <c r="S65" s="30"/>
      <c r="T65" s="33" t="s">
        <v>545</v>
      </c>
      <c r="U65" s="33" t="s">
        <v>545</v>
      </c>
      <c r="V65" s="30"/>
      <c r="W65" s="33" t="s">
        <v>545</v>
      </c>
      <c r="X65" s="33" t="s">
        <v>545</v>
      </c>
    </row>
    <row r="66" spans="1:24">
      <c r="A66" s="29">
        <v>47300113</v>
      </c>
      <c r="B66" s="30" t="s">
        <v>2276</v>
      </c>
      <c r="C66" s="134" t="s">
        <v>2198</v>
      </c>
      <c r="D66" s="30">
        <v>2</v>
      </c>
      <c r="E66" s="200">
        <f t="shared" si="1"/>
        <v>250000</v>
      </c>
      <c r="F66" s="204" t="b">
        <v>1</v>
      </c>
      <c r="G66" s="30" t="s">
        <v>475</v>
      </c>
      <c r="H66" s="33">
        <v>100001</v>
      </c>
      <c r="I66" s="200">
        <v>3000</v>
      </c>
      <c r="J66" s="30" t="s">
        <v>475</v>
      </c>
      <c r="K66" s="33">
        <v>100001</v>
      </c>
      <c r="L66" s="50">
        <v>22500</v>
      </c>
      <c r="M66" s="30" t="s">
        <v>561</v>
      </c>
      <c r="N66" s="33" t="s">
        <v>545</v>
      </c>
      <c r="O66" s="33" t="s">
        <v>545</v>
      </c>
      <c r="P66" s="30" t="s">
        <v>2571</v>
      </c>
      <c r="Q66" s="33">
        <f>IFERROR(INDEX([1]Item!$A:$A,MATCH(P66,[1]Item!$B:$B,0)),"-")</f>
        <v>23347007</v>
      </c>
      <c r="R66" s="33">
        <v>1</v>
      </c>
      <c r="S66" s="30"/>
      <c r="T66" s="33" t="s">
        <v>545</v>
      </c>
      <c r="U66" s="33" t="s">
        <v>545</v>
      </c>
      <c r="V66" s="30"/>
      <c r="W66" s="33" t="s">
        <v>545</v>
      </c>
      <c r="X66" s="33" t="s">
        <v>545</v>
      </c>
    </row>
    <row r="67" spans="1:24">
      <c r="A67" s="29">
        <v>47300114</v>
      </c>
      <c r="B67" s="30" t="s">
        <v>2277</v>
      </c>
      <c r="C67" s="136" t="s">
        <v>2200</v>
      </c>
      <c r="D67" s="30">
        <v>1</v>
      </c>
      <c r="E67" s="200">
        <f t="shared" si="1"/>
        <v>50000</v>
      </c>
      <c r="F67" s="204" t="b">
        <v>1</v>
      </c>
      <c r="G67" s="30" t="s">
        <v>475</v>
      </c>
      <c r="H67" s="33">
        <v>100001</v>
      </c>
      <c r="I67" s="200">
        <v>500</v>
      </c>
      <c r="J67" s="30" t="s">
        <v>475</v>
      </c>
      <c r="K67" s="33">
        <v>100001</v>
      </c>
      <c r="L67" s="50">
        <v>3000</v>
      </c>
      <c r="M67" s="30" t="s">
        <v>561</v>
      </c>
      <c r="N67" s="33" t="s">
        <v>545</v>
      </c>
      <c r="O67" s="33" t="s">
        <v>545</v>
      </c>
      <c r="P67" s="30" t="s">
        <v>2573</v>
      </c>
      <c r="Q67" s="33">
        <f>IFERROR(INDEX([1]Item!$A:$A,MATCH(P67,[1]Item!$B:$B,0)),"-")</f>
        <v>23347008</v>
      </c>
      <c r="R67" s="33">
        <v>1</v>
      </c>
      <c r="S67" s="30"/>
      <c r="T67" s="33" t="s">
        <v>545</v>
      </c>
      <c r="U67" s="33" t="s">
        <v>545</v>
      </c>
      <c r="V67" s="30"/>
      <c r="W67" s="33" t="s">
        <v>545</v>
      </c>
      <c r="X67" s="33" t="s">
        <v>545</v>
      </c>
    </row>
    <row r="68" spans="1:24">
      <c r="A68" s="29">
        <v>47300115</v>
      </c>
      <c r="B68" s="30" t="s">
        <v>2278</v>
      </c>
      <c r="C68" s="137" t="s">
        <v>2201</v>
      </c>
      <c r="D68" s="30">
        <v>1</v>
      </c>
      <c r="E68" s="200">
        <f t="shared" si="1"/>
        <v>50000</v>
      </c>
      <c r="F68" s="204" t="b">
        <v>1</v>
      </c>
      <c r="G68" s="30" t="s">
        <v>475</v>
      </c>
      <c r="H68" s="33">
        <v>100001</v>
      </c>
      <c r="I68" s="200">
        <v>500</v>
      </c>
      <c r="J68" s="30" t="s">
        <v>475</v>
      </c>
      <c r="K68" s="33">
        <v>100001</v>
      </c>
      <c r="L68" s="50">
        <v>3000</v>
      </c>
      <c r="M68" s="30" t="s">
        <v>561</v>
      </c>
      <c r="N68" s="33" t="s">
        <v>545</v>
      </c>
      <c r="O68" s="33" t="s">
        <v>545</v>
      </c>
      <c r="P68" s="30" t="s">
        <v>2573</v>
      </c>
      <c r="Q68" s="33">
        <f>IFERROR(INDEX([1]Item!$A:$A,MATCH(P68,[1]Item!$B:$B,0)),"-")</f>
        <v>23347008</v>
      </c>
      <c r="R68" s="33">
        <v>1</v>
      </c>
      <c r="S68" s="30"/>
      <c r="T68" s="33" t="s">
        <v>545</v>
      </c>
      <c r="U68" s="33" t="s">
        <v>545</v>
      </c>
      <c r="V68" s="30"/>
      <c r="W68" s="33" t="s">
        <v>545</v>
      </c>
      <c r="X68" s="33" t="s">
        <v>545</v>
      </c>
    </row>
    <row r="69" spans="1:24">
      <c r="A69" s="29">
        <v>47300116</v>
      </c>
      <c r="B69" s="30" t="s">
        <v>2279</v>
      </c>
      <c r="C69" s="139" t="s">
        <v>2203</v>
      </c>
      <c r="D69" s="30">
        <v>1</v>
      </c>
      <c r="E69" s="200">
        <f t="shared" si="1"/>
        <v>50000</v>
      </c>
      <c r="F69" s="204" t="b">
        <v>1</v>
      </c>
      <c r="G69" s="30" t="s">
        <v>475</v>
      </c>
      <c r="H69" s="33">
        <v>100001</v>
      </c>
      <c r="I69" s="200">
        <v>18500</v>
      </c>
      <c r="J69" s="30" t="s">
        <v>475</v>
      </c>
      <c r="K69" s="33">
        <v>100001</v>
      </c>
      <c r="L69" s="50">
        <v>144500</v>
      </c>
      <c r="M69" s="30" t="s">
        <v>561</v>
      </c>
      <c r="N69" s="33" t="s">
        <v>545</v>
      </c>
      <c r="O69" s="33" t="s">
        <v>545</v>
      </c>
      <c r="P69" s="30" t="s">
        <v>2572</v>
      </c>
      <c r="Q69" s="33">
        <f>IFERROR(INDEX([1]Item!$A:$A,MATCH(P69,[1]Item!$B:$B,0)),"-")</f>
        <v>23347006</v>
      </c>
      <c r="R69" s="33">
        <v>1</v>
      </c>
      <c r="S69" s="30"/>
      <c r="T69" s="33" t="s">
        <v>545</v>
      </c>
      <c r="U69" s="33" t="s">
        <v>545</v>
      </c>
      <c r="V69" s="30"/>
      <c r="W69" s="33" t="s">
        <v>545</v>
      </c>
      <c r="X69" s="33" t="s">
        <v>545</v>
      </c>
    </row>
    <row r="70" spans="1:24">
      <c r="A70" s="29">
        <v>47300117</v>
      </c>
      <c r="B70" s="30" t="s">
        <v>2280</v>
      </c>
      <c r="C70" s="140" t="s">
        <v>2204</v>
      </c>
      <c r="D70" s="30">
        <v>1</v>
      </c>
      <c r="E70" s="200">
        <f t="shared" si="1"/>
        <v>50000</v>
      </c>
      <c r="F70" s="204" t="b">
        <v>1</v>
      </c>
      <c r="G70" s="30" t="s">
        <v>475</v>
      </c>
      <c r="H70" s="33">
        <v>100001</v>
      </c>
      <c r="I70" s="200">
        <v>500</v>
      </c>
      <c r="J70" s="30" t="s">
        <v>475</v>
      </c>
      <c r="K70" s="33">
        <v>100001</v>
      </c>
      <c r="L70" s="50">
        <v>3000</v>
      </c>
      <c r="M70" s="30" t="s">
        <v>561</v>
      </c>
      <c r="N70" s="33" t="s">
        <v>545</v>
      </c>
      <c r="O70" s="33" t="s">
        <v>545</v>
      </c>
      <c r="P70" s="30" t="s">
        <v>2573</v>
      </c>
      <c r="Q70" s="33">
        <f>IFERROR(INDEX([1]Item!$A:$A,MATCH(P70,[1]Item!$B:$B,0)),"-")</f>
        <v>23347008</v>
      </c>
      <c r="R70" s="33">
        <v>1</v>
      </c>
      <c r="S70" s="30"/>
      <c r="T70" s="33" t="s">
        <v>545</v>
      </c>
      <c r="U70" s="33" t="s">
        <v>545</v>
      </c>
      <c r="V70" s="30"/>
      <c r="W70" s="33" t="s">
        <v>545</v>
      </c>
      <c r="X70" s="33" t="s">
        <v>545</v>
      </c>
    </row>
    <row r="71" spans="1:24">
      <c r="A71" s="29">
        <v>47300118</v>
      </c>
      <c r="B71" s="30" t="s">
        <v>2281</v>
      </c>
      <c r="C71" s="142" t="s">
        <v>2206</v>
      </c>
      <c r="D71" s="30">
        <v>1</v>
      </c>
      <c r="E71" s="200">
        <f t="shared" si="1"/>
        <v>50000</v>
      </c>
      <c r="F71" s="204" t="b">
        <v>1</v>
      </c>
      <c r="G71" s="30" t="s">
        <v>475</v>
      </c>
      <c r="H71" s="33">
        <v>100001</v>
      </c>
      <c r="I71" s="200">
        <v>500</v>
      </c>
      <c r="J71" s="30" t="s">
        <v>475</v>
      </c>
      <c r="K71" s="33">
        <v>100001</v>
      </c>
      <c r="L71" s="50">
        <v>3000</v>
      </c>
      <c r="M71" s="30" t="s">
        <v>561</v>
      </c>
      <c r="N71" s="33" t="s">
        <v>545</v>
      </c>
      <c r="O71" s="33" t="s">
        <v>545</v>
      </c>
      <c r="P71" s="30" t="s">
        <v>2573</v>
      </c>
      <c r="Q71" s="33">
        <f>IFERROR(INDEX([1]Item!$A:$A,MATCH(P71,[1]Item!$B:$B,0)),"-")</f>
        <v>23347008</v>
      </c>
      <c r="R71" s="33">
        <v>1</v>
      </c>
      <c r="S71" s="30"/>
      <c r="T71" s="33" t="s">
        <v>545</v>
      </c>
      <c r="U71" s="33" t="s">
        <v>545</v>
      </c>
      <c r="V71" s="30"/>
      <c r="W71" s="33" t="s">
        <v>545</v>
      </c>
      <c r="X71" s="33" t="s">
        <v>545</v>
      </c>
    </row>
    <row r="72" spans="1:24">
      <c r="A72" s="29">
        <v>47300119</v>
      </c>
      <c r="B72" s="30" t="s">
        <v>2282</v>
      </c>
      <c r="C72" s="143" t="s">
        <v>2207</v>
      </c>
      <c r="D72" s="30">
        <v>2</v>
      </c>
      <c r="E72" s="200">
        <f t="shared" si="1"/>
        <v>250000</v>
      </c>
      <c r="F72" s="204" t="b">
        <v>1</v>
      </c>
      <c r="G72" s="30" t="s">
        <v>475</v>
      </c>
      <c r="H72" s="33">
        <v>100001</v>
      </c>
      <c r="I72" s="200">
        <v>97500</v>
      </c>
      <c r="J72" s="30" t="s">
        <v>475</v>
      </c>
      <c r="K72" s="33">
        <v>100001</v>
      </c>
      <c r="L72" s="50">
        <v>776500</v>
      </c>
      <c r="M72" s="30" t="s">
        <v>561</v>
      </c>
      <c r="N72" s="33" t="s">
        <v>545</v>
      </c>
      <c r="O72" s="33" t="s">
        <v>545</v>
      </c>
      <c r="P72" s="30" t="s">
        <v>2574</v>
      </c>
      <c r="Q72" s="33">
        <f>IFERROR(INDEX([1]Item!$A:$A,MATCH(P72,[1]Item!$B:$B,0)),"-")</f>
        <v>23347005</v>
      </c>
      <c r="R72" s="33">
        <v>1</v>
      </c>
      <c r="S72" s="30"/>
      <c r="T72" s="33" t="s">
        <v>545</v>
      </c>
      <c r="U72" s="33" t="s">
        <v>545</v>
      </c>
      <c r="V72" s="30"/>
      <c r="W72" s="33" t="s">
        <v>545</v>
      </c>
      <c r="X72" s="33" t="s">
        <v>545</v>
      </c>
    </row>
    <row r="73" spans="1:24">
      <c r="A73" s="29">
        <v>47300120</v>
      </c>
      <c r="B73" s="30" t="s">
        <v>2283</v>
      </c>
      <c r="C73" s="145" t="s">
        <v>2209</v>
      </c>
      <c r="D73" s="30">
        <v>2</v>
      </c>
      <c r="E73" s="200">
        <f t="shared" si="1"/>
        <v>250000</v>
      </c>
      <c r="F73" s="204" t="b">
        <v>1</v>
      </c>
      <c r="G73" s="30" t="s">
        <v>475</v>
      </c>
      <c r="H73" s="33">
        <v>100001</v>
      </c>
      <c r="I73" s="200">
        <v>3000</v>
      </c>
      <c r="J73" s="30" t="s">
        <v>475</v>
      </c>
      <c r="K73" s="33">
        <v>100001</v>
      </c>
      <c r="L73" s="50">
        <v>22500</v>
      </c>
      <c r="M73" s="30" t="s">
        <v>561</v>
      </c>
      <c r="N73" s="33" t="s">
        <v>545</v>
      </c>
      <c r="O73" s="33" t="s">
        <v>545</v>
      </c>
      <c r="P73" s="30" t="s">
        <v>2571</v>
      </c>
      <c r="Q73" s="33">
        <f>IFERROR(INDEX([1]Item!$A:$A,MATCH(P73,[1]Item!$B:$B,0)),"-")</f>
        <v>23347007</v>
      </c>
      <c r="R73" s="33">
        <v>1</v>
      </c>
      <c r="S73" s="30"/>
      <c r="T73" s="33" t="s">
        <v>545</v>
      </c>
      <c r="U73" s="33" t="s">
        <v>545</v>
      </c>
      <c r="V73" s="30"/>
      <c r="W73" s="33" t="s">
        <v>545</v>
      </c>
      <c r="X73" s="33" t="s">
        <v>545</v>
      </c>
    </row>
    <row r="74" spans="1:24">
      <c r="A74" s="29">
        <v>47300121</v>
      </c>
      <c r="B74" s="30" t="s">
        <v>2284</v>
      </c>
      <c r="C74" s="146" t="s">
        <v>2210</v>
      </c>
      <c r="D74" s="30">
        <v>2</v>
      </c>
      <c r="E74" s="200">
        <f t="shared" si="1"/>
        <v>250000</v>
      </c>
      <c r="F74" s="204" t="b">
        <v>1</v>
      </c>
      <c r="G74" s="30" t="s">
        <v>475</v>
      </c>
      <c r="H74" s="33">
        <v>100001</v>
      </c>
      <c r="I74" s="200">
        <v>3000</v>
      </c>
      <c r="J74" s="30" t="s">
        <v>475</v>
      </c>
      <c r="K74" s="33">
        <v>100001</v>
      </c>
      <c r="L74" s="50">
        <v>22500</v>
      </c>
      <c r="M74" s="30" t="s">
        <v>561</v>
      </c>
      <c r="N74" s="33" t="s">
        <v>545</v>
      </c>
      <c r="O74" s="33" t="s">
        <v>545</v>
      </c>
      <c r="P74" s="30" t="s">
        <v>2571</v>
      </c>
      <c r="Q74" s="33">
        <f>IFERROR(INDEX([1]Item!$A:$A,MATCH(P74,[1]Item!$B:$B,0)),"-")</f>
        <v>23347007</v>
      </c>
      <c r="R74" s="33">
        <v>1</v>
      </c>
      <c r="S74" s="30"/>
      <c r="T74" s="33" t="s">
        <v>545</v>
      </c>
      <c r="U74" s="33" t="s">
        <v>545</v>
      </c>
      <c r="V74" s="30"/>
      <c r="W74" s="33" t="s">
        <v>545</v>
      </c>
      <c r="X74" s="33" t="s">
        <v>545</v>
      </c>
    </row>
    <row r="75" spans="1:24">
      <c r="A75" s="29">
        <v>47300122</v>
      </c>
      <c r="B75" s="30" t="s">
        <v>2285</v>
      </c>
      <c r="C75" s="147" t="s">
        <v>2211</v>
      </c>
      <c r="D75" s="30">
        <v>1</v>
      </c>
      <c r="E75" s="200">
        <f t="shared" si="1"/>
        <v>50000</v>
      </c>
      <c r="F75" s="204" t="b">
        <v>1</v>
      </c>
      <c r="G75" s="30" t="s">
        <v>475</v>
      </c>
      <c r="H75" s="33">
        <v>100001</v>
      </c>
      <c r="I75" s="200">
        <v>500</v>
      </c>
      <c r="J75" s="30" t="s">
        <v>475</v>
      </c>
      <c r="K75" s="33">
        <v>100001</v>
      </c>
      <c r="L75" s="50">
        <v>3000</v>
      </c>
      <c r="M75" s="30" t="s">
        <v>561</v>
      </c>
      <c r="N75" s="33" t="s">
        <v>545</v>
      </c>
      <c r="O75" s="33" t="s">
        <v>545</v>
      </c>
      <c r="P75" s="30" t="s">
        <v>2573</v>
      </c>
      <c r="Q75" s="33">
        <f>IFERROR(INDEX([1]Item!$A:$A,MATCH(P75,[1]Item!$B:$B,0)),"-")</f>
        <v>23347008</v>
      </c>
      <c r="R75" s="33">
        <v>1</v>
      </c>
      <c r="S75" s="30"/>
      <c r="T75" s="33" t="s">
        <v>545</v>
      </c>
      <c r="U75" s="33" t="s">
        <v>545</v>
      </c>
      <c r="V75" s="30"/>
      <c r="W75" s="33" t="s">
        <v>545</v>
      </c>
      <c r="X75" s="33" t="s">
        <v>545</v>
      </c>
    </row>
    <row r="76" spans="1:24">
      <c r="A76" s="29">
        <v>47300123</v>
      </c>
      <c r="B76" s="30" t="s">
        <v>2286</v>
      </c>
      <c r="C76" s="149" t="s">
        <v>2213</v>
      </c>
      <c r="D76" s="30">
        <v>2</v>
      </c>
      <c r="E76" s="200">
        <f t="shared" si="1"/>
        <v>250000</v>
      </c>
      <c r="F76" s="204" t="b">
        <v>1</v>
      </c>
      <c r="G76" s="30" t="s">
        <v>475</v>
      </c>
      <c r="H76" s="33">
        <v>100001</v>
      </c>
      <c r="I76" s="200">
        <v>18500</v>
      </c>
      <c r="J76" s="30" t="s">
        <v>475</v>
      </c>
      <c r="K76" s="33">
        <v>100001</v>
      </c>
      <c r="L76" s="50">
        <v>144500</v>
      </c>
      <c r="M76" s="30" t="s">
        <v>561</v>
      </c>
      <c r="N76" s="33" t="s">
        <v>545</v>
      </c>
      <c r="O76" s="33" t="s">
        <v>545</v>
      </c>
      <c r="P76" s="30" t="s">
        <v>2572</v>
      </c>
      <c r="Q76" s="33">
        <f>IFERROR(INDEX([1]Item!$A:$A,MATCH(P76,[1]Item!$B:$B,0)),"-")</f>
        <v>23347006</v>
      </c>
      <c r="R76" s="33">
        <v>1</v>
      </c>
      <c r="S76" s="30"/>
      <c r="T76" s="33" t="s">
        <v>545</v>
      </c>
      <c r="U76" s="33" t="s">
        <v>545</v>
      </c>
      <c r="V76" s="30"/>
      <c r="W76" s="33" t="s">
        <v>545</v>
      </c>
      <c r="X76" s="33" t="s">
        <v>545</v>
      </c>
    </row>
    <row r="77" spans="1:24">
      <c r="A77" s="29">
        <v>47300124</v>
      </c>
      <c r="B77" s="30" t="s">
        <v>2287</v>
      </c>
      <c r="C77" s="151" t="s">
        <v>2215</v>
      </c>
      <c r="D77" s="30">
        <v>1</v>
      </c>
      <c r="E77" s="200">
        <f t="shared" si="1"/>
        <v>50000</v>
      </c>
      <c r="F77" s="204" t="b">
        <v>1</v>
      </c>
      <c r="G77" s="30" t="s">
        <v>475</v>
      </c>
      <c r="H77" s="33">
        <v>100001</v>
      </c>
      <c r="I77" s="200">
        <v>500</v>
      </c>
      <c r="J77" s="30" t="s">
        <v>475</v>
      </c>
      <c r="K77" s="33">
        <v>100001</v>
      </c>
      <c r="L77" s="50">
        <v>3000</v>
      </c>
      <c r="M77" s="30" t="s">
        <v>561</v>
      </c>
      <c r="N77" s="33" t="s">
        <v>545</v>
      </c>
      <c r="O77" s="33" t="s">
        <v>545</v>
      </c>
      <c r="P77" s="30" t="s">
        <v>2573</v>
      </c>
      <c r="Q77" s="33">
        <f>IFERROR(INDEX([1]Item!$A:$A,MATCH(P77,[1]Item!$B:$B,0)),"-")</f>
        <v>23347008</v>
      </c>
      <c r="R77" s="33">
        <v>1</v>
      </c>
      <c r="S77" s="30"/>
      <c r="T77" s="33" t="s">
        <v>545</v>
      </c>
      <c r="U77" s="33" t="s">
        <v>545</v>
      </c>
      <c r="V77" s="30"/>
      <c r="W77" s="33" t="s">
        <v>545</v>
      </c>
      <c r="X77" s="33" t="s">
        <v>545</v>
      </c>
    </row>
    <row r="78" spans="1:24">
      <c r="A78" s="29">
        <v>47300125</v>
      </c>
      <c r="B78" s="30" t="s">
        <v>2288</v>
      </c>
      <c r="C78" s="152" t="s">
        <v>2216</v>
      </c>
      <c r="D78" s="30">
        <v>0</v>
      </c>
      <c r="E78" s="200">
        <f t="shared" si="1"/>
        <v>0</v>
      </c>
      <c r="F78" s="36" t="b">
        <v>0</v>
      </c>
      <c r="G78" s="30" t="s">
        <v>0</v>
      </c>
      <c r="H78" s="33" t="s">
        <v>0</v>
      </c>
      <c r="I78" s="200" t="s">
        <v>545</v>
      </c>
      <c r="J78" s="30"/>
      <c r="K78" s="33" t="s">
        <v>0</v>
      </c>
      <c r="L78" s="50" t="s">
        <v>545</v>
      </c>
      <c r="M78" s="30" t="s">
        <v>561</v>
      </c>
      <c r="N78" s="33" t="s">
        <v>545</v>
      </c>
      <c r="O78" s="33" t="s">
        <v>545</v>
      </c>
      <c r="P78" s="30" t="s">
        <v>2573</v>
      </c>
      <c r="Q78" s="33">
        <f>IFERROR(INDEX([1]Item!$A:$A,MATCH(P78,[1]Item!$B:$B,0)),"-")</f>
        <v>23347008</v>
      </c>
      <c r="R78" s="33">
        <v>1</v>
      </c>
      <c r="S78" s="30"/>
      <c r="T78" s="33" t="s">
        <v>545</v>
      </c>
      <c r="U78" s="33" t="s">
        <v>545</v>
      </c>
      <c r="V78" s="30"/>
      <c r="W78" s="33" t="s">
        <v>545</v>
      </c>
      <c r="X78" s="33" t="s">
        <v>545</v>
      </c>
    </row>
    <row r="79" spans="1:24">
      <c r="A79" s="29">
        <v>47300126</v>
      </c>
      <c r="B79" s="30" t="s">
        <v>2289</v>
      </c>
      <c r="C79" s="153" t="s">
        <v>2217</v>
      </c>
      <c r="D79" s="30">
        <v>1</v>
      </c>
      <c r="E79" s="200">
        <f t="shared" si="1"/>
        <v>50000</v>
      </c>
      <c r="F79" s="204" t="b">
        <v>1</v>
      </c>
      <c r="G79" s="30" t="s">
        <v>475</v>
      </c>
      <c r="H79" s="33">
        <v>100001</v>
      </c>
      <c r="I79" s="200">
        <v>500</v>
      </c>
      <c r="J79" s="30" t="s">
        <v>475</v>
      </c>
      <c r="K79" s="33">
        <v>100001</v>
      </c>
      <c r="L79" s="50">
        <v>3000</v>
      </c>
      <c r="M79" s="30" t="s">
        <v>561</v>
      </c>
      <c r="N79" s="33" t="s">
        <v>545</v>
      </c>
      <c r="O79" s="33" t="s">
        <v>545</v>
      </c>
      <c r="P79" s="30" t="s">
        <v>2573</v>
      </c>
      <c r="Q79" s="33">
        <f>IFERROR(INDEX([1]Item!$A:$A,MATCH(P79,[1]Item!$B:$B,0)),"-")</f>
        <v>23347008</v>
      </c>
      <c r="R79" s="33">
        <v>1</v>
      </c>
      <c r="S79" s="30"/>
      <c r="T79" s="33" t="s">
        <v>545</v>
      </c>
      <c r="U79" s="33" t="s">
        <v>545</v>
      </c>
      <c r="V79" s="30"/>
      <c r="W79" s="33" t="s">
        <v>545</v>
      </c>
      <c r="X79" s="33" t="s">
        <v>545</v>
      </c>
    </row>
    <row r="80" spans="1:24">
      <c r="A80" s="29">
        <v>47300127</v>
      </c>
      <c r="B80" s="30" t="s">
        <v>2290</v>
      </c>
      <c r="C80" s="155" t="s">
        <v>2219</v>
      </c>
      <c r="D80" s="30">
        <v>3</v>
      </c>
      <c r="E80" s="200">
        <f t="shared" si="1"/>
        <v>1300000</v>
      </c>
      <c r="F80" s="204" t="b">
        <v>1</v>
      </c>
      <c r="G80" s="30" t="s">
        <v>475</v>
      </c>
      <c r="H80" s="33">
        <v>100001</v>
      </c>
      <c r="I80" s="200">
        <v>18500</v>
      </c>
      <c r="J80" s="30" t="s">
        <v>475</v>
      </c>
      <c r="K80" s="33">
        <v>100001</v>
      </c>
      <c r="L80" s="50">
        <v>144500</v>
      </c>
      <c r="M80" s="30" t="s">
        <v>561</v>
      </c>
      <c r="N80" s="33" t="s">
        <v>545</v>
      </c>
      <c r="O80" s="33" t="s">
        <v>545</v>
      </c>
      <c r="P80" s="30" t="s">
        <v>2572</v>
      </c>
      <c r="Q80" s="33">
        <f>IFERROR(INDEX([1]Item!$A:$A,MATCH(P80,[1]Item!$B:$B,0)),"-")</f>
        <v>23347006</v>
      </c>
      <c r="R80" s="33">
        <v>1</v>
      </c>
      <c r="S80" s="30"/>
      <c r="T80" s="33" t="s">
        <v>545</v>
      </c>
      <c r="U80" s="33" t="s">
        <v>545</v>
      </c>
      <c r="V80" s="30"/>
      <c r="W80" s="33" t="s">
        <v>545</v>
      </c>
      <c r="X80" s="33" t="s">
        <v>545</v>
      </c>
    </row>
    <row r="81" spans="1:24">
      <c r="A81" s="29">
        <v>47300128</v>
      </c>
      <c r="B81" s="30" t="s">
        <v>2291</v>
      </c>
      <c r="C81" s="157" t="s">
        <v>2221</v>
      </c>
      <c r="D81" s="30">
        <v>2</v>
      </c>
      <c r="E81" s="200">
        <f t="shared" si="1"/>
        <v>250000</v>
      </c>
      <c r="F81" s="204" t="b">
        <v>1</v>
      </c>
      <c r="G81" s="30" t="s">
        <v>475</v>
      </c>
      <c r="H81" s="33">
        <v>100001</v>
      </c>
      <c r="I81" s="200">
        <v>18500</v>
      </c>
      <c r="J81" s="30" t="s">
        <v>475</v>
      </c>
      <c r="K81" s="33">
        <v>100001</v>
      </c>
      <c r="L81" s="50">
        <v>144500</v>
      </c>
      <c r="M81" s="30" t="s">
        <v>561</v>
      </c>
      <c r="N81" s="33" t="s">
        <v>545</v>
      </c>
      <c r="O81" s="33" t="s">
        <v>545</v>
      </c>
      <c r="P81" s="30" t="s">
        <v>2572</v>
      </c>
      <c r="Q81" s="33">
        <f>IFERROR(INDEX([1]Item!$A:$A,MATCH(P81,[1]Item!$B:$B,0)),"-")</f>
        <v>23347006</v>
      </c>
      <c r="R81" s="33">
        <v>1</v>
      </c>
      <c r="S81" s="30"/>
      <c r="T81" s="33" t="s">
        <v>545</v>
      </c>
      <c r="U81" s="33" t="s">
        <v>545</v>
      </c>
      <c r="V81" s="30"/>
      <c r="W81" s="33" t="s">
        <v>545</v>
      </c>
      <c r="X81" s="33" t="s">
        <v>545</v>
      </c>
    </row>
    <row r="82" spans="1:24">
      <c r="A82" s="29">
        <v>47300129</v>
      </c>
      <c r="B82" s="30" t="s">
        <v>2292</v>
      </c>
      <c r="C82" s="158" t="s">
        <v>2222</v>
      </c>
      <c r="D82" s="30">
        <v>1</v>
      </c>
      <c r="E82" s="200">
        <f t="shared" si="1"/>
        <v>50000</v>
      </c>
      <c r="F82" s="204" t="b">
        <v>1</v>
      </c>
      <c r="G82" s="30" t="s">
        <v>475</v>
      </c>
      <c r="H82" s="33">
        <v>100001</v>
      </c>
      <c r="I82" s="200">
        <v>500</v>
      </c>
      <c r="J82" s="30" t="s">
        <v>475</v>
      </c>
      <c r="K82" s="33">
        <v>100001</v>
      </c>
      <c r="L82" s="50">
        <v>3000</v>
      </c>
      <c r="M82" s="30" t="s">
        <v>561</v>
      </c>
      <c r="N82" s="33" t="s">
        <v>545</v>
      </c>
      <c r="O82" s="33" t="s">
        <v>545</v>
      </c>
      <c r="P82" s="30" t="s">
        <v>2573</v>
      </c>
      <c r="Q82" s="33">
        <f>IFERROR(INDEX([1]Item!$A:$A,MATCH(P82,[1]Item!$B:$B,0)),"-")</f>
        <v>23347008</v>
      </c>
      <c r="R82" s="33">
        <v>1</v>
      </c>
      <c r="S82" s="30"/>
      <c r="T82" s="33" t="s">
        <v>545</v>
      </c>
      <c r="U82" s="33" t="s">
        <v>545</v>
      </c>
      <c r="V82" s="30"/>
      <c r="W82" s="33" t="s">
        <v>545</v>
      </c>
      <c r="X82" s="33" t="s">
        <v>545</v>
      </c>
    </row>
    <row r="83" spans="1:24">
      <c r="A83" s="29">
        <v>47300130</v>
      </c>
      <c r="B83" s="30" t="s">
        <v>2293</v>
      </c>
      <c r="C83" s="159" t="s">
        <v>2223</v>
      </c>
      <c r="D83" s="30">
        <v>1</v>
      </c>
      <c r="E83" s="200">
        <f t="shared" si="1"/>
        <v>50000</v>
      </c>
      <c r="F83" s="204" t="b">
        <v>1</v>
      </c>
      <c r="G83" s="30" t="s">
        <v>475</v>
      </c>
      <c r="H83" s="33">
        <v>100001</v>
      </c>
      <c r="I83" s="200">
        <v>500</v>
      </c>
      <c r="J83" s="30" t="s">
        <v>475</v>
      </c>
      <c r="K83" s="33">
        <v>100001</v>
      </c>
      <c r="L83" s="50">
        <v>3000</v>
      </c>
      <c r="M83" s="30" t="s">
        <v>561</v>
      </c>
      <c r="N83" s="33" t="s">
        <v>545</v>
      </c>
      <c r="O83" s="33" t="s">
        <v>545</v>
      </c>
      <c r="P83" s="30" t="s">
        <v>2573</v>
      </c>
      <c r="Q83" s="33">
        <f>IFERROR(INDEX([1]Item!$A:$A,MATCH(P83,[1]Item!$B:$B,0)),"-")</f>
        <v>23347008</v>
      </c>
      <c r="R83" s="33">
        <v>1</v>
      </c>
      <c r="S83" s="30"/>
      <c r="T83" s="33" t="s">
        <v>545</v>
      </c>
      <c r="U83" s="33" t="s">
        <v>545</v>
      </c>
      <c r="V83" s="30"/>
      <c r="W83" s="33" t="s">
        <v>545</v>
      </c>
      <c r="X83" s="33" t="s">
        <v>545</v>
      </c>
    </row>
    <row r="84" spans="1:24">
      <c r="A84" s="29">
        <v>47300131</v>
      </c>
      <c r="B84" s="30" t="s">
        <v>2294</v>
      </c>
      <c r="C84" s="161" t="s">
        <v>2225</v>
      </c>
      <c r="D84" s="30">
        <v>2</v>
      </c>
      <c r="E84" s="200">
        <f t="shared" si="1"/>
        <v>250000</v>
      </c>
      <c r="F84" s="204" t="b">
        <v>1</v>
      </c>
      <c r="G84" s="30" t="s">
        <v>475</v>
      </c>
      <c r="H84" s="33">
        <v>100001</v>
      </c>
      <c r="I84" s="200">
        <v>97500</v>
      </c>
      <c r="J84" s="30" t="s">
        <v>475</v>
      </c>
      <c r="K84" s="33">
        <v>100001</v>
      </c>
      <c r="L84" s="50">
        <v>776500</v>
      </c>
      <c r="M84" s="30" t="s">
        <v>561</v>
      </c>
      <c r="N84" s="33" t="s">
        <v>545</v>
      </c>
      <c r="O84" s="33" t="s">
        <v>545</v>
      </c>
      <c r="P84" s="30" t="s">
        <v>2574</v>
      </c>
      <c r="Q84" s="33">
        <f>IFERROR(INDEX([1]Item!$A:$A,MATCH(P84,[1]Item!$B:$B,0)),"-")</f>
        <v>23347005</v>
      </c>
      <c r="R84" s="33">
        <v>1</v>
      </c>
      <c r="S84" s="30"/>
      <c r="T84" s="33" t="s">
        <v>545</v>
      </c>
      <c r="U84" s="33" t="s">
        <v>545</v>
      </c>
      <c r="V84" s="30"/>
      <c r="W84" s="33" t="s">
        <v>545</v>
      </c>
      <c r="X84" s="33" t="s">
        <v>545</v>
      </c>
    </row>
    <row r="85" spans="1:24">
      <c r="A85" s="29">
        <v>47300132</v>
      </c>
      <c r="B85" s="30" t="s">
        <v>2295</v>
      </c>
      <c r="C85" s="163" t="s">
        <v>2227</v>
      </c>
      <c r="D85" s="30">
        <v>1</v>
      </c>
      <c r="E85" s="200">
        <f t="shared" si="1"/>
        <v>50000</v>
      </c>
      <c r="F85" s="204" t="b">
        <v>1</v>
      </c>
      <c r="G85" s="30" t="s">
        <v>475</v>
      </c>
      <c r="H85" s="33">
        <v>100001</v>
      </c>
      <c r="I85" s="200">
        <v>500</v>
      </c>
      <c r="J85" s="30" t="s">
        <v>475</v>
      </c>
      <c r="K85" s="33">
        <v>100001</v>
      </c>
      <c r="L85" s="50">
        <v>3000</v>
      </c>
      <c r="M85" s="30" t="s">
        <v>561</v>
      </c>
      <c r="N85" s="33" t="s">
        <v>545</v>
      </c>
      <c r="O85" s="33" t="s">
        <v>545</v>
      </c>
      <c r="P85" s="30" t="s">
        <v>2573</v>
      </c>
      <c r="Q85" s="33">
        <f>IFERROR(INDEX([1]Item!$A:$A,MATCH(P85,[1]Item!$B:$B,0)),"-")</f>
        <v>23347008</v>
      </c>
      <c r="R85" s="33">
        <v>1</v>
      </c>
      <c r="S85" s="30"/>
      <c r="T85" s="33" t="s">
        <v>545</v>
      </c>
      <c r="U85" s="33" t="s">
        <v>545</v>
      </c>
      <c r="V85" s="30"/>
      <c r="W85" s="33" t="s">
        <v>545</v>
      </c>
      <c r="X85" s="33" t="s">
        <v>545</v>
      </c>
    </row>
    <row r="86" spans="1:24">
      <c r="A86" s="29">
        <v>47300133</v>
      </c>
      <c r="B86" s="30" t="s">
        <v>2296</v>
      </c>
      <c r="C86" s="164" t="s">
        <v>2228</v>
      </c>
      <c r="D86" s="30">
        <v>2</v>
      </c>
      <c r="E86" s="200">
        <f t="shared" si="1"/>
        <v>250000</v>
      </c>
      <c r="F86" s="204" t="b">
        <v>1</v>
      </c>
      <c r="G86" s="30" t="s">
        <v>475</v>
      </c>
      <c r="H86" s="33">
        <v>100001</v>
      </c>
      <c r="I86" s="200">
        <v>3000</v>
      </c>
      <c r="J86" s="30" t="s">
        <v>475</v>
      </c>
      <c r="K86" s="33">
        <v>100001</v>
      </c>
      <c r="L86" s="50">
        <v>22500</v>
      </c>
      <c r="M86" s="30" t="s">
        <v>561</v>
      </c>
      <c r="N86" s="33" t="s">
        <v>545</v>
      </c>
      <c r="O86" s="33" t="s">
        <v>545</v>
      </c>
      <c r="P86" s="30" t="s">
        <v>2571</v>
      </c>
      <c r="Q86" s="33">
        <f>IFERROR(INDEX([1]Item!$A:$A,MATCH(P86,[1]Item!$B:$B,0)),"-")</f>
        <v>23347007</v>
      </c>
      <c r="R86" s="33">
        <v>1</v>
      </c>
      <c r="S86" s="30"/>
      <c r="T86" s="33" t="s">
        <v>545</v>
      </c>
      <c r="U86" s="33" t="s">
        <v>545</v>
      </c>
      <c r="V86" s="30"/>
      <c r="W86" s="33" t="s">
        <v>545</v>
      </c>
      <c r="X86" s="33" t="s">
        <v>545</v>
      </c>
    </row>
    <row r="87" spans="1:24">
      <c r="A87" s="29">
        <v>47300134</v>
      </c>
      <c r="B87" s="30" t="s">
        <v>2297</v>
      </c>
      <c r="C87" s="165" t="s">
        <v>2229</v>
      </c>
      <c r="D87" s="30">
        <v>2</v>
      </c>
      <c r="E87" s="200">
        <f t="shared" si="1"/>
        <v>250000</v>
      </c>
      <c r="F87" s="204" t="b">
        <v>1</v>
      </c>
      <c r="G87" s="30" t="s">
        <v>475</v>
      </c>
      <c r="H87" s="33">
        <v>100001</v>
      </c>
      <c r="I87" s="200">
        <v>3000</v>
      </c>
      <c r="J87" s="30" t="s">
        <v>475</v>
      </c>
      <c r="K87" s="33">
        <v>100001</v>
      </c>
      <c r="L87" s="50">
        <v>22500</v>
      </c>
      <c r="M87" s="30" t="s">
        <v>561</v>
      </c>
      <c r="N87" s="33" t="s">
        <v>545</v>
      </c>
      <c r="O87" s="33" t="s">
        <v>545</v>
      </c>
      <c r="P87" s="30" t="s">
        <v>2571</v>
      </c>
      <c r="Q87" s="33">
        <f>IFERROR(INDEX([1]Item!$A:$A,MATCH(P87,[1]Item!$B:$B,0)),"-")</f>
        <v>23347007</v>
      </c>
      <c r="R87" s="33">
        <v>1</v>
      </c>
      <c r="S87" s="30"/>
      <c r="T87" s="33" t="s">
        <v>545</v>
      </c>
      <c r="U87" s="33" t="s">
        <v>545</v>
      </c>
      <c r="V87" s="30"/>
      <c r="W87" s="33" t="s">
        <v>545</v>
      </c>
      <c r="X87" s="33" t="s">
        <v>545</v>
      </c>
    </row>
    <row r="88" spans="1:24">
      <c r="A88" s="29">
        <v>47300135</v>
      </c>
      <c r="B88" s="30" t="s">
        <v>2298</v>
      </c>
      <c r="C88" s="167" t="s">
        <v>2231</v>
      </c>
      <c r="D88" s="30">
        <v>1</v>
      </c>
      <c r="E88" s="200">
        <f t="shared" si="1"/>
        <v>50000</v>
      </c>
      <c r="F88" s="204" t="b">
        <v>1</v>
      </c>
      <c r="G88" s="30" t="s">
        <v>475</v>
      </c>
      <c r="H88" s="33">
        <v>100001</v>
      </c>
      <c r="I88" s="200">
        <v>500</v>
      </c>
      <c r="J88" s="30" t="s">
        <v>475</v>
      </c>
      <c r="K88" s="33">
        <v>100001</v>
      </c>
      <c r="L88" s="50">
        <v>3000</v>
      </c>
      <c r="M88" s="30" t="s">
        <v>561</v>
      </c>
      <c r="N88" s="33" t="s">
        <v>545</v>
      </c>
      <c r="O88" s="33" t="s">
        <v>545</v>
      </c>
      <c r="P88" s="30" t="s">
        <v>2573</v>
      </c>
      <c r="Q88" s="33">
        <f>IFERROR(INDEX([1]Item!$A:$A,MATCH(P88,[1]Item!$B:$B,0)),"-")</f>
        <v>23347008</v>
      </c>
      <c r="R88" s="33">
        <v>1</v>
      </c>
      <c r="S88" s="30"/>
      <c r="T88" s="33" t="s">
        <v>545</v>
      </c>
      <c r="U88" s="33" t="s">
        <v>545</v>
      </c>
      <c r="V88" s="30"/>
      <c r="W88" s="33" t="s">
        <v>545</v>
      </c>
      <c r="X88" s="33" t="s">
        <v>545</v>
      </c>
    </row>
    <row r="89" spans="1:24">
      <c r="A89" s="29">
        <v>47300136</v>
      </c>
      <c r="B89" s="30" t="s">
        <v>2299</v>
      </c>
      <c r="C89" s="169" t="s">
        <v>2233</v>
      </c>
      <c r="D89" s="30">
        <v>3</v>
      </c>
      <c r="E89" s="200">
        <f t="shared" si="1"/>
        <v>1300000</v>
      </c>
      <c r="F89" s="204" t="b">
        <v>1</v>
      </c>
      <c r="G89" s="30" t="s">
        <v>475</v>
      </c>
      <c r="H89" s="33">
        <v>100001</v>
      </c>
      <c r="I89" s="200">
        <v>18500</v>
      </c>
      <c r="J89" s="30" t="s">
        <v>475</v>
      </c>
      <c r="K89" s="33">
        <v>100001</v>
      </c>
      <c r="L89" s="50">
        <v>144500</v>
      </c>
      <c r="M89" s="30" t="s">
        <v>561</v>
      </c>
      <c r="N89" s="33" t="s">
        <v>545</v>
      </c>
      <c r="O89" s="33" t="s">
        <v>545</v>
      </c>
      <c r="P89" s="30" t="s">
        <v>2572</v>
      </c>
      <c r="Q89" s="33">
        <f>IFERROR(INDEX([1]Item!$A:$A,MATCH(P89,[1]Item!$B:$B,0)),"-")</f>
        <v>23347006</v>
      </c>
      <c r="R89" s="33">
        <v>1</v>
      </c>
      <c r="S89" s="30"/>
      <c r="T89" s="33" t="s">
        <v>545</v>
      </c>
      <c r="U89" s="33" t="s">
        <v>545</v>
      </c>
      <c r="V89" s="30"/>
      <c r="W89" s="33" t="s">
        <v>545</v>
      </c>
      <c r="X89" s="33" t="s">
        <v>545</v>
      </c>
    </row>
    <row r="90" spans="1:24">
      <c r="A90" s="29">
        <v>47300137</v>
      </c>
      <c r="B90" s="30" t="s">
        <v>2300</v>
      </c>
      <c r="C90" s="170" t="s">
        <v>2234</v>
      </c>
      <c r="D90" s="30">
        <v>2</v>
      </c>
      <c r="E90" s="200">
        <f t="shared" si="1"/>
        <v>250000</v>
      </c>
      <c r="F90" s="204" t="b">
        <v>1</v>
      </c>
      <c r="G90" s="30" t="s">
        <v>475</v>
      </c>
      <c r="H90" s="33">
        <v>100001</v>
      </c>
      <c r="I90" s="200">
        <v>3000</v>
      </c>
      <c r="J90" s="30" t="s">
        <v>475</v>
      </c>
      <c r="K90" s="33">
        <v>100001</v>
      </c>
      <c r="L90" s="50">
        <v>22500</v>
      </c>
      <c r="M90" s="30" t="s">
        <v>561</v>
      </c>
      <c r="N90" s="33" t="s">
        <v>545</v>
      </c>
      <c r="O90" s="33" t="s">
        <v>545</v>
      </c>
      <c r="P90" s="30" t="s">
        <v>2571</v>
      </c>
      <c r="Q90" s="33">
        <f>IFERROR(INDEX([1]Item!$A:$A,MATCH(P90,[1]Item!$B:$B,0)),"-")</f>
        <v>23347007</v>
      </c>
      <c r="R90" s="33">
        <v>1</v>
      </c>
      <c r="S90" s="30"/>
      <c r="T90" s="33" t="s">
        <v>545</v>
      </c>
      <c r="U90" s="33" t="s">
        <v>545</v>
      </c>
      <c r="V90" s="30"/>
      <c r="W90" s="33" t="s">
        <v>545</v>
      </c>
      <c r="X90" s="33" t="s">
        <v>545</v>
      </c>
    </row>
    <row r="91" spans="1:24">
      <c r="A91" s="29">
        <v>47300138</v>
      </c>
      <c r="B91" s="30" t="s">
        <v>2301</v>
      </c>
      <c r="C91" s="171" t="s">
        <v>2235</v>
      </c>
      <c r="D91" s="30">
        <v>1</v>
      </c>
      <c r="E91" s="200">
        <f t="shared" si="1"/>
        <v>50000</v>
      </c>
      <c r="F91" s="204" t="b">
        <v>1</v>
      </c>
      <c r="G91" s="30" t="s">
        <v>475</v>
      </c>
      <c r="H91" s="33">
        <v>100001</v>
      </c>
      <c r="I91" s="200">
        <v>500</v>
      </c>
      <c r="J91" s="30" t="s">
        <v>475</v>
      </c>
      <c r="K91" s="33">
        <v>100001</v>
      </c>
      <c r="L91" s="50">
        <v>3000</v>
      </c>
      <c r="M91" s="30" t="s">
        <v>561</v>
      </c>
      <c r="N91" s="33" t="s">
        <v>545</v>
      </c>
      <c r="O91" s="33" t="s">
        <v>545</v>
      </c>
      <c r="P91" s="30" t="s">
        <v>2573</v>
      </c>
      <c r="Q91" s="33">
        <f>IFERROR(INDEX([1]Item!$A:$A,MATCH(P91,[1]Item!$B:$B,0)),"-")</f>
        <v>23347008</v>
      </c>
      <c r="R91" s="33">
        <v>1</v>
      </c>
      <c r="S91" s="30"/>
      <c r="T91" s="33" t="s">
        <v>545</v>
      </c>
      <c r="U91" s="33" t="s">
        <v>545</v>
      </c>
      <c r="V91" s="30"/>
      <c r="W91" s="33" t="s">
        <v>545</v>
      </c>
      <c r="X91" s="33" t="s">
        <v>545</v>
      </c>
    </row>
    <row r="92" spans="1:24">
      <c r="A92" s="29">
        <v>47300139</v>
      </c>
      <c r="B92" s="30" t="s">
        <v>2302</v>
      </c>
      <c r="C92" s="173" t="s">
        <v>2237</v>
      </c>
      <c r="D92" s="30">
        <v>1</v>
      </c>
      <c r="E92" s="200">
        <f t="shared" si="1"/>
        <v>50000</v>
      </c>
      <c r="F92" s="204" t="b">
        <v>1</v>
      </c>
      <c r="G92" s="30" t="s">
        <v>475</v>
      </c>
      <c r="H92" s="33">
        <v>100001</v>
      </c>
      <c r="I92" s="200">
        <v>97500</v>
      </c>
      <c r="J92" s="30" t="s">
        <v>475</v>
      </c>
      <c r="K92" s="33">
        <v>100001</v>
      </c>
      <c r="L92" s="50">
        <v>776500</v>
      </c>
      <c r="M92" s="30" t="s">
        <v>561</v>
      </c>
      <c r="N92" s="33" t="s">
        <v>545</v>
      </c>
      <c r="O92" s="33" t="s">
        <v>545</v>
      </c>
      <c r="P92" s="30" t="s">
        <v>2574</v>
      </c>
      <c r="Q92" s="33">
        <f>IFERROR(INDEX([1]Item!$A:$A,MATCH(P92,[1]Item!$B:$B,0)),"-")</f>
        <v>23347005</v>
      </c>
      <c r="R92" s="33">
        <v>1</v>
      </c>
      <c r="S92" s="30"/>
      <c r="T92" s="33" t="s">
        <v>545</v>
      </c>
      <c r="U92" s="33" t="s">
        <v>545</v>
      </c>
      <c r="V92" s="30"/>
      <c r="W92" s="33" t="s">
        <v>545</v>
      </c>
      <c r="X92" s="33" t="s">
        <v>545</v>
      </c>
    </row>
    <row r="93" spans="1:24">
      <c r="A93" s="29">
        <v>47300140</v>
      </c>
      <c r="B93" s="30" t="s">
        <v>2303</v>
      </c>
      <c r="C93" s="175" t="s">
        <v>2239</v>
      </c>
      <c r="D93" s="30">
        <v>2</v>
      </c>
      <c r="E93" s="200">
        <f t="shared" si="1"/>
        <v>250000</v>
      </c>
      <c r="F93" s="204" t="b">
        <v>1</v>
      </c>
      <c r="G93" s="30" t="s">
        <v>475</v>
      </c>
      <c r="H93" s="33">
        <v>100001</v>
      </c>
      <c r="I93" s="200">
        <v>3000</v>
      </c>
      <c r="J93" s="30" t="s">
        <v>475</v>
      </c>
      <c r="K93" s="33">
        <v>100001</v>
      </c>
      <c r="L93" s="50">
        <v>22500</v>
      </c>
      <c r="M93" s="30" t="s">
        <v>561</v>
      </c>
      <c r="N93" s="33" t="s">
        <v>545</v>
      </c>
      <c r="O93" s="33" t="s">
        <v>545</v>
      </c>
      <c r="P93" s="30" t="s">
        <v>2571</v>
      </c>
      <c r="Q93" s="33">
        <f>IFERROR(INDEX([1]Item!$A:$A,MATCH(P93,[1]Item!$B:$B,0)),"-")</f>
        <v>23347007</v>
      </c>
      <c r="R93" s="33">
        <v>1</v>
      </c>
      <c r="S93" s="30"/>
      <c r="T93" s="33" t="s">
        <v>545</v>
      </c>
      <c r="U93" s="33" t="s">
        <v>545</v>
      </c>
      <c r="V93" s="30"/>
      <c r="W93" s="33" t="s">
        <v>545</v>
      </c>
      <c r="X93" s="33" t="s">
        <v>545</v>
      </c>
    </row>
    <row r="94" spans="1:24">
      <c r="A94" s="29">
        <v>47300141</v>
      </c>
      <c r="B94" s="30" t="s">
        <v>2304</v>
      </c>
      <c r="C94" s="176" t="s">
        <v>2240</v>
      </c>
      <c r="D94" s="30">
        <v>1</v>
      </c>
      <c r="E94" s="200">
        <f t="shared" si="1"/>
        <v>50000</v>
      </c>
      <c r="F94" s="204" t="b">
        <v>1</v>
      </c>
      <c r="G94" s="30" t="s">
        <v>475</v>
      </c>
      <c r="H94" s="33">
        <v>100001</v>
      </c>
      <c r="I94" s="200">
        <v>500</v>
      </c>
      <c r="J94" s="30" t="s">
        <v>475</v>
      </c>
      <c r="K94" s="33">
        <v>100001</v>
      </c>
      <c r="L94" s="50">
        <v>3000</v>
      </c>
      <c r="M94" s="30" t="s">
        <v>561</v>
      </c>
      <c r="N94" s="33" t="s">
        <v>545</v>
      </c>
      <c r="O94" s="33" t="s">
        <v>545</v>
      </c>
      <c r="P94" s="30" t="s">
        <v>2573</v>
      </c>
      <c r="Q94" s="33">
        <f>IFERROR(INDEX([1]Item!$A:$A,MATCH(P94,[1]Item!$B:$B,0)),"-")</f>
        <v>23347008</v>
      </c>
      <c r="R94" s="33">
        <v>1</v>
      </c>
      <c r="S94" s="30"/>
      <c r="T94" s="33" t="s">
        <v>545</v>
      </c>
      <c r="U94" s="33" t="s">
        <v>545</v>
      </c>
      <c r="V94" s="30"/>
      <c r="W94" s="33" t="s">
        <v>545</v>
      </c>
      <c r="X94" s="33" t="s">
        <v>545</v>
      </c>
    </row>
    <row r="95" spans="1:24">
      <c r="A95" s="29">
        <v>47300142</v>
      </c>
      <c r="B95" s="30" t="s">
        <v>2305</v>
      </c>
      <c r="C95" s="177" t="s">
        <v>2241</v>
      </c>
      <c r="D95" s="30">
        <v>2</v>
      </c>
      <c r="E95" s="200">
        <f t="shared" si="1"/>
        <v>250000</v>
      </c>
      <c r="F95" s="204" t="b">
        <v>1</v>
      </c>
      <c r="G95" s="30" t="s">
        <v>475</v>
      </c>
      <c r="H95" s="33">
        <v>100001</v>
      </c>
      <c r="I95" s="200">
        <v>3000</v>
      </c>
      <c r="J95" s="30" t="s">
        <v>475</v>
      </c>
      <c r="K95" s="33">
        <v>100001</v>
      </c>
      <c r="L95" s="50">
        <v>22500</v>
      </c>
      <c r="M95" s="30" t="s">
        <v>561</v>
      </c>
      <c r="N95" s="33" t="s">
        <v>545</v>
      </c>
      <c r="O95" s="33" t="s">
        <v>545</v>
      </c>
      <c r="P95" s="30" t="s">
        <v>2571</v>
      </c>
      <c r="Q95" s="33">
        <f>IFERROR(INDEX([1]Item!$A:$A,MATCH(P95,[1]Item!$B:$B,0)),"-")</f>
        <v>23347007</v>
      </c>
      <c r="R95" s="33">
        <v>1</v>
      </c>
      <c r="S95" s="30"/>
      <c r="T95" s="33" t="s">
        <v>545</v>
      </c>
      <c r="U95" s="33" t="s">
        <v>545</v>
      </c>
      <c r="V95" s="30"/>
      <c r="W95" s="33" t="s">
        <v>545</v>
      </c>
      <c r="X95" s="33" t="s">
        <v>545</v>
      </c>
    </row>
    <row r="96" spans="1:24">
      <c r="A96" s="29">
        <v>47300143</v>
      </c>
      <c r="B96" s="30" t="s">
        <v>2306</v>
      </c>
      <c r="C96" s="179" t="s">
        <v>2243</v>
      </c>
      <c r="D96" s="30">
        <v>2</v>
      </c>
      <c r="E96" s="200">
        <f t="shared" si="1"/>
        <v>250000</v>
      </c>
      <c r="F96" s="204" t="b">
        <v>1</v>
      </c>
      <c r="G96" s="30" t="s">
        <v>475</v>
      </c>
      <c r="H96" s="33">
        <v>100001</v>
      </c>
      <c r="I96" s="200">
        <v>3000</v>
      </c>
      <c r="J96" s="30" t="s">
        <v>475</v>
      </c>
      <c r="K96" s="33">
        <v>100001</v>
      </c>
      <c r="L96" s="50">
        <v>22500</v>
      </c>
      <c r="M96" s="30" t="s">
        <v>561</v>
      </c>
      <c r="N96" s="33" t="s">
        <v>545</v>
      </c>
      <c r="O96" s="33" t="s">
        <v>545</v>
      </c>
      <c r="P96" s="30" t="s">
        <v>2571</v>
      </c>
      <c r="Q96" s="33">
        <f>IFERROR(INDEX([1]Item!$A:$A,MATCH(P96,[1]Item!$B:$B,0)),"-")</f>
        <v>23347007</v>
      </c>
      <c r="R96" s="33">
        <v>1</v>
      </c>
      <c r="S96" s="30"/>
      <c r="T96" s="33" t="s">
        <v>545</v>
      </c>
      <c r="U96" s="33" t="s">
        <v>545</v>
      </c>
      <c r="V96" s="30"/>
      <c r="W96" s="33" t="s">
        <v>545</v>
      </c>
      <c r="X96" s="33" t="s">
        <v>545</v>
      </c>
    </row>
    <row r="97" spans="1:24">
      <c r="A97" s="29">
        <v>47300144</v>
      </c>
      <c r="B97" s="30" t="s">
        <v>2307</v>
      </c>
      <c r="C97" s="181" t="s">
        <v>2245</v>
      </c>
      <c r="D97" s="30">
        <v>1</v>
      </c>
      <c r="E97" s="200">
        <f t="shared" si="1"/>
        <v>50000</v>
      </c>
      <c r="F97" s="204" t="b">
        <v>1</v>
      </c>
      <c r="G97" s="30" t="s">
        <v>475</v>
      </c>
      <c r="H97" s="33">
        <v>100001</v>
      </c>
      <c r="I97" s="200">
        <v>500</v>
      </c>
      <c r="J97" s="30" t="s">
        <v>475</v>
      </c>
      <c r="K97" s="33">
        <v>100001</v>
      </c>
      <c r="L97" s="50">
        <v>3000</v>
      </c>
      <c r="M97" s="30" t="s">
        <v>561</v>
      </c>
      <c r="N97" s="33" t="s">
        <v>545</v>
      </c>
      <c r="O97" s="33" t="s">
        <v>545</v>
      </c>
      <c r="P97" s="30" t="s">
        <v>2573</v>
      </c>
      <c r="Q97" s="33">
        <f>IFERROR(INDEX([1]Item!$A:$A,MATCH(P97,[1]Item!$B:$B,0)),"-")</f>
        <v>23347008</v>
      </c>
      <c r="R97" s="33">
        <v>1</v>
      </c>
      <c r="S97" s="30"/>
      <c r="T97" s="33" t="s">
        <v>545</v>
      </c>
      <c r="U97" s="33" t="s">
        <v>545</v>
      </c>
      <c r="V97" s="30"/>
      <c r="W97" s="33" t="s">
        <v>545</v>
      </c>
      <c r="X97" s="33" t="s">
        <v>545</v>
      </c>
    </row>
    <row r="98" spans="1:24">
      <c r="A98" s="29">
        <v>47300145</v>
      </c>
      <c r="B98" s="30" t="s">
        <v>2308</v>
      </c>
      <c r="C98" s="182" t="s">
        <v>2246</v>
      </c>
      <c r="D98" s="30">
        <v>2</v>
      </c>
      <c r="E98" s="200">
        <f t="shared" si="1"/>
        <v>250000</v>
      </c>
      <c r="F98" s="204" t="b">
        <v>1</v>
      </c>
      <c r="G98" s="30" t="s">
        <v>475</v>
      </c>
      <c r="H98" s="33">
        <v>100001</v>
      </c>
      <c r="I98" s="200">
        <v>3000</v>
      </c>
      <c r="J98" s="30" t="s">
        <v>475</v>
      </c>
      <c r="K98" s="33">
        <v>100001</v>
      </c>
      <c r="L98" s="50">
        <v>22500</v>
      </c>
      <c r="M98" s="30" t="s">
        <v>561</v>
      </c>
      <c r="N98" s="33" t="s">
        <v>545</v>
      </c>
      <c r="O98" s="33" t="s">
        <v>545</v>
      </c>
      <c r="P98" s="30" t="s">
        <v>2571</v>
      </c>
      <c r="Q98" s="33">
        <f>IFERROR(INDEX([1]Item!$A:$A,MATCH(P98,[1]Item!$B:$B,0)),"-")</f>
        <v>23347007</v>
      </c>
      <c r="R98" s="33">
        <v>1</v>
      </c>
      <c r="S98" s="30"/>
      <c r="T98" s="33" t="s">
        <v>545</v>
      </c>
      <c r="U98" s="33" t="s">
        <v>545</v>
      </c>
      <c r="V98" s="30"/>
      <c r="W98" s="33" t="s">
        <v>545</v>
      </c>
      <c r="X98" s="33" t="s">
        <v>545</v>
      </c>
    </row>
    <row r="99" spans="1:24">
      <c r="A99" s="29">
        <v>47300146</v>
      </c>
      <c r="B99" s="30" t="s">
        <v>2592</v>
      </c>
      <c r="C99" s="184" t="s">
        <v>2247</v>
      </c>
      <c r="D99" s="30">
        <v>1</v>
      </c>
      <c r="E99" s="200">
        <f t="shared" si="1"/>
        <v>50000</v>
      </c>
      <c r="F99" s="204" t="b">
        <v>1</v>
      </c>
      <c r="G99" s="30" t="s">
        <v>475</v>
      </c>
      <c r="H99" s="33">
        <v>100001</v>
      </c>
      <c r="I99" s="200">
        <v>500</v>
      </c>
      <c r="J99" s="30" t="s">
        <v>475</v>
      </c>
      <c r="K99" s="33">
        <v>100001</v>
      </c>
      <c r="L99" s="50">
        <v>3000</v>
      </c>
      <c r="M99" s="30" t="s">
        <v>561</v>
      </c>
      <c r="N99" s="33" t="s">
        <v>545</v>
      </c>
      <c r="O99" s="33" t="s">
        <v>545</v>
      </c>
      <c r="P99" s="30" t="s">
        <v>2573</v>
      </c>
      <c r="Q99" s="33">
        <f>IFERROR(INDEX([1]Item!$A:$A,MATCH(P99,[1]Item!$B:$B,0)),"-")</f>
        <v>23347008</v>
      </c>
      <c r="R99" s="33">
        <v>1</v>
      </c>
      <c r="S99" s="30"/>
      <c r="T99" s="33" t="s">
        <v>545</v>
      </c>
      <c r="U99" s="33" t="s">
        <v>545</v>
      </c>
      <c r="V99" s="30"/>
      <c r="W99" s="33" t="s">
        <v>545</v>
      </c>
      <c r="X99" s="33" t="s">
        <v>545</v>
      </c>
    </row>
    <row r="100" spans="1:24">
      <c r="A100" s="29">
        <v>47300147</v>
      </c>
      <c r="B100" s="30" t="s">
        <v>2593</v>
      </c>
      <c r="C100" s="185" t="s">
        <v>2249</v>
      </c>
      <c r="D100" s="30">
        <v>2</v>
      </c>
      <c r="E100" s="200">
        <f t="shared" si="1"/>
        <v>250000</v>
      </c>
      <c r="F100" s="204" t="b">
        <v>1</v>
      </c>
      <c r="G100" s="30" t="s">
        <v>475</v>
      </c>
      <c r="H100" s="33">
        <v>100001</v>
      </c>
      <c r="I100" s="200">
        <v>18500</v>
      </c>
      <c r="J100" s="30" t="s">
        <v>475</v>
      </c>
      <c r="K100" s="33">
        <v>100001</v>
      </c>
      <c r="L100" s="50">
        <v>144500</v>
      </c>
      <c r="M100" s="30" t="s">
        <v>561</v>
      </c>
      <c r="N100" s="33" t="s">
        <v>545</v>
      </c>
      <c r="O100" s="33" t="s">
        <v>545</v>
      </c>
      <c r="P100" s="30" t="s">
        <v>2572</v>
      </c>
      <c r="Q100" s="33">
        <f>IFERROR(INDEX([1]Item!$A:$A,MATCH(P100,[1]Item!$B:$B,0)),"-")</f>
        <v>23347006</v>
      </c>
      <c r="R100" s="33">
        <v>1</v>
      </c>
      <c r="S100" s="30"/>
      <c r="T100" s="33" t="s">
        <v>545</v>
      </c>
      <c r="U100" s="33" t="s">
        <v>545</v>
      </c>
      <c r="V100" s="30"/>
      <c r="W100" s="33" t="s">
        <v>545</v>
      </c>
      <c r="X100" s="33" t="s">
        <v>545</v>
      </c>
    </row>
    <row r="101" spans="1:24">
      <c r="A101" s="29">
        <v>47300148</v>
      </c>
      <c r="B101" s="30" t="s">
        <v>2594</v>
      </c>
      <c r="C101" s="187" t="s">
        <v>2251</v>
      </c>
      <c r="D101" s="30">
        <v>1</v>
      </c>
      <c r="E101" s="200">
        <f t="shared" si="1"/>
        <v>50000</v>
      </c>
      <c r="F101" s="204" t="b">
        <v>1</v>
      </c>
      <c r="G101" s="30" t="s">
        <v>475</v>
      </c>
      <c r="H101" s="33">
        <v>100001</v>
      </c>
      <c r="I101" s="200">
        <v>500</v>
      </c>
      <c r="J101" s="30" t="s">
        <v>475</v>
      </c>
      <c r="K101" s="33">
        <v>100001</v>
      </c>
      <c r="L101" s="50">
        <v>3000</v>
      </c>
      <c r="M101" s="30" t="s">
        <v>561</v>
      </c>
      <c r="N101" s="33" t="s">
        <v>545</v>
      </c>
      <c r="O101" s="33" t="s">
        <v>545</v>
      </c>
      <c r="P101" s="30" t="s">
        <v>2573</v>
      </c>
      <c r="Q101" s="33">
        <f>IFERROR(INDEX([1]Item!$A:$A,MATCH(P101,[1]Item!$B:$B,0)),"-")</f>
        <v>23347008</v>
      </c>
      <c r="R101" s="33">
        <v>1</v>
      </c>
      <c r="S101" s="30"/>
      <c r="T101" s="33" t="s">
        <v>545</v>
      </c>
      <c r="U101" s="33" t="s">
        <v>545</v>
      </c>
      <c r="V101" s="30"/>
      <c r="W101" s="33" t="s">
        <v>545</v>
      </c>
      <c r="X101" s="33" t="s">
        <v>545</v>
      </c>
    </row>
    <row r="102" spans="1:24">
      <c r="A102" s="29">
        <v>47300149</v>
      </c>
      <c r="B102" s="30" t="s">
        <v>2595</v>
      </c>
      <c r="C102" s="188" t="s">
        <v>2252</v>
      </c>
      <c r="D102" s="30">
        <v>1</v>
      </c>
      <c r="E102" s="200">
        <f t="shared" si="1"/>
        <v>50000</v>
      </c>
      <c r="F102" s="204" t="b">
        <v>1</v>
      </c>
      <c r="G102" s="30" t="s">
        <v>475</v>
      </c>
      <c r="H102" s="33">
        <v>100001</v>
      </c>
      <c r="I102" s="200">
        <v>500</v>
      </c>
      <c r="J102" s="30" t="s">
        <v>475</v>
      </c>
      <c r="K102" s="33">
        <v>100001</v>
      </c>
      <c r="L102" s="50">
        <v>3000</v>
      </c>
      <c r="M102" s="30" t="s">
        <v>561</v>
      </c>
      <c r="N102" s="33" t="s">
        <v>545</v>
      </c>
      <c r="O102" s="33" t="s">
        <v>545</v>
      </c>
      <c r="P102" s="30" t="s">
        <v>2573</v>
      </c>
      <c r="Q102" s="33">
        <f>IFERROR(INDEX([1]Item!$A:$A,MATCH(P102,[1]Item!$B:$B,0)),"-")</f>
        <v>23347008</v>
      </c>
      <c r="R102" s="33">
        <v>1</v>
      </c>
      <c r="S102" s="30"/>
      <c r="T102" s="33" t="s">
        <v>545</v>
      </c>
      <c r="U102" s="33" t="s">
        <v>545</v>
      </c>
      <c r="V102" s="30"/>
      <c r="W102" s="33" t="s">
        <v>545</v>
      </c>
      <c r="X102" s="33" t="s">
        <v>545</v>
      </c>
    </row>
    <row r="103" spans="1:24">
      <c r="A103" s="29">
        <v>47300150</v>
      </c>
      <c r="B103" s="30" t="s">
        <v>2596</v>
      </c>
      <c r="C103" s="189" t="s">
        <v>2253</v>
      </c>
      <c r="D103" s="30">
        <v>2</v>
      </c>
      <c r="E103" s="200">
        <f t="shared" si="1"/>
        <v>250000</v>
      </c>
      <c r="F103" s="204" t="b">
        <v>1</v>
      </c>
      <c r="G103" s="30" t="s">
        <v>475</v>
      </c>
      <c r="H103" s="33">
        <v>100001</v>
      </c>
      <c r="I103" s="200">
        <v>18500</v>
      </c>
      <c r="J103" s="30" t="s">
        <v>475</v>
      </c>
      <c r="K103" s="33">
        <v>100001</v>
      </c>
      <c r="L103" s="50">
        <v>144500</v>
      </c>
      <c r="M103" s="30" t="s">
        <v>561</v>
      </c>
      <c r="N103" s="33" t="s">
        <v>545</v>
      </c>
      <c r="O103" s="33" t="s">
        <v>545</v>
      </c>
      <c r="P103" s="30" t="s">
        <v>2572</v>
      </c>
      <c r="Q103" s="33">
        <f>IFERROR(INDEX([1]Item!$A:$A,MATCH(P103,[1]Item!$B:$B,0)),"-")</f>
        <v>23347006</v>
      </c>
      <c r="R103" s="33">
        <v>1</v>
      </c>
      <c r="S103" s="30"/>
      <c r="T103" s="33" t="s">
        <v>545</v>
      </c>
      <c r="U103" s="33" t="s">
        <v>545</v>
      </c>
      <c r="V103" s="30"/>
      <c r="W103" s="33" t="s">
        <v>545</v>
      </c>
      <c r="X103" s="33" t="s">
        <v>545</v>
      </c>
    </row>
    <row r="104" spans="1:24">
      <c r="A104" s="29">
        <v>47300151</v>
      </c>
      <c r="B104" s="30" t="s">
        <v>2597</v>
      </c>
      <c r="C104" s="191" t="s">
        <v>2255</v>
      </c>
      <c r="D104" s="30">
        <v>3</v>
      </c>
      <c r="E104" s="200">
        <f t="shared" si="1"/>
        <v>1300000</v>
      </c>
      <c r="F104" s="204" t="b">
        <v>1</v>
      </c>
      <c r="G104" s="30" t="s">
        <v>475</v>
      </c>
      <c r="H104" s="33">
        <v>100001</v>
      </c>
      <c r="I104" s="200">
        <v>18500</v>
      </c>
      <c r="J104" s="30" t="s">
        <v>475</v>
      </c>
      <c r="K104" s="33">
        <v>100001</v>
      </c>
      <c r="L104" s="50">
        <v>144500</v>
      </c>
      <c r="M104" s="30" t="s">
        <v>561</v>
      </c>
      <c r="N104" s="33" t="s">
        <v>545</v>
      </c>
      <c r="O104" s="33" t="s">
        <v>545</v>
      </c>
      <c r="P104" s="30" t="s">
        <v>2572</v>
      </c>
      <c r="Q104" s="33">
        <f>IFERROR(INDEX([1]Item!$A:$A,MATCH(P104,[1]Item!$B:$B,0)),"-")</f>
        <v>23347006</v>
      </c>
      <c r="R104" s="33">
        <v>1</v>
      </c>
      <c r="S104" s="30"/>
      <c r="T104" s="33" t="s">
        <v>545</v>
      </c>
      <c r="U104" s="33" t="s">
        <v>545</v>
      </c>
      <c r="V104" s="30"/>
      <c r="W104" s="33" t="s">
        <v>545</v>
      </c>
      <c r="X104" s="33" t="s">
        <v>545</v>
      </c>
    </row>
    <row r="105" spans="1:24">
      <c r="A105" s="29">
        <v>47300152</v>
      </c>
      <c r="B105" s="30" t="s">
        <v>2598</v>
      </c>
      <c r="C105" s="193" t="s">
        <v>2257</v>
      </c>
      <c r="D105" s="30">
        <v>1</v>
      </c>
      <c r="E105" s="200">
        <f t="shared" si="1"/>
        <v>50000</v>
      </c>
      <c r="F105" s="204" t="b">
        <v>1</v>
      </c>
      <c r="G105" s="30" t="s">
        <v>475</v>
      </c>
      <c r="H105" s="33">
        <v>100001</v>
      </c>
      <c r="I105" s="200">
        <v>97500</v>
      </c>
      <c r="J105" s="30" t="s">
        <v>475</v>
      </c>
      <c r="K105" s="33">
        <v>100001</v>
      </c>
      <c r="L105" s="50">
        <v>776500</v>
      </c>
      <c r="M105" s="30" t="s">
        <v>561</v>
      </c>
      <c r="N105" s="33" t="s">
        <v>545</v>
      </c>
      <c r="O105" s="33" t="s">
        <v>545</v>
      </c>
      <c r="P105" s="30" t="s">
        <v>2574</v>
      </c>
      <c r="Q105" s="33">
        <f>IFERROR(INDEX([1]Item!$A:$A,MATCH(P105,[1]Item!$B:$B,0)),"-")</f>
        <v>23347005</v>
      </c>
      <c r="R105" s="33">
        <v>1</v>
      </c>
      <c r="S105" s="30"/>
      <c r="T105" s="33" t="s">
        <v>545</v>
      </c>
      <c r="U105" s="33" t="s">
        <v>545</v>
      </c>
      <c r="V105" s="30"/>
      <c r="W105" s="33" t="s">
        <v>545</v>
      </c>
      <c r="X105" s="33" t="s">
        <v>545</v>
      </c>
    </row>
    <row r="106" spans="1:24">
      <c r="A106" s="29">
        <v>47300153</v>
      </c>
      <c r="B106" s="30" t="s">
        <v>2599</v>
      </c>
      <c r="C106" s="194" t="s">
        <v>2258</v>
      </c>
      <c r="D106" s="30">
        <v>4</v>
      </c>
      <c r="E106" s="200">
        <f t="shared" si="1"/>
        <v>6950000</v>
      </c>
      <c r="F106" s="204" t="b">
        <v>1</v>
      </c>
      <c r="G106" s="30" t="s">
        <v>475</v>
      </c>
      <c r="H106" s="33">
        <v>100001</v>
      </c>
      <c r="I106" s="200">
        <v>97500</v>
      </c>
      <c r="J106" s="30" t="s">
        <v>475</v>
      </c>
      <c r="K106" s="33">
        <v>100001</v>
      </c>
      <c r="L106" s="50">
        <v>776500</v>
      </c>
      <c r="M106" s="30" t="s">
        <v>561</v>
      </c>
      <c r="N106" s="33" t="s">
        <v>545</v>
      </c>
      <c r="O106" s="33" t="s">
        <v>545</v>
      </c>
      <c r="P106" s="30" t="s">
        <v>2574</v>
      </c>
      <c r="Q106" s="33">
        <f>IFERROR(INDEX([1]Item!$A:$A,MATCH(P106,[1]Item!$B:$B,0)),"-")</f>
        <v>23347005</v>
      </c>
      <c r="R106" s="33">
        <v>1</v>
      </c>
      <c r="S106" s="30"/>
      <c r="T106" s="33" t="s">
        <v>545</v>
      </c>
      <c r="U106" s="33" t="s">
        <v>545</v>
      </c>
      <c r="V106" s="30"/>
      <c r="W106" s="33" t="s">
        <v>545</v>
      </c>
      <c r="X106" s="33" t="s">
        <v>545</v>
      </c>
    </row>
    <row r="107" spans="1:24">
      <c r="A107" s="29">
        <v>47300154</v>
      </c>
      <c r="B107" s="30" t="s">
        <v>2600</v>
      </c>
      <c r="C107" s="195" t="s">
        <v>2259</v>
      </c>
      <c r="D107" s="30">
        <v>1</v>
      </c>
      <c r="E107" s="200">
        <f t="shared" si="1"/>
        <v>50000</v>
      </c>
      <c r="F107" s="204" t="b">
        <v>1</v>
      </c>
      <c r="G107" s="30" t="s">
        <v>475</v>
      </c>
      <c r="H107" s="33">
        <v>100001</v>
      </c>
      <c r="I107" s="200">
        <v>500</v>
      </c>
      <c r="J107" s="30" t="s">
        <v>475</v>
      </c>
      <c r="K107" s="33">
        <v>100001</v>
      </c>
      <c r="L107" s="50">
        <v>3000</v>
      </c>
      <c r="M107" s="30" t="s">
        <v>561</v>
      </c>
      <c r="N107" s="33" t="s">
        <v>545</v>
      </c>
      <c r="O107" s="33" t="s">
        <v>545</v>
      </c>
      <c r="P107" s="30" t="s">
        <v>2573</v>
      </c>
      <c r="Q107" s="33">
        <f>IFERROR(INDEX([1]Item!$A:$A,MATCH(P107,[1]Item!$B:$B,0)),"-")</f>
        <v>23347008</v>
      </c>
      <c r="R107" s="33">
        <v>1</v>
      </c>
      <c r="S107" s="30"/>
      <c r="T107" s="33" t="s">
        <v>545</v>
      </c>
      <c r="U107" s="33" t="s">
        <v>545</v>
      </c>
      <c r="V107" s="30"/>
      <c r="W107" s="33" t="s">
        <v>545</v>
      </c>
      <c r="X107" s="33" t="s">
        <v>545</v>
      </c>
    </row>
    <row r="108" spans="1:24">
      <c r="A108" s="29">
        <v>47300155</v>
      </c>
      <c r="B108" s="30" t="s">
        <v>2601</v>
      </c>
      <c r="C108" s="197" t="s">
        <v>2261</v>
      </c>
      <c r="D108" s="30">
        <v>0</v>
      </c>
      <c r="E108" s="200">
        <f t="shared" si="1"/>
        <v>0</v>
      </c>
      <c r="F108" s="36" t="b">
        <v>0</v>
      </c>
      <c r="G108" s="30" t="s">
        <v>561</v>
      </c>
      <c r="H108" s="33" t="s">
        <v>545</v>
      </c>
      <c r="I108" s="200" t="s">
        <v>0</v>
      </c>
      <c r="J108" s="30" t="s">
        <v>561</v>
      </c>
      <c r="K108" s="33" t="s">
        <v>545</v>
      </c>
      <c r="L108" s="50" t="s">
        <v>545</v>
      </c>
      <c r="M108" s="30" t="s">
        <v>561</v>
      </c>
      <c r="N108" s="33" t="s">
        <v>545</v>
      </c>
      <c r="O108" s="33" t="s">
        <v>545</v>
      </c>
      <c r="P108" s="30" t="s">
        <v>2425</v>
      </c>
      <c r="Q108" s="33" t="str">
        <f>IFERROR(INDEX([1]Item!$A:$A,MATCH(P108,[1]Item!$B:$B,0)),"-")</f>
        <v>-</v>
      </c>
      <c r="R108" s="33" t="s">
        <v>545</v>
      </c>
      <c r="S108" s="30"/>
      <c r="T108" s="33" t="s">
        <v>545</v>
      </c>
      <c r="U108" s="33" t="s">
        <v>545</v>
      </c>
      <c r="V108" s="30"/>
      <c r="W108" s="33" t="s">
        <v>545</v>
      </c>
      <c r="X108" s="33" t="s">
        <v>545</v>
      </c>
    </row>
    <row r="109" spans="1:24">
      <c r="A109" s="29">
        <v>47300156</v>
      </c>
      <c r="B109" s="30" t="s">
        <v>2602</v>
      </c>
      <c r="C109" s="199" t="s">
        <v>2263</v>
      </c>
      <c r="D109" s="30">
        <v>1</v>
      </c>
      <c r="E109" s="200">
        <f t="shared" si="1"/>
        <v>50000</v>
      </c>
      <c r="F109" s="204" t="b">
        <v>1</v>
      </c>
      <c r="G109" s="30" t="s">
        <v>475</v>
      </c>
      <c r="H109" s="33">
        <v>100001</v>
      </c>
      <c r="I109" s="200">
        <v>18500</v>
      </c>
      <c r="J109" s="30" t="s">
        <v>475</v>
      </c>
      <c r="K109" s="33">
        <v>100001</v>
      </c>
      <c r="L109" s="50">
        <v>144500</v>
      </c>
      <c r="M109" s="30" t="s">
        <v>561</v>
      </c>
      <c r="N109" s="33" t="s">
        <v>545</v>
      </c>
      <c r="O109" s="33" t="s">
        <v>545</v>
      </c>
      <c r="P109" s="30" t="s">
        <v>2572</v>
      </c>
      <c r="Q109" s="33">
        <f>IFERROR(INDEX([1]Item!$A:$A,MATCH(P109,[1]Item!$B:$B,0)),"-")</f>
        <v>23347006</v>
      </c>
      <c r="R109" s="33">
        <v>1</v>
      </c>
      <c r="S109" s="30"/>
      <c r="T109" s="33" t="s">
        <v>545</v>
      </c>
      <c r="U109" s="33" t="s">
        <v>545</v>
      </c>
      <c r="V109" s="30"/>
      <c r="W109" s="33" t="s">
        <v>545</v>
      </c>
      <c r="X109" s="33" t="s">
        <v>545</v>
      </c>
    </row>
    <row r="110" spans="1:24">
      <c r="A110" s="29">
        <v>47300157</v>
      </c>
      <c r="B110" s="30" t="s">
        <v>2603</v>
      </c>
      <c r="C110" s="35" t="s">
        <v>630</v>
      </c>
      <c r="D110" s="30">
        <v>3</v>
      </c>
      <c r="E110" s="200">
        <f t="shared" si="1"/>
        <v>1300000</v>
      </c>
      <c r="F110" s="36" t="b">
        <v>0</v>
      </c>
      <c r="G110" s="30" t="s">
        <v>561</v>
      </c>
      <c r="H110" s="33" t="s">
        <v>545</v>
      </c>
      <c r="I110" s="200" t="s">
        <v>0</v>
      </c>
      <c r="J110" s="30" t="s">
        <v>561</v>
      </c>
      <c r="K110" s="33" t="s">
        <v>545</v>
      </c>
      <c r="L110" s="50">
        <v>776500</v>
      </c>
      <c r="M110" s="30" t="s">
        <v>561</v>
      </c>
      <c r="N110" s="33" t="s">
        <v>545</v>
      </c>
      <c r="O110" s="33" t="s">
        <v>545</v>
      </c>
      <c r="P110" s="30" t="s">
        <v>2574</v>
      </c>
      <c r="Q110" s="33">
        <f>IFERROR(INDEX([1]Item!$A:$A,MATCH(P110,[1]Item!$B:$B,0)),"-")</f>
        <v>23347005</v>
      </c>
      <c r="R110" s="33">
        <v>1</v>
      </c>
      <c r="S110" s="30"/>
      <c r="T110" s="33" t="s">
        <v>545</v>
      </c>
      <c r="U110" s="33" t="s">
        <v>545</v>
      </c>
      <c r="V110" s="30"/>
      <c r="W110" s="33" t="s">
        <v>545</v>
      </c>
      <c r="X110" s="33" t="s">
        <v>545</v>
      </c>
    </row>
    <row r="111" spans="1:24">
      <c r="A111" s="29">
        <v>47301001</v>
      </c>
      <c r="B111" s="30" t="s">
        <v>711</v>
      </c>
      <c r="C111" s="107" t="s">
        <v>373</v>
      </c>
      <c r="D111" s="200"/>
      <c r="E111" s="200"/>
      <c r="F111" s="36" t="b">
        <v>0</v>
      </c>
      <c r="G111" s="30" t="s">
        <v>561</v>
      </c>
      <c r="H111" s="33" t="s">
        <v>545</v>
      </c>
      <c r="I111" s="200" t="s">
        <v>545</v>
      </c>
      <c r="J111" s="30" t="s">
        <v>561</v>
      </c>
      <c r="K111" s="33" t="s">
        <v>545</v>
      </c>
      <c r="L111" s="50" t="s">
        <v>545</v>
      </c>
      <c r="M111" s="30" t="s">
        <v>561</v>
      </c>
      <c r="N111" s="33" t="s">
        <v>545</v>
      </c>
      <c r="O111" s="33" t="s">
        <v>545</v>
      </c>
      <c r="P111" s="30"/>
      <c r="Q111" s="33" t="str">
        <f>IFERROR(INDEX([1]Item!$A:$A,MATCH(P111,[1]Item!$B:$B,0)),"-")</f>
        <v>-</v>
      </c>
      <c r="R111" s="33" t="s">
        <v>545</v>
      </c>
      <c r="S111" s="30"/>
      <c r="T111" s="33" t="s">
        <v>545</v>
      </c>
      <c r="U111" s="33" t="s">
        <v>545</v>
      </c>
      <c r="V111" s="30"/>
      <c r="W111" s="33" t="s">
        <v>545</v>
      </c>
      <c r="X111" s="33" t="s">
        <v>545</v>
      </c>
    </row>
    <row r="112" spans="1:24">
      <c r="A112" s="29">
        <v>47301002</v>
      </c>
      <c r="B112" s="30" t="s">
        <v>712</v>
      </c>
      <c r="C112" s="108" t="s">
        <v>372</v>
      </c>
      <c r="D112" s="200"/>
      <c r="E112" s="200"/>
      <c r="F112" s="36" t="b">
        <v>0</v>
      </c>
      <c r="G112" s="30" t="s">
        <v>561</v>
      </c>
      <c r="H112" s="33" t="s">
        <v>545</v>
      </c>
      <c r="I112" s="200" t="s">
        <v>545</v>
      </c>
      <c r="J112" s="30" t="s">
        <v>561</v>
      </c>
      <c r="K112" s="33" t="s">
        <v>545</v>
      </c>
      <c r="L112" s="50" t="s">
        <v>545</v>
      </c>
      <c r="M112" s="30" t="s">
        <v>561</v>
      </c>
      <c r="N112" s="33" t="s">
        <v>545</v>
      </c>
      <c r="O112" s="33" t="s">
        <v>545</v>
      </c>
      <c r="P112" s="30"/>
      <c r="Q112" s="33" t="str">
        <f>IFERROR(INDEX([1]Item!$A:$A,MATCH(P112,[1]Item!$B:$B,0)),"-")</f>
        <v>-</v>
      </c>
      <c r="R112" s="33" t="s">
        <v>545</v>
      </c>
      <c r="S112" s="30"/>
      <c r="T112" s="33" t="s">
        <v>545</v>
      </c>
      <c r="U112" s="33" t="s">
        <v>545</v>
      </c>
      <c r="V112" s="30"/>
      <c r="W112" s="33" t="s">
        <v>545</v>
      </c>
      <c r="X112" s="33" t="s">
        <v>545</v>
      </c>
    </row>
    <row r="113" spans="1:24">
      <c r="A113" s="29">
        <v>47301003</v>
      </c>
      <c r="B113" s="30" t="s">
        <v>713</v>
      </c>
      <c r="C113" s="109" t="s">
        <v>374</v>
      </c>
      <c r="D113" s="200"/>
      <c r="E113" s="200"/>
      <c r="F113" s="36" t="b">
        <v>0</v>
      </c>
      <c r="G113" s="30" t="s">
        <v>561</v>
      </c>
      <c r="H113" s="33" t="s">
        <v>545</v>
      </c>
      <c r="I113" s="200" t="s">
        <v>545</v>
      </c>
      <c r="J113" s="30" t="s">
        <v>561</v>
      </c>
      <c r="K113" s="33" t="s">
        <v>545</v>
      </c>
      <c r="L113" s="50" t="s">
        <v>545</v>
      </c>
      <c r="M113" s="30" t="s">
        <v>561</v>
      </c>
      <c r="N113" s="33" t="s">
        <v>545</v>
      </c>
      <c r="O113" s="33" t="s">
        <v>545</v>
      </c>
      <c r="P113" s="30"/>
      <c r="Q113" s="33" t="str">
        <f>IFERROR(INDEX([1]Item!$A:$A,MATCH(P113,[1]Item!$B:$B,0)),"-")</f>
        <v>-</v>
      </c>
      <c r="R113" s="33" t="s">
        <v>545</v>
      </c>
      <c r="S113" s="30"/>
      <c r="T113" s="33" t="s">
        <v>545</v>
      </c>
      <c r="U113" s="33" t="s">
        <v>545</v>
      </c>
      <c r="V113" s="30"/>
      <c r="W113" s="33" t="s">
        <v>545</v>
      </c>
      <c r="X113" s="33" t="s">
        <v>545</v>
      </c>
    </row>
    <row r="114" spans="1:24">
      <c r="A114" s="29">
        <v>47301004</v>
      </c>
      <c r="B114" s="30" t="s">
        <v>714</v>
      </c>
      <c r="C114" s="110" t="s">
        <v>375</v>
      </c>
      <c r="D114" s="200"/>
      <c r="E114" s="200"/>
      <c r="F114" s="36" t="b">
        <v>0</v>
      </c>
      <c r="G114" s="30" t="s">
        <v>561</v>
      </c>
      <c r="H114" s="33" t="s">
        <v>545</v>
      </c>
      <c r="I114" s="200" t="s">
        <v>545</v>
      </c>
      <c r="J114" s="30" t="s">
        <v>561</v>
      </c>
      <c r="K114" s="33" t="s">
        <v>545</v>
      </c>
      <c r="L114" s="50" t="s">
        <v>545</v>
      </c>
      <c r="M114" s="30" t="s">
        <v>561</v>
      </c>
      <c r="N114" s="33" t="s">
        <v>545</v>
      </c>
      <c r="O114" s="33" t="s">
        <v>545</v>
      </c>
      <c r="P114" s="30"/>
      <c r="Q114" s="33" t="str">
        <f>IFERROR(INDEX([1]Item!$A:$A,MATCH(P114,[1]Item!$B:$B,0)),"-")</f>
        <v>-</v>
      </c>
      <c r="R114" s="33" t="s">
        <v>545</v>
      </c>
      <c r="S114" s="30"/>
      <c r="T114" s="33" t="s">
        <v>545</v>
      </c>
      <c r="U114" s="33" t="s">
        <v>545</v>
      </c>
      <c r="V114" s="30"/>
      <c r="W114" s="33" t="s">
        <v>545</v>
      </c>
      <c r="X114" s="33" t="s">
        <v>545</v>
      </c>
    </row>
    <row r="115" spans="1:24">
      <c r="A115" s="29">
        <v>47301005</v>
      </c>
      <c r="B115" s="30" t="s">
        <v>715</v>
      </c>
      <c r="C115" s="111" t="s">
        <v>376</v>
      </c>
      <c r="D115" s="200"/>
      <c r="E115" s="200"/>
      <c r="F115" s="36" t="b">
        <v>0</v>
      </c>
      <c r="G115" s="30" t="s">
        <v>561</v>
      </c>
      <c r="H115" s="33" t="s">
        <v>545</v>
      </c>
      <c r="I115" s="200" t="s">
        <v>545</v>
      </c>
      <c r="J115" s="30" t="s">
        <v>561</v>
      </c>
      <c r="K115" s="33" t="s">
        <v>545</v>
      </c>
      <c r="L115" s="50" t="s">
        <v>545</v>
      </c>
      <c r="M115" s="30" t="s">
        <v>561</v>
      </c>
      <c r="N115" s="33" t="s">
        <v>545</v>
      </c>
      <c r="O115" s="33" t="s">
        <v>545</v>
      </c>
      <c r="P115" s="30"/>
      <c r="Q115" s="33" t="str">
        <f>IFERROR(INDEX([1]Item!$A:$A,MATCH(P115,[1]Item!$B:$B,0)),"-")</f>
        <v>-</v>
      </c>
      <c r="R115" s="33" t="s">
        <v>545</v>
      </c>
      <c r="S115" s="30"/>
      <c r="T115" s="33" t="s">
        <v>545</v>
      </c>
      <c r="U115" s="33" t="s">
        <v>545</v>
      </c>
      <c r="V115" s="30"/>
      <c r="W115" s="33" t="s">
        <v>545</v>
      </c>
      <c r="X115" s="33" t="s">
        <v>545</v>
      </c>
    </row>
    <row r="116" spans="1:24">
      <c r="A116" s="29">
        <v>47301006</v>
      </c>
      <c r="B116" s="30" t="s">
        <v>1913</v>
      </c>
      <c r="C116" s="111" t="s">
        <v>1931</v>
      </c>
      <c r="D116" s="200"/>
      <c r="E116" s="200"/>
      <c r="F116" s="36" t="b">
        <v>0</v>
      </c>
      <c r="G116" s="30" t="s">
        <v>561</v>
      </c>
      <c r="H116" s="33" t="s">
        <v>545</v>
      </c>
      <c r="I116" s="200" t="s">
        <v>545</v>
      </c>
      <c r="J116" s="30" t="s">
        <v>561</v>
      </c>
      <c r="K116" s="33" t="s">
        <v>545</v>
      </c>
      <c r="L116" s="50" t="s">
        <v>545</v>
      </c>
      <c r="M116" s="30" t="s">
        <v>561</v>
      </c>
      <c r="N116" s="33" t="s">
        <v>545</v>
      </c>
      <c r="O116" s="33" t="s">
        <v>545</v>
      </c>
      <c r="P116" s="30"/>
      <c r="Q116" s="33" t="str">
        <f>IFERROR(INDEX([1]Item!$A:$A,MATCH(P116,[1]Item!$B:$B,0)),"-")</f>
        <v>-</v>
      </c>
      <c r="R116" s="33" t="s">
        <v>545</v>
      </c>
      <c r="S116" s="30"/>
      <c r="T116" s="33" t="s">
        <v>545</v>
      </c>
      <c r="U116" s="33" t="s">
        <v>545</v>
      </c>
      <c r="V116" s="30"/>
      <c r="W116" s="33" t="s">
        <v>545</v>
      </c>
      <c r="X116" s="33" t="s">
        <v>545</v>
      </c>
    </row>
    <row r="117" spans="1:24">
      <c r="A117" s="29">
        <v>47301007</v>
      </c>
      <c r="B117" s="30" t="s">
        <v>1914</v>
      </c>
      <c r="C117" s="111" t="s">
        <v>1931</v>
      </c>
      <c r="D117" s="200"/>
      <c r="E117" s="200"/>
      <c r="F117" s="36" t="b">
        <v>0</v>
      </c>
      <c r="G117" s="30" t="s">
        <v>561</v>
      </c>
      <c r="H117" s="33" t="s">
        <v>545</v>
      </c>
      <c r="I117" s="200" t="s">
        <v>545</v>
      </c>
      <c r="J117" s="30" t="s">
        <v>561</v>
      </c>
      <c r="K117" s="33" t="s">
        <v>545</v>
      </c>
      <c r="L117" s="50" t="s">
        <v>545</v>
      </c>
      <c r="M117" s="30" t="s">
        <v>561</v>
      </c>
      <c r="N117" s="33" t="s">
        <v>545</v>
      </c>
      <c r="O117" s="33" t="s">
        <v>545</v>
      </c>
      <c r="P117" s="30"/>
      <c r="Q117" s="33" t="str">
        <f>IFERROR(INDEX([1]Item!$A:$A,MATCH(P117,[1]Item!$B:$B,0)),"-")</f>
        <v>-</v>
      </c>
      <c r="R117" s="33" t="s">
        <v>545</v>
      </c>
      <c r="S117" s="30"/>
      <c r="T117" s="33" t="s">
        <v>545</v>
      </c>
      <c r="U117" s="33" t="s">
        <v>545</v>
      </c>
      <c r="V117" s="30"/>
      <c r="W117" s="33" t="s">
        <v>545</v>
      </c>
      <c r="X117" s="33" t="s">
        <v>545</v>
      </c>
    </row>
    <row r="118" spans="1:24">
      <c r="A118" s="29">
        <v>47301008</v>
      </c>
      <c r="B118" s="30" t="s">
        <v>1915</v>
      </c>
      <c r="C118" s="111" t="s">
        <v>1932</v>
      </c>
      <c r="D118" s="200"/>
      <c r="E118" s="200"/>
      <c r="F118" s="36" t="b">
        <v>0</v>
      </c>
      <c r="G118" s="30" t="s">
        <v>561</v>
      </c>
      <c r="H118" s="33" t="s">
        <v>545</v>
      </c>
      <c r="I118" s="50" t="s">
        <v>545</v>
      </c>
      <c r="J118" s="30" t="s">
        <v>561</v>
      </c>
      <c r="K118" s="33" t="s">
        <v>545</v>
      </c>
      <c r="L118" s="50" t="s">
        <v>545</v>
      </c>
      <c r="M118" s="30" t="s">
        <v>561</v>
      </c>
      <c r="N118" s="33" t="s">
        <v>545</v>
      </c>
      <c r="O118" s="33" t="s">
        <v>545</v>
      </c>
      <c r="P118" s="30"/>
      <c r="Q118" s="33" t="str">
        <f>IFERROR(INDEX([1]Item!$A:$A,MATCH(P118,[1]Item!$B:$B,0)),"-")</f>
        <v>-</v>
      </c>
      <c r="R118" s="33" t="s">
        <v>545</v>
      </c>
      <c r="S118" s="30"/>
      <c r="T118" s="33" t="s">
        <v>545</v>
      </c>
      <c r="U118" s="33" t="s">
        <v>545</v>
      </c>
      <c r="V118" s="30"/>
      <c r="W118" s="33" t="s">
        <v>545</v>
      </c>
      <c r="X118" s="33" t="s">
        <v>545</v>
      </c>
    </row>
    <row r="119" spans="1:24">
      <c r="A119" s="29">
        <v>47301009</v>
      </c>
      <c r="B119" s="30" t="s">
        <v>1916</v>
      </c>
      <c r="C119" s="111" t="s">
        <v>1933</v>
      </c>
      <c r="D119" s="200"/>
      <c r="E119" s="200"/>
      <c r="F119" s="36" t="b">
        <v>0</v>
      </c>
      <c r="G119" s="30" t="s">
        <v>561</v>
      </c>
      <c r="H119" s="33" t="s">
        <v>545</v>
      </c>
      <c r="I119" s="50" t="s">
        <v>545</v>
      </c>
      <c r="J119" s="30" t="s">
        <v>561</v>
      </c>
      <c r="K119" s="33" t="s">
        <v>545</v>
      </c>
      <c r="L119" s="50" t="s">
        <v>545</v>
      </c>
      <c r="M119" s="30" t="s">
        <v>561</v>
      </c>
      <c r="N119" s="33" t="s">
        <v>545</v>
      </c>
      <c r="O119" s="33" t="s">
        <v>545</v>
      </c>
      <c r="P119" s="30"/>
      <c r="Q119" s="33" t="str">
        <f>IFERROR(INDEX([1]Item!$A:$A,MATCH(P119,[1]Item!$B:$B,0)),"-")</f>
        <v>-</v>
      </c>
      <c r="R119" s="33" t="s">
        <v>545</v>
      </c>
      <c r="S119" s="30"/>
      <c r="T119" s="33" t="s">
        <v>545</v>
      </c>
      <c r="U119" s="33" t="s">
        <v>545</v>
      </c>
      <c r="V119" s="30"/>
      <c r="W119" s="33" t="s">
        <v>545</v>
      </c>
      <c r="X119" s="33" t="s">
        <v>545</v>
      </c>
    </row>
    <row r="120" spans="1:24">
      <c r="A120" s="29">
        <v>47301010</v>
      </c>
      <c r="B120" s="30" t="s">
        <v>1917</v>
      </c>
      <c r="C120" s="111" t="s">
        <v>1934</v>
      </c>
      <c r="D120" s="200"/>
      <c r="E120" s="200"/>
      <c r="F120" s="36" t="b">
        <v>0</v>
      </c>
      <c r="G120" s="30" t="s">
        <v>561</v>
      </c>
      <c r="H120" s="33" t="s">
        <v>545</v>
      </c>
      <c r="I120" s="50" t="s">
        <v>545</v>
      </c>
      <c r="J120" s="30" t="s">
        <v>561</v>
      </c>
      <c r="K120" s="33" t="s">
        <v>545</v>
      </c>
      <c r="L120" s="50" t="s">
        <v>545</v>
      </c>
      <c r="M120" s="30" t="s">
        <v>561</v>
      </c>
      <c r="N120" s="33" t="s">
        <v>545</v>
      </c>
      <c r="O120" s="33" t="s">
        <v>545</v>
      </c>
      <c r="P120" s="30"/>
      <c r="Q120" s="33" t="str">
        <f>IFERROR(INDEX([1]Item!$A:$A,MATCH(P120,[1]Item!$B:$B,0)),"-")</f>
        <v>-</v>
      </c>
      <c r="R120" s="33" t="s">
        <v>545</v>
      </c>
      <c r="S120" s="30"/>
      <c r="T120" s="33" t="s">
        <v>545</v>
      </c>
      <c r="U120" s="33" t="s">
        <v>545</v>
      </c>
      <c r="V120" s="30"/>
      <c r="W120" s="33" t="s">
        <v>545</v>
      </c>
      <c r="X120" s="33" t="s">
        <v>545</v>
      </c>
    </row>
    <row r="121" spans="1:24">
      <c r="A121" s="29">
        <v>47301011</v>
      </c>
      <c r="B121" s="30" t="s">
        <v>1918</v>
      </c>
      <c r="C121" s="111" t="s">
        <v>1935</v>
      </c>
      <c r="D121" s="200"/>
      <c r="E121" s="200"/>
      <c r="F121" s="36" t="b">
        <v>0</v>
      </c>
      <c r="G121" s="30" t="s">
        <v>561</v>
      </c>
      <c r="H121" s="33" t="s">
        <v>545</v>
      </c>
      <c r="I121" s="50" t="s">
        <v>545</v>
      </c>
      <c r="J121" s="30" t="s">
        <v>561</v>
      </c>
      <c r="K121" s="33" t="s">
        <v>545</v>
      </c>
      <c r="L121" s="50" t="s">
        <v>545</v>
      </c>
      <c r="M121" s="30" t="s">
        <v>561</v>
      </c>
      <c r="N121" s="33" t="s">
        <v>545</v>
      </c>
      <c r="O121" s="33" t="s">
        <v>545</v>
      </c>
      <c r="P121" s="30"/>
      <c r="Q121" s="33" t="str">
        <f>IFERROR(INDEX([1]Item!$A:$A,MATCH(P121,[1]Item!$B:$B,0)),"-")</f>
        <v>-</v>
      </c>
      <c r="R121" s="33" t="s">
        <v>545</v>
      </c>
      <c r="S121" s="30"/>
      <c r="T121" s="33" t="s">
        <v>545</v>
      </c>
      <c r="U121" s="33" t="s">
        <v>545</v>
      </c>
      <c r="V121" s="30"/>
      <c r="W121" s="33" t="s">
        <v>545</v>
      </c>
      <c r="X121" s="33" t="s">
        <v>545</v>
      </c>
    </row>
    <row r="122" spans="1:24">
      <c r="A122" s="29">
        <v>47301012</v>
      </c>
      <c r="B122" s="30" t="s">
        <v>1919</v>
      </c>
      <c r="C122" s="111" t="s">
        <v>1936</v>
      </c>
      <c r="D122" s="200"/>
      <c r="E122" s="200"/>
      <c r="F122" s="36" t="b">
        <v>0</v>
      </c>
      <c r="G122" s="30" t="s">
        <v>561</v>
      </c>
      <c r="H122" s="33" t="s">
        <v>545</v>
      </c>
      <c r="I122" s="50" t="s">
        <v>545</v>
      </c>
      <c r="J122" s="30" t="s">
        <v>561</v>
      </c>
      <c r="K122" s="33" t="s">
        <v>545</v>
      </c>
      <c r="L122" s="50" t="s">
        <v>545</v>
      </c>
      <c r="M122" s="30" t="s">
        <v>561</v>
      </c>
      <c r="N122" s="33" t="s">
        <v>545</v>
      </c>
      <c r="O122" s="33" t="s">
        <v>545</v>
      </c>
      <c r="P122" s="30"/>
      <c r="Q122" s="33" t="str">
        <f>IFERROR(INDEX([1]Item!$A:$A,MATCH(P122,[1]Item!$B:$B,0)),"-")</f>
        <v>-</v>
      </c>
      <c r="R122" s="33" t="s">
        <v>545</v>
      </c>
      <c r="S122" s="30"/>
      <c r="T122" s="33" t="s">
        <v>545</v>
      </c>
      <c r="U122" s="33" t="s">
        <v>545</v>
      </c>
      <c r="V122" s="30"/>
      <c r="W122" s="33" t="s">
        <v>545</v>
      </c>
      <c r="X122" s="33" t="s">
        <v>545</v>
      </c>
    </row>
    <row r="123" spans="1:24">
      <c r="A123" s="29">
        <v>47301013</v>
      </c>
      <c r="B123" s="30" t="s">
        <v>1920</v>
      </c>
      <c r="C123" s="111" t="s">
        <v>1937</v>
      </c>
      <c r="D123" s="200"/>
      <c r="E123" s="200"/>
      <c r="F123" s="36" t="b">
        <v>0</v>
      </c>
      <c r="G123" s="30" t="s">
        <v>561</v>
      </c>
      <c r="H123" s="33" t="s">
        <v>545</v>
      </c>
      <c r="I123" s="50" t="s">
        <v>545</v>
      </c>
      <c r="J123" s="30" t="s">
        <v>561</v>
      </c>
      <c r="K123" s="33" t="s">
        <v>545</v>
      </c>
      <c r="L123" s="50" t="s">
        <v>545</v>
      </c>
      <c r="M123" s="30" t="s">
        <v>561</v>
      </c>
      <c r="N123" s="33" t="s">
        <v>545</v>
      </c>
      <c r="O123" s="33" t="s">
        <v>545</v>
      </c>
      <c r="P123" s="30"/>
      <c r="Q123" s="33" t="str">
        <f>IFERROR(INDEX([1]Item!$A:$A,MATCH(P123,[1]Item!$B:$B,0)),"-")</f>
        <v>-</v>
      </c>
      <c r="R123" s="33" t="s">
        <v>545</v>
      </c>
      <c r="S123" s="30"/>
      <c r="T123" s="33" t="s">
        <v>545</v>
      </c>
      <c r="U123" s="33" t="s">
        <v>545</v>
      </c>
      <c r="V123" s="30"/>
      <c r="W123" s="33" t="s">
        <v>545</v>
      </c>
      <c r="X123" s="33" t="s">
        <v>545</v>
      </c>
    </row>
    <row r="124" spans="1:24">
      <c r="A124" s="29">
        <v>47301014</v>
      </c>
      <c r="B124" s="30" t="s">
        <v>1925</v>
      </c>
      <c r="C124" s="111" t="s">
        <v>1938</v>
      </c>
      <c r="D124" s="200"/>
      <c r="E124" s="200"/>
      <c r="F124" s="36" t="b">
        <v>0</v>
      </c>
      <c r="G124" s="30" t="s">
        <v>561</v>
      </c>
      <c r="H124" s="33" t="s">
        <v>545</v>
      </c>
      <c r="I124" s="50" t="s">
        <v>545</v>
      </c>
      <c r="J124" s="30" t="s">
        <v>561</v>
      </c>
      <c r="K124" s="33" t="s">
        <v>545</v>
      </c>
      <c r="L124" s="50" t="s">
        <v>545</v>
      </c>
      <c r="M124" s="30" t="s">
        <v>561</v>
      </c>
      <c r="N124" s="33" t="s">
        <v>545</v>
      </c>
      <c r="O124" s="33" t="s">
        <v>545</v>
      </c>
      <c r="P124" s="30"/>
      <c r="Q124" s="33" t="str">
        <f>IFERROR(INDEX([1]Item!$A:$A,MATCH(P124,[1]Item!$B:$B,0)),"-")</f>
        <v>-</v>
      </c>
      <c r="R124" s="33" t="s">
        <v>545</v>
      </c>
      <c r="S124" s="30"/>
      <c r="T124" s="33" t="s">
        <v>545</v>
      </c>
      <c r="U124" s="33" t="s">
        <v>545</v>
      </c>
      <c r="V124" s="30"/>
      <c r="W124" s="33" t="s">
        <v>545</v>
      </c>
      <c r="X124" s="33" t="s">
        <v>545</v>
      </c>
    </row>
    <row r="125" spans="1:24">
      <c r="A125" s="29">
        <v>47301015</v>
      </c>
      <c r="B125" s="30" t="s">
        <v>1921</v>
      </c>
      <c r="C125" s="111" t="s">
        <v>1939</v>
      </c>
      <c r="D125" s="200"/>
      <c r="E125" s="200"/>
      <c r="F125" s="36" t="b">
        <v>0</v>
      </c>
      <c r="G125" s="30" t="s">
        <v>561</v>
      </c>
      <c r="H125" s="33" t="s">
        <v>545</v>
      </c>
      <c r="I125" s="50" t="s">
        <v>545</v>
      </c>
      <c r="J125" s="30" t="s">
        <v>561</v>
      </c>
      <c r="K125" s="33" t="s">
        <v>545</v>
      </c>
      <c r="L125" s="50" t="s">
        <v>545</v>
      </c>
      <c r="M125" s="30" t="s">
        <v>561</v>
      </c>
      <c r="N125" s="33" t="s">
        <v>545</v>
      </c>
      <c r="O125" s="33" t="s">
        <v>545</v>
      </c>
      <c r="P125" s="30"/>
      <c r="Q125" s="33" t="str">
        <f>IFERROR(INDEX([1]Item!$A:$A,MATCH(P125,[1]Item!$B:$B,0)),"-")</f>
        <v>-</v>
      </c>
      <c r="R125" s="33" t="s">
        <v>545</v>
      </c>
      <c r="S125" s="30"/>
      <c r="T125" s="33" t="s">
        <v>545</v>
      </c>
      <c r="U125" s="33" t="s">
        <v>545</v>
      </c>
      <c r="V125" s="30"/>
      <c r="W125" s="33" t="s">
        <v>545</v>
      </c>
      <c r="X125" s="33" t="s">
        <v>545</v>
      </c>
    </row>
    <row r="126" spans="1:24">
      <c r="A126" s="29">
        <v>47301016</v>
      </c>
      <c r="B126" s="30" t="s">
        <v>1943</v>
      </c>
      <c r="C126" s="111" t="s">
        <v>1940</v>
      </c>
      <c r="D126" s="200"/>
      <c r="E126" s="200"/>
      <c r="F126" s="36" t="b">
        <v>0</v>
      </c>
      <c r="G126" s="30" t="s">
        <v>561</v>
      </c>
      <c r="H126" s="33" t="s">
        <v>545</v>
      </c>
      <c r="I126" s="50" t="s">
        <v>545</v>
      </c>
      <c r="J126" s="30" t="s">
        <v>561</v>
      </c>
      <c r="K126" s="33" t="s">
        <v>545</v>
      </c>
      <c r="L126" s="50" t="s">
        <v>545</v>
      </c>
      <c r="M126" s="30" t="s">
        <v>561</v>
      </c>
      <c r="N126" s="33" t="s">
        <v>545</v>
      </c>
      <c r="O126" s="33" t="s">
        <v>545</v>
      </c>
      <c r="P126" s="30"/>
      <c r="Q126" s="33" t="str">
        <f>IFERROR(INDEX([1]Item!$A:$A,MATCH(P126,[1]Item!$B:$B,0)),"-")</f>
        <v>-</v>
      </c>
      <c r="R126" s="33" t="s">
        <v>545</v>
      </c>
      <c r="S126" s="30"/>
      <c r="T126" s="33" t="s">
        <v>545</v>
      </c>
      <c r="U126" s="33" t="s">
        <v>545</v>
      </c>
      <c r="V126" s="30"/>
      <c r="W126" s="33" t="s">
        <v>545</v>
      </c>
      <c r="X126" s="33" t="s">
        <v>545</v>
      </c>
    </row>
    <row r="127" spans="1:24">
      <c r="A127" s="29">
        <v>47301017</v>
      </c>
      <c r="B127" s="30" t="s">
        <v>1944</v>
      </c>
      <c r="C127" s="111" t="s">
        <v>1941</v>
      </c>
      <c r="D127" s="200"/>
      <c r="E127" s="200"/>
      <c r="F127" s="36" t="b">
        <v>0</v>
      </c>
      <c r="G127" s="30" t="s">
        <v>561</v>
      </c>
      <c r="H127" s="33" t="s">
        <v>545</v>
      </c>
      <c r="I127" s="50" t="s">
        <v>545</v>
      </c>
      <c r="J127" s="30" t="s">
        <v>561</v>
      </c>
      <c r="K127" s="33" t="s">
        <v>545</v>
      </c>
      <c r="L127" s="50" t="s">
        <v>545</v>
      </c>
      <c r="M127" s="30" t="s">
        <v>561</v>
      </c>
      <c r="N127" s="33" t="s">
        <v>545</v>
      </c>
      <c r="O127" s="33" t="s">
        <v>545</v>
      </c>
      <c r="P127" s="30"/>
      <c r="Q127" s="33" t="str">
        <f>IFERROR(INDEX([1]Item!$A:$A,MATCH(P127,[1]Item!$B:$B,0)),"-")</f>
        <v>-</v>
      </c>
      <c r="R127" s="33" t="s">
        <v>545</v>
      </c>
      <c r="S127" s="30"/>
      <c r="T127" s="33" t="s">
        <v>545</v>
      </c>
      <c r="U127" s="33" t="s">
        <v>545</v>
      </c>
      <c r="V127" s="30"/>
      <c r="W127" s="33" t="s">
        <v>545</v>
      </c>
      <c r="X127" s="33" t="s">
        <v>545</v>
      </c>
    </row>
    <row r="128" spans="1:24">
      <c r="A128" s="29">
        <v>47301018</v>
      </c>
      <c r="B128" s="30" t="s">
        <v>1945</v>
      </c>
      <c r="C128" s="111" t="s">
        <v>1942</v>
      </c>
      <c r="D128" s="200"/>
      <c r="E128" s="200"/>
      <c r="F128" s="36" t="b">
        <v>0</v>
      </c>
      <c r="G128" s="30" t="s">
        <v>561</v>
      </c>
      <c r="H128" s="33" t="s">
        <v>545</v>
      </c>
      <c r="I128" s="50" t="s">
        <v>545</v>
      </c>
      <c r="J128" s="30" t="s">
        <v>561</v>
      </c>
      <c r="K128" s="33" t="s">
        <v>545</v>
      </c>
      <c r="L128" s="50" t="s">
        <v>545</v>
      </c>
      <c r="M128" s="30" t="s">
        <v>561</v>
      </c>
      <c r="N128" s="33" t="s">
        <v>545</v>
      </c>
      <c r="O128" s="33" t="s">
        <v>545</v>
      </c>
      <c r="P128" s="30"/>
      <c r="Q128" s="33" t="str">
        <f>IFERROR(INDEX([1]Item!$A:$A,MATCH(P128,[1]Item!$B:$B,0)),"-")</f>
        <v>-</v>
      </c>
      <c r="R128" s="33" t="s">
        <v>545</v>
      </c>
      <c r="S128" s="30"/>
      <c r="T128" s="33" t="s">
        <v>545</v>
      </c>
      <c r="U128" s="33" t="s">
        <v>545</v>
      </c>
      <c r="V128" s="30"/>
      <c r="W128" s="33" t="s">
        <v>545</v>
      </c>
      <c r="X128" s="33" t="s">
        <v>545</v>
      </c>
    </row>
    <row r="129" spans="1:25">
      <c r="A129" s="31"/>
      <c r="B129" s="32"/>
      <c r="C129" s="32"/>
      <c r="D129" s="32"/>
      <c r="E129" s="32"/>
      <c r="F129" s="32"/>
      <c r="G129" s="32"/>
      <c r="H129" s="32"/>
      <c r="I129" s="32"/>
      <c r="J129" s="32"/>
      <c r="K129" s="32"/>
      <c r="L129" s="32"/>
      <c r="M129" s="32"/>
      <c r="N129" s="32"/>
      <c r="O129" s="32"/>
      <c r="P129" s="32"/>
      <c r="Q129" s="32"/>
      <c r="R129" s="32"/>
      <c r="S129" s="32"/>
      <c r="T129" s="32"/>
      <c r="U129" s="32"/>
      <c r="V129" s="32"/>
      <c r="W129" s="32"/>
      <c r="X129" s="32"/>
      <c r="Y129" s="27" t="s">
        <v>8</v>
      </c>
    </row>
  </sheetData>
  <phoneticPr fontId="5" type="noConversion"/>
  <conditionalFormatting sqref="D8:D53 D111:D128">
    <cfRule type="colorScale" priority="1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54:D110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8:E53 E111:E128">
    <cfRule type="colorScale" priority="1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54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54:E110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pageSetup paperSize="9" orientation="portrait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Y99"/>
  <sheetViews>
    <sheetView zoomScale="85" zoomScaleNormal="85" workbookViewId="0">
      <pane xSplit="3" ySplit="7" topLeftCell="D88" activePane="bottomRight" state="frozen"/>
      <selection activeCell="A12" sqref="A12"/>
      <selection pane="topRight" activeCell="A12" sqref="A12"/>
      <selection pane="bottomLeft" activeCell="A12" sqref="A12"/>
      <selection pane="bottomRight" activeCell="I50" sqref="I50"/>
    </sheetView>
  </sheetViews>
  <sheetFormatPr defaultColWidth="9.140625" defaultRowHeight="13.5"/>
  <cols>
    <col min="1" max="1" width="19" style="27" customWidth="1"/>
    <col min="2" max="3" width="20" style="27" bestFit="1" customWidth="1"/>
    <col min="4" max="5" width="10" style="27" bestFit="1" customWidth="1"/>
    <col min="6" max="7" width="15" style="27" customWidth="1"/>
    <col min="8" max="9" width="33.5703125" style="27" customWidth="1"/>
    <col min="10" max="10" width="14.42578125" style="27" customWidth="1"/>
    <col min="11" max="12" width="31.85546875" style="27" customWidth="1"/>
    <col min="13" max="13" width="14.42578125" style="27" customWidth="1"/>
    <col min="14" max="23" width="31.85546875" style="27" customWidth="1"/>
    <col min="24" max="24" width="36.28515625" style="27" customWidth="1"/>
    <col min="25" max="25" width="20" style="27" customWidth="1"/>
    <col min="26" max="26" width="31.42578125" style="27" customWidth="1"/>
    <col min="27" max="27" width="11" style="27" bestFit="1" customWidth="1"/>
    <col min="28" max="28" width="9.140625" style="27"/>
    <col min="29" max="29" width="24.7109375" style="27" customWidth="1"/>
    <col min="30" max="30" width="22.5703125" style="27" customWidth="1"/>
    <col min="31" max="16384" width="9.140625" style="27"/>
  </cols>
  <sheetData>
    <row r="1" spans="1:24">
      <c r="A1" s="6" t="s">
        <v>5</v>
      </c>
      <c r="B1" s="25"/>
      <c r="C1" s="26" t="s">
        <v>552</v>
      </c>
      <c r="D1" s="25"/>
      <c r="E1" s="25"/>
      <c r="F1" s="25"/>
      <c r="G1" s="25"/>
      <c r="H1" s="26" t="s">
        <v>471</v>
      </c>
      <c r="I1" s="26" t="s">
        <v>472</v>
      </c>
      <c r="J1" s="25"/>
      <c r="K1" s="26" t="s">
        <v>473</v>
      </c>
      <c r="L1" s="26" t="s">
        <v>474</v>
      </c>
      <c r="M1" s="25"/>
      <c r="N1" s="26" t="s">
        <v>550</v>
      </c>
      <c r="O1" s="26" t="s">
        <v>551</v>
      </c>
      <c r="P1" s="25"/>
      <c r="Q1" s="26" t="s">
        <v>1249</v>
      </c>
      <c r="R1" s="26" t="s">
        <v>1250</v>
      </c>
      <c r="S1" s="25"/>
      <c r="T1" s="26" t="s">
        <v>1251</v>
      </c>
      <c r="U1" s="26" t="s">
        <v>1252</v>
      </c>
      <c r="V1" s="25"/>
      <c r="W1" s="26" t="s">
        <v>1253</v>
      </c>
      <c r="X1" s="26" t="s">
        <v>1254</v>
      </c>
    </row>
    <row r="2" spans="1:24" ht="27">
      <c r="A2" s="6" t="s">
        <v>491</v>
      </c>
      <c r="B2" s="25"/>
      <c r="C2" s="26" t="s">
        <v>7</v>
      </c>
      <c r="D2" s="25"/>
      <c r="E2" s="25"/>
      <c r="F2" s="25"/>
      <c r="G2" s="25"/>
      <c r="H2" s="26" t="s">
        <v>7</v>
      </c>
      <c r="I2" s="26" t="s">
        <v>7</v>
      </c>
      <c r="J2" s="25"/>
      <c r="K2" s="26" t="s">
        <v>7</v>
      </c>
      <c r="L2" s="26" t="s">
        <v>7</v>
      </c>
      <c r="M2" s="25"/>
      <c r="N2" s="26" t="s">
        <v>7</v>
      </c>
      <c r="O2" s="26" t="s">
        <v>7</v>
      </c>
      <c r="P2" s="25"/>
      <c r="Q2" s="26" t="s">
        <v>7</v>
      </c>
      <c r="R2" s="26" t="s">
        <v>7</v>
      </c>
      <c r="S2" s="25"/>
      <c r="T2" s="26" t="s">
        <v>7</v>
      </c>
      <c r="U2" s="26" t="s">
        <v>7</v>
      </c>
      <c r="V2" s="25"/>
      <c r="W2" s="26" t="s">
        <v>7</v>
      </c>
      <c r="X2" s="26" t="s">
        <v>7</v>
      </c>
    </row>
    <row r="3" spans="1:24">
      <c r="A3" s="8" t="s">
        <v>1</v>
      </c>
      <c r="B3" s="25"/>
      <c r="C3" s="28" t="s">
        <v>0</v>
      </c>
      <c r="D3" s="25"/>
      <c r="E3" s="25"/>
      <c r="F3" s="25"/>
      <c r="G3" s="25"/>
      <c r="H3" s="28" t="s">
        <v>0</v>
      </c>
      <c r="I3" s="28" t="s">
        <v>0</v>
      </c>
      <c r="J3" s="25"/>
      <c r="K3" s="28" t="s">
        <v>0</v>
      </c>
      <c r="L3" s="28" t="s">
        <v>0</v>
      </c>
      <c r="M3" s="25"/>
      <c r="N3" s="28" t="s">
        <v>0</v>
      </c>
      <c r="O3" s="28" t="s">
        <v>0</v>
      </c>
      <c r="P3" s="25"/>
      <c r="Q3" s="28" t="s">
        <v>0</v>
      </c>
      <c r="R3" s="28" t="s">
        <v>0</v>
      </c>
      <c r="S3" s="25"/>
      <c r="T3" s="28" t="s">
        <v>0</v>
      </c>
      <c r="U3" s="28" t="s">
        <v>0</v>
      </c>
      <c r="V3" s="25"/>
      <c r="W3" s="28" t="s">
        <v>0</v>
      </c>
      <c r="X3" s="28" t="s">
        <v>0</v>
      </c>
    </row>
    <row r="4" spans="1:24">
      <c r="A4" s="8" t="s">
        <v>2</v>
      </c>
      <c r="B4" s="25"/>
      <c r="C4" s="28" t="s">
        <v>0</v>
      </c>
      <c r="D4" s="25"/>
      <c r="E4" s="25"/>
      <c r="F4" s="25"/>
      <c r="G4" s="25"/>
      <c r="H4" s="28" t="s">
        <v>0</v>
      </c>
      <c r="I4" s="28" t="s">
        <v>0</v>
      </c>
      <c r="J4" s="25"/>
      <c r="K4" s="28" t="s">
        <v>0</v>
      </c>
      <c r="L4" s="28" t="s">
        <v>0</v>
      </c>
      <c r="M4" s="25"/>
      <c r="N4" s="28" t="s">
        <v>0</v>
      </c>
      <c r="O4" s="28" t="s">
        <v>0</v>
      </c>
      <c r="P4" s="25"/>
      <c r="Q4" s="28" t="s">
        <v>0</v>
      </c>
      <c r="R4" s="28" t="s">
        <v>0</v>
      </c>
      <c r="S4" s="25"/>
      <c r="T4" s="28" t="s">
        <v>0</v>
      </c>
      <c r="U4" s="28" t="s">
        <v>0</v>
      </c>
      <c r="V4" s="25"/>
      <c r="W4" s="28" t="s">
        <v>0</v>
      </c>
      <c r="X4" s="28" t="s">
        <v>0</v>
      </c>
    </row>
    <row r="5" spans="1:24">
      <c r="A5" s="8" t="s">
        <v>3</v>
      </c>
      <c r="B5" s="25"/>
      <c r="C5" s="28" t="s">
        <v>0</v>
      </c>
      <c r="D5" s="25"/>
      <c r="E5" s="25"/>
      <c r="F5" s="25"/>
      <c r="G5" s="25"/>
      <c r="H5" s="28" t="s">
        <v>0</v>
      </c>
      <c r="I5" s="28" t="s">
        <v>0</v>
      </c>
      <c r="J5" s="25"/>
      <c r="K5" s="28" t="s">
        <v>0</v>
      </c>
      <c r="L5" s="28" t="s">
        <v>0</v>
      </c>
      <c r="M5" s="25"/>
      <c r="N5" s="28" t="s">
        <v>0</v>
      </c>
      <c r="O5" s="28" t="s">
        <v>0</v>
      </c>
      <c r="P5" s="25"/>
      <c r="Q5" s="28" t="s">
        <v>0</v>
      </c>
      <c r="R5" s="28" t="s">
        <v>0</v>
      </c>
      <c r="S5" s="25"/>
      <c r="T5" s="28" t="s">
        <v>0</v>
      </c>
      <c r="U5" s="28" t="s">
        <v>0</v>
      </c>
      <c r="V5" s="25"/>
      <c r="W5" s="28" t="s">
        <v>0</v>
      </c>
      <c r="X5" s="28" t="s">
        <v>0</v>
      </c>
    </row>
    <row r="6" spans="1:24">
      <c r="A6" s="8" t="s">
        <v>4</v>
      </c>
      <c r="B6" s="25"/>
      <c r="C6" s="28" t="s">
        <v>0</v>
      </c>
      <c r="D6" s="25"/>
      <c r="E6" s="25"/>
      <c r="F6" s="25"/>
      <c r="G6" s="25"/>
      <c r="H6" s="28" t="s">
        <v>0</v>
      </c>
      <c r="I6" s="28" t="s">
        <v>0</v>
      </c>
      <c r="J6" s="25"/>
      <c r="K6" s="28" t="s">
        <v>0</v>
      </c>
      <c r="L6" s="28" t="s">
        <v>0</v>
      </c>
      <c r="M6" s="25"/>
      <c r="N6" s="28" t="s">
        <v>0</v>
      </c>
      <c r="O6" s="28" t="s">
        <v>0</v>
      </c>
      <c r="P6" s="25"/>
      <c r="Q6" s="28" t="s">
        <v>0</v>
      </c>
      <c r="R6" s="28" t="s">
        <v>0</v>
      </c>
      <c r="S6" s="25"/>
      <c r="T6" s="28" t="s">
        <v>0</v>
      </c>
      <c r="U6" s="28" t="s">
        <v>0</v>
      </c>
      <c r="V6" s="25"/>
      <c r="W6" s="28" t="s">
        <v>0</v>
      </c>
      <c r="X6" s="28" t="s">
        <v>0</v>
      </c>
    </row>
    <row r="7" spans="1:24">
      <c r="A7" s="8" t="s">
        <v>10</v>
      </c>
      <c r="B7" s="25"/>
      <c r="C7" s="28" t="s">
        <v>0</v>
      </c>
      <c r="D7" s="25" t="s">
        <v>2311</v>
      </c>
      <c r="E7" s="25" t="s">
        <v>2309</v>
      </c>
      <c r="F7" s="25" t="s">
        <v>2313</v>
      </c>
      <c r="G7" s="25"/>
      <c r="H7" s="28" t="s">
        <v>0</v>
      </c>
      <c r="I7" s="28" t="s">
        <v>0</v>
      </c>
      <c r="J7" s="25"/>
      <c r="K7" s="28" t="s">
        <v>0</v>
      </c>
      <c r="L7" s="28" t="s">
        <v>0</v>
      </c>
      <c r="M7" s="25"/>
      <c r="N7" s="28" t="s">
        <v>0</v>
      </c>
      <c r="O7" s="28" t="s">
        <v>0</v>
      </c>
      <c r="P7" s="25"/>
      <c r="Q7" s="28" t="s">
        <v>0</v>
      </c>
      <c r="R7" s="28" t="s">
        <v>0</v>
      </c>
      <c r="S7" s="25"/>
      <c r="T7" s="28" t="s">
        <v>0</v>
      </c>
      <c r="U7" s="28" t="s">
        <v>0</v>
      </c>
      <c r="V7" s="25"/>
      <c r="W7" s="28" t="s">
        <v>0</v>
      </c>
      <c r="X7" s="28" t="s">
        <v>0</v>
      </c>
    </row>
    <row r="8" spans="1:24">
      <c r="A8" s="29">
        <v>47400000</v>
      </c>
      <c r="B8" s="30" t="s">
        <v>716</v>
      </c>
      <c r="C8" s="112" t="s">
        <v>2174</v>
      </c>
      <c r="D8" s="30"/>
      <c r="E8" s="30">
        <v>2</v>
      </c>
      <c r="F8" s="200">
        <f t="shared" ref="F8:F48" si="0">IFERROR(INT(POWER(5,(POWER(E8-1,1.02)))) * 50000, 0)</f>
        <v>250000</v>
      </c>
      <c r="G8" s="30" t="s">
        <v>475</v>
      </c>
      <c r="H8" s="33">
        <v>100001</v>
      </c>
      <c r="I8" s="200">
        <v>10000</v>
      </c>
      <c r="J8" s="30" t="s">
        <v>475</v>
      </c>
      <c r="K8" s="33">
        <v>100001</v>
      </c>
      <c r="L8" s="200">
        <v>250000</v>
      </c>
      <c r="M8" s="30"/>
      <c r="N8" s="33" t="s">
        <v>545</v>
      </c>
      <c r="O8" s="200" t="s">
        <v>545</v>
      </c>
      <c r="P8" s="30"/>
      <c r="Q8" s="33" t="s">
        <v>545</v>
      </c>
      <c r="R8" s="200" t="s">
        <v>545</v>
      </c>
      <c r="S8" s="30"/>
      <c r="T8" s="33" t="s">
        <v>545</v>
      </c>
      <c r="U8" s="33" t="s">
        <v>545</v>
      </c>
      <c r="V8" s="30"/>
      <c r="W8" s="33" t="s">
        <v>545</v>
      </c>
      <c r="X8" s="33" t="s">
        <v>545</v>
      </c>
    </row>
    <row r="9" spans="1:24">
      <c r="A9" s="202">
        <v>47400001</v>
      </c>
      <c r="B9" s="203" t="s">
        <v>481</v>
      </c>
      <c r="C9" s="113" t="s">
        <v>2175</v>
      </c>
      <c r="D9" s="30" t="s">
        <v>2312</v>
      </c>
      <c r="E9" s="30"/>
      <c r="F9" s="200">
        <f t="shared" si="0"/>
        <v>0</v>
      </c>
      <c r="G9" s="30" t="s">
        <v>475</v>
      </c>
      <c r="H9" s="33">
        <v>100001</v>
      </c>
      <c r="I9" s="200">
        <v>10000</v>
      </c>
      <c r="J9" s="30" t="s">
        <v>475</v>
      </c>
      <c r="K9" s="33">
        <v>100001</v>
      </c>
      <c r="L9" s="200">
        <v>50000</v>
      </c>
      <c r="M9" s="30"/>
      <c r="N9" s="33" t="s">
        <v>545</v>
      </c>
      <c r="O9" s="200" t="s">
        <v>545</v>
      </c>
      <c r="P9" s="30"/>
      <c r="Q9" s="33" t="s">
        <v>545</v>
      </c>
      <c r="R9" s="200" t="s">
        <v>545</v>
      </c>
      <c r="S9" s="30"/>
      <c r="T9" s="33" t="s">
        <v>545</v>
      </c>
      <c r="U9" s="33" t="s">
        <v>545</v>
      </c>
      <c r="V9" s="30"/>
      <c r="W9" s="33" t="s">
        <v>545</v>
      </c>
      <c r="X9" s="33" t="s">
        <v>545</v>
      </c>
    </row>
    <row r="10" spans="1:24">
      <c r="A10" s="29">
        <v>47400002</v>
      </c>
      <c r="B10" s="30" t="s">
        <v>482</v>
      </c>
      <c r="C10" s="114" t="s">
        <v>2176</v>
      </c>
      <c r="D10" s="30"/>
      <c r="E10" s="30">
        <v>3</v>
      </c>
      <c r="F10" s="200">
        <f t="shared" si="0"/>
        <v>1300000</v>
      </c>
      <c r="G10" s="30" t="s">
        <v>475</v>
      </c>
      <c r="H10" s="33">
        <v>100001</v>
      </c>
      <c r="I10" s="200">
        <v>10000</v>
      </c>
      <c r="J10" s="30" t="s">
        <v>475</v>
      </c>
      <c r="K10" s="33">
        <v>100001</v>
      </c>
      <c r="L10" s="200">
        <v>1300000</v>
      </c>
      <c r="M10" s="30"/>
      <c r="N10" s="33" t="s">
        <v>545</v>
      </c>
      <c r="O10" s="200" t="s">
        <v>545</v>
      </c>
      <c r="P10" s="30"/>
      <c r="Q10" s="33" t="s">
        <v>545</v>
      </c>
      <c r="R10" s="200" t="s">
        <v>545</v>
      </c>
      <c r="S10" s="30"/>
      <c r="T10" s="33" t="s">
        <v>545</v>
      </c>
      <c r="U10" s="33" t="s">
        <v>545</v>
      </c>
      <c r="V10" s="30"/>
      <c r="W10" s="33" t="s">
        <v>545</v>
      </c>
      <c r="X10" s="33" t="s">
        <v>545</v>
      </c>
    </row>
    <row r="11" spans="1:24">
      <c r="A11" s="202">
        <v>47400003</v>
      </c>
      <c r="B11" s="203" t="s">
        <v>483</v>
      </c>
      <c r="C11" s="114" t="s">
        <v>2177</v>
      </c>
      <c r="D11" s="30" t="s">
        <v>2312</v>
      </c>
      <c r="E11" s="30"/>
      <c r="F11" s="200">
        <f t="shared" si="0"/>
        <v>0</v>
      </c>
      <c r="G11" s="30" t="s">
        <v>475</v>
      </c>
      <c r="H11" s="33">
        <v>100001</v>
      </c>
      <c r="I11" s="200">
        <v>10000</v>
      </c>
      <c r="J11" s="30" t="s">
        <v>475</v>
      </c>
      <c r="K11" s="33">
        <v>100001</v>
      </c>
      <c r="L11" s="200">
        <v>50000</v>
      </c>
      <c r="M11" s="30"/>
      <c r="N11" s="33" t="s">
        <v>545</v>
      </c>
      <c r="O11" s="200" t="s">
        <v>545</v>
      </c>
      <c r="P11" s="30"/>
      <c r="Q11" s="33" t="s">
        <v>545</v>
      </c>
      <c r="R11" s="200" t="s">
        <v>545</v>
      </c>
      <c r="S11" s="30"/>
      <c r="T11" s="33" t="s">
        <v>545</v>
      </c>
      <c r="U11" s="33" t="s">
        <v>545</v>
      </c>
      <c r="V11" s="30"/>
      <c r="W11" s="33" t="s">
        <v>545</v>
      </c>
      <c r="X11" s="33" t="s">
        <v>545</v>
      </c>
    </row>
    <row r="12" spans="1:24">
      <c r="A12" s="29">
        <v>47400004</v>
      </c>
      <c r="B12" s="30" t="s">
        <v>484</v>
      </c>
      <c r="C12" s="115" t="s">
        <v>2178</v>
      </c>
      <c r="D12" s="30"/>
      <c r="E12" s="30">
        <v>2</v>
      </c>
      <c r="F12" s="200">
        <f t="shared" si="0"/>
        <v>250000</v>
      </c>
      <c r="G12" s="30" t="s">
        <v>475</v>
      </c>
      <c r="H12" s="33">
        <v>100001</v>
      </c>
      <c r="I12" s="200">
        <v>10000</v>
      </c>
      <c r="J12" s="30" t="s">
        <v>475</v>
      </c>
      <c r="K12" s="33">
        <v>100001</v>
      </c>
      <c r="L12" s="200">
        <v>250000</v>
      </c>
      <c r="M12" s="30"/>
      <c r="N12" s="33" t="s">
        <v>545</v>
      </c>
      <c r="O12" s="200" t="s">
        <v>545</v>
      </c>
      <c r="P12" s="30"/>
      <c r="Q12" s="33" t="s">
        <v>545</v>
      </c>
      <c r="R12" s="200" t="s">
        <v>545</v>
      </c>
      <c r="S12" s="30"/>
      <c r="T12" s="33" t="s">
        <v>545</v>
      </c>
      <c r="U12" s="33" t="s">
        <v>545</v>
      </c>
      <c r="V12" s="30"/>
      <c r="W12" s="33" t="s">
        <v>545</v>
      </c>
      <c r="X12" s="33" t="s">
        <v>545</v>
      </c>
    </row>
    <row r="13" spans="1:24">
      <c r="A13" s="29">
        <v>47400005</v>
      </c>
      <c r="B13" s="30" t="s">
        <v>485</v>
      </c>
      <c r="C13" s="116" t="s">
        <v>2179</v>
      </c>
      <c r="D13" s="30"/>
      <c r="E13" s="30">
        <v>1</v>
      </c>
      <c r="F13" s="200">
        <f t="shared" si="0"/>
        <v>50000</v>
      </c>
      <c r="G13" s="30" t="s">
        <v>475</v>
      </c>
      <c r="H13" s="33">
        <v>100001</v>
      </c>
      <c r="I13" s="200">
        <v>10000</v>
      </c>
      <c r="J13" s="30" t="s">
        <v>475</v>
      </c>
      <c r="K13" s="33">
        <v>100001</v>
      </c>
      <c r="L13" s="200">
        <v>50000</v>
      </c>
      <c r="M13" s="30"/>
      <c r="N13" s="33" t="s">
        <v>545</v>
      </c>
      <c r="O13" s="200" t="s">
        <v>545</v>
      </c>
      <c r="P13" s="30"/>
      <c r="Q13" s="33" t="s">
        <v>545</v>
      </c>
      <c r="R13" s="200" t="s">
        <v>545</v>
      </c>
      <c r="S13" s="30"/>
      <c r="T13" s="33" t="s">
        <v>545</v>
      </c>
      <c r="U13" s="33" t="s">
        <v>545</v>
      </c>
      <c r="V13" s="30"/>
      <c r="W13" s="33" t="s">
        <v>545</v>
      </c>
      <c r="X13" s="33" t="s">
        <v>545</v>
      </c>
    </row>
    <row r="14" spans="1:24">
      <c r="A14" s="29">
        <v>47400006</v>
      </c>
      <c r="B14" s="30" t="s">
        <v>486</v>
      </c>
      <c r="C14" s="117" t="s">
        <v>2180</v>
      </c>
      <c r="D14" s="30"/>
      <c r="E14" s="30">
        <v>1</v>
      </c>
      <c r="F14" s="200">
        <f t="shared" si="0"/>
        <v>50000</v>
      </c>
      <c r="G14" s="30" t="s">
        <v>475</v>
      </c>
      <c r="H14" s="33">
        <v>100001</v>
      </c>
      <c r="I14" s="200">
        <v>10000</v>
      </c>
      <c r="J14" s="30" t="s">
        <v>475</v>
      </c>
      <c r="K14" s="33">
        <v>100001</v>
      </c>
      <c r="L14" s="200">
        <v>50000</v>
      </c>
      <c r="M14" s="30"/>
      <c r="N14" s="33" t="s">
        <v>545</v>
      </c>
      <c r="O14" s="200" t="s">
        <v>545</v>
      </c>
      <c r="P14" s="30"/>
      <c r="Q14" s="33" t="s">
        <v>545</v>
      </c>
      <c r="R14" s="200" t="s">
        <v>545</v>
      </c>
      <c r="S14" s="30"/>
      <c r="T14" s="33" t="s">
        <v>545</v>
      </c>
      <c r="U14" s="33" t="s">
        <v>545</v>
      </c>
      <c r="V14" s="30"/>
      <c r="W14" s="33" t="s">
        <v>545</v>
      </c>
      <c r="X14" s="33" t="s">
        <v>545</v>
      </c>
    </row>
    <row r="15" spans="1:24">
      <c r="A15" s="202">
        <v>47400007</v>
      </c>
      <c r="B15" s="203" t="s">
        <v>487</v>
      </c>
      <c r="C15" s="118" t="s">
        <v>2181</v>
      </c>
      <c r="D15" s="30" t="s">
        <v>2312</v>
      </c>
      <c r="E15" s="30"/>
      <c r="F15" s="200">
        <f t="shared" si="0"/>
        <v>0</v>
      </c>
      <c r="G15" s="30" t="s">
        <v>475</v>
      </c>
      <c r="H15" s="33">
        <v>100001</v>
      </c>
      <c r="I15" s="200">
        <v>10000</v>
      </c>
      <c r="J15" s="30" t="s">
        <v>475</v>
      </c>
      <c r="K15" s="33">
        <v>100001</v>
      </c>
      <c r="L15" s="200">
        <v>50000</v>
      </c>
      <c r="M15" s="30"/>
      <c r="N15" s="33" t="s">
        <v>545</v>
      </c>
      <c r="O15" s="200" t="s">
        <v>545</v>
      </c>
      <c r="P15" s="30"/>
      <c r="Q15" s="33" t="s">
        <v>545</v>
      </c>
      <c r="R15" s="200" t="s">
        <v>545</v>
      </c>
      <c r="S15" s="30"/>
      <c r="T15" s="33" t="s">
        <v>545</v>
      </c>
      <c r="U15" s="33" t="s">
        <v>545</v>
      </c>
      <c r="V15" s="30"/>
      <c r="W15" s="33" t="s">
        <v>545</v>
      </c>
      <c r="X15" s="33" t="s">
        <v>545</v>
      </c>
    </row>
    <row r="16" spans="1:24">
      <c r="A16" s="29">
        <v>47400008</v>
      </c>
      <c r="B16" s="30" t="s">
        <v>488</v>
      </c>
      <c r="C16" s="119" t="s">
        <v>2182</v>
      </c>
      <c r="D16" s="30"/>
      <c r="E16" s="30">
        <v>2</v>
      </c>
      <c r="F16" s="200">
        <f t="shared" si="0"/>
        <v>250000</v>
      </c>
      <c r="G16" s="30" t="s">
        <v>475</v>
      </c>
      <c r="H16" s="33">
        <v>100001</v>
      </c>
      <c r="I16" s="200">
        <v>10000</v>
      </c>
      <c r="J16" s="30" t="s">
        <v>475</v>
      </c>
      <c r="K16" s="33">
        <v>100001</v>
      </c>
      <c r="L16" s="200">
        <v>250000</v>
      </c>
      <c r="M16" s="30"/>
      <c r="N16" s="33" t="s">
        <v>545</v>
      </c>
      <c r="O16" s="200" t="s">
        <v>545</v>
      </c>
      <c r="P16" s="30"/>
      <c r="Q16" s="33" t="s">
        <v>545</v>
      </c>
      <c r="R16" s="200" t="s">
        <v>545</v>
      </c>
      <c r="S16" s="30"/>
      <c r="T16" s="33" t="s">
        <v>545</v>
      </c>
      <c r="U16" s="33" t="s">
        <v>545</v>
      </c>
      <c r="V16" s="30"/>
      <c r="W16" s="33" t="s">
        <v>545</v>
      </c>
      <c r="X16" s="33" t="s">
        <v>545</v>
      </c>
    </row>
    <row r="17" spans="1:24">
      <c r="A17" s="202">
        <v>47400009</v>
      </c>
      <c r="B17" s="203" t="s">
        <v>489</v>
      </c>
      <c r="C17" s="120" t="s">
        <v>2183</v>
      </c>
      <c r="D17" s="30" t="s">
        <v>2312</v>
      </c>
      <c r="E17" s="30"/>
      <c r="F17" s="200">
        <f t="shared" si="0"/>
        <v>0</v>
      </c>
      <c r="G17" s="30" t="s">
        <v>475</v>
      </c>
      <c r="H17" s="33">
        <v>100001</v>
      </c>
      <c r="I17" s="200">
        <v>10000</v>
      </c>
      <c r="J17" s="30" t="s">
        <v>475</v>
      </c>
      <c r="K17" s="33">
        <v>100001</v>
      </c>
      <c r="L17" s="200">
        <v>50000</v>
      </c>
      <c r="M17" s="30"/>
      <c r="N17" s="33" t="s">
        <v>545</v>
      </c>
      <c r="O17" s="200" t="s">
        <v>545</v>
      </c>
      <c r="P17" s="30"/>
      <c r="Q17" s="33" t="s">
        <v>545</v>
      </c>
      <c r="R17" s="200" t="s">
        <v>545</v>
      </c>
      <c r="S17" s="30"/>
      <c r="T17" s="33" t="s">
        <v>545</v>
      </c>
      <c r="U17" s="33" t="s">
        <v>545</v>
      </c>
      <c r="V17" s="30"/>
      <c r="W17" s="33" t="s">
        <v>545</v>
      </c>
      <c r="X17" s="33" t="s">
        <v>545</v>
      </c>
    </row>
    <row r="18" spans="1:24">
      <c r="A18" s="29">
        <v>47400010</v>
      </c>
      <c r="B18" s="30" t="s">
        <v>490</v>
      </c>
      <c r="C18" s="121" t="s">
        <v>2184</v>
      </c>
      <c r="D18" s="30"/>
      <c r="E18" s="30">
        <v>1</v>
      </c>
      <c r="F18" s="200">
        <f t="shared" si="0"/>
        <v>50000</v>
      </c>
      <c r="G18" s="30" t="s">
        <v>475</v>
      </c>
      <c r="H18" s="33">
        <v>100001</v>
      </c>
      <c r="I18" s="200">
        <v>10000</v>
      </c>
      <c r="J18" s="30" t="s">
        <v>475</v>
      </c>
      <c r="K18" s="33">
        <v>100001</v>
      </c>
      <c r="L18" s="200">
        <v>50000</v>
      </c>
      <c r="M18" s="30"/>
      <c r="N18" s="33" t="s">
        <v>545</v>
      </c>
      <c r="O18" s="200" t="s">
        <v>545</v>
      </c>
      <c r="P18" s="30"/>
      <c r="Q18" s="33" t="s">
        <v>545</v>
      </c>
      <c r="R18" s="200" t="s">
        <v>545</v>
      </c>
      <c r="S18" s="30"/>
      <c r="T18" s="33" t="s">
        <v>545</v>
      </c>
      <c r="U18" s="33" t="s">
        <v>545</v>
      </c>
      <c r="V18" s="30"/>
      <c r="W18" s="33" t="s">
        <v>545</v>
      </c>
      <c r="X18" s="33" t="s">
        <v>545</v>
      </c>
    </row>
    <row r="19" spans="1:24">
      <c r="A19" s="29">
        <v>47400011</v>
      </c>
      <c r="B19" s="30" t="s">
        <v>641</v>
      </c>
      <c r="C19" s="122" t="s">
        <v>2185</v>
      </c>
      <c r="D19" s="30"/>
      <c r="E19" s="30">
        <v>0</v>
      </c>
      <c r="F19" s="200">
        <f t="shared" si="0"/>
        <v>0</v>
      </c>
      <c r="G19" s="30" t="s">
        <v>475</v>
      </c>
      <c r="H19" s="33">
        <v>100001</v>
      </c>
      <c r="I19" s="200">
        <v>10000</v>
      </c>
      <c r="J19" s="30" t="s">
        <v>475</v>
      </c>
      <c r="K19" s="33">
        <v>100001</v>
      </c>
      <c r="L19" s="200">
        <v>50000</v>
      </c>
      <c r="M19" s="30"/>
      <c r="N19" s="33" t="s">
        <v>545</v>
      </c>
      <c r="O19" s="200" t="s">
        <v>545</v>
      </c>
      <c r="P19" s="30"/>
      <c r="Q19" s="33" t="s">
        <v>545</v>
      </c>
      <c r="R19" s="200" t="s">
        <v>545</v>
      </c>
      <c r="S19" s="30"/>
      <c r="T19" s="33" t="s">
        <v>545</v>
      </c>
      <c r="U19" s="33" t="s">
        <v>545</v>
      </c>
      <c r="V19" s="30"/>
      <c r="W19" s="33" t="s">
        <v>545</v>
      </c>
      <c r="X19" s="33" t="s">
        <v>545</v>
      </c>
    </row>
    <row r="20" spans="1:24">
      <c r="A20" s="202">
        <v>47400012</v>
      </c>
      <c r="B20" s="203" t="s">
        <v>643</v>
      </c>
      <c r="C20" s="123" t="s">
        <v>2186</v>
      </c>
      <c r="D20" s="30" t="s">
        <v>2312</v>
      </c>
      <c r="E20" s="30"/>
      <c r="F20" s="200">
        <f t="shared" si="0"/>
        <v>0</v>
      </c>
      <c r="G20" s="30" t="s">
        <v>475</v>
      </c>
      <c r="H20" s="33">
        <v>100001</v>
      </c>
      <c r="I20" s="200">
        <v>10000</v>
      </c>
      <c r="J20" s="30" t="s">
        <v>475</v>
      </c>
      <c r="K20" s="33">
        <v>100001</v>
      </c>
      <c r="L20" s="200">
        <v>50000</v>
      </c>
      <c r="M20" s="30"/>
      <c r="N20" s="33" t="s">
        <v>545</v>
      </c>
      <c r="O20" s="200" t="s">
        <v>545</v>
      </c>
      <c r="P20" s="30"/>
      <c r="Q20" s="33" t="s">
        <v>545</v>
      </c>
      <c r="R20" s="200" t="s">
        <v>545</v>
      </c>
      <c r="S20" s="30"/>
      <c r="T20" s="33" t="s">
        <v>545</v>
      </c>
      <c r="U20" s="33" t="s">
        <v>545</v>
      </c>
      <c r="V20" s="30"/>
      <c r="W20" s="33" t="s">
        <v>545</v>
      </c>
      <c r="X20" s="33" t="s">
        <v>545</v>
      </c>
    </row>
    <row r="21" spans="1:24">
      <c r="A21" s="202">
        <v>47400013</v>
      </c>
      <c r="B21" s="203" t="s">
        <v>645</v>
      </c>
      <c r="C21" s="124" t="s">
        <v>2187</v>
      </c>
      <c r="D21" s="30" t="s">
        <v>2312</v>
      </c>
      <c r="E21" s="30"/>
      <c r="F21" s="200">
        <f t="shared" si="0"/>
        <v>0</v>
      </c>
      <c r="G21" s="30" t="s">
        <v>475</v>
      </c>
      <c r="H21" s="33">
        <v>100001</v>
      </c>
      <c r="I21" s="200">
        <v>10000</v>
      </c>
      <c r="J21" s="30" t="s">
        <v>475</v>
      </c>
      <c r="K21" s="33">
        <v>100001</v>
      </c>
      <c r="L21" s="200">
        <v>50000</v>
      </c>
      <c r="M21" s="30"/>
      <c r="N21" s="33" t="s">
        <v>545</v>
      </c>
      <c r="O21" s="200" t="s">
        <v>545</v>
      </c>
      <c r="P21" s="30"/>
      <c r="Q21" s="33" t="s">
        <v>545</v>
      </c>
      <c r="R21" s="200" t="s">
        <v>545</v>
      </c>
      <c r="S21" s="30"/>
      <c r="T21" s="33" t="s">
        <v>545</v>
      </c>
      <c r="U21" s="33" t="s">
        <v>545</v>
      </c>
      <c r="V21" s="30"/>
      <c r="W21" s="33" t="s">
        <v>545</v>
      </c>
      <c r="X21" s="33" t="s">
        <v>545</v>
      </c>
    </row>
    <row r="22" spans="1:24">
      <c r="A22" s="202">
        <v>47400014</v>
      </c>
      <c r="B22" s="203" t="s">
        <v>647</v>
      </c>
      <c r="C22" s="125" t="s">
        <v>2188</v>
      </c>
      <c r="D22" s="30" t="s">
        <v>2312</v>
      </c>
      <c r="E22" s="30"/>
      <c r="F22" s="200">
        <f t="shared" si="0"/>
        <v>0</v>
      </c>
      <c r="G22" s="30" t="s">
        <v>475</v>
      </c>
      <c r="H22" s="33">
        <v>100001</v>
      </c>
      <c r="I22" s="200">
        <v>10000</v>
      </c>
      <c r="J22" s="30" t="s">
        <v>475</v>
      </c>
      <c r="K22" s="33">
        <v>100001</v>
      </c>
      <c r="L22" s="200">
        <v>50000</v>
      </c>
      <c r="M22" s="30"/>
      <c r="N22" s="33" t="s">
        <v>545</v>
      </c>
      <c r="O22" s="200" t="s">
        <v>545</v>
      </c>
      <c r="P22" s="30"/>
      <c r="Q22" s="33" t="s">
        <v>545</v>
      </c>
      <c r="R22" s="200" t="s">
        <v>545</v>
      </c>
      <c r="S22" s="30"/>
      <c r="T22" s="33" t="s">
        <v>545</v>
      </c>
      <c r="U22" s="33" t="s">
        <v>545</v>
      </c>
      <c r="V22" s="30"/>
      <c r="W22" s="33" t="s">
        <v>545</v>
      </c>
      <c r="X22" s="33" t="s">
        <v>545</v>
      </c>
    </row>
    <row r="23" spans="1:24">
      <c r="A23" s="202">
        <v>47400015</v>
      </c>
      <c r="B23" s="203" t="s">
        <v>649</v>
      </c>
      <c r="C23" s="126" t="s">
        <v>2189</v>
      </c>
      <c r="D23" s="30" t="s">
        <v>2312</v>
      </c>
      <c r="E23" s="30"/>
      <c r="F23" s="200">
        <f t="shared" si="0"/>
        <v>0</v>
      </c>
      <c r="G23" s="30" t="s">
        <v>475</v>
      </c>
      <c r="H23" s="33">
        <v>100001</v>
      </c>
      <c r="I23" s="200">
        <v>10000</v>
      </c>
      <c r="J23" s="30" t="s">
        <v>475</v>
      </c>
      <c r="K23" s="33">
        <v>100001</v>
      </c>
      <c r="L23" s="200">
        <v>50000</v>
      </c>
      <c r="M23" s="30"/>
      <c r="N23" s="33" t="s">
        <v>545</v>
      </c>
      <c r="O23" s="200" t="s">
        <v>545</v>
      </c>
      <c r="P23" s="30"/>
      <c r="Q23" s="33" t="s">
        <v>545</v>
      </c>
      <c r="R23" s="200" t="s">
        <v>545</v>
      </c>
      <c r="S23" s="30"/>
      <c r="T23" s="33" t="s">
        <v>545</v>
      </c>
      <c r="U23" s="33" t="s">
        <v>545</v>
      </c>
      <c r="V23" s="30"/>
      <c r="W23" s="33" t="s">
        <v>545</v>
      </c>
      <c r="X23" s="33" t="s">
        <v>545</v>
      </c>
    </row>
    <row r="24" spans="1:24">
      <c r="A24" s="202">
        <v>47400016</v>
      </c>
      <c r="B24" s="203" t="s">
        <v>651</v>
      </c>
      <c r="C24" s="127" t="s">
        <v>2190</v>
      </c>
      <c r="D24" s="30" t="s">
        <v>2312</v>
      </c>
      <c r="E24" s="30"/>
      <c r="F24" s="200">
        <f t="shared" si="0"/>
        <v>0</v>
      </c>
      <c r="G24" s="30" t="s">
        <v>475</v>
      </c>
      <c r="H24" s="33">
        <v>100001</v>
      </c>
      <c r="I24" s="200">
        <v>10000</v>
      </c>
      <c r="J24" s="30" t="s">
        <v>475</v>
      </c>
      <c r="K24" s="33">
        <v>100001</v>
      </c>
      <c r="L24" s="200">
        <v>50000</v>
      </c>
      <c r="M24" s="30"/>
      <c r="N24" s="33" t="s">
        <v>545</v>
      </c>
      <c r="O24" s="200" t="s">
        <v>545</v>
      </c>
      <c r="P24" s="30"/>
      <c r="Q24" s="33" t="s">
        <v>545</v>
      </c>
      <c r="R24" s="200" t="s">
        <v>545</v>
      </c>
      <c r="S24" s="30"/>
      <c r="T24" s="33" t="s">
        <v>545</v>
      </c>
      <c r="U24" s="33" t="s">
        <v>545</v>
      </c>
      <c r="V24" s="30"/>
      <c r="W24" s="33" t="s">
        <v>545</v>
      </c>
      <c r="X24" s="33" t="s">
        <v>545</v>
      </c>
    </row>
    <row r="25" spans="1:24">
      <c r="A25" s="202">
        <v>47400017</v>
      </c>
      <c r="B25" s="203" t="s">
        <v>653</v>
      </c>
      <c r="C25" s="127" t="s">
        <v>2191</v>
      </c>
      <c r="D25" s="30" t="s">
        <v>2312</v>
      </c>
      <c r="E25" s="30"/>
      <c r="F25" s="200">
        <f t="shared" si="0"/>
        <v>0</v>
      </c>
      <c r="G25" s="30" t="s">
        <v>475</v>
      </c>
      <c r="H25" s="33">
        <v>100001</v>
      </c>
      <c r="I25" s="200">
        <v>10000</v>
      </c>
      <c r="J25" s="30" t="s">
        <v>475</v>
      </c>
      <c r="K25" s="33">
        <v>100001</v>
      </c>
      <c r="L25" s="200">
        <v>50000</v>
      </c>
      <c r="M25" s="30"/>
      <c r="N25" s="33" t="s">
        <v>545</v>
      </c>
      <c r="O25" s="200" t="s">
        <v>545</v>
      </c>
      <c r="P25" s="30"/>
      <c r="Q25" s="33" t="s">
        <v>545</v>
      </c>
      <c r="R25" s="200" t="s">
        <v>545</v>
      </c>
      <c r="S25" s="30"/>
      <c r="T25" s="33" t="s">
        <v>545</v>
      </c>
      <c r="U25" s="33" t="s">
        <v>545</v>
      </c>
      <c r="V25" s="30"/>
      <c r="W25" s="33" t="s">
        <v>545</v>
      </c>
      <c r="X25" s="33" t="s">
        <v>545</v>
      </c>
    </row>
    <row r="26" spans="1:24">
      <c r="A26" s="29">
        <v>47400018</v>
      </c>
      <c r="B26" s="30" t="s">
        <v>655</v>
      </c>
      <c r="C26" s="128" t="s">
        <v>2192</v>
      </c>
      <c r="D26" s="30"/>
      <c r="E26" s="30">
        <v>1</v>
      </c>
      <c r="F26" s="200">
        <f t="shared" si="0"/>
        <v>50000</v>
      </c>
      <c r="G26" s="30" t="s">
        <v>475</v>
      </c>
      <c r="H26" s="33">
        <v>100001</v>
      </c>
      <c r="I26" s="200">
        <v>10000</v>
      </c>
      <c r="J26" s="30" t="s">
        <v>475</v>
      </c>
      <c r="K26" s="33">
        <v>100001</v>
      </c>
      <c r="L26" s="200">
        <v>50000</v>
      </c>
      <c r="M26" s="30"/>
      <c r="N26" s="33" t="s">
        <v>545</v>
      </c>
      <c r="O26" s="200" t="s">
        <v>545</v>
      </c>
      <c r="P26" s="30"/>
      <c r="Q26" s="33" t="s">
        <v>545</v>
      </c>
      <c r="R26" s="200" t="s">
        <v>545</v>
      </c>
      <c r="S26" s="30"/>
      <c r="T26" s="33" t="s">
        <v>545</v>
      </c>
      <c r="U26" s="33" t="s">
        <v>545</v>
      </c>
      <c r="V26" s="30"/>
      <c r="W26" s="33" t="s">
        <v>545</v>
      </c>
      <c r="X26" s="33" t="s">
        <v>545</v>
      </c>
    </row>
    <row r="27" spans="1:24">
      <c r="A27" s="202">
        <v>47400019</v>
      </c>
      <c r="B27" s="203" t="s">
        <v>657</v>
      </c>
      <c r="C27" s="129" t="s">
        <v>2193</v>
      </c>
      <c r="D27" s="30" t="s">
        <v>2312</v>
      </c>
      <c r="E27" s="30"/>
      <c r="F27" s="200">
        <f t="shared" si="0"/>
        <v>0</v>
      </c>
      <c r="G27" s="30" t="s">
        <v>475</v>
      </c>
      <c r="H27" s="33">
        <v>100001</v>
      </c>
      <c r="I27" s="200">
        <v>10000</v>
      </c>
      <c r="J27" s="30" t="s">
        <v>475</v>
      </c>
      <c r="K27" s="33">
        <v>100001</v>
      </c>
      <c r="L27" s="200">
        <v>50000</v>
      </c>
      <c r="M27" s="30"/>
      <c r="N27" s="33" t="s">
        <v>545</v>
      </c>
      <c r="O27" s="200" t="s">
        <v>545</v>
      </c>
      <c r="P27" s="30"/>
      <c r="Q27" s="33" t="s">
        <v>545</v>
      </c>
      <c r="R27" s="200" t="s">
        <v>545</v>
      </c>
      <c r="S27" s="30"/>
      <c r="T27" s="33" t="s">
        <v>545</v>
      </c>
      <c r="U27" s="33" t="s">
        <v>545</v>
      </c>
      <c r="V27" s="30"/>
      <c r="W27" s="33" t="s">
        <v>545</v>
      </c>
      <c r="X27" s="33" t="s">
        <v>545</v>
      </c>
    </row>
    <row r="28" spans="1:24">
      <c r="A28" s="29">
        <v>47400020</v>
      </c>
      <c r="B28" s="30" t="s">
        <v>659</v>
      </c>
      <c r="C28" s="130" t="s">
        <v>2194</v>
      </c>
      <c r="D28" s="30"/>
      <c r="E28" s="30">
        <v>2</v>
      </c>
      <c r="F28" s="200">
        <f t="shared" si="0"/>
        <v>250000</v>
      </c>
      <c r="G28" s="30" t="s">
        <v>475</v>
      </c>
      <c r="H28" s="33">
        <v>100001</v>
      </c>
      <c r="I28" s="200">
        <v>10000</v>
      </c>
      <c r="J28" s="30" t="s">
        <v>475</v>
      </c>
      <c r="K28" s="33">
        <v>100001</v>
      </c>
      <c r="L28" s="200">
        <v>250000</v>
      </c>
      <c r="M28" s="30"/>
      <c r="N28" s="33" t="s">
        <v>545</v>
      </c>
      <c r="O28" s="200" t="s">
        <v>545</v>
      </c>
      <c r="P28" s="30"/>
      <c r="Q28" s="33" t="s">
        <v>545</v>
      </c>
      <c r="R28" s="200" t="s">
        <v>545</v>
      </c>
      <c r="S28" s="30"/>
      <c r="T28" s="33" t="s">
        <v>545</v>
      </c>
      <c r="U28" s="33" t="s">
        <v>545</v>
      </c>
      <c r="V28" s="30"/>
      <c r="W28" s="33" t="s">
        <v>545</v>
      </c>
      <c r="X28" s="33" t="s">
        <v>545</v>
      </c>
    </row>
    <row r="29" spans="1:24">
      <c r="A29" s="29">
        <v>47400021</v>
      </c>
      <c r="B29" s="30" t="s">
        <v>661</v>
      </c>
      <c r="C29" s="131" t="s">
        <v>2195</v>
      </c>
      <c r="D29" s="30"/>
      <c r="E29" s="30">
        <v>1</v>
      </c>
      <c r="F29" s="200">
        <f t="shared" si="0"/>
        <v>50000</v>
      </c>
      <c r="G29" s="30" t="s">
        <v>475</v>
      </c>
      <c r="H29" s="33">
        <v>100001</v>
      </c>
      <c r="I29" s="200">
        <v>10000</v>
      </c>
      <c r="J29" s="30" t="s">
        <v>475</v>
      </c>
      <c r="K29" s="33">
        <v>100001</v>
      </c>
      <c r="L29" s="200">
        <v>50000</v>
      </c>
      <c r="M29" s="30"/>
      <c r="N29" s="33" t="s">
        <v>545</v>
      </c>
      <c r="O29" s="200" t="s">
        <v>545</v>
      </c>
      <c r="P29" s="30"/>
      <c r="Q29" s="33" t="s">
        <v>545</v>
      </c>
      <c r="R29" s="200" t="s">
        <v>545</v>
      </c>
      <c r="S29" s="30"/>
      <c r="T29" s="33" t="s">
        <v>545</v>
      </c>
      <c r="U29" s="33" t="s">
        <v>545</v>
      </c>
      <c r="V29" s="30"/>
      <c r="W29" s="33" t="s">
        <v>545</v>
      </c>
      <c r="X29" s="33" t="s">
        <v>545</v>
      </c>
    </row>
    <row r="30" spans="1:24">
      <c r="A30" s="202">
        <v>47400022</v>
      </c>
      <c r="B30" s="203" t="s">
        <v>663</v>
      </c>
      <c r="C30" s="132" t="s">
        <v>2196</v>
      </c>
      <c r="D30" s="30" t="s">
        <v>2312</v>
      </c>
      <c r="E30" s="30"/>
      <c r="F30" s="200">
        <f t="shared" si="0"/>
        <v>0</v>
      </c>
      <c r="G30" s="30" t="s">
        <v>475</v>
      </c>
      <c r="H30" s="33">
        <v>100001</v>
      </c>
      <c r="I30" s="200">
        <v>10000</v>
      </c>
      <c r="J30" s="30" t="s">
        <v>475</v>
      </c>
      <c r="K30" s="33">
        <v>100001</v>
      </c>
      <c r="L30" s="200">
        <v>50000</v>
      </c>
      <c r="M30" s="30"/>
      <c r="N30" s="33" t="s">
        <v>545</v>
      </c>
      <c r="O30" s="200" t="s">
        <v>545</v>
      </c>
      <c r="P30" s="30"/>
      <c r="Q30" s="33" t="s">
        <v>545</v>
      </c>
      <c r="R30" s="200" t="s">
        <v>545</v>
      </c>
      <c r="S30" s="30"/>
      <c r="T30" s="33" t="s">
        <v>545</v>
      </c>
      <c r="U30" s="33" t="s">
        <v>545</v>
      </c>
      <c r="V30" s="30"/>
      <c r="W30" s="33" t="s">
        <v>545</v>
      </c>
      <c r="X30" s="33" t="s">
        <v>545</v>
      </c>
    </row>
    <row r="31" spans="1:24">
      <c r="A31" s="29">
        <v>47400023</v>
      </c>
      <c r="B31" s="30" t="s">
        <v>665</v>
      </c>
      <c r="C31" s="133" t="s">
        <v>2197</v>
      </c>
      <c r="D31" s="30"/>
      <c r="E31" s="30">
        <v>1</v>
      </c>
      <c r="F31" s="200">
        <f t="shared" si="0"/>
        <v>50000</v>
      </c>
      <c r="G31" s="30" t="s">
        <v>475</v>
      </c>
      <c r="H31" s="33">
        <v>100001</v>
      </c>
      <c r="I31" s="200">
        <v>10000</v>
      </c>
      <c r="J31" s="30" t="s">
        <v>475</v>
      </c>
      <c r="K31" s="33">
        <v>100001</v>
      </c>
      <c r="L31" s="200">
        <v>50000</v>
      </c>
      <c r="M31" s="30"/>
      <c r="N31" s="33" t="s">
        <v>545</v>
      </c>
      <c r="O31" s="200" t="s">
        <v>545</v>
      </c>
      <c r="P31" s="30"/>
      <c r="Q31" s="33" t="s">
        <v>545</v>
      </c>
      <c r="R31" s="200" t="s">
        <v>545</v>
      </c>
      <c r="S31" s="30"/>
      <c r="T31" s="33" t="s">
        <v>545</v>
      </c>
      <c r="U31" s="33" t="s">
        <v>545</v>
      </c>
      <c r="V31" s="30"/>
      <c r="W31" s="33" t="s">
        <v>545</v>
      </c>
      <c r="X31" s="33" t="s">
        <v>545</v>
      </c>
    </row>
    <row r="32" spans="1:24">
      <c r="A32" s="29">
        <v>47400024</v>
      </c>
      <c r="B32" s="30" t="s">
        <v>667</v>
      </c>
      <c r="C32" s="134" t="s">
        <v>2198</v>
      </c>
      <c r="D32" s="30"/>
      <c r="E32" s="30">
        <v>2</v>
      </c>
      <c r="F32" s="200">
        <f t="shared" si="0"/>
        <v>250000</v>
      </c>
      <c r="G32" s="30" t="s">
        <v>475</v>
      </c>
      <c r="H32" s="33">
        <v>100001</v>
      </c>
      <c r="I32" s="200">
        <v>10000</v>
      </c>
      <c r="J32" s="30" t="s">
        <v>475</v>
      </c>
      <c r="K32" s="33">
        <v>100001</v>
      </c>
      <c r="L32" s="200">
        <v>250000</v>
      </c>
      <c r="M32" s="30"/>
      <c r="N32" s="33" t="s">
        <v>545</v>
      </c>
      <c r="O32" s="200" t="s">
        <v>545</v>
      </c>
      <c r="P32" s="30"/>
      <c r="Q32" s="33" t="s">
        <v>545</v>
      </c>
      <c r="R32" s="200" t="s">
        <v>545</v>
      </c>
      <c r="S32" s="30"/>
      <c r="T32" s="33" t="s">
        <v>545</v>
      </c>
      <c r="U32" s="33" t="s">
        <v>545</v>
      </c>
      <c r="V32" s="30"/>
      <c r="W32" s="33" t="s">
        <v>545</v>
      </c>
      <c r="X32" s="33" t="s">
        <v>545</v>
      </c>
    </row>
    <row r="33" spans="1:24">
      <c r="A33" s="202">
        <v>47400025</v>
      </c>
      <c r="B33" s="203" t="s">
        <v>669</v>
      </c>
      <c r="C33" s="135" t="s">
        <v>2199</v>
      </c>
      <c r="D33" s="30" t="s">
        <v>2312</v>
      </c>
      <c r="E33" s="30"/>
      <c r="F33" s="200">
        <f t="shared" si="0"/>
        <v>0</v>
      </c>
      <c r="G33" s="30" t="s">
        <v>475</v>
      </c>
      <c r="H33" s="33">
        <v>100001</v>
      </c>
      <c r="I33" s="200">
        <v>10000</v>
      </c>
      <c r="J33" s="30" t="s">
        <v>475</v>
      </c>
      <c r="K33" s="33">
        <v>100001</v>
      </c>
      <c r="L33" s="200">
        <v>50000</v>
      </c>
      <c r="M33" s="30"/>
      <c r="N33" s="33" t="s">
        <v>545</v>
      </c>
      <c r="O33" s="200" t="s">
        <v>545</v>
      </c>
      <c r="P33" s="30"/>
      <c r="Q33" s="33" t="s">
        <v>545</v>
      </c>
      <c r="R33" s="200" t="s">
        <v>545</v>
      </c>
      <c r="S33" s="30"/>
      <c r="T33" s="33" t="s">
        <v>545</v>
      </c>
      <c r="U33" s="33" t="s">
        <v>545</v>
      </c>
      <c r="V33" s="30"/>
      <c r="W33" s="33" t="s">
        <v>545</v>
      </c>
      <c r="X33" s="33" t="s">
        <v>545</v>
      </c>
    </row>
    <row r="34" spans="1:24">
      <c r="A34" s="29">
        <v>47400026</v>
      </c>
      <c r="B34" s="30" t="s">
        <v>671</v>
      </c>
      <c r="C34" s="136" t="s">
        <v>2200</v>
      </c>
      <c r="D34" s="30"/>
      <c r="E34" s="30">
        <v>1</v>
      </c>
      <c r="F34" s="200">
        <f t="shared" si="0"/>
        <v>50000</v>
      </c>
      <c r="G34" s="30" t="s">
        <v>475</v>
      </c>
      <c r="H34" s="33">
        <v>100001</v>
      </c>
      <c r="I34" s="200">
        <v>10000</v>
      </c>
      <c r="J34" s="30" t="s">
        <v>475</v>
      </c>
      <c r="K34" s="33">
        <v>100001</v>
      </c>
      <c r="L34" s="200">
        <v>50000</v>
      </c>
      <c r="M34" s="30"/>
      <c r="N34" s="33" t="s">
        <v>545</v>
      </c>
      <c r="O34" s="200" t="s">
        <v>545</v>
      </c>
      <c r="P34" s="30"/>
      <c r="Q34" s="33" t="s">
        <v>545</v>
      </c>
      <c r="R34" s="200" t="s">
        <v>545</v>
      </c>
      <c r="S34" s="30"/>
      <c r="T34" s="33" t="s">
        <v>545</v>
      </c>
      <c r="U34" s="33" t="s">
        <v>545</v>
      </c>
      <c r="V34" s="30"/>
      <c r="W34" s="33" t="s">
        <v>545</v>
      </c>
      <c r="X34" s="33" t="s">
        <v>545</v>
      </c>
    </row>
    <row r="35" spans="1:24">
      <c r="A35" s="29">
        <v>47400027</v>
      </c>
      <c r="B35" s="30" t="s">
        <v>673</v>
      </c>
      <c r="C35" s="137" t="s">
        <v>2201</v>
      </c>
      <c r="D35" s="30"/>
      <c r="E35" s="30">
        <v>1</v>
      </c>
      <c r="F35" s="200">
        <f t="shared" si="0"/>
        <v>50000</v>
      </c>
      <c r="G35" s="30" t="s">
        <v>475</v>
      </c>
      <c r="H35" s="33">
        <v>100001</v>
      </c>
      <c r="I35" s="200">
        <v>10000</v>
      </c>
      <c r="J35" s="30" t="s">
        <v>475</v>
      </c>
      <c r="K35" s="33">
        <v>100001</v>
      </c>
      <c r="L35" s="200">
        <v>50000</v>
      </c>
      <c r="M35" s="30"/>
      <c r="N35" s="33" t="s">
        <v>545</v>
      </c>
      <c r="O35" s="200" t="s">
        <v>545</v>
      </c>
      <c r="P35" s="30"/>
      <c r="Q35" s="33" t="s">
        <v>545</v>
      </c>
      <c r="R35" s="200" t="s">
        <v>545</v>
      </c>
      <c r="S35" s="30"/>
      <c r="T35" s="33" t="s">
        <v>545</v>
      </c>
      <c r="U35" s="33" t="s">
        <v>545</v>
      </c>
      <c r="V35" s="30"/>
      <c r="W35" s="33" t="s">
        <v>545</v>
      </c>
      <c r="X35" s="33" t="s">
        <v>545</v>
      </c>
    </row>
    <row r="36" spans="1:24">
      <c r="A36" s="202">
        <v>47400028</v>
      </c>
      <c r="B36" s="203" t="s">
        <v>675</v>
      </c>
      <c r="C36" s="138" t="s">
        <v>2202</v>
      </c>
      <c r="D36" s="30" t="s">
        <v>2312</v>
      </c>
      <c r="E36" s="30"/>
      <c r="F36" s="200">
        <f t="shared" si="0"/>
        <v>0</v>
      </c>
      <c r="G36" s="30" t="s">
        <v>475</v>
      </c>
      <c r="H36" s="33">
        <v>100001</v>
      </c>
      <c r="I36" s="200">
        <v>10000</v>
      </c>
      <c r="J36" s="30" t="s">
        <v>475</v>
      </c>
      <c r="K36" s="33">
        <v>100001</v>
      </c>
      <c r="L36" s="200">
        <v>50000</v>
      </c>
      <c r="M36" s="30"/>
      <c r="N36" s="33" t="s">
        <v>545</v>
      </c>
      <c r="O36" s="200" t="s">
        <v>545</v>
      </c>
      <c r="P36" s="30"/>
      <c r="Q36" s="33" t="s">
        <v>545</v>
      </c>
      <c r="R36" s="200" t="s">
        <v>545</v>
      </c>
      <c r="S36" s="30"/>
      <c r="T36" s="33" t="s">
        <v>545</v>
      </c>
      <c r="U36" s="33" t="s">
        <v>545</v>
      </c>
      <c r="V36" s="30"/>
      <c r="W36" s="33" t="s">
        <v>545</v>
      </c>
      <c r="X36" s="33" t="s">
        <v>545</v>
      </c>
    </row>
    <row r="37" spans="1:24">
      <c r="A37" s="29">
        <v>47400029</v>
      </c>
      <c r="B37" s="30" t="s">
        <v>677</v>
      </c>
      <c r="C37" s="139" t="s">
        <v>2203</v>
      </c>
      <c r="D37" s="30"/>
      <c r="E37" s="30">
        <v>1</v>
      </c>
      <c r="F37" s="200">
        <f t="shared" si="0"/>
        <v>50000</v>
      </c>
      <c r="G37" s="30" t="s">
        <v>475</v>
      </c>
      <c r="H37" s="33">
        <v>100001</v>
      </c>
      <c r="I37" s="200">
        <v>10000</v>
      </c>
      <c r="J37" s="30" t="s">
        <v>475</v>
      </c>
      <c r="K37" s="33">
        <v>100001</v>
      </c>
      <c r="L37" s="200">
        <v>50000</v>
      </c>
      <c r="M37" s="30"/>
      <c r="N37" s="33" t="s">
        <v>545</v>
      </c>
      <c r="O37" s="200" t="s">
        <v>545</v>
      </c>
      <c r="P37" s="30"/>
      <c r="Q37" s="33" t="s">
        <v>545</v>
      </c>
      <c r="R37" s="200" t="s">
        <v>545</v>
      </c>
      <c r="S37" s="30"/>
      <c r="T37" s="33" t="s">
        <v>545</v>
      </c>
      <c r="U37" s="33" t="s">
        <v>545</v>
      </c>
      <c r="V37" s="30"/>
      <c r="W37" s="33" t="s">
        <v>545</v>
      </c>
      <c r="X37" s="33" t="s">
        <v>545</v>
      </c>
    </row>
    <row r="38" spans="1:24">
      <c r="A38" s="29">
        <v>47400030</v>
      </c>
      <c r="B38" s="30" t="s">
        <v>679</v>
      </c>
      <c r="C38" s="140" t="s">
        <v>2204</v>
      </c>
      <c r="D38" s="30"/>
      <c r="E38" s="30">
        <v>1</v>
      </c>
      <c r="F38" s="200">
        <f t="shared" si="0"/>
        <v>50000</v>
      </c>
      <c r="G38" s="30" t="s">
        <v>475</v>
      </c>
      <c r="H38" s="33">
        <v>100001</v>
      </c>
      <c r="I38" s="200">
        <v>10000</v>
      </c>
      <c r="J38" s="30" t="s">
        <v>475</v>
      </c>
      <c r="K38" s="33">
        <v>100001</v>
      </c>
      <c r="L38" s="200">
        <v>50000</v>
      </c>
      <c r="M38" s="30"/>
      <c r="N38" s="33" t="s">
        <v>545</v>
      </c>
      <c r="O38" s="200" t="s">
        <v>545</v>
      </c>
      <c r="P38" s="30"/>
      <c r="Q38" s="33" t="s">
        <v>545</v>
      </c>
      <c r="R38" s="200" t="s">
        <v>545</v>
      </c>
      <c r="S38" s="30"/>
      <c r="T38" s="33" t="s">
        <v>545</v>
      </c>
      <c r="U38" s="33" t="s">
        <v>545</v>
      </c>
      <c r="V38" s="30"/>
      <c r="W38" s="33" t="s">
        <v>545</v>
      </c>
      <c r="X38" s="33" t="s">
        <v>545</v>
      </c>
    </row>
    <row r="39" spans="1:24">
      <c r="A39" s="202">
        <v>47400031</v>
      </c>
      <c r="B39" s="203" t="s">
        <v>681</v>
      </c>
      <c r="C39" s="141" t="s">
        <v>2205</v>
      </c>
      <c r="D39" s="30" t="s">
        <v>2312</v>
      </c>
      <c r="E39" s="30"/>
      <c r="F39" s="200">
        <f t="shared" si="0"/>
        <v>0</v>
      </c>
      <c r="G39" s="30" t="s">
        <v>475</v>
      </c>
      <c r="H39" s="33">
        <v>100001</v>
      </c>
      <c r="I39" s="200">
        <v>10000</v>
      </c>
      <c r="J39" s="30" t="s">
        <v>475</v>
      </c>
      <c r="K39" s="33">
        <v>100001</v>
      </c>
      <c r="L39" s="200">
        <v>50000</v>
      </c>
      <c r="M39" s="30"/>
      <c r="N39" s="33" t="s">
        <v>545</v>
      </c>
      <c r="O39" s="200" t="s">
        <v>545</v>
      </c>
      <c r="P39" s="30"/>
      <c r="Q39" s="33" t="s">
        <v>545</v>
      </c>
      <c r="R39" s="200" t="s">
        <v>545</v>
      </c>
      <c r="S39" s="30"/>
      <c r="T39" s="33" t="s">
        <v>545</v>
      </c>
      <c r="U39" s="33" t="s">
        <v>545</v>
      </c>
      <c r="V39" s="30"/>
      <c r="W39" s="33" t="s">
        <v>545</v>
      </c>
      <c r="X39" s="33" t="s">
        <v>545</v>
      </c>
    </row>
    <row r="40" spans="1:24">
      <c r="A40" s="29">
        <v>47400032</v>
      </c>
      <c r="B40" s="30" t="s">
        <v>683</v>
      </c>
      <c r="C40" s="142" t="s">
        <v>2206</v>
      </c>
      <c r="D40" s="30"/>
      <c r="E40" s="30">
        <v>1</v>
      </c>
      <c r="F40" s="200">
        <f t="shared" si="0"/>
        <v>50000</v>
      </c>
      <c r="G40" s="30" t="s">
        <v>475</v>
      </c>
      <c r="H40" s="33">
        <v>100001</v>
      </c>
      <c r="I40" s="200">
        <v>10000</v>
      </c>
      <c r="J40" s="30" t="s">
        <v>475</v>
      </c>
      <c r="K40" s="33">
        <v>100001</v>
      </c>
      <c r="L40" s="200">
        <v>50000</v>
      </c>
      <c r="M40" s="30"/>
      <c r="N40" s="33" t="s">
        <v>545</v>
      </c>
      <c r="O40" s="200" t="s">
        <v>545</v>
      </c>
      <c r="P40" s="30"/>
      <c r="Q40" s="33" t="s">
        <v>545</v>
      </c>
      <c r="R40" s="200" t="s">
        <v>545</v>
      </c>
      <c r="S40" s="30"/>
      <c r="T40" s="33" t="s">
        <v>545</v>
      </c>
      <c r="U40" s="33" t="s">
        <v>545</v>
      </c>
      <c r="V40" s="30"/>
      <c r="W40" s="33" t="s">
        <v>545</v>
      </c>
      <c r="X40" s="33" t="s">
        <v>545</v>
      </c>
    </row>
    <row r="41" spans="1:24">
      <c r="A41" s="29">
        <v>47400033</v>
      </c>
      <c r="B41" s="30" t="s">
        <v>685</v>
      </c>
      <c r="C41" s="143" t="s">
        <v>2207</v>
      </c>
      <c r="D41" s="30"/>
      <c r="E41" s="30">
        <v>2</v>
      </c>
      <c r="F41" s="200">
        <f t="shared" si="0"/>
        <v>250000</v>
      </c>
      <c r="G41" s="30" t="s">
        <v>475</v>
      </c>
      <c r="H41" s="33">
        <v>100001</v>
      </c>
      <c r="I41" s="200">
        <v>10000</v>
      </c>
      <c r="J41" s="30" t="s">
        <v>475</v>
      </c>
      <c r="K41" s="33">
        <v>100001</v>
      </c>
      <c r="L41" s="200">
        <v>250000</v>
      </c>
      <c r="M41" s="30"/>
      <c r="N41" s="33" t="s">
        <v>545</v>
      </c>
      <c r="O41" s="200" t="s">
        <v>545</v>
      </c>
      <c r="P41" s="30"/>
      <c r="Q41" s="33" t="s">
        <v>545</v>
      </c>
      <c r="R41" s="200" t="s">
        <v>545</v>
      </c>
      <c r="S41" s="30"/>
      <c r="T41" s="33" t="s">
        <v>545</v>
      </c>
      <c r="U41" s="33" t="s">
        <v>545</v>
      </c>
      <c r="V41" s="30"/>
      <c r="W41" s="33" t="s">
        <v>545</v>
      </c>
      <c r="X41" s="33" t="s">
        <v>545</v>
      </c>
    </row>
    <row r="42" spans="1:24">
      <c r="A42" s="202">
        <v>47400034</v>
      </c>
      <c r="B42" s="203" t="s">
        <v>687</v>
      </c>
      <c r="C42" s="144" t="s">
        <v>2208</v>
      </c>
      <c r="D42" s="30" t="s">
        <v>2312</v>
      </c>
      <c r="E42" s="30"/>
      <c r="F42" s="200">
        <f t="shared" si="0"/>
        <v>0</v>
      </c>
      <c r="G42" s="30" t="s">
        <v>475</v>
      </c>
      <c r="H42" s="33">
        <v>100001</v>
      </c>
      <c r="I42" s="200">
        <v>10000</v>
      </c>
      <c r="J42" s="30" t="s">
        <v>475</v>
      </c>
      <c r="K42" s="33">
        <v>100001</v>
      </c>
      <c r="L42" s="200">
        <v>50000</v>
      </c>
      <c r="M42" s="30"/>
      <c r="N42" s="33" t="s">
        <v>545</v>
      </c>
      <c r="O42" s="200" t="s">
        <v>545</v>
      </c>
      <c r="P42" s="30"/>
      <c r="Q42" s="33" t="s">
        <v>545</v>
      </c>
      <c r="R42" s="200" t="s">
        <v>545</v>
      </c>
      <c r="S42" s="30"/>
      <c r="T42" s="33" t="s">
        <v>545</v>
      </c>
      <c r="U42" s="33" t="s">
        <v>545</v>
      </c>
      <c r="V42" s="30"/>
      <c r="W42" s="33" t="s">
        <v>545</v>
      </c>
      <c r="X42" s="33" t="s">
        <v>545</v>
      </c>
    </row>
    <row r="43" spans="1:24">
      <c r="A43" s="29">
        <v>47400035</v>
      </c>
      <c r="B43" s="30" t="s">
        <v>689</v>
      </c>
      <c r="C43" s="145" t="s">
        <v>2209</v>
      </c>
      <c r="D43" s="30"/>
      <c r="E43" s="30">
        <v>2</v>
      </c>
      <c r="F43" s="200">
        <f t="shared" si="0"/>
        <v>250000</v>
      </c>
      <c r="G43" s="30" t="s">
        <v>475</v>
      </c>
      <c r="H43" s="33">
        <v>100001</v>
      </c>
      <c r="I43" s="200">
        <v>10000</v>
      </c>
      <c r="J43" s="30" t="s">
        <v>475</v>
      </c>
      <c r="K43" s="33">
        <v>100001</v>
      </c>
      <c r="L43" s="200">
        <v>250000</v>
      </c>
      <c r="M43" s="30"/>
      <c r="N43" s="33" t="s">
        <v>545</v>
      </c>
      <c r="O43" s="200" t="s">
        <v>545</v>
      </c>
      <c r="P43" s="30"/>
      <c r="Q43" s="33" t="s">
        <v>545</v>
      </c>
      <c r="R43" s="200" t="s">
        <v>545</v>
      </c>
      <c r="S43" s="30"/>
      <c r="T43" s="33" t="s">
        <v>545</v>
      </c>
      <c r="U43" s="33" t="s">
        <v>545</v>
      </c>
      <c r="V43" s="30"/>
      <c r="W43" s="33" t="s">
        <v>545</v>
      </c>
      <c r="X43" s="33" t="s">
        <v>545</v>
      </c>
    </row>
    <row r="44" spans="1:24">
      <c r="A44" s="29">
        <v>47400036</v>
      </c>
      <c r="B44" s="30" t="s">
        <v>691</v>
      </c>
      <c r="C44" s="146" t="s">
        <v>2210</v>
      </c>
      <c r="D44" s="30"/>
      <c r="E44" s="30">
        <v>2</v>
      </c>
      <c r="F44" s="200">
        <f t="shared" si="0"/>
        <v>250000</v>
      </c>
      <c r="G44" s="30" t="s">
        <v>475</v>
      </c>
      <c r="H44" s="33">
        <v>100001</v>
      </c>
      <c r="I44" s="200">
        <v>10000</v>
      </c>
      <c r="J44" s="30" t="s">
        <v>475</v>
      </c>
      <c r="K44" s="33">
        <v>100001</v>
      </c>
      <c r="L44" s="200">
        <v>250000</v>
      </c>
      <c r="M44" s="30"/>
      <c r="N44" s="33" t="s">
        <v>545</v>
      </c>
      <c r="O44" s="200" t="s">
        <v>545</v>
      </c>
      <c r="P44" s="30"/>
      <c r="Q44" s="33" t="s">
        <v>545</v>
      </c>
      <c r="R44" s="200" t="s">
        <v>545</v>
      </c>
      <c r="S44" s="30"/>
      <c r="T44" s="33" t="s">
        <v>545</v>
      </c>
      <c r="U44" s="33" t="s">
        <v>545</v>
      </c>
      <c r="V44" s="30"/>
      <c r="W44" s="33" t="s">
        <v>545</v>
      </c>
      <c r="X44" s="33" t="s">
        <v>545</v>
      </c>
    </row>
    <row r="45" spans="1:24">
      <c r="A45" s="29">
        <v>47400037</v>
      </c>
      <c r="B45" s="30" t="s">
        <v>693</v>
      </c>
      <c r="C45" s="147" t="s">
        <v>2211</v>
      </c>
      <c r="D45" s="30"/>
      <c r="E45" s="30">
        <v>1</v>
      </c>
      <c r="F45" s="200">
        <f t="shared" si="0"/>
        <v>50000</v>
      </c>
      <c r="G45" s="30" t="s">
        <v>475</v>
      </c>
      <c r="H45" s="33">
        <v>100001</v>
      </c>
      <c r="I45" s="200">
        <v>10000</v>
      </c>
      <c r="J45" s="30" t="s">
        <v>475</v>
      </c>
      <c r="K45" s="33">
        <v>100001</v>
      </c>
      <c r="L45" s="200">
        <v>50000</v>
      </c>
      <c r="M45" s="30"/>
      <c r="N45" s="33" t="s">
        <v>545</v>
      </c>
      <c r="O45" s="200" t="s">
        <v>545</v>
      </c>
      <c r="P45" s="30"/>
      <c r="Q45" s="33" t="s">
        <v>545</v>
      </c>
      <c r="R45" s="200" t="s">
        <v>545</v>
      </c>
      <c r="S45" s="30"/>
      <c r="T45" s="33" t="s">
        <v>545</v>
      </c>
      <c r="U45" s="33" t="s">
        <v>545</v>
      </c>
      <c r="V45" s="30"/>
      <c r="W45" s="33" t="s">
        <v>545</v>
      </c>
      <c r="X45" s="33" t="s">
        <v>545</v>
      </c>
    </row>
    <row r="46" spans="1:24">
      <c r="A46" s="202">
        <v>47400038</v>
      </c>
      <c r="B46" s="203" t="s">
        <v>695</v>
      </c>
      <c r="C46" s="148" t="s">
        <v>2212</v>
      </c>
      <c r="D46" s="30" t="s">
        <v>2312</v>
      </c>
      <c r="E46" s="30"/>
      <c r="F46" s="200">
        <f t="shared" si="0"/>
        <v>0</v>
      </c>
      <c r="G46" s="30" t="s">
        <v>475</v>
      </c>
      <c r="H46" s="33">
        <v>100001</v>
      </c>
      <c r="I46" s="200">
        <v>10000</v>
      </c>
      <c r="J46" s="30" t="s">
        <v>475</v>
      </c>
      <c r="K46" s="33">
        <v>100001</v>
      </c>
      <c r="L46" s="200">
        <v>50000</v>
      </c>
      <c r="M46" s="30"/>
      <c r="N46" s="33" t="s">
        <v>545</v>
      </c>
      <c r="O46" s="200" t="s">
        <v>545</v>
      </c>
      <c r="P46" s="30"/>
      <c r="Q46" s="33" t="s">
        <v>545</v>
      </c>
      <c r="R46" s="200" t="s">
        <v>545</v>
      </c>
      <c r="S46" s="30"/>
      <c r="T46" s="33" t="s">
        <v>545</v>
      </c>
      <c r="U46" s="33" t="s">
        <v>545</v>
      </c>
      <c r="V46" s="30"/>
      <c r="W46" s="33" t="s">
        <v>545</v>
      </c>
      <c r="X46" s="33" t="s">
        <v>545</v>
      </c>
    </row>
    <row r="47" spans="1:24">
      <c r="A47" s="29">
        <v>47400039</v>
      </c>
      <c r="B47" s="30" t="s">
        <v>697</v>
      </c>
      <c r="C47" s="149" t="s">
        <v>2213</v>
      </c>
      <c r="D47" s="30"/>
      <c r="E47" s="30">
        <v>2</v>
      </c>
      <c r="F47" s="200">
        <f t="shared" si="0"/>
        <v>250000</v>
      </c>
      <c r="G47" s="30" t="s">
        <v>475</v>
      </c>
      <c r="H47" s="33">
        <v>100001</v>
      </c>
      <c r="I47" s="200">
        <v>10000</v>
      </c>
      <c r="J47" s="30" t="s">
        <v>475</v>
      </c>
      <c r="K47" s="33">
        <v>100001</v>
      </c>
      <c r="L47" s="200">
        <v>250000</v>
      </c>
      <c r="M47" s="30"/>
      <c r="N47" s="33" t="s">
        <v>545</v>
      </c>
      <c r="O47" s="200" t="s">
        <v>545</v>
      </c>
      <c r="P47" s="30"/>
      <c r="Q47" s="33" t="s">
        <v>545</v>
      </c>
      <c r="R47" s="200" t="s">
        <v>545</v>
      </c>
      <c r="S47" s="30"/>
      <c r="T47" s="33" t="s">
        <v>545</v>
      </c>
      <c r="U47" s="33" t="s">
        <v>545</v>
      </c>
      <c r="V47" s="30"/>
      <c r="W47" s="33" t="s">
        <v>545</v>
      </c>
      <c r="X47" s="33" t="s">
        <v>545</v>
      </c>
    </row>
    <row r="48" spans="1:24">
      <c r="A48" s="202">
        <v>47400040</v>
      </c>
      <c r="B48" s="203" t="s">
        <v>699</v>
      </c>
      <c r="C48" s="150" t="s">
        <v>2214</v>
      </c>
      <c r="D48" s="30" t="s">
        <v>2312</v>
      </c>
      <c r="E48" s="30"/>
      <c r="F48" s="200">
        <f t="shared" si="0"/>
        <v>0</v>
      </c>
      <c r="G48" s="30" t="s">
        <v>475</v>
      </c>
      <c r="H48" s="33">
        <v>100001</v>
      </c>
      <c r="I48" s="200">
        <v>10000</v>
      </c>
      <c r="J48" s="30" t="s">
        <v>475</v>
      </c>
      <c r="K48" s="33">
        <v>100001</v>
      </c>
      <c r="L48" s="200">
        <v>50000</v>
      </c>
      <c r="M48" s="30"/>
      <c r="N48" s="33" t="s">
        <v>545</v>
      </c>
      <c r="O48" s="200" t="s">
        <v>545</v>
      </c>
      <c r="P48" s="30"/>
      <c r="Q48" s="33" t="s">
        <v>545</v>
      </c>
      <c r="R48" s="200" t="s">
        <v>545</v>
      </c>
      <c r="S48" s="30"/>
      <c r="T48" s="33" t="s">
        <v>545</v>
      </c>
      <c r="U48" s="33" t="s">
        <v>545</v>
      </c>
      <c r="V48" s="30"/>
      <c r="W48" s="33" t="s">
        <v>545</v>
      </c>
      <c r="X48" s="33" t="s">
        <v>545</v>
      </c>
    </row>
    <row r="49" spans="1:24">
      <c r="A49" s="29">
        <v>47400041</v>
      </c>
      <c r="B49" s="30" t="s">
        <v>701</v>
      </c>
      <c r="C49" s="151" t="s">
        <v>2215</v>
      </c>
      <c r="D49" s="30"/>
      <c r="E49" s="30">
        <v>1</v>
      </c>
      <c r="F49" s="200">
        <f t="shared" ref="F49:F98" si="1">IFERROR(INT(POWER(5,(POWER(E49-1,1.02)))) * 50000, 0)</f>
        <v>50000</v>
      </c>
      <c r="G49" s="30" t="s">
        <v>475</v>
      </c>
      <c r="H49" s="33">
        <v>100001</v>
      </c>
      <c r="I49" s="200">
        <v>10000</v>
      </c>
      <c r="J49" s="30" t="s">
        <v>475</v>
      </c>
      <c r="K49" s="33">
        <v>100001</v>
      </c>
      <c r="L49" s="200">
        <v>50000</v>
      </c>
      <c r="M49" s="30"/>
      <c r="N49" s="33" t="s">
        <v>545</v>
      </c>
      <c r="O49" s="200" t="s">
        <v>545</v>
      </c>
      <c r="P49" s="30"/>
      <c r="Q49" s="33" t="s">
        <v>545</v>
      </c>
      <c r="R49" s="200" t="s">
        <v>545</v>
      </c>
      <c r="S49" s="30"/>
      <c r="T49" s="33" t="s">
        <v>545</v>
      </c>
      <c r="U49" s="33" t="s">
        <v>545</v>
      </c>
      <c r="V49" s="30"/>
      <c r="W49" s="33" t="s">
        <v>545</v>
      </c>
      <c r="X49" s="33" t="s">
        <v>545</v>
      </c>
    </row>
    <row r="50" spans="1:24">
      <c r="A50" s="29">
        <v>47400042</v>
      </c>
      <c r="B50" s="30" t="s">
        <v>703</v>
      </c>
      <c r="C50" s="152" t="s">
        <v>2216</v>
      </c>
      <c r="D50" s="30"/>
      <c r="E50" s="30">
        <v>0</v>
      </c>
      <c r="F50" s="200">
        <f t="shared" si="1"/>
        <v>0</v>
      </c>
      <c r="G50" s="30" t="s">
        <v>475</v>
      </c>
      <c r="H50" s="33">
        <v>100001</v>
      </c>
      <c r="I50" s="200">
        <v>10000</v>
      </c>
      <c r="J50" s="30" t="s">
        <v>475</v>
      </c>
      <c r="K50" s="33">
        <v>100001</v>
      </c>
      <c r="L50" s="200">
        <v>50000</v>
      </c>
      <c r="M50" s="30"/>
      <c r="N50" s="33" t="s">
        <v>545</v>
      </c>
      <c r="O50" s="200" t="s">
        <v>545</v>
      </c>
      <c r="P50" s="30"/>
      <c r="Q50" s="33" t="s">
        <v>545</v>
      </c>
      <c r="R50" s="200" t="s">
        <v>545</v>
      </c>
      <c r="S50" s="30"/>
      <c r="T50" s="33" t="s">
        <v>545</v>
      </c>
      <c r="U50" s="33" t="s">
        <v>545</v>
      </c>
      <c r="V50" s="30"/>
      <c r="W50" s="33" t="s">
        <v>545</v>
      </c>
      <c r="X50" s="33" t="s">
        <v>545</v>
      </c>
    </row>
    <row r="51" spans="1:24">
      <c r="A51" s="29">
        <v>47400043</v>
      </c>
      <c r="B51" s="30" t="s">
        <v>705</v>
      </c>
      <c r="C51" s="153" t="s">
        <v>2217</v>
      </c>
      <c r="D51" s="30"/>
      <c r="E51" s="30">
        <v>1</v>
      </c>
      <c r="F51" s="200">
        <f t="shared" si="1"/>
        <v>50000</v>
      </c>
      <c r="G51" s="30" t="s">
        <v>475</v>
      </c>
      <c r="H51" s="33">
        <v>100001</v>
      </c>
      <c r="I51" s="200">
        <v>10000</v>
      </c>
      <c r="J51" s="30" t="s">
        <v>475</v>
      </c>
      <c r="K51" s="33">
        <v>100001</v>
      </c>
      <c r="L51" s="200">
        <v>50000</v>
      </c>
      <c r="M51" s="30"/>
      <c r="N51" s="33" t="s">
        <v>545</v>
      </c>
      <c r="O51" s="200" t="s">
        <v>545</v>
      </c>
      <c r="P51" s="30"/>
      <c r="Q51" s="33" t="s">
        <v>545</v>
      </c>
      <c r="R51" s="200" t="s">
        <v>545</v>
      </c>
      <c r="S51" s="30"/>
      <c r="T51" s="33" t="s">
        <v>545</v>
      </c>
      <c r="U51" s="33" t="s">
        <v>545</v>
      </c>
      <c r="V51" s="30"/>
      <c r="W51" s="33" t="s">
        <v>545</v>
      </c>
      <c r="X51" s="33" t="s">
        <v>545</v>
      </c>
    </row>
    <row r="52" spans="1:24">
      <c r="A52" s="202">
        <v>47400044</v>
      </c>
      <c r="B52" s="203" t="s">
        <v>707</v>
      </c>
      <c r="C52" s="154" t="s">
        <v>2218</v>
      </c>
      <c r="D52" s="30" t="s">
        <v>2312</v>
      </c>
      <c r="E52" s="30"/>
      <c r="F52" s="200">
        <f t="shared" si="1"/>
        <v>0</v>
      </c>
      <c r="G52" s="30" t="s">
        <v>475</v>
      </c>
      <c r="H52" s="33">
        <v>100001</v>
      </c>
      <c r="I52" s="200">
        <v>10000</v>
      </c>
      <c r="J52" s="30" t="s">
        <v>475</v>
      </c>
      <c r="K52" s="33">
        <v>100001</v>
      </c>
      <c r="L52" s="200">
        <v>50000</v>
      </c>
      <c r="M52" s="30"/>
      <c r="N52" s="33" t="s">
        <v>545</v>
      </c>
      <c r="O52" s="200" t="s">
        <v>545</v>
      </c>
      <c r="P52" s="30"/>
      <c r="Q52" s="33" t="s">
        <v>545</v>
      </c>
      <c r="R52" s="200" t="s">
        <v>545</v>
      </c>
      <c r="S52" s="30"/>
      <c r="T52" s="33" t="s">
        <v>545</v>
      </c>
      <c r="U52" s="33" t="s">
        <v>545</v>
      </c>
      <c r="V52" s="30"/>
      <c r="W52" s="33" t="s">
        <v>545</v>
      </c>
      <c r="X52" s="33" t="s">
        <v>545</v>
      </c>
    </row>
    <row r="53" spans="1:24">
      <c r="A53" s="29">
        <v>47400045</v>
      </c>
      <c r="B53" s="30" t="s">
        <v>709</v>
      </c>
      <c r="C53" s="155" t="s">
        <v>2219</v>
      </c>
      <c r="D53" s="30"/>
      <c r="E53" s="30">
        <v>3</v>
      </c>
      <c r="F53" s="200">
        <f t="shared" si="1"/>
        <v>1300000</v>
      </c>
      <c r="G53" s="30" t="s">
        <v>475</v>
      </c>
      <c r="H53" s="33">
        <v>100001</v>
      </c>
      <c r="I53" s="200">
        <v>10000</v>
      </c>
      <c r="J53" s="30" t="s">
        <v>475</v>
      </c>
      <c r="K53" s="33">
        <v>100001</v>
      </c>
      <c r="L53" s="200">
        <v>1300000</v>
      </c>
      <c r="M53" s="30"/>
      <c r="N53" s="33" t="s">
        <v>545</v>
      </c>
      <c r="O53" s="200" t="s">
        <v>545</v>
      </c>
      <c r="P53" s="30"/>
      <c r="Q53" s="33" t="s">
        <v>545</v>
      </c>
      <c r="R53" s="200" t="s">
        <v>545</v>
      </c>
      <c r="S53" s="30"/>
      <c r="T53" s="33" t="s">
        <v>545</v>
      </c>
      <c r="U53" s="33" t="s">
        <v>545</v>
      </c>
      <c r="V53" s="30"/>
      <c r="W53" s="33" t="s">
        <v>545</v>
      </c>
      <c r="X53" s="33" t="s">
        <v>545</v>
      </c>
    </row>
    <row r="54" spans="1:24">
      <c r="A54" s="202">
        <v>47400046</v>
      </c>
      <c r="B54" s="203" t="s">
        <v>2264</v>
      </c>
      <c r="C54" s="156" t="s">
        <v>2220</v>
      </c>
      <c r="D54" s="30" t="s">
        <v>2312</v>
      </c>
      <c r="E54" s="30"/>
      <c r="F54" s="200">
        <f t="shared" si="1"/>
        <v>0</v>
      </c>
      <c r="G54" s="30" t="s">
        <v>475</v>
      </c>
      <c r="H54" s="33">
        <v>100001</v>
      </c>
      <c r="I54" s="200">
        <v>10000</v>
      </c>
      <c r="J54" s="30" t="s">
        <v>475</v>
      </c>
      <c r="K54" s="33">
        <v>100001</v>
      </c>
      <c r="L54" s="200">
        <v>50000</v>
      </c>
      <c r="M54" s="30"/>
      <c r="N54" s="33" t="s">
        <v>545</v>
      </c>
      <c r="O54" s="200" t="s">
        <v>545</v>
      </c>
      <c r="P54" s="30"/>
      <c r="Q54" s="33" t="s">
        <v>545</v>
      </c>
      <c r="R54" s="200" t="s">
        <v>545</v>
      </c>
      <c r="S54" s="30"/>
      <c r="T54" s="33" t="s">
        <v>545</v>
      </c>
      <c r="U54" s="33" t="s">
        <v>545</v>
      </c>
      <c r="V54" s="30"/>
      <c r="W54" s="33" t="s">
        <v>545</v>
      </c>
      <c r="X54" s="33" t="s">
        <v>545</v>
      </c>
    </row>
    <row r="55" spans="1:24">
      <c r="A55" s="29">
        <v>47400047</v>
      </c>
      <c r="B55" s="30" t="s">
        <v>2265</v>
      </c>
      <c r="C55" s="157" t="s">
        <v>2221</v>
      </c>
      <c r="D55" s="30"/>
      <c r="E55" s="30">
        <v>2</v>
      </c>
      <c r="F55" s="200">
        <f t="shared" si="1"/>
        <v>250000</v>
      </c>
      <c r="G55" s="30" t="s">
        <v>475</v>
      </c>
      <c r="H55" s="33">
        <v>100001</v>
      </c>
      <c r="I55" s="200">
        <v>10000</v>
      </c>
      <c r="J55" s="30" t="s">
        <v>475</v>
      </c>
      <c r="K55" s="33">
        <v>100001</v>
      </c>
      <c r="L55" s="200">
        <v>250000</v>
      </c>
      <c r="M55" s="30"/>
      <c r="N55" s="33" t="s">
        <v>545</v>
      </c>
      <c r="O55" s="200" t="s">
        <v>545</v>
      </c>
      <c r="P55" s="30"/>
      <c r="Q55" s="33" t="s">
        <v>545</v>
      </c>
      <c r="R55" s="200" t="s">
        <v>545</v>
      </c>
      <c r="S55" s="30"/>
      <c r="T55" s="33" t="s">
        <v>545</v>
      </c>
      <c r="U55" s="33" t="s">
        <v>545</v>
      </c>
      <c r="V55" s="30"/>
      <c r="W55" s="33" t="s">
        <v>545</v>
      </c>
      <c r="X55" s="33" t="s">
        <v>545</v>
      </c>
    </row>
    <row r="56" spans="1:24">
      <c r="A56" s="29">
        <v>47400048</v>
      </c>
      <c r="B56" s="30" t="s">
        <v>2266</v>
      </c>
      <c r="C56" s="158" t="s">
        <v>2222</v>
      </c>
      <c r="D56" s="30"/>
      <c r="E56" s="30">
        <v>1</v>
      </c>
      <c r="F56" s="200">
        <f t="shared" si="1"/>
        <v>50000</v>
      </c>
      <c r="G56" s="30" t="s">
        <v>475</v>
      </c>
      <c r="H56" s="33">
        <v>100001</v>
      </c>
      <c r="I56" s="200">
        <v>10000</v>
      </c>
      <c r="J56" s="30" t="s">
        <v>475</v>
      </c>
      <c r="K56" s="33">
        <v>100001</v>
      </c>
      <c r="L56" s="200">
        <v>50000</v>
      </c>
      <c r="M56" s="30"/>
      <c r="N56" s="33" t="s">
        <v>545</v>
      </c>
      <c r="O56" s="200" t="s">
        <v>545</v>
      </c>
      <c r="P56" s="30"/>
      <c r="Q56" s="33" t="s">
        <v>545</v>
      </c>
      <c r="R56" s="200" t="s">
        <v>545</v>
      </c>
      <c r="S56" s="30"/>
      <c r="T56" s="33" t="s">
        <v>545</v>
      </c>
      <c r="U56" s="33" t="s">
        <v>545</v>
      </c>
      <c r="V56" s="30"/>
      <c r="W56" s="33" t="s">
        <v>545</v>
      </c>
      <c r="X56" s="33" t="s">
        <v>545</v>
      </c>
    </row>
    <row r="57" spans="1:24">
      <c r="A57" s="29">
        <v>47400049</v>
      </c>
      <c r="B57" s="30" t="s">
        <v>2267</v>
      </c>
      <c r="C57" s="159" t="s">
        <v>2223</v>
      </c>
      <c r="D57" s="30"/>
      <c r="E57" s="30">
        <v>1</v>
      </c>
      <c r="F57" s="200">
        <f t="shared" si="1"/>
        <v>50000</v>
      </c>
      <c r="G57" s="30" t="s">
        <v>475</v>
      </c>
      <c r="H57" s="33">
        <v>100001</v>
      </c>
      <c r="I57" s="200">
        <v>10000</v>
      </c>
      <c r="J57" s="30" t="s">
        <v>475</v>
      </c>
      <c r="K57" s="33">
        <v>100001</v>
      </c>
      <c r="L57" s="200">
        <v>50000</v>
      </c>
      <c r="M57" s="30"/>
      <c r="N57" s="33" t="s">
        <v>545</v>
      </c>
      <c r="O57" s="200" t="s">
        <v>545</v>
      </c>
      <c r="P57" s="30"/>
      <c r="Q57" s="33" t="s">
        <v>545</v>
      </c>
      <c r="R57" s="200" t="s">
        <v>545</v>
      </c>
      <c r="S57" s="30"/>
      <c r="T57" s="33" t="s">
        <v>545</v>
      </c>
      <c r="U57" s="33" t="s">
        <v>545</v>
      </c>
      <c r="V57" s="30"/>
      <c r="W57" s="33" t="s">
        <v>545</v>
      </c>
      <c r="X57" s="33" t="s">
        <v>545</v>
      </c>
    </row>
    <row r="58" spans="1:24">
      <c r="A58" s="202">
        <v>47400050</v>
      </c>
      <c r="B58" s="203" t="s">
        <v>2268</v>
      </c>
      <c r="C58" s="160" t="s">
        <v>2224</v>
      </c>
      <c r="D58" s="30" t="s">
        <v>2312</v>
      </c>
      <c r="E58" s="30"/>
      <c r="F58" s="200">
        <f t="shared" si="1"/>
        <v>0</v>
      </c>
      <c r="G58" s="30" t="s">
        <v>475</v>
      </c>
      <c r="H58" s="33">
        <v>100001</v>
      </c>
      <c r="I58" s="200">
        <v>10000</v>
      </c>
      <c r="J58" s="30" t="s">
        <v>475</v>
      </c>
      <c r="K58" s="33">
        <v>100001</v>
      </c>
      <c r="L58" s="200">
        <v>50000</v>
      </c>
      <c r="M58" s="30"/>
      <c r="N58" s="33" t="s">
        <v>545</v>
      </c>
      <c r="O58" s="200" t="s">
        <v>545</v>
      </c>
      <c r="P58" s="30"/>
      <c r="Q58" s="33" t="s">
        <v>545</v>
      </c>
      <c r="R58" s="200" t="s">
        <v>545</v>
      </c>
      <c r="S58" s="30"/>
      <c r="T58" s="33" t="s">
        <v>545</v>
      </c>
      <c r="U58" s="33" t="s">
        <v>545</v>
      </c>
      <c r="V58" s="30"/>
      <c r="W58" s="33" t="s">
        <v>545</v>
      </c>
      <c r="X58" s="33" t="s">
        <v>545</v>
      </c>
    </row>
    <row r="59" spans="1:24">
      <c r="A59" s="29">
        <v>47400051</v>
      </c>
      <c r="B59" s="30" t="s">
        <v>2269</v>
      </c>
      <c r="C59" s="161" t="s">
        <v>2225</v>
      </c>
      <c r="D59" s="30"/>
      <c r="E59" s="30">
        <v>2</v>
      </c>
      <c r="F59" s="200">
        <f t="shared" si="1"/>
        <v>250000</v>
      </c>
      <c r="G59" s="30" t="s">
        <v>475</v>
      </c>
      <c r="H59" s="33">
        <v>100001</v>
      </c>
      <c r="I59" s="200">
        <v>10000</v>
      </c>
      <c r="J59" s="30" t="s">
        <v>475</v>
      </c>
      <c r="K59" s="33">
        <v>100001</v>
      </c>
      <c r="L59" s="200">
        <v>250000</v>
      </c>
      <c r="M59" s="30"/>
      <c r="N59" s="33" t="s">
        <v>545</v>
      </c>
      <c r="O59" s="200" t="s">
        <v>545</v>
      </c>
      <c r="P59" s="30"/>
      <c r="Q59" s="33" t="s">
        <v>545</v>
      </c>
      <c r="R59" s="200" t="s">
        <v>545</v>
      </c>
      <c r="S59" s="30"/>
      <c r="T59" s="33" t="s">
        <v>545</v>
      </c>
      <c r="U59" s="33" t="s">
        <v>545</v>
      </c>
      <c r="V59" s="30"/>
      <c r="W59" s="33" t="s">
        <v>545</v>
      </c>
      <c r="X59" s="33" t="s">
        <v>545</v>
      </c>
    </row>
    <row r="60" spans="1:24">
      <c r="A60" s="202">
        <v>47400052</v>
      </c>
      <c r="B60" s="203" t="s">
        <v>2270</v>
      </c>
      <c r="C60" s="162" t="s">
        <v>2226</v>
      </c>
      <c r="D60" s="30" t="s">
        <v>2312</v>
      </c>
      <c r="E60" s="30"/>
      <c r="F60" s="200">
        <f t="shared" si="1"/>
        <v>0</v>
      </c>
      <c r="G60" s="30" t="s">
        <v>475</v>
      </c>
      <c r="H60" s="33">
        <v>100001</v>
      </c>
      <c r="I60" s="200">
        <v>10000</v>
      </c>
      <c r="J60" s="30" t="s">
        <v>475</v>
      </c>
      <c r="K60" s="33">
        <v>100001</v>
      </c>
      <c r="L60" s="200">
        <v>50000</v>
      </c>
      <c r="M60" s="30"/>
      <c r="N60" s="33" t="s">
        <v>545</v>
      </c>
      <c r="O60" s="200" t="s">
        <v>545</v>
      </c>
      <c r="P60" s="30"/>
      <c r="Q60" s="33" t="s">
        <v>545</v>
      </c>
      <c r="R60" s="200" t="s">
        <v>545</v>
      </c>
      <c r="S60" s="30"/>
      <c r="T60" s="33" t="s">
        <v>545</v>
      </c>
      <c r="U60" s="33" t="s">
        <v>545</v>
      </c>
      <c r="V60" s="30"/>
      <c r="W60" s="33" t="s">
        <v>545</v>
      </c>
      <c r="X60" s="33" t="s">
        <v>545</v>
      </c>
    </row>
    <row r="61" spans="1:24">
      <c r="A61" s="29">
        <v>47400053</v>
      </c>
      <c r="B61" s="30" t="s">
        <v>2271</v>
      </c>
      <c r="C61" s="163" t="s">
        <v>2227</v>
      </c>
      <c r="D61" s="30"/>
      <c r="E61" s="30">
        <v>1</v>
      </c>
      <c r="F61" s="200">
        <f t="shared" si="1"/>
        <v>50000</v>
      </c>
      <c r="G61" s="30" t="s">
        <v>475</v>
      </c>
      <c r="H61" s="33">
        <v>100001</v>
      </c>
      <c r="I61" s="200">
        <v>10000</v>
      </c>
      <c r="J61" s="30" t="s">
        <v>475</v>
      </c>
      <c r="K61" s="33">
        <v>100001</v>
      </c>
      <c r="L61" s="200">
        <v>50000</v>
      </c>
      <c r="M61" s="30"/>
      <c r="N61" s="33" t="s">
        <v>545</v>
      </c>
      <c r="O61" s="200" t="s">
        <v>545</v>
      </c>
      <c r="P61" s="30"/>
      <c r="Q61" s="33" t="s">
        <v>545</v>
      </c>
      <c r="R61" s="200" t="s">
        <v>545</v>
      </c>
      <c r="S61" s="30"/>
      <c r="T61" s="33" t="s">
        <v>545</v>
      </c>
      <c r="U61" s="33" t="s">
        <v>545</v>
      </c>
      <c r="V61" s="30"/>
      <c r="W61" s="33" t="s">
        <v>545</v>
      </c>
      <c r="X61" s="33" t="s">
        <v>545</v>
      </c>
    </row>
    <row r="62" spans="1:24">
      <c r="A62" s="29">
        <v>47400054</v>
      </c>
      <c r="B62" s="30" t="s">
        <v>2272</v>
      </c>
      <c r="C62" s="164" t="s">
        <v>2228</v>
      </c>
      <c r="D62" s="30"/>
      <c r="E62" s="30">
        <v>2</v>
      </c>
      <c r="F62" s="200">
        <f t="shared" si="1"/>
        <v>250000</v>
      </c>
      <c r="G62" s="30" t="s">
        <v>475</v>
      </c>
      <c r="H62" s="33">
        <v>100001</v>
      </c>
      <c r="I62" s="200">
        <v>10000</v>
      </c>
      <c r="J62" s="30" t="s">
        <v>475</v>
      </c>
      <c r="K62" s="33">
        <v>100001</v>
      </c>
      <c r="L62" s="200">
        <v>250000</v>
      </c>
      <c r="M62" s="30"/>
      <c r="N62" s="33" t="s">
        <v>545</v>
      </c>
      <c r="O62" s="200" t="s">
        <v>545</v>
      </c>
      <c r="P62" s="30"/>
      <c r="Q62" s="33" t="s">
        <v>545</v>
      </c>
      <c r="R62" s="200" t="s">
        <v>545</v>
      </c>
      <c r="S62" s="30"/>
      <c r="T62" s="33" t="s">
        <v>545</v>
      </c>
      <c r="U62" s="33" t="s">
        <v>545</v>
      </c>
      <c r="V62" s="30"/>
      <c r="W62" s="33" t="s">
        <v>545</v>
      </c>
      <c r="X62" s="33" t="s">
        <v>545</v>
      </c>
    </row>
    <row r="63" spans="1:24">
      <c r="A63" s="29">
        <v>47400055</v>
      </c>
      <c r="B63" s="30" t="s">
        <v>2273</v>
      </c>
      <c r="C63" s="165" t="s">
        <v>2229</v>
      </c>
      <c r="D63" s="30"/>
      <c r="E63" s="30">
        <v>2</v>
      </c>
      <c r="F63" s="200">
        <f t="shared" si="1"/>
        <v>250000</v>
      </c>
      <c r="G63" s="30" t="s">
        <v>475</v>
      </c>
      <c r="H63" s="33">
        <v>100001</v>
      </c>
      <c r="I63" s="200">
        <v>10000</v>
      </c>
      <c r="J63" s="30" t="s">
        <v>475</v>
      </c>
      <c r="K63" s="33">
        <v>100001</v>
      </c>
      <c r="L63" s="200">
        <v>250000</v>
      </c>
      <c r="M63" s="30"/>
      <c r="N63" s="33" t="s">
        <v>545</v>
      </c>
      <c r="O63" s="200" t="s">
        <v>545</v>
      </c>
      <c r="P63" s="30"/>
      <c r="Q63" s="33" t="s">
        <v>545</v>
      </c>
      <c r="R63" s="200" t="s">
        <v>545</v>
      </c>
      <c r="S63" s="30"/>
      <c r="T63" s="33" t="s">
        <v>545</v>
      </c>
      <c r="U63" s="33" t="s">
        <v>545</v>
      </c>
      <c r="V63" s="30"/>
      <c r="W63" s="33" t="s">
        <v>545</v>
      </c>
      <c r="X63" s="33" t="s">
        <v>545</v>
      </c>
    </row>
    <row r="64" spans="1:24">
      <c r="A64" s="202">
        <v>47400056</v>
      </c>
      <c r="B64" s="203" t="s">
        <v>2274</v>
      </c>
      <c r="C64" s="166" t="s">
        <v>2230</v>
      </c>
      <c r="D64" s="30" t="s">
        <v>2312</v>
      </c>
      <c r="E64" s="30"/>
      <c r="F64" s="200">
        <f t="shared" si="1"/>
        <v>0</v>
      </c>
      <c r="G64" s="30" t="s">
        <v>475</v>
      </c>
      <c r="H64" s="33">
        <v>100001</v>
      </c>
      <c r="I64" s="200">
        <v>10000</v>
      </c>
      <c r="J64" s="30" t="s">
        <v>475</v>
      </c>
      <c r="K64" s="33">
        <v>100001</v>
      </c>
      <c r="L64" s="200">
        <v>50000</v>
      </c>
      <c r="M64" s="30"/>
      <c r="N64" s="33" t="s">
        <v>545</v>
      </c>
      <c r="O64" s="200" t="s">
        <v>545</v>
      </c>
      <c r="P64" s="30"/>
      <c r="Q64" s="33" t="s">
        <v>545</v>
      </c>
      <c r="R64" s="200" t="s">
        <v>545</v>
      </c>
      <c r="S64" s="30"/>
      <c r="T64" s="33" t="s">
        <v>545</v>
      </c>
      <c r="U64" s="33" t="s">
        <v>545</v>
      </c>
      <c r="V64" s="30"/>
      <c r="W64" s="33" t="s">
        <v>545</v>
      </c>
      <c r="X64" s="33" t="s">
        <v>545</v>
      </c>
    </row>
    <row r="65" spans="1:24">
      <c r="A65" s="29">
        <v>47400057</v>
      </c>
      <c r="B65" s="30" t="s">
        <v>2275</v>
      </c>
      <c r="C65" s="167" t="s">
        <v>2231</v>
      </c>
      <c r="D65" s="30"/>
      <c r="E65" s="30">
        <v>1</v>
      </c>
      <c r="F65" s="200">
        <f t="shared" si="1"/>
        <v>50000</v>
      </c>
      <c r="G65" s="30" t="s">
        <v>475</v>
      </c>
      <c r="H65" s="33">
        <v>100001</v>
      </c>
      <c r="I65" s="200">
        <v>10000</v>
      </c>
      <c r="J65" s="30" t="s">
        <v>475</v>
      </c>
      <c r="K65" s="33">
        <v>100001</v>
      </c>
      <c r="L65" s="200">
        <v>50000</v>
      </c>
      <c r="M65" s="30"/>
      <c r="N65" s="33" t="s">
        <v>545</v>
      </c>
      <c r="O65" s="200" t="s">
        <v>545</v>
      </c>
      <c r="P65" s="30"/>
      <c r="Q65" s="33" t="s">
        <v>545</v>
      </c>
      <c r="R65" s="200" t="s">
        <v>545</v>
      </c>
      <c r="S65" s="30"/>
      <c r="T65" s="33" t="s">
        <v>545</v>
      </c>
      <c r="U65" s="33" t="s">
        <v>545</v>
      </c>
      <c r="V65" s="30"/>
      <c r="W65" s="33" t="s">
        <v>545</v>
      </c>
      <c r="X65" s="33" t="s">
        <v>545</v>
      </c>
    </row>
    <row r="66" spans="1:24">
      <c r="A66" s="202">
        <v>47400058</v>
      </c>
      <c r="B66" s="203" t="s">
        <v>2276</v>
      </c>
      <c r="C66" s="168" t="s">
        <v>2232</v>
      </c>
      <c r="D66" s="30" t="s">
        <v>2312</v>
      </c>
      <c r="E66" s="30"/>
      <c r="F66" s="200">
        <f t="shared" si="1"/>
        <v>0</v>
      </c>
      <c r="G66" s="30" t="s">
        <v>475</v>
      </c>
      <c r="H66" s="33">
        <v>100001</v>
      </c>
      <c r="I66" s="200">
        <v>10000</v>
      </c>
      <c r="J66" s="30" t="s">
        <v>475</v>
      </c>
      <c r="K66" s="33">
        <v>100001</v>
      </c>
      <c r="L66" s="200">
        <v>50000</v>
      </c>
      <c r="M66" s="30"/>
      <c r="N66" s="33" t="s">
        <v>545</v>
      </c>
      <c r="O66" s="200" t="s">
        <v>545</v>
      </c>
      <c r="P66" s="30"/>
      <c r="Q66" s="33" t="s">
        <v>545</v>
      </c>
      <c r="R66" s="200" t="s">
        <v>545</v>
      </c>
      <c r="S66" s="30"/>
      <c r="T66" s="33" t="s">
        <v>545</v>
      </c>
      <c r="U66" s="33" t="s">
        <v>545</v>
      </c>
      <c r="V66" s="30"/>
      <c r="W66" s="33" t="s">
        <v>545</v>
      </c>
      <c r="X66" s="33" t="s">
        <v>545</v>
      </c>
    </row>
    <row r="67" spans="1:24">
      <c r="A67" s="29">
        <v>47400059</v>
      </c>
      <c r="B67" s="30" t="s">
        <v>2277</v>
      </c>
      <c r="C67" s="169" t="s">
        <v>2233</v>
      </c>
      <c r="D67" s="30"/>
      <c r="E67" s="30">
        <v>3</v>
      </c>
      <c r="F67" s="200">
        <f t="shared" si="1"/>
        <v>1300000</v>
      </c>
      <c r="G67" s="30" t="s">
        <v>475</v>
      </c>
      <c r="H67" s="33">
        <v>100001</v>
      </c>
      <c r="I67" s="200">
        <v>10000</v>
      </c>
      <c r="J67" s="30" t="s">
        <v>475</v>
      </c>
      <c r="K67" s="33">
        <v>100001</v>
      </c>
      <c r="L67" s="200">
        <v>1300000</v>
      </c>
      <c r="M67" s="30"/>
      <c r="N67" s="33" t="s">
        <v>545</v>
      </c>
      <c r="O67" s="200" t="s">
        <v>545</v>
      </c>
      <c r="P67" s="30"/>
      <c r="Q67" s="33" t="s">
        <v>545</v>
      </c>
      <c r="R67" s="200" t="s">
        <v>545</v>
      </c>
      <c r="S67" s="30"/>
      <c r="T67" s="33" t="s">
        <v>545</v>
      </c>
      <c r="U67" s="33" t="s">
        <v>545</v>
      </c>
      <c r="V67" s="30"/>
      <c r="W67" s="33" t="s">
        <v>545</v>
      </c>
      <c r="X67" s="33" t="s">
        <v>545</v>
      </c>
    </row>
    <row r="68" spans="1:24">
      <c r="A68" s="29">
        <v>47400060</v>
      </c>
      <c r="B68" s="30" t="s">
        <v>2278</v>
      </c>
      <c r="C68" s="170" t="s">
        <v>2234</v>
      </c>
      <c r="D68" s="30"/>
      <c r="E68" s="30">
        <v>2</v>
      </c>
      <c r="F68" s="200">
        <f t="shared" si="1"/>
        <v>250000</v>
      </c>
      <c r="G68" s="30" t="s">
        <v>475</v>
      </c>
      <c r="H68" s="33">
        <v>100001</v>
      </c>
      <c r="I68" s="200">
        <v>10000</v>
      </c>
      <c r="J68" s="30" t="s">
        <v>475</v>
      </c>
      <c r="K68" s="33">
        <v>100001</v>
      </c>
      <c r="L68" s="200">
        <v>250000</v>
      </c>
      <c r="M68" s="30"/>
      <c r="N68" s="33" t="s">
        <v>545</v>
      </c>
      <c r="O68" s="200" t="s">
        <v>545</v>
      </c>
      <c r="P68" s="30"/>
      <c r="Q68" s="33" t="s">
        <v>545</v>
      </c>
      <c r="R68" s="200" t="s">
        <v>545</v>
      </c>
      <c r="S68" s="30"/>
      <c r="T68" s="33" t="s">
        <v>545</v>
      </c>
      <c r="U68" s="33" t="s">
        <v>545</v>
      </c>
      <c r="V68" s="30"/>
      <c r="W68" s="33" t="s">
        <v>545</v>
      </c>
      <c r="X68" s="33" t="s">
        <v>545</v>
      </c>
    </row>
    <row r="69" spans="1:24">
      <c r="A69" s="29">
        <v>47400061</v>
      </c>
      <c r="B69" s="30" t="s">
        <v>2279</v>
      </c>
      <c r="C69" s="171" t="s">
        <v>2235</v>
      </c>
      <c r="D69" s="30"/>
      <c r="E69" s="30">
        <v>1</v>
      </c>
      <c r="F69" s="200">
        <f t="shared" si="1"/>
        <v>50000</v>
      </c>
      <c r="G69" s="30" t="s">
        <v>475</v>
      </c>
      <c r="H69" s="33">
        <v>100001</v>
      </c>
      <c r="I69" s="200">
        <v>10000</v>
      </c>
      <c r="J69" s="30" t="s">
        <v>475</v>
      </c>
      <c r="K69" s="33">
        <v>100001</v>
      </c>
      <c r="L69" s="200">
        <v>50000</v>
      </c>
      <c r="M69" s="30"/>
      <c r="N69" s="33" t="s">
        <v>545</v>
      </c>
      <c r="O69" s="200" t="s">
        <v>545</v>
      </c>
      <c r="P69" s="30"/>
      <c r="Q69" s="33" t="s">
        <v>545</v>
      </c>
      <c r="R69" s="200" t="s">
        <v>545</v>
      </c>
      <c r="S69" s="30"/>
      <c r="T69" s="33" t="s">
        <v>545</v>
      </c>
      <c r="U69" s="33" t="s">
        <v>545</v>
      </c>
      <c r="V69" s="30"/>
      <c r="W69" s="33" t="s">
        <v>545</v>
      </c>
      <c r="X69" s="33" t="s">
        <v>545</v>
      </c>
    </row>
    <row r="70" spans="1:24">
      <c r="A70" s="202">
        <v>47400062</v>
      </c>
      <c r="B70" s="203" t="s">
        <v>2280</v>
      </c>
      <c r="C70" s="172" t="s">
        <v>2236</v>
      </c>
      <c r="D70" s="30" t="s">
        <v>2312</v>
      </c>
      <c r="E70" s="30"/>
      <c r="F70" s="200">
        <f t="shared" si="1"/>
        <v>0</v>
      </c>
      <c r="G70" s="30" t="s">
        <v>475</v>
      </c>
      <c r="H70" s="33">
        <v>100001</v>
      </c>
      <c r="I70" s="200">
        <v>10000</v>
      </c>
      <c r="J70" s="30" t="s">
        <v>475</v>
      </c>
      <c r="K70" s="33">
        <v>100001</v>
      </c>
      <c r="L70" s="200">
        <v>50000</v>
      </c>
      <c r="M70" s="30"/>
      <c r="N70" s="33" t="s">
        <v>545</v>
      </c>
      <c r="O70" s="200" t="s">
        <v>545</v>
      </c>
      <c r="P70" s="30"/>
      <c r="Q70" s="33" t="s">
        <v>545</v>
      </c>
      <c r="R70" s="200" t="s">
        <v>545</v>
      </c>
      <c r="S70" s="30"/>
      <c r="T70" s="33" t="s">
        <v>545</v>
      </c>
      <c r="U70" s="33" t="s">
        <v>545</v>
      </c>
      <c r="V70" s="30"/>
      <c r="W70" s="33" t="s">
        <v>545</v>
      </c>
      <c r="X70" s="33" t="s">
        <v>545</v>
      </c>
    </row>
    <row r="71" spans="1:24">
      <c r="A71" s="29">
        <v>47400063</v>
      </c>
      <c r="B71" s="30" t="s">
        <v>2281</v>
      </c>
      <c r="C71" s="173" t="s">
        <v>2237</v>
      </c>
      <c r="D71" s="30"/>
      <c r="E71" s="30">
        <v>1</v>
      </c>
      <c r="F71" s="200">
        <f t="shared" si="1"/>
        <v>50000</v>
      </c>
      <c r="G71" s="30" t="s">
        <v>475</v>
      </c>
      <c r="H71" s="33">
        <v>100001</v>
      </c>
      <c r="I71" s="200">
        <v>10000</v>
      </c>
      <c r="J71" s="30" t="s">
        <v>475</v>
      </c>
      <c r="K71" s="33">
        <v>100001</v>
      </c>
      <c r="L71" s="200">
        <v>50000</v>
      </c>
      <c r="M71" s="30"/>
      <c r="N71" s="33" t="s">
        <v>545</v>
      </c>
      <c r="O71" s="200" t="s">
        <v>545</v>
      </c>
      <c r="P71" s="30"/>
      <c r="Q71" s="33" t="s">
        <v>545</v>
      </c>
      <c r="R71" s="200" t="s">
        <v>545</v>
      </c>
      <c r="S71" s="30"/>
      <c r="T71" s="33" t="s">
        <v>545</v>
      </c>
      <c r="U71" s="33" t="s">
        <v>545</v>
      </c>
      <c r="V71" s="30"/>
      <c r="W71" s="33" t="s">
        <v>545</v>
      </c>
      <c r="X71" s="33" t="s">
        <v>545</v>
      </c>
    </row>
    <row r="72" spans="1:24">
      <c r="A72" s="202">
        <v>47400064</v>
      </c>
      <c r="B72" s="203" t="s">
        <v>2282</v>
      </c>
      <c r="C72" s="174" t="s">
        <v>2238</v>
      </c>
      <c r="D72" s="30" t="s">
        <v>2312</v>
      </c>
      <c r="E72" s="30"/>
      <c r="F72" s="200">
        <f t="shared" si="1"/>
        <v>0</v>
      </c>
      <c r="G72" s="30" t="s">
        <v>475</v>
      </c>
      <c r="H72" s="33">
        <v>100001</v>
      </c>
      <c r="I72" s="200">
        <v>10000</v>
      </c>
      <c r="J72" s="30" t="s">
        <v>475</v>
      </c>
      <c r="K72" s="33">
        <v>100001</v>
      </c>
      <c r="L72" s="200">
        <v>50000</v>
      </c>
      <c r="M72" s="30"/>
      <c r="N72" s="33" t="s">
        <v>545</v>
      </c>
      <c r="O72" s="200" t="s">
        <v>545</v>
      </c>
      <c r="P72" s="30"/>
      <c r="Q72" s="33" t="s">
        <v>545</v>
      </c>
      <c r="R72" s="200" t="s">
        <v>545</v>
      </c>
      <c r="S72" s="30"/>
      <c r="T72" s="33" t="s">
        <v>545</v>
      </c>
      <c r="U72" s="33" t="s">
        <v>545</v>
      </c>
      <c r="V72" s="30"/>
      <c r="W72" s="33" t="s">
        <v>545</v>
      </c>
      <c r="X72" s="33" t="s">
        <v>545</v>
      </c>
    </row>
    <row r="73" spans="1:24">
      <c r="A73" s="29">
        <v>47400065</v>
      </c>
      <c r="B73" s="30" t="s">
        <v>2283</v>
      </c>
      <c r="C73" s="175" t="s">
        <v>2239</v>
      </c>
      <c r="D73" s="30"/>
      <c r="E73" s="30">
        <v>2</v>
      </c>
      <c r="F73" s="200">
        <f t="shared" si="1"/>
        <v>250000</v>
      </c>
      <c r="G73" s="30" t="s">
        <v>475</v>
      </c>
      <c r="H73" s="33">
        <v>100001</v>
      </c>
      <c r="I73" s="200">
        <v>10000</v>
      </c>
      <c r="J73" s="30" t="s">
        <v>475</v>
      </c>
      <c r="K73" s="33">
        <v>100001</v>
      </c>
      <c r="L73" s="200">
        <v>250000</v>
      </c>
      <c r="M73" s="30"/>
      <c r="N73" s="33" t="s">
        <v>545</v>
      </c>
      <c r="O73" s="200" t="s">
        <v>545</v>
      </c>
      <c r="P73" s="30"/>
      <c r="Q73" s="33" t="s">
        <v>545</v>
      </c>
      <c r="R73" s="200" t="s">
        <v>545</v>
      </c>
      <c r="S73" s="30"/>
      <c r="T73" s="33" t="s">
        <v>545</v>
      </c>
      <c r="U73" s="33" t="s">
        <v>545</v>
      </c>
      <c r="V73" s="30"/>
      <c r="W73" s="33" t="s">
        <v>545</v>
      </c>
      <c r="X73" s="33" t="s">
        <v>545</v>
      </c>
    </row>
    <row r="74" spans="1:24">
      <c r="A74" s="29">
        <v>47400066</v>
      </c>
      <c r="B74" s="30" t="s">
        <v>2284</v>
      </c>
      <c r="C74" s="176" t="s">
        <v>2240</v>
      </c>
      <c r="D74" s="30"/>
      <c r="E74" s="30">
        <v>1</v>
      </c>
      <c r="F74" s="200">
        <f t="shared" si="1"/>
        <v>50000</v>
      </c>
      <c r="G74" s="30" t="s">
        <v>475</v>
      </c>
      <c r="H74" s="33">
        <v>100001</v>
      </c>
      <c r="I74" s="200">
        <v>10000</v>
      </c>
      <c r="J74" s="30" t="s">
        <v>475</v>
      </c>
      <c r="K74" s="33">
        <v>100001</v>
      </c>
      <c r="L74" s="200">
        <v>50000</v>
      </c>
      <c r="M74" s="30"/>
      <c r="N74" s="33" t="s">
        <v>545</v>
      </c>
      <c r="O74" s="200" t="s">
        <v>545</v>
      </c>
      <c r="P74" s="30"/>
      <c r="Q74" s="33" t="s">
        <v>545</v>
      </c>
      <c r="R74" s="200" t="s">
        <v>545</v>
      </c>
      <c r="S74" s="30"/>
      <c r="T74" s="33" t="s">
        <v>545</v>
      </c>
      <c r="U74" s="33" t="s">
        <v>545</v>
      </c>
      <c r="V74" s="30"/>
      <c r="W74" s="33" t="s">
        <v>545</v>
      </c>
      <c r="X74" s="33" t="s">
        <v>545</v>
      </c>
    </row>
    <row r="75" spans="1:24">
      <c r="A75" s="29">
        <v>47400067</v>
      </c>
      <c r="B75" s="30" t="s">
        <v>2285</v>
      </c>
      <c r="C75" s="177" t="s">
        <v>2241</v>
      </c>
      <c r="D75" s="30"/>
      <c r="E75" s="30">
        <v>2</v>
      </c>
      <c r="F75" s="200">
        <f t="shared" si="1"/>
        <v>250000</v>
      </c>
      <c r="G75" s="30" t="s">
        <v>475</v>
      </c>
      <c r="H75" s="33">
        <v>100001</v>
      </c>
      <c r="I75" s="200">
        <v>10000</v>
      </c>
      <c r="J75" s="30" t="s">
        <v>475</v>
      </c>
      <c r="K75" s="33">
        <v>100001</v>
      </c>
      <c r="L75" s="200">
        <v>250000</v>
      </c>
      <c r="M75" s="30"/>
      <c r="N75" s="33" t="s">
        <v>545</v>
      </c>
      <c r="O75" s="200" t="s">
        <v>545</v>
      </c>
      <c r="P75" s="30"/>
      <c r="Q75" s="33" t="s">
        <v>545</v>
      </c>
      <c r="R75" s="200" t="s">
        <v>545</v>
      </c>
      <c r="S75" s="30"/>
      <c r="T75" s="33" t="s">
        <v>545</v>
      </c>
      <c r="U75" s="33" t="s">
        <v>545</v>
      </c>
      <c r="V75" s="30"/>
      <c r="W75" s="33" t="s">
        <v>545</v>
      </c>
      <c r="X75" s="33" t="s">
        <v>545</v>
      </c>
    </row>
    <row r="76" spans="1:24">
      <c r="A76" s="202">
        <v>47400068</v>
      </c>
      <c r="B76" s="203" t="s">
        <v>2286</v>
      </c>
      <c r="C76" s="178" t="s">
        <v>2242</v>
      </c>
      <c r="D76" s="30" t="s">
        <v>2312</v>
      </c>
      <c r="E76" s="30"/>
      <c r="F76" s="200">
        <f t="shared" si="1"/>
        <v>0</v>
      </c>
      <c r="G76" s="30" t="s">
        <v>475</v>
      </c>
      <c r="H76" s="33">
        <v>100001</v>
      </c>
      <c r="I76" s="200">
        <v>10000</v>
      </c>
      <c r="J76" s="30" t="s">
        <v>475</v>
      </c>
      <c r="K76" s="33">
        <v>100001</v>
      </c>
      <c r="L76" s="200">
        <v>50000</v>
      </c>
      <c r="M76" s="30"/>
      <c r="N76" s="33" t="s">
        <v>545</v>
      </c>
      <c r="O76" s="200" t="s">
        <v>545</v>
      </c>
      <c r="P76" s="30"/>
      <c r="Q76" s="33" t="s">
        <v>545</v>
      </c>
      <c r="R76" s="200" t="s">
        <v>545</v>
      </c>
      <c r="S76" s="30"/>
      <c r="T76" s="33" t="s">
        <v>545</v>
      </c>
      <c r="U76" s="33" t="s">
        <v>545</v>
      </c>
      <c r="V76" s="30"/>
      <c r="W76" s="33" t="s">
        <v>545</v>
      </c>
      <c r="X76" s="33" t="s">
        <v>545</v>
      </c>
    </row>
    <row r="77" spans="1:24">
      <c r="A77" s="29">
        <v>47400069</v>
      </c>
      <c r="B77" s="30" t="s">
        <v>2287</v>
      </c>
      <c r="C77" s="179" t="s">
        <v>2243</v>
      </c>
      <c r="D77" s="30"/>
      <c r="E77" s="30">
        <v>2</v>
      </c>
      <c r="F77" s="200">
        <f t="shared" si="1"/>
        <v>250000</v>
      </c>
      <c r="G77" s="30" t="s">
        <v>475</v>
      </c>
      <c r="H77" s="33">
        <v>100001</v>
      </c>
      <c r="I77" s="200">
        <v>10000</v>
      </c>
      <c r="J77" s="30" t="s">
        <v>475</v>
      </c>
      <c r="K77" s="33">
        <v>100001</v>
      </c>
      <c r="L77" s="200">
        <v>250000</v>
      </c>
      <c r="M77" s="30"/>
      <c r="N77" s="33" t="s">
        <v>545</v>
      </c>
      <c r="O77" s="200" t="s">
        <v>545</v>
      </c>
      <c r="P77" s="30"/>
      <c r="Q77" s="33" t="s">
        <v>545</v>
      </c>
      <c r="R77" s="200" t="s">
        <v>545</v>
      </c>
      <c r="S77" s="30"/>
      <c r="T77" s="33" t="s">
        <v>545</v>
      </c>
      <c r="U77" s="33" t="s">
        <v>545</v>
      </c>
      <c r="V77" s="30"/>
      <c r="W77" s="33" t="s">
        <v>545</v>
      </c>
      <c r="X77" s="33" t="s">
        <v>545</v>
      </c>
    </row>
    <row r="78" spans="1:24">
      <c r="A78" s="202">
        <v>47400070</v>
      </c>
      <c r="B78" s="203" t="s">
        <v>2288</v>
      </c>
      <c r="C78" s="180" t="s">
        <v>2244</v>
      </c>
      <c r="D78" s="30" t="s">
        <v>2312</v>
      </c>
      <c r="E78" s="30"/>
      <c r="F78" s="200">
        <f t="shared" si="1"/>
        <v>0</v>
      </c>
      <c r="G78" s="30" t="s">
        <v>475</v>
      </c>
      <c r="H78" s="33">
        <v>100001</v>
      </c>
      <c r="I78" s="200">
        <v>10000</v>
      </c>
      <c r="J78" s="30" t="s">
        <v>475</v>
      </c>
      <c r="K78" s="33">
        <v>100001</v>
      </c>
      <c r="L78" s="200">
        <v>50000</v>
      </c>
      <c r="M78" s="30"/>
      <c r="N78" s="33" t="s">
        <v>545</v>
      </c>
      <c r="O78" s="200" t="s">
        <v>545</v>
      </c>
      <c r="P78" s="30"/>
      <c r="Q78" s="33" t="s">
        <v>545</v>
      </c>
      <c r="R78" s="200" t="s">
        <v>545</v>
      </c>
      <c r="S78" s="30"/>
      <c r="T78" s="33" t="s">
        <v>545</v>
      </c>
      <c r="U78" s="33" t="s">
        <v>545</v>
      </c>
      <c r="V78" s="30"/>
      <c r="W78" s="33" t="s">
        <v>545</v>
      </c>
      <c r="X78" s="33" t="s">
        <v>545</v>
      </c>
    </row>
    <row r="79" spans="1:24">
      <c r="A79" s="29">
        <v>47400071</v>
      </c>
      <c r="B79" s="30" t="s">
        <v>2289</v>
      </c>
      <c r="C79" s="181" t="s">
        <v>2245</v>
      </c>
      <c r="D79" s="30"/>
      <c r="E79" s="30">
        <v>1</v>
      </c>
      <c r="F79" s="200">
        <f t="shared" si="1"/>
        <v>50000</v>
      </c>
      <c r="G79" s="30" t="s">
        <v>475</v>
      </c>
      <c r="H79" s="33">
        <v>100001</v>
      </c>
      <c r="I79" s="200">
        <v>10000</v>
      </c>
      <c r="J79" s="30" t="s">
        <v>475</v>
      </c>
      <c r="K79" s="33">
        <v>100001</v>
      </c>
      <c r="L79" s="200">
        <v>50000</v>
      </c>
      <c r="M79" s="30"/>
      <c r="N79" s="33" t="s">
        <v>545</v>
      </c>
      <c r="O79" s="200" t="s">
        <v>545</v>
      </c>
      <c r="P79" s="30"/>
      <c r="Q79" s="33" t="s">
        <v>545</v>
      </c>
      <c r="R79" s="200" t="s">
        <v>545</v>
      </c>
      <c r="S79" s="30"/>
      <c r="T79" s="33" t="s">
        <v>545</v>
      </c>
      <c r="U79" s="33" t="s">
        <v>545</v>
      </c>
      <c r="V79" s="30"/>
      <c r="W79" s="33" t="s">
        <v>545</v>
      </c>
      <c r="X79" s="33" t="s">
        <v>545</v>
      </c>
    </row>
    <row r="80" spans="1:24">
      <c r="A80" s="29">
        <v>47400072</v>
      </c>
      <c r="B80" s="30" t="s">
        <v>2290</v>
      </c>
      <c r="C80" s="182" t="s">
        <v>2246</v>
      </c>
      <c r="D80" s="30"/>
      <c r="E80" s="30">
        <v>2</v>
      </c>
      <c r="F80" s="200">
        <f t="shared" si="1"/>
        <v>250000</v>
      </c>
      <c r="G80" s="30" t="s">
        <v>475</v>
      </c>
      <c r="H80" s="33">
        <v>100001</v>
      </c>
      <c r="I80" s="200">
        <v>10000</v>
      </c>
      <c r="J80" s="30" t="s">
        <v>475</v>
      </c>
      <c r="K80" s="33">
        <v>100001</v>
      </c>
      <c r="L80" s="200">
        <v>250000</v>
      </c>
      <c r="M80" s="30"/>
      <c r="N80" s="33" t="s">
        <v>545</v>
      </c>
      <c r="O80" s="200" t="s">
        <v>545</v>
      </c>
      <c r="P80" s="30"/>
      <c r="Q80" s="33" t="s">
        <v>545</v>
      </c>
      <c r="R80" s="200" t="s">
        <v>545</v>
      </c>
      <c r="S80" s="30"/>
      <c r="T80" s="33" t="s">
        <v>545</v>
      </c>
      <c r="U80" s="33" t="s">
        <v>545</v>
      </c>
      <c r="V80" s="30"/>
      <c r="W80" s="33" t="s">
        <v>545</v>
      </c>
      <c r="X80" s="33" t="s">
        <v>545</v>
      </c>
    </row>
    <row r="81" spans="1:24">
      <c r="A81" s="29">
        <v>47400073</v>
      </c>
      <c r="B81" s="30" t="s">
        <v>2291</v>
      </c>
      <c r="C81" s="184" t="s">
        <v>2247</v>
      </c>
      <c r="D81" s="30"/>
      <c r="E81" s="30">
        <v>1</v>
      </c>
      <c r="F81" s="200">
        <f t="shared" si="1"/>
        <v>50000</v>
      </c>
      <c r="G81" s="30" t="s">
        <v>475</v>
      </c>
      <c r="H81" s="33">
        <v>100001</v>
      </c>
      <c r="I81" s="200">
        <v>10000</v>
      </c>
      <c r="J81" s="30" t="s">
        <v>475</v>
      </c>
      <c r="K81" s="33">
        <v>100001</v>
      </c>
      <c r="L81" s="200">
        <v>50000</v>
      </c>
      <c r="M81" s="30"/>
      <c r="N81" s="33" t="s">
        <v>545</v>
      </c>
      <c r="O81" s="200" t="s">
        <v>545</v>
      </c>
      <c r="P81" s="30"/>
      <c r="Q81" s="33" t="s">
        <v>545</v>
      </c>
      <c r="R81" s="200" t="s">
        <v>545</v>
      </c>
      <c r="S81" s="30"/>
      <c r="T81" s="33" t="s">
        <v>545</v>
      </c>
      <c r="U81" s="33" t="s">
        <v>545</v>
      </c>
      <c r="V81" s="30"/>
      <c r="W81" s="33" t="s">
        <v>545</v>
      </c>
      <c r="X81" s="33" t="s">
        <v>545</v>
      </c>
    </row>
    <row r="82" spans="1:24">
      <c r="A82" s="202">
        <v>47400074</v>
      </c>
      <c r="B82" s="203" t="s">
        <v>2292</v>
      </c>
      <c r="C82" s="183" t="s">
        <v>2248</v>
      </c>
      <c r="D82" s="30" t="s">
        <v>2312</v>
      </c>
      <c r="E82" s="30"/>
      <c r="F82" s="200">
        <f t="shared" si="1"/>
        <v>0</v>
      </c>
      <c r="G82" s="30" t="s">
        <v>475</v>
      </c>
      <c r="H82" s="33">
        <v>100001</v>
      </c>
      <c r="I82" s="200">
        <v>10000</v>
      </c>
      <c r="J82" s="30" t="s">
        <v>475</v>
      </c>
      <c r="K82" s="33">
        <v>100001</v>
      </c>
      <c r="L82" s="200">
        <v>50000</v>
      </c>
      <c r="M82" s="30"/>
      <c r="N82" s="33" t="s">
        <v>545</v>
      </c>
      <c r="O82" s="200" t="s">
        <v>545</v>
      </c>
      <c r="P82" s="30"/>
      <c r="Q82" s="33" t="s">
        <v>545</v>
      </c>
      <c r="R82" s="200" t="s">
        <v>545</v>
      </c>
      <c r="S82" s="30"/>
      <c r="T82" s="33" t="s">
        <v>545</v>
      </c>
      <c r="U82" s="33" t="s">
        <v>545</v>
      </c>
      <c r="V82" s="30"/>
      <c r="W82" s="33" t="s">
        <v>545</v>
      </c>
      <c r="X82" s="33" t="s">
        <v>545</v>
      </c>
    </row>
    <row r="83" spans="1:24">
      <c r="A83" s="29">
        <v>47400075</v>
      </c>
      <c r="B83" s="30" t="s">
        <v>2293</v>
      </c>
      <c r="C83" s="185" t="s">
        <v>2249</v>
      </c>
      <c r="D83" s="30"/>
      <c r="E83" s="30">
        <v>2</v>
      </c>
      <c r="F83" s="200">
        <f t="shared" si="1"/>
        <v>250000</v>
      </c>
      <c r="G83" s="30" t="s">
        <v>475</v>
      </c>
      <c r="H83" s="33">
        <v>100001</v>
      </c>
      <c r="I83" s="200">
        <v>10000</v>
      </c>
      <c r="J83" s="30" t="s">
        <v>475</v>
      </c>
      <c r="K83" s="33">
        <v>100001</v>
      </c>
      <c r="L83" s="200">
        <v>250000</v>
      </c>
      <c r="M83" s="30"/>
      <c r="N83" s="33" t="s">
        <v>545</v>
      </c>
      <c r="O83" s="200" t="s">
        <v>545</v>
      </c>
      <c r="P83" s="30"/>
      <c r="Q83" s="33" t="s">
        <v>545</v>
      </c>
      <c r="R83" s="200" t="s">
        <v>545</v>
      </c>
      <c r="S83" s="30"/>
      <c r="T83" s="33" t="s">
        <v>545</v>
      </c>
      <c r="U83" s="33" t="s">
        <v>545</v>
      </c>
      <c r="V83" s="30"/>
      <c r="W83" s="33" t="s">
        <v>545</v>
      </c>
      <c r="X83" s="33" t="s">
        <v>545</v>
      </c>
    </row>
    <row r="84" spans="1:24">
      <c r="A84" s="202">
        <v>47400076</v>
      </c>
      <c r="B84" s="203" t="s">
        <v>2294</v>
      </c>
      <c r="C84" s="186" t="s">
        <v>2250</v>
      </c>
      <c r="D84" s="30" t="s">
        <v>2312</v>
      </c>
      <c r="E84" s="30"/>
      <c r="F84" s="200">
        <f t="shared" si="1"/>
        <v>0</v>
      </c>
      <c r="G84" s="30" t="s">
        <v>475</v>
      </c>
      <c r="H84" s="33">
        <v>100001</v>
      </c>
      <c r="I84" s="200">
        <v>10000</v>
      </c>
      <c r="J84" s="30" t="s">
        <v>475</v>
      </c>
      <c r="K84" s="33">
        <v>100001</v>
      </c>
      <c r="L84" s="200">
        <v>50000</v>
      </c>
      <c r="M84" s="30"/>
      <c r="N84" s="33" t="s">
        <v>545</v>
      </c>
      <c r="O84" s="200" t="s">
        <v>545</v>
      </c>
      <c r="P84" s="30"/>
      <c r="Q84" s="33" t="s">
        <v>545</v>
      </c>
      <c r="R84" s="200" t="s">
        <v>545</v>
      </c>
      <c r="S84" s="30"/>
      <c r="T84" s="33" t="s">
        <v>545</v>
      </c>
      <c r="U84" s="33" t="s">
        <v>545</v>
      </c>
      <c r="V84" s="30"/>
      <c r="W84" s="33" t="s">
        <v>545</v>
      </c>
      <c r="X84" s="33" t="s">
        <v>545</v>
      </c>
    </row>
    <row r="85" spans="1:24">
      <c r="A85" s="29">
        <v>47400077</v>
      </c>
      <c r="B85" s="30" t="s">
        <v>2295</v>
      </c>
      <c r="C85" s="187" t="s">
        <v>2251</v>
      </c>
      <c r="D85" s="30"/>
      <c r="E85" s="30">
        <v>1</v>
      </c>
      <c r="F85" s="200">
        <f t="shared" si="1"/>
        <v>50000</v>
      </c>
      <c r="G85" s="30" t="s">
        <v>475</v>
      </c>
      <c r="H85" s="33">
        <v>100001</v>
      </c>
      <c r="I85" s="200">
        <v>10000</v>
      </c>
      <c r="J85" s="30" t="s">
        <v>475</v>
      </c>
      <c r="K85" s="33">
        <v>100001</v>
      </c>
      <c r="L85" s="200">
        <v>50000</v>
      </c>
      <c r="M85" s="30"/>
      <c r="N85" s="33" t="s">
        <v>545</v>
      </c>
      <c r="O85" s="200" t="s">
        <v>545</v>
      </c>
      <c r="P85" s="30"/>
      <c r="Q85" s="33" t="s">
        <v>545</v>
      </c>
      <c r="R85" s="200" t="s">
        <v>545</v>
      </c>
      <c r="S85" s="30"/>
      <c r="T85" s="33" t="s">
        <v>545</v>
      </c>
      <c r="U85" s="33" t="s">
        <v>545</v>
      </c>
      <c r="V85" s="30"/>
      <c r="W85" s="33" t="s">
        <v>545</v>
      </c>
      <c r="X85" s="33" t="s">
        <v>545</v>
      </c>
    </row>
    <row r="86" spans="1:24">
      <c r="A86" s="29">
        <v>47400078</v>
      </c>
      <c r="B86" s="30" t="s">
        <v>2296</v>
      </c>
      <c r="C86" s="188" t="s">
        <v>2252</v>
      </c>
      <c r="D86" s="30"/>
      <c r="E86" s="30">
        <v>1</v>
      </c>
      <c r="F86" s="200">
        <f t="shared" si="1"/>
        <v>50000</v>
      </c>
      <c r="G86" s="30" t="s">
        <v>475</v>
      </c>
      <c r="H86" s="33">
        <v>100001</v>
      </c>
      <c r="I86" s="200">
        <v>10000</v>
      </c>
      <c r="J86" s="30" t="s">
        <v>475</v>
      </c>
      <c r="K86" s="33">
        <v>100001</v>
      </c>
      <c r="L86" s="200">
        <v>50000</v>
      </c>
      <c r="M86" s="30"/>
      <c r="N86" s="33" t="s">
        <v>545</v>
      </c>
      <c r="O86" s="200" t="s">
        <v>545</v>
      </c>
      <c r="P86" s="30"/>
      <c r="Q86" s="33" t="s">
        <v>545</v>
      </c>
      <c r="R86" s="200" t="s">
        <v>545</v>
      </c>
      <c r="S86" s="30"/>
      <c r="T86" s="33" t="s">
        <v>545</v>
      </c>
      <c r="U86" s="33" t="s">
        <v>545</v>
      </c>
      <c r="V86" s="30"/>
      <c r="W86" s="33" t="s">
        <v>545</v>
      </c>
      <c r="X86" s="33" t="s">
        <v>545</v>
      </c>
    </row>
    <row r="87" spans="1:24">
      <c r="A87" s="29">
        <v>47400079</v>
      </c>
      <c r="B87" s="30" t="s">
        <v>2297</v>
      </c>
      <c r="C87" s="189" t="s">
        <v>2253</v>
      </c>
      <c r="D87" s="30"/>
      <c r="E87" s="30">
        <v>2</v>
      </c>
      <c r="F87" s="200">
        <f t="shared" si="1"/>
        <v>250000</v>
      </c>
      <c r="G87" s="30" t="s">
        <v>475</v>
      </c>
      <c r="H87" s="33">
        <v>100001</v>
      </c>
      <c r="I87" s="200">
        <v>10000</v>
      </c>
      <c r="J87" s="30" t="s">
        <v>475</v>
      </c>
      <c r="K87" s="33">
        <v>100001</v>
      </c>
      <c r="L87" s="200">
        <v>250000</v>
      </c>
      <c r="M87" s="30"/>
      <c r="N87" s="33" t="s">
        <v>545</v>
      </c>
      <c r="O87" s="200" t="s">
        <v>545</v>
      </c>
      <c r="P87" s="30"/>
      <c r="Q87" s="33" t="s">
        <v>545</v>
      </c>
      <c r="R87" s="200" t="s">
        <v>545</v>
      </c>
      <c r="S87" s="30"/>
      <c r="T87" s="33" t="s">
        <v>545</v>
      </c>
      <c r="U87" s="33" t="s">
        <v>545</v>
      </c>
      <c r="V87" s="30"/>
      <c r="W87" s="33" t="s">
        <v>545</v>
      </c>
      <c r="X87" s="33" t="s">
        <v>545</v>
      </c>
    </row>
    <row r="88" spans="1:24">
      <c r="A88" s="202">
        <v>47400080</v>
      </c>
      <c r="B88" s="203" t="s">
        <v>2298</v>
      </c>
      <c r="C88" s="190" t="s">
        <v>2254</v>
      </c>
      <c r="D88" s="30" t="s">
        <v>2312</v>
      </c>
      <c r="E88" s="30"/>
      <c r="F88" s="200">
        <f t="shared" si="1"/>
        <v>0</v>
      </c>
      <c r="G88" s="30" t="s">
        <v>475</v>
      </c>
      <c r="H88" s="33">
        <v>100001</v>
      </c>
      <c r="I88" s="200">
        <v>10000</v>
      </c>
      <c r="J88" s="30" t="s">
        <v>475</v>
      </c>
      <c r="K88" s="33">
        <v>100001</v>
      </c>
      <c r="L88" s="200">
        <v>50000</v>
      </c>
      <c r="M88" s="30"/>
      <c r="N88" s="33" t="s">
        <v>545</v>
      </c>
      <c r="O88" s="200" t="s">
        <v>545</v>
      </c>
      <c r="P88" s="30"/>
      <c r="Q88" s="33" t="s">
        <v>545</v>
      </c>
      <c r="R88" s="200" t="s">
        <v>545</v>
      </c>
      <c r="S88" s="30"/>
      <c r="T88" s="33" t="s">
        <v>545</v>
      </c>
      <c r="U88" s="33" t="s">
        <v>545</v>
      </c>
      <c r="V88" s="30"/>
      <c r="W88" s="33" t="s">
        <v>545</v>
      </c>
      <c r="X88" s="33" t="s">
        <v>545</v>
      </c>
    </row>
    <row r="89" spans="1:24">
      <c r="A89" s="29">
        <v>47400081</v>
      </c>
      <c r="B89" s="30" t="s">
        <v>2299</v>
      </c>
      <c r="C89" s="191" t="s">
        <v>2255</v>
      </c>
      <c r="D89" s="30"/>
      <c r="E89" s="30">
        <v>3</v>
      </c>
      <c r="F89" s="200">
        <f t="shared" si="1"/>
        <v>1300000</v>
      </c>
      <c r="G89" s="30" t="s">
        <v>475</v>
      </c>
      <c r="H89" s="33">
        <v>100001</v>
      </c>
      <c r="I89" s="200">
        <v>10000</v>
      </c>
      <c r="J89" s="30" t="s">
        <v>475</v>
      </c>
      <c r="K89" s="33">
        <v>100001</v>
      </c>
      <c r="L89" s="200">
        <v>1300000</v>
      </c>
      <c r="M89" s="30"/>
      <c r="N89" s="33" t="s">
        <v>545</v>
      </c>
      <c r="O89" s="200" t="s">
        <v>545</v>
      </c>
      <c r="P89" s="30"/>
      <c r="Q89" s="33" t="s">
        <v>545</v>
      </c>
      <c r="R89" s="200" t="s">
        <v>545</v>
      </c>
      <c r="S89" s="30"/>
      <c r="T89" s="33" t="s">
        <v>545</v>
      </c>
      <c r="U89" s="33" t="s">
        <v>545</v>
      </c>
      <c r="V89" s="30"/>
      <c r="W89" s="33" t="s">
        <v>545</v>
      </c>
      <c r="X89" s="33" t="s">
        <v>545</v>
      </c>
    </row>
    <row r="90" spans="1:24">
      <c r="A90" s="202">
        <v>47400082</v>
      </c>
      <c r="B90" s="203" t="s">
        <v>2300</v>
      </c>
      <c r="C90" s="192" t="s">
        <v>2256</v>
      </c>
      <c r="D90" s="30" t="s">
        <v>2312</v>
      </c>
      <c r="E90" s="30"/>
      <c r="F90" s="200">
        <f t="shared" si="1"/>
        <v>0</v>
      </c>
      <c r="G90" s="30" t="s">
        <v>475</v>
      </c>
      <c r="H90" s="33">
        <v>100001</v>
      </c>
      <c r="I90" s="200">
        <v>10000</v>
      </c>
      <c r="J90" s="30" t="s">
        <v>475</v>
      </c>
      <c r="K90" s="33">
        <v>100001</v>
      </c>
      <c r="L90" s="200">
        <v>50000</v>
      </c>
      <c r="M90" s="30"/>
      <c r="N90" s="33" t="s">
        <v>545</v>
      </c>
      <c r="O90" s="200" t="s">
        <v>545</v>
      </c>
      <c r="P90" s="30"/>
      <c r="Q90" s="33" t="s">
        <v>545</v>
      </c>
      <c r="R90" s="200" t="s">
        <v>545</v>
      </c>
      <c r="S90" s="30"/>
      <c r="T90" s="33" t="s">
        <v>545</v>
      </c>
      <c r="U90" s="33" t="s">
        <v>545</v>
      </c>
      <c r="V90" s="30"/>
      <c r="W90" s="33" t="s">
        <v>545</v>
      </c>
      <c r="X90" s="33" t="s">
        <v>545</v>
      </c>
    </row>
    <row r="91" spans="1:24">
      <c r="A91" s="29">
        <v>47400083</v>
      </c>
      <c r="B91" s="30" t="s">
        <v>2301</v>
      </c>
      <c r="C91" s="193" t="s">
        <v>2257</v>
      </c>
      <c r="D91" s="30"/>
      <c r="E91" s="30">
        <v>1</v>
      </c>
      <c r="F91" s="200">
        <f t="shared" si="1"/>
        <v>50000</v>
      </c>
      <c r="G91" s="30" t="s">
        <v>475</v>
      </c>
      <c r="H91" s="33">
        <v>100001</v>
      </c>
      <c r="I91" s="200">
        <v>10000</v>
      </c>
      <c r="J91" s="30" t="s">
        <v>475</v>
      </c>
      <c r="K91" s="33">
        <v>100001</v>
      </c>
      <c r="L91" s="200">
        <v>50000</v>
      </c>
      <c r="M91" s="30"/>
      <c r="N91" s="33" t="s">
        <v>545</v>
      </c>
      <c r="O91" s="200" t="s">
        <v>545</v>
      </c>
      <c r="P91" s="30"/>
      <c r="Q91" s="33" t="s">
        <v>545</v>
      </c>
      <c r="R91" s="200" t="s">
        <v>545</v>
      </c>
      <c r="S91" s="30"/>
      <c r="T91" s="33" t="s">
        <v>545</v>
      </c>
      <c r="U91" s="33" t="s">
        <v>545</v>
      </c>
      <c r="V91" s="30"/>
      <c r="W91" s="33" t="s">
        <v>545</v>
      </c>
      <c r="X91" s="33" t="s">
        <v>545</v>
      </c>
    </row>
    <row r="92" spans="1:24">
      <c r="A92" s="29">
        <v>47400084</v>
      </c>
      <c r="B92" s="30" t="s">
        <v>2302</v>
      </c>
      <c r="C92" s="194" t="s">
        <v>2258</v>
      </c>
      <c r="D92" s="30"/>
      <c r="E92" s="30">
        <v>4</v>
      </c>
      <c r="F92" s="200">
        <f t="shared" si="1"/>
        <v>6950000</v>
      </c>
      <c r="G92" s="30" t="s">
        <v>475</v>
      </c>
      <c r="H92" s="33">
        <v>100001</v>
      </c>
      <c r="I92" s="200">
        <v>10000</v>
      </c>
      <c r="J92" s="30" t="s">
        <v>475</v>
      </c>
      <c r="K92" s="33">
        <v>100001</v>
      </c>
      <c r="L92" s="200">
        <v>6950000</v>
      </c>
      <c r="M92" s="30"/>
      <c r="N92" s="33" t="s">
        <v>545</v>
      </c>
      <c r="O92" s="200" t="s">
        <v>545</v>
      </c>
      <c r="P92" s="30"/>
      <c r="Q92" s="33" t="s">
        <v>545</v>
      </c>
      <c r="R92" s="200" t="s">
        <v>545</v>
      </c>
      <c r="S92" s="30"/>
      <c r="T92" s="33" t="s">
        <v>545</v>
      </c>
      <c r="U92" s="33" t="s">
        <v>545</v>
      </c>
      <c r="V92" s="30"/>
      <c r="W92" s="33" t="s">
        <v>545</v>
      </c>
      <c r="X92" s="33" t="s">
        <v>545</v>
      </c>
    </row>
    <row r="93" spans="1:24">
      <c r="A93" s="29">
        <v>47400085</v>
      </c>
      <c r="B93" s="30" t="s">
        <v>2303</v>
      </c>
      <c r="C93" s="195" t="s">
        <v>2259</v>
      </c>
      <c r="D93" s="30"/>
      <c r="E93" s="30">
        <v>1</v>
      </c>
      <c r="F93" s="200">
        <f t="shared" si="1"/>
        <v>50000</v>
      </c>
      <c r="G93" s="30" t="s">
        <v>475</v>
      </c>
      <c r="H93" s="33">
        <v>100001</v>
      </c>
      <c r="I93" s="200">
        <v>10000</v>
      </c>
      <c r="J93" s="30" t="s">
        <v>475</v>
      </c>
      <c r="K93" s="33">
        <v>100001</v>
      </c>
      <c r="L93" s="200">
        <v>50000</v>
      </c>
      <c r="M93" s="30"/>
      <c r="N93" s="33" t="s">
        <v>545</v>
      </c>
      <c r="O93" s="200" t="s">
        <v>545</v>
      </c>
      <c r="P93" s="30"/>
      <c r="Q93" s="33" t="s">
        <v>545</v>
      </c>
      <c r="R93" s="200" t="s">
        <v>545</v>
      </c>
      <c r="S93" s="30"/>
      <c r="T93" s="33" t="s">
        <v>545</v>
      </c>
      <c r="U93" s="33" t="s">
        <v>545</v>
      </c>
      <c r="V93" s="30"/>
      <c r="W93" s="33" t="s">
        <v>545</v>
      </c>
      <c r="X93" s="33" t="s">
        <v>545</v>
      </c>
    </row>
    <row r="94" spans="1:24">
      <c r="A94" s="202">
        <v>47400086</v>
      </c>
      <c r="B94" s="203" t="s">
        <v>2304</v>
      </c>
      <c r="C94" s="196" t="s">
        <v>2260</v>
      </c>
      <c r="D94" s="30" t="s">
        <v>2312</v>
      </c>
      <c r="E94" s="30"/>
      <c r="F94" s="200">
        <f t="shared" si="1"/>
        <v>0</v>
      </c>
      <c r="G94" s="30" t="s">
        <v>475</v>
      </c>
      <c r="H94" s="33">
        <v>100001</v>
      </c>
      <c r="I94" s="200">
        <v>10000</v>
      </c>
      <c r="J94" s="30" t="s">
        <v>475</v>
      </c>
      <c r="K94" s="33">
        <v>100001</v>
      </c>
      <c r="L94" s="200">
        <v>50000</v>
      </c>
      <c r="M94" s="30"/>
      <c r="N94" s="33" t="s">
        <v>545</v>
      </c>
      <c r="O94" s="200" t="s">
        <v>545</v>
      </c>
      <c r="P94" s="30"/>
      <c r="Q94" s="33" t="s">
        <v>545</v>
      </c>
      <c r="R94" s="200" t="s">
        <v>545</v>
      </c>
      <c r="S94" s="30"/>
      <c r="T94" s="33" t="s">
        <v>545</v>
      </c>
      <c r="U94" s="33" t="s">
        <v>545</v>
      </c>
      <c r="V94" s="30"/>
      <c r="W94" s="33" t="s">
        <v>545</v>
      </c>
      <c r="X94" s="33" t="s">
        <v>545</v>
      </c>
    </row>
    <row r="95" spans="1:24">
      <c r="A95" s="29">
        <v>47400087</v>
      </c>
      <c r="B95" s="30" t="s">
        <v>2305</v>
      </c>
      <c r="C95" s="197" t="s">
        <v>2261</v>
      </c>
      <c r="D95" s="30"/>
      <c r="E95" s="30">
        <v>0</v>
      </c>
      <c r="F95" s="200">
        <f t="shared" si="1"/>
        <v>0</v>
      </c>
      <c r="G95" s="30" t="s">
        <v>475</v>
      </c>
      <c r="H95" s="33">
        <v>100001</v>
      </c>
      <c r="I95" s="200">
        <v>10000</v>
      </c>
      <c r="J95" s="30" t="s">
        <v>475</v>
      </c>
      <c r="K95" s="33">
        <v>100001</v>
      </c>
      <c r="L95" s="200">
        <v>50000</v>
      </c>
      <c r="M95" s="30"/>
      <c r="N95" s="33" t="s">
        <v>545</v>
      </c>
      <c r="O95" s="200" t="s">
        <v>545</v>
      </c>
      <c r="P95" s="30"/>
      <c r="Q95" s="33" t="s">
        <v>545</v>
      </c>
      <c r="R95" s="200" t="s">
        <v>545</v>
      </c>
      <c r="S95" s="30"/>
      <c r="T95" s="33" t="s">
        <v>545</v>
      </c>
      <c r="U95" s="33" t="s">
        <v>545</v>
      </c>
      <c r="V95" s="30"/>
      <c r="W95" s="33" t="s">
        <v>545</v>
      </c>
      <c r="X95" s="33" t="s">
        <v>545</v>
      </c>
    </row>
    <row r="96" spans="1:24">
      <c r="A96" s="202">
        <v>47400088</v>
      </c>
      <c r="B96" s="203" t="s">
        <v>2306</v>
      </c>
      <c r="C96" s="198" t="s">
        <v>2262</v>
      </c>
      <c r="D96" s="30" t="s">
        <v>2312</v>
      </c>
      <c r="E96" s="30"/>
      <c r="F96" s="200">
        <f t="shared" si="1"/>
        <v>0</v>
      </c>
      <c r="G96" s="30" t="s">
        <v>475</v>
      </c>
      <c r="H96" s="33">
        <v>100001</v>
      </c>
      <c r="I96" s="200">
        <v>10000</v>
      </c>
      <c r="J96" s="30" t="s">
        <v>475</v>
      </c>
      <c r="K96" s="33">
        <v>100001</v>
      </c>
      <c r="L96" s="200">
        <v>50000</v>
      </c>
      <c r="M96" s="30"/>
      <c r="N96" s="33" t="s">
        <v>545</v>
      </c>
      <c r="O96" s="200" t="s">
        <v>545</v>
      </c>
      <c r="P96" s="30"/>
      <c r="Q96" s="33" t="s">
        <v>545</v>
      </c>
      <c r="R96" s="200" t="s">
        <v>545</v>
      </c>
      <c r="S96" s="30"/>
      <c r="T96" s="33" t="s">
        <v>545</v>
      </c>
      <c r="U96" s="33" t="s">
        <v>545</v>
      </c>
      <c r="V96" s="30"/>
      <c r="W96" s="33" t="s">
        <v>545</v>
      </c>
      <c r="X96" s="33" t="s">
        <v>545</v>
      </c>
    </row>
    <row r="97" spans="1:25">
      <c r="A97" s="29">
        <v>47400089</v>
      </c>
      <c r="B97" s="30" t="s">
        <v>2307</v>
      </c>
      <c r="C97" s="199" t="s">
        <v>2263</v>
      </c>
      <c r="D97" s="30"/>
      <c r="E97" s="30">
        <v>1</v>
      </c>
      <c r="F97" s="200">
        <f t="shared" si="1"/>
        <v>50000</v>
      </c>
      <c r="G97" s="30" t="s">
        <v>475</v>
      </c>
      <c r="H97" s="33">
        <v>100001</v>
      </c>
      <c r="I97" s="200">
        <v>10000</v>
      </c>
      <c r="J97" s="30" t="s">
        <v>475</v>
      </c>
      <c r="K97" s="33">
        <v>100001</v>
      </c>
      <c r="L97" s="200">
        <v>50000</v>
      </c>
      <c r="M97" s="30"/>
      <c r="N97" s="33" t="s">
        <v>545</v>
      </c>
      <c r="O97" s="200" t="s">
        <v>545</v>
      </c>
      <c r="P97" s="30"/>
      <c r="Q97" s="33" t="s">
        <v>545</v>
      </c>
      <c r="R97" s="200" t="s">
        <v>545</v>
      </c>
      <c r="S97" s="30"/>
      <c r="T97" s="33" t="s">
        <v>545</v>
      </c>
      <c r="U97" s="33" t="s">
        <v>545</v>
      </c>
      <c r="V97" s="30"/>
      <c r="W97" s="33" t="s">
        <v>545</v>
      </c>
      <c r="X97" s="33" t="s">
        <v>545</v>
      </c>
    </row>
    <row r="98" spans="1:25">
      <c r="A98" s="29">
        <v>47400090</v>
      </c>
      <c r="B98" s="30" t="s">
        <v>2308</v>
      </c>
      <c r="C98" s="35" t="s">
        <v>630</v>
      </c>
      <c r="D98" s="30"/>
      <c r="E98" s="30">
        <v>3</v>
      </c>
      <c r="F98" s="200">
        <f t="shared" si="1"/>
        <v>1300000</v>
      </c>
      <c r="G98" s="30" t="s">
        <v>475</v>
      </c>
      <c r="H98" s="33">
        <v>100001</v>
      </c>
      <c r="I98" s="200">
        <v>10000</v>
      </c>
      <c r="J98" s="30" t="s">
        <v>475</v>
      </c>
      <c r="K98" s="33">
        <v>100001</v>
      </c>
      <c r="L98" s="200">
        <v>1300000</v>
      </c>
      <c r="M98" s="30"/>
      <c r="N98" s="33" t="s">
        <v>545</v>
      </c>
      <c r="O98" s="200" t="s">
        <v>545</v>
      </c>
      <c r="P98" s="30"/>
      <c r="Q98" s="33" t="s">
        <v>545</v>
      </c>
      <c r="R98" s="200" t="s">
        <v>545</v>
      </c>
      <c r="S98" s="30"/>
      <c r="T98" s="33" t="s">
        <v>545</v>
      </c>
      <c r="U98" s="33" t="s">
        <v>545</v>
      </c>
      <c r="V98" s="30"/>
      <c r="W98" s="33" t="s">
        <v>545</v>
      </c>
      <c r="X98" s="33" t="s">
        <v>545</v>
      </c>
    </row>
    <row r="99" spans="1:25">
      <c r="A99" s="31"/>
      <c r="B99" s="32"/>
      <c r="C99" s="32"/>
      <c r="D99" s="32"/>
      <c r="E99" s="32"/>
      <c r="F99" s="32"/>
      <c r="G99" s="32"/>
      <c r="H99" s="32"/>
      <c r="I99" s="32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2"/>
      <c r="X99" s="32"/>
      <c r="Y99" s="27" t="s">
        <v>8</v>
      </c>
    </row>
  </sheetData>
  <phoneticPr fontId="5" type="noConversion"/>
  <conditionalFormatting sqref="E10 E8 E12:E14 E16 E18:E19 E26 E28:E29 E31:E32 E34:E35 E37:E38 E40:E41 E43:E45 E47 E49:E51 E53 E55:E57 E59 E61:E63 E65 E67:E69 E71 E73:E75 E77 E79:E81 E83 E85:E87 E89 E91:E93 E95 E97:E98 E9:F9 E11:F11 E15:F15 E17:F17 E20:F25 E27:F27 E30:F30 E33:F33 E36:F36 E39:F39 E42:F42 E46:F46 E48:F48 E52:F52 E54:F54 E58:F58 E60:F60 E64:F64 E66:F66 E70:F70 E72:F72 E76:F76 E78:F78 E82:F82 E84:F84 E88:F88 E90:F90 E94:F94 E96:F96">
    <cfRule type="colorScale" priority="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8">
    <cfRule type="colorScale" priority="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8:F98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pageSetup paperSize="9" orientation="portrait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Y99"/>
  <sheetViews>
    <sheetView topLeftCell="A51" zoomScale="85" zoomScaleNormal="85" workbookViewId="0">
      <selection activeCell="G82" sqref="G82"/>
    </sheetView>
  </sheetViews>
  <sheetFormatPr defaultColWidth="9.140625" defaultRowHeight="13.5"/>
  <cols>
    <col min="1" max="1" width="19" style="27" customWidth="1"/>
    <col min="2" max="3" width="20" style="27" bestFit="1" customWidth="1"/>
    <col min="4" max="7" width="15" style="27" customWidth="1"/>
    <col min="8" max="9" width="33.5703125" style="27" customWidth="1"/>
    <col min="10" max="10" width="14.42578125" style="27" customWidth="1"/>
    <col min="11" max="12" width="31.85546875" style="27" customWidth="1"/>
    <col min="13" max="13" width="14.42578125" style="27" customWidth="1"/>
    <col min="14" max="23" width="31.85546875" style="27" customWidth="1"/>
    <col min="24" max="24" width="36.28515625" style="27" customWidth="1"/>
    <col min="25" max="25" width="20" style="27" customWidth="1"/>
    <col min="26" max="26" width="31.42578125" style="27" customWidth="1"/>
    <col min="27" max="27" width="11" style="27" bestFit="1" customWidth="1"/>
    <col min="28" max="28" width="9.140625" style="27"/>
    <col min="29" max="29" width="24.7109375" style="27" customWidth="1"/>
    <col min="30" max="30" width="22.5703125" style="27" customWidth="1"/>
    <col min="31" max="16384" width="9.140625" style="27"/>
  </cols>
  <sheetData>
    <row r="1" spans="1:24">
      <c r="A1" s="6" t="s">
        <v>5</v>
      </c>
      <c r="B1" s="25"/>
      <c r="C1" s="26" t="s">
        <v>552</v>
      </c>
      <c r="D1" s="25"/>
      <c r="E1" s="25"/>
      <c r="F1" s="25"/>
      <c r="G1" s="25"/>
      <c r="H1" s="26" t="s">
        <v>471</v>
      </c>
      <c r="I1" s="26" t="s">
        <v>472</v>
      </c>
      <c r="J1" s="25"/>
      <c r="K1" s="26" t="s">
        <v>473</v>
      </c>
      <c r="L1" s="26" t="s">
        <v>474</v>
      </c>
      <c r="M1" s="25"/>
      <c r="N1" s="26" t="s">
        <v>550</v>
      </c>
      <c r="O1" s="26" t="s">
        <v>551</v>
      </c>
      <c r="P1" s="25"/>
      <c r="Q1" s="26" t="s">
        <v>1249</v>
      </c>
      <c r="R1" s="26" t="s">
        <v>1250</v>
      </c>
      <c r="S1" s="25"/>
      <c r="T1" s="26" t="s">
        <v>1251</v>
      </c>
      <c r="U1" s="26" t="s">
        <v>1252</v>
      </c>
      <c r="V1" s="25"/>
      <c r="W1" s="26" t="s">
        <v>1253</v>
      </c>
      <c r="X1" s="26" t="s">
        <v>1254</v>
      </c>
    </row>
    <row r="2" spans="1:24" ht="27">
      <c r="A2" s="6" t="s">
        <v>492</v>
      </c>
      <c r="B2" s="25"/>
      <c r="C2" s="26" t="s">
        <v>7</v>
      </c>
      <c r="D2" s="25"/>
      <c r="E2" s="25"/>
      <c r="F2" s="25"/>
      <c r="G2" s="25"/>
      <c r="H2" s="26" t="s">
        <v>7</v>
      </c>
      <c r="I2" s="26" t="s">
        <v>7</v>
      </c>
      <c r="J2" s="25"/>
      <c r="K2" s="26" t="s">
        <v>7</v>
      </c>
      <c r="L2" s="26" t="s">
        <v>7</v>
      </c>
      <c r="M2" s="25"/>
      <c r="N2" s="26" t="s">
        <v>7</v>
      </c>
      <c r="O2" s="26" t="s">
        <v>7</v>
      </c>
      <c r="P2" s="25"/>
      <c r="Q2" s="26" t="s">
        <v>7</v>
      </c>
      <c r="R2" s="26" t="s">
        <v>7</v>
      </c>
      <c r="S2" s="25"/>
      <c r="T2" s="26" t="s">
        <v>7</v>
      </c>
      <c r="U2" s="26" t="s">
        <v>7</v>
      </c>
      <c r="V2" s="25"/>
      <c r="W2" s="26" t="s">
        <v>7</v>
      </c>
      <c r="X2" s="26" t="s">
        <v>7</v>
      </c>
    </row>
    <row r="3" spans="1:24">
      <c r="A3" s="8" t="s">
        <v>1</v>
      </c>
      <c r="B3" s="25"/>
      <c r="C3" s="28" t="s">
        <v>0</v>
      </c>
      <c r="D3" s="25"/>
      <c r="E3" s="25"/>
      <c r="F3" s="25"/>
      <c r="G3" s="25"/>
      <c r="H3" s="28" t="s">
        <v>0</v>
      </c>
      <c r="I3" s="28" t="s">
        <v>0</v>
      </c>
      <c r="J3" s="25"/>
      <c r="K3" s="28" t="s">
        <v>0</v>
      </c>
      <c r="L3" s="28" t="s">
        <v>0</v>
      </c>
      <c r="M3" s="25"/>
      <c r="N3" s="28" t="s">
        <v>0</v>
      </c>
      <c r="O3" s="28" t="s">
        <v>0</v>
      </c>
      <c r="P3" s="25"/>
      <c r="Q3" s="28" t="s">
        <v>0</v>
      </c>
      <c r="R3" s="28" t="s">
        <v>0</v>
      </c>
      <c r="S3" s="25"/>
      <c r="T3" s="28" t="s">
        <v>0</v>
      </c>
      <c r="U3" s="28" t="s">
        <v>0</v>
      </c>
      <c r="V3" s="25"/>
      <c r="W3" s="28" t="s">
        <v>0</v>
      </c>
      <c r="X3" s="28" t="s">
        <v>0</v>
      </c>
    </row>
    <row r="4" spans="1:24">
      <c r="A4" s="8" t="s">
        <v>2</v>
      </c>
      <c r="B4" s="25"/>
      <c r="C4" s="28" t="s">
        <v>0</v>
      </c>
      <c r="D4" s="25"/>
      <c r="E4" s="25"/>
      <c r="F4" s="25"/>
      <c r="G4" s="25"/>
      <c r="H4" s="28" t="s">
        <v>0</v>
      </c>
      <c r="I4" s="28" t="s">
        <v>0</v>
      </c>
      <c r="J4" s="25"/>
      <c r="K4" s="28" t="s">
        <v>0</v>
      </c>
      <c r="L4" s="28" t="s">
        <v>0</v>
      </c>
      <c r="M4" s="25"/>
      <c r="N4" s="28" t="s">
        <v>0</v>
      </c>
      <c r="O4" s="28" t="s">
        <v>0</v>
      </c>
      <c r="P4" s="25"/>
      <c r="Q4" s="28" t="s">
        <v>0</v>
      </c>
      <c r="R4" s="28" t="s">
        <v>0</v>
      </c>
      <c r="S4" s="25"/>
      <c r="T4" s="28" t="s">
        <v>0</v>
      </c>
      <c r="U4" s="28" t="s">
        <v>0</v>
      </c>
      <c r="V4" s="25"/>
      <c r="W4" s="28" t="s">
        <v>0</v>
      </c>
      <c r="X4" s="28" t="s">
        <v>0</v>
      </c>
    </row>
    <row r="5" spans="1:24">
      <c r="A5" s="8" t="s">
        <v>3</v>
      </c>
      <c r="B5" s="25"/>
      <c r="C5" s="28" t="s">
        <v>0</v>
      </c>
      <c r="D5" s="25"/>
      <c r="E5" s="25"/>
      <c r="F5" s="25"/>
      <c r="G5" s="25"/>
      <c r="H5" s="28" t="s">
        <v>0</v>
      </c>
      <c r="I5" s="28" t="s">
        <v>0</v>
      </c>
      <c r="J5" s="25"/>
      <c r="K5" s="28" t="s">
        <v>0</v>
      </c>
      <c r="L5" s="28" t="s">
        <v>0</v>
      </c>
      <c r="M5" s="25"/>
      <c r="N5" s="28" t="s">
        <v>0</v>
      </c>
      <c r="O5" s="28" t="s">
        <v>0</v>
      </c>
      <c r="P5" s="25"/>
      <c r="Q5" s="28" t="s">
        <v>0</v>
      </c>
      <c r="R5" s="28" t="s">
        <v>0</v>
      </c>
      <c r="S5" s="25"/>
      <c r="T5" s="28" t="s">
        <v>0</v>
      </c>
      <c r="U5" s="28" t="s">
        <v>0</v>
      </c>
      <c r="V5" s="25"/>
      <c r="W5" s="28" t="s">
        <v>0</v>
      </c>
      <c r="X5" s="28" t="s">
        <v>0</v>
      </c>
    </row>
    <row r="6" spans="1:24">
      <c r="A6" s="8" t="s">
        <v>4</v>
      </c>
      <c r="B6" s="25"/>
      <c r="C6" s="28" t="s">
        <v>0</v>
      </c>
      <c r="D6" s="25"/>
      <c r="E6" s="25"/>
      <c r="F6" s="25"/>
      <c r="G6" s="25"/>
      <c r="H6" s="28" t="s">
        <v>0</v>
      </c>
      <c r="I6" s="28" t="s">
        <v>0</v>
      </c>
      <c r="J6" s="25"/>
      <c r="K6" s="28" t="s">
        <v>0</v>
      </c>
      <c r="L6" s="28" t="s">
        <v>0</v>
      </c>
      <c r="M6" s="25"/>
      <c r="N6" s="28" t="s">
        <v>0</v>
      </c>
      <c r="O6" s="28" t="s">
        <v>0</v>
      </c>
      <c r="P6" s="25"/>
      <c r="Q6" s="28" t="s">
        <v>0</v>
      </c>
      <c r="R6" s="28" t="s">
        <v>0</v>
      </c>
      <c r="S6" s="25"/>
      <c r="T6" s="28" t="s">
        <v>0</v>
      </c>
      <c r="U6" s="28" t="s">
        <v>0</v>
      </c>
      <c r="V6" s="25"/>
      <c r="W6" s="28" t="s">
        <v>0</v>
      </c>
      <c r="X6" s="28" t="s">
        <v>0</v>
      </c>
    </row>
    <row r="7" spans="1:24">
      <c r="A7" s="8" t="s">
        <v>10</v>
      </c>
      <c r="B7" s="25"/>
      <c r="C7" s="28" t="s">
        <v>0</v>
      </c>
      <c r="D7" s="25"/>
      <c r="E7" s="25"/>
      <c r="F7" s="25"/>
      <c r="G7" s="25"/>
      <c r="H7" s="28" t="s">
        <v>0</v>
      </c>
      <c r="I7" s="28" t="s">
        <v>0</v>
      </c>
      <c r="J7" s="25"/>
      <c r="K7" s="28" t="s">
        <v>0</v>
      </c>
      <c r="L7" s="28" t="s">
        <v>0</v>
      </c>
      <c r="M7" s="25"/>
      <c r="N7" s="28" t="s">
        <v>0</v>
      </c>
      <c r="O7" s="28" t="s">
        <v>0</v>
      </c>
      <c r="P7" s="25"/>
      <c r="Q7" s="28" t="s">
        <v>0</v>
      </c>
      <c r="R7" s="28" t="s">
        <v>0</v>
      </c>
      <c r="S7" s="25"/>
      <c r="T7" s="28" t="s">
        <v>0</v>
      </c>
      <c r="U7" s="28" t="s">
        <v>0</v>
      </c>
      <c r="V7" s="25"/>
      <c r="W7" s="28" t="s">
        <v>0</v>
      </c>
      <c r="X7" s="28" t="s">
        <v>0</v>
      </c>
    </row>
    <row r="8" spans="1:24">
      <c r="A8" s="29">
        <v>47500000</v>
      </c>
      <c r="B8" s="30" t="s">
        <v>716</v>
      </c>
      <c r="C8" s="112" t="s">
        <v>2174</v>
      </c>
      <c r="D8" s="30"/>
      <c r="E8" s="30">
        <v>2</v>
      </c>
      <c r="F8" s="200">
        <f t="shared" ref="F8:F71" si="0">IFERROR(INT(POWER(5,(POWER(E8-1,1.02)))) * 50000, 0)</f>
        <v>250000</v>
      </c>
      <c r="G8" s="30" t="s">
        <v>475</v>
      </c>
      <c r="H8" s="33">
        <v>100001</v>
      </c>
      <c r="I8" s="33">
        <v>10000</v>
      </c>
      <c r="J8" s="30" t="s">
        <v>475</v>
      </c>
      <c r="K8" s="33">
        <v>100001</v>
      </c>
      <c r="L8" s="33">
        <v>250000</v>
      </c>
      <c r="M8" s="30"/>
      <c r="N8" s="33" t="s">
        <v>545</v>
      </c>
      <c r="O8" s="33" t="s">
        <v>545</v>
      </c>
      <c r="P8" s="30"/>
      <c r="Q8" s="33" t="s">
        <v>545</v>
      </c>
      <c r="R8" s="33" t="s">
        <v>545</v>
      </c>
      <c r="S8" s="30"/>
      <c r="T8" s="33" t="s">
        <v>545</v>
      </c>
      <c r="U8" s="33" t="s">
        <v>545</v>
      </c>
      <c r="V8" s="30"/>
      <c r="W8" s="33" t="s">
        <v>545</v>
      </c>
      <c r="X8" s="33" t="s">
        <v>545</v>
      </c>
    </row>
    <row r="9" spans="1:24">
      <c r="A9" s="29">
        <v>47500001</v>
      </c>
      <c r="B9" s="203" t="s">
        <v>481</v>
      </c>
      <c r="C9" s="113" t="s">
        <v>2175</v>
      </c>
      <c r="D9" s="30" t="s">
        <v>2312</v>
      </c>
      <c r="E9" s="30"/>
      <c r="F9" s="200">
        <f t="shared" si="0"/>
        <v>0</v>
      </c>
      <c r="G9" s="30" t="s">
        <v>475</v>
      </c>
      <c r="H9" s="33">
        <v>100001</v>
      </c>
      <c r="I9" s="33">
        <v>10000</v>
      </c>
      <c r="J9" s="30" t="s">
        <v>475</v>
      </c>
      <c r="K9" s="33">
        <v>100001</v>
      </c>
      <c r="L9" s="33">
        <v>50000</v>
      </c>
      <c r="M9" s="30"/>
      <c r="N9" s="33" t="s">
        <v>545</v>
      </c>
      <c r="O9" s="33" t="s">
        <v>545</v>
      </c>
      <c r="P9" s="30"/>
      <c r="Q9" s="33" t="s">
        <v>545</v>
      </c>
      <c r="R9" s="33" t="s">
        <v>545</v>
      </c>
      <c r="S9" s="30"/>
      <c r="T9" s="33" t="s">
        <v>545</v>
      </c>
      <c r="U9" s="33" t="s">
        <v>545</v>
      </c>
      <c r="V9" s="30"/>
      <c r="W9" s="33" t="s">
        <v>545</v>
      </c>
      <c r="X9" s="33" t="s">
        <v>545</v>
      </c>
    </row>
    <row r="10" spans="1:24">
      <c r="A10" s="29">
        <v>47500002</v>
      </c>
      <c r="B10" s="30" t="s">
        <v>482</v>
      </c>
      <c r="C10" s="114" t="s">
        <v>2176</v>
      </c>
      <c r="D10" s="30"/>
      <c r="E10" s="30">
        <v>3</v>
      </c>
      <c r="F10" s="200">
        <f t="shared" si="0"/>
        <v>1300000</v>
      </c>
      <c r="G10" s="30" t="s">
        <v>475</v>
      </c>
      <c r="H10" s="33">
        <v>100001</v>
      </c>
      <c r="I10" s="33">
        <v>10000</v>
      </c>
      <c r="J10" s="30" t="s">
        <v>475</v>
      </c>
      <c r="K10" s="33">
        <v>100001</v>
      </c>
      <c r="L10" s="33">
        <v>1300000</v>
      </c>
      <c r="M10" s="30"/>
      <c r="N10" s="33" t="s">
        <v>545</v>
      </c>
      <c r="O10" s="33" t="s">
        <v>545</v>
      </c>
      <c r="P10" s="30"/>
      <c r="Q10" s="33" t="s">
        <v>545</v>
      </c>
      <c r="R10" s="33" t="s">
        <v>545</v>
      </c>
      <c r="S10" s="30"/>
      <c r="T10" s="33" t="s">
        <v>545</v>
      </c>
      <c r="U10" s="33" t="s">
        <v>545</v>
      </c>
      <c r="V10" s="30"/>
      <c r="W10" s="33" t="s">
        <v>545</v>
      </c>
      <c r="X10" s="33" t="s">
        <v>545</v>
      </c>
    </row>
    <row r="11" spans="1:24">
      <c r="A11" s="29">
        <v>47500003</v>
      </c>
      <c r="B11" s="203" t="s">
        <v>483</v>
      </c>
      <c r="C11" s="114" t="s">
        <v>2177</v>
      </c>
      <c r="D11" s="30" t="s">
        <v>2312</v>
      </c>
      <c r="E11" s="30"/>
      <c r="F11" s="200">
        <f t="shared" si="0"/>
        <v>0</v>
      </c>
      <c r="G11" s="30" t="s">
        <v>475</v>
      </c>
      <c r="H11" s="33">
        <v>100001</v>
      </c>
      <c r="I11" s="33">
        <v>10000</v>
      </c>
      <c r="J11" s="30" t="s">
        <v>475</v>
      </c>
      <c r="K11" s="33">
        <v>100001</v>
      </c>
      <c r="L11" s="33">
        <v>50000</v>
      </c>
      <c r="M11" s="30"/>
      <c r="N11" s="33" t="s">
        <v>545</v>
      </c>
      <c r="O11" s="33" t="s">
        <v>545</v>
      </c>
      <c r="P11" s="30"/>
      <c r="Q11" s="33" t="s">
        <v>545</v>
      </c>
      <c r="R11" s="33" t="s">
        <v>545</v>
      </c>
      <c r="S11" s="30"/>
      <c r="T11" s="33" t="s">
        <v>545</v>
      </c>
      <c r="U11" s="33" t="s">
        <v>545</v>
      </c>
      <c r="V11" s="30"/>
      <c r="W11" s="33" t="s">
        <v>545</v>
      </c>
      <c r="X11" s="33" t="s">
        <v>545</v>
      </c>
    </row>
    <row r="12" spans="1:24">
      <c r="A12" s="29">
        <v>47500004</v>
      </c>
      <c r="B12" s="30" t="s">
        <v>484</v>
      </c>
      <c r="C12" s="115" t="s">
        <v>2178</v>
      </c>
      <c r="D12" s="30"/>
      <c r="E12" s="30">
        <v>2</v>
      </c>
      <c r="F12" s="200">
        <f t="shared" si="0"/>
        <v>250000</v>
      </c>
      <c r="G12" s="30" t="s">
        <v>475</v>
      </c>
      <c r="H12" s="33">
        <v>100001</v>
      </c>
      <c r="I12" s="33">
        <v>10000</v>
      </c>
      <c r="J12" s="30" t="s">
        <v>475</v>
      </c>
      <c r="K12" s="33">
        <v>100001</v>
      </c>
      <c r="L12" s="33">
        <v>250000</v>
      </c>
      <c r="M12" s="30"/>
      <c r="N12" s="33" t="s">
        <v>545</v>
      </c>
      <c r="O12" s="33" t="s">
        <v>545</v>
      </c>
      <c r="P12" s="30"/>
      <c r="Q12" s="33" t="s">
        <v>545</v>
      </c>
      <c r="R12" s="33" t="s">
        <v>545</v>
      </c>
      <c r="S12" s="30"/>
      <c r="T12" s="33" t="s">
        <v>545</v>
      </c>
      <c r="U12" s="33" t="s">
        <v>545</v>
      </c>
      <c r="V12" s="30"/>
      <c r="W12" s="33" t="s">
        <v>545</v>
      </c>
      <c r="X12" s="33" t="s">
        <v>545</v>
      </c>
    </row>
    <row r="13" spans="1:24">
      <c r="A13" s="29">
        <v>47500005</v>
      </c>
      <c r="B13" s="30" t="s">
        <v>485</v>
      </c>
      <c r="C13" s="116" t="s">
        <v>2179</v>
      </c>
      <c r="D13" s="30"/>
      <c r="E13" s="30">
        <v>1</v>
      </c>
      <c r="F13" s="200">
        <f t="shared" si="0"/>
        <v>50000</v>
      </c>
      <c r="G13" s="30" t="s">
        <v>475</v>
      </c>
      <c r="H13" s="33">
        <v>100001</v>
      </c>
      <c r="I13" s="33">
        <v>10000</v>
      </c>
      <c r="J13" s="30" t="s">
        <v>475</v>
      </c>
      <c r="K13" s="33">
        <v>100001</v>
      </c>
      <c r="L13" s="33">
        <v>50000</v>
      </c>
      <c r="M13" s="30"/>
      <c r="N13" s="33" t="s">
        <v>545</v>
      </c>
      <c r="O13" s="33" t="s">
        <v>545</v>
      </c>
      <c r="P13" s="30"/>
      <c r="Q13" s="33" t="s">
        <v>545</v>
      </c>
      <c r="R13" s="33" t="s">
        <v>545</v>
      </c>
      <c r="S13" s="30"/>
      <c r="T13" s="33" t="s">
        <v>545</v>
      </c>
      <c r="U13" s="33" t="s">
        <v>545</v>
      </c>
      <c r="V13" s="30"/>
      <c r="W13" s="33" t="s">
        <v>545</v>
      </c>
      <c r="X13" s="33" t="s">
        <v>545</v>
      </c>
    </row>
    <row r="14" spans="1:24">
      <c r="A14" s="29">
        <v>47500006</v>
      </c>
      <c r="B14" s="30" t="s">
        <v>486</v>
      </c>
      <c r="C14" s="117" t="s">
        <v>2180</v>
      </c>
      <c r="D14" s="30"/>
      <c r="E14" s="30">
        <v>1</v>
      </c>
      <c r="F14" s="200">
        <f t="shared" si="0"/>
        <v>50000</v>
      </c>
      <c r="G14" s="30" t="s">
        <v>475</v>
      </c>
      <c r="H14" s="33">
        <v>100001</v>
      </c>
      <c r="I14" s="33">
        <v>10000</v>
      </c>
      <c r="J14" s="30" t="s">
        <v>475</v>
      </c>
      <c r="K14" s="33">
        <v>100001</v>
      </c>
      <c r="L14" s="33">
        <v>50000</v>
      </c>
      <c r="M14" s="30"/>
      <c r="N14" s="33" t="s">
        <v>545</v>
      </c>
      <c r="O14" s="33" t="s">
        <v>545</v>
      </c>
      <c r="P14" s="30"/>
      <c r="Q14" s="33" t="s">
        <v>545</v>
      </c>
      <c r="R14" s="33" t="s">
        <v>545</v>
      </c>
      <c r="S14" s="30"/>
      <c r="T14" s="33" t="s">
        <v>545</v>
      </c>
      <c r="U14" s="33" t="s">
        <v>545</v>
      </c>
      <c r="V14" s="30"/>
      <c r="W14" s="33" t="s">
        <v>545</v>
      </c>
      <c r="X14" s="33" t="s">
        <v>545</v>
      </c>
    </row>
    <row r="15" spans="1:24">
      <c r="A15" s="29">
        <v>47500007</v>
      </c>
      <c r="B15" s="203" t="s">
        <v>487</v>
      </c>
      <c r="C15" s="118" t="s">
        <v>2181</v>
      </c>
      <c r="D15" s="30" t="s">
        <v>2312</v>
      </c>
      <c r="E15" s="30"/>
      <c r="F15" s="200">
        <f t="shared" si="0"/>
        <v>0</v>
      </c>
      <c r="G15" s="30" t="s">
        <v>475</v>
      </c>
      <c r="H15" s="33">
        <v>100001</v>
      </c>
      <c r="I15" s="33">
        <v>10000</v>
      </c>
      <c r="J15" s="30" t="s">
        <v>475</v>
      </c>
      <c r="K15" s="33">
        <v>100001</v>
      </c>
      <c r="L15" s="33">
        <v>50000</v>
      </c>
      <c r="M15" s="30"/>
      <c r="N15" s="33" t="s">
        <v>545</v>
      </c>
      <c r="O15" s="33" t="s">
        <v>545</v>
      </c>
      <c r="P15" s="30"/>
      <c r="Q15" s="33" t="s">
        <v>545</v>
      </c>
      <c r="R15" s="33" t="s">
        <v>545</v>
      </c>
      <c r="S15" s="30"/>
      <c r="T15" s="33" t="s">
        <v>545</v>
      </c>
      <c r="U15" s="33" t="s">
        <v>545</v>
      </c>
      <c r="V15" s="30"/>
      <c r="W15" s="33" t="s">
        <v>545</v>
      </c>
      <c r="X15" s="33" t="s">
        <v>545</v>
      </c>
    </row>
    <row r="16" spans="1:24">
      <c r="A16" s="29">
        <v>47500008</v>
      </c>
      <c r="B16" s="30" t="s">
        <v>488</v>
      </c>
      <c r="C16" s="119" t="s">
        <v>2182</v>
      </c>
      <c r="D16" s="30"/>
      <c r="E16" s="30">
        <v>2</v>
      </c>
      <c r="F16" s="200">
        <f t="shared" si="0"/>
        <v>250000</v>
      </c>
      <c r="G16" s="30" t="s">
        <v>475</v>
      </c>
      <c r="H16" s="33">
        <v>100001</v>
      </c>
      <c r="I16" s="33">
        <v>10000</v>
      </c>
      <c r="J16" s="30" t="s">
        <v>475</v>
      </c>
      <c r="K16" s="33">
        <v>100001</v>
      </c>
      <c r="L16" s="33">
        <v>250000</v>
      </c>
      <c r="M16" s="30"/>
      <c r="N16" s="33" t="s">
        <v>545</v>
      </c>
      <c r="O16" s="33" t="s">
        <v>545</v>
      </c>
      <c r="P16" s="30"/>
      <c r="Q16" s="33" t="s">
        <v>545</v>
      </c>
      <c r="R16" s="33" t="s">
        <v>545</v>
      </c>
      <c r="S16" s="30"/>
      <c r="T16" s="33" t="s">
        <v>545</v>
      </c>
      <c r="U16" s="33" t="s">
        <v>545</v>
      </c>
      <c r="V16" s="30"/>
      <c r="W16" s="33" t="s">
        <v>545</v>
      </c>
      <c r="X16" s="33" t="s">
        <v>545</v>
      </c>
    </row>
    <row r="17" spans="1:24">
      <c r="A17" s="29">
        <v>47500009</v>
      </c>
      <c r="B17" s="203" t="s">
        <v>489</v>
      </c>
      <c r="C17" s="120" t="s">
        <v>2183</v>
      </c>
      <c r="D17" s="30" t="s">
        <v>2312</v>
      </c>
      <c r="E17" s="30"/>
      <c r="F17" s="200">
        <f t="shared" si="0"/>
        <v>0</v>
      </c>
      <c r="G17" s="30" t="s">
        <v>475</v>
      </c>
      <c r="H17" s="33">
        <v>100001</v>
      </c>
      <c r="I17" s="33">
        <v>10000</v>
      </c>
      <c r="J17" s="30" t="s">
        <v>475</v>
      </c>
      <c r="K17" s="33">
        <v>100001</v>
      </c>
      <c r="L17" s="33">
        <v>50000</v>
      </c>
      <c r="M17" s="30"/>
      <c r="N17" s="33" t="s">
        <v>545</v>
      </c>
      <c r="O17" s="33" t="s">
        <v>545</v>
      </c>
      <c r="P17" s="30"/>
      <c r="Q17" s="33" t="s">
        <v>545</v>
      </c>
      <c r="R17" s="33" t="s">
        <v>545</v>
      </c>
      <c r="S17" s="30"/>
      <c r="T17" s="33" t="s">
        <v>545</v>
      </c>
      <c r="U17" s="33" t="s">
        <v>545</v>
      </c>
      <c r="V17" s="30"/>
      <c r="W17" s="33" t="s">
        <v>545</v>
      </c>
      <c r="X17" s="33" t="s">
        <v>545</v>
      </c>
    </row>
    <row r="18" spans="1:24">
      <c r="A18" s="29">
        <v>47500010</v>
      </c>
      <c r="B18" s="30" t="s">
        <v>490</v>
      </c>
      <c r="C18" s="121" t="s">
        <v>2184</v>
      </c>
      <c r="D18" s="30"/>
      <c r="E18" s="30">
        <v>1</v>
      </c>
      <c r="F18" s="200">
        <f t="shared" si="0"/>
        <v>50000</v>
      </c>
      <c r="G18" s="30" t="s">
        <v>475</v>
      </c>
      <c r="H18" s="33">
        <v>100001</v>
      </c>
      <c r="I18" s="33">
        <v>10000</v>
      </c>
      <c r="J18" s="30" t="s">
        <v>475</v>
      </c>
      <c r="K18" s="33">
        <v>100001</v>
      </c>
      <c r="L18" s="33">
        <v>50000</v>
      </c>
      <c r="M18" s="30"/>
      <c r="N18" s="33" t="s">
        <v>545</v>
      </c>
      <c r="O18" s="33" t="s">
        <v>545</v>
      </c>
      <c r="P18" s="30"/>
      <c r="Q18" s="33" t="s">
        <v>545</v>
      </c>
      <c r="R18" s="33" t="s">
        <v>545</v>
      </c>
      <c r="S18" s="30"/>
      <c r="T18" s="33" t="s">
        <v>545</v>
      </c>
      <c r="U18" s="33" t="s">
        <v>545</v>
      </c>
      <c r="V18" s="30"/>
      <c r="W18" s="33" t="s">
        <v>545</v>
      </c>
      <c r="X18" s="33" t="s">
        <v>545</v>
      </c>
    </row>
    <row r="19" spans="1:24">
      <c r="A19" s="29">
        <v>47500011</v>
      </c>
      <c r="B19" s="30" t="s">
        <v>641</v>
      </c>
      <c r="C19" s="122" t="s">
        <v>2185</v>
      </c>
      <c r="D19" s="30"/>
      <c r="E19" s="30">
        <v>0</v>
      </c>
      <c r="F19" s="200">
        <f t="shared" si="0"/>
        <v>0</v>
      </c>
      <c r="G19" s="30" t="s">
        <v>475</v>
      </c>
      <c r="H19" s="33">
        <v>100001</v>
      </c>
      <c r="I19" s="33">
        <v>10000</v>
      </c>
      <c r="J19" s="30" t="s">
        <v>475</v>
      </c>
      <c r="K19" s="33">
        <v>100001</v>
      </c>
      <c r="L19" s="33">
        <v>50000</v>
      </c>
      <c r="M19" s="30"/>
      <c r="N19" s="33" t="s">
        <v>545</v>
      </c>
      <c r="O19" s="33" t="s">
        <v>545</v>
      </c>
      <c r="P19" s="30"/>
      <c r="Q19" s="33" t="s">
        <v>545</v>
      </c>
      <c r="R19" s="33" t="s">
        <v>545</v>
      </c>
      <c r="S19" s="30"/>
      <c r="T19" s="33" t="s">
        <v>545</v>
      </c>
      <c r="U19" s="33" t="s">
        <v>545</v>
      </c>
      <c r="V19" s="30"/>
      <c r="W19" s="33" t="s">
        <v>545</v>
      </c>
      <c r="X19" s="33" t="s">
        <v>545</v>
      </c>
    </row>
    <row r="20" spans="1:24">
      <c r="A20" s="29">
        <v>47500012</v>
      </c>
      <c r="B20" s="203" t="s">
        <v>643</v>
      </c>
      <c r="C20" s="123" t="s">
        <v>2186</v>
      </c>
      <c r="D20" s="30" t="s">
        <v>2312</v>
      </c>
      <c r="E20" s="30"/>
      <c r="F20" s="200">
        <f t="shared" si="0"/>
        <v>0</v>
      </c>
      <c r="G20" s="30" t="s">
        <v>475</v>
      </c>
      <c r="H20" s="33">
        <v>100001</v>
      </c>
      <c r="I20" s="33">
        <v>10000</v>
      </c>
      <c r="J20" s="30" t="s">
        <v>475</v>
      </c>
      <c r="K20" s="33">
        <v>100001</v>
      </c>
      <c r="L20" s="33">
        <v>50000</v>
      </c>
      <c r="M20" s="30"/>
      <c r="N20" s="33" t="s">
        <v>545</v>
      </c>
      <c r="O20" s="33" t="s">
        <v>545</v>
      </c>
      <c r="P20" s="30"/>
      <c r="Q20" s="33" t="s">
        <v>545</v>
      </c>
      <c r="R20" s="33" t="s">
        <v>545</v>
      </c>
      <c r="S20" s="30"/>
      <c r="T20" s="33" t="s">
        <v>545</v>
      </c>
      <c r="U20" s="33" t="s">
        <v>545</v>
      </c>
      <c r="V20" s="30"/>
      <c r="W20" s="33" t="s">
        <v>545</v>
      </c>
      <c r="X20" s="33" t="s">
        <v>545</v>
      </c>
    </row>
    <row r="21" spans="1:24">
      <c r="A21" s="29">
        <v>47500013</v>
      </c>
      <c r="B21" s="203" t="s">
        <v>645</v>
      </c>
      <c r="C21" s="124" t="s">
        <v>2187</v>
      </c>
      <c r="D21" s="30" t="s">
        <v>2312</v>
      </c>
      <c r="E21" s="30"/>
      <c r="F21" s="200">
        <f t="shared" si="0"/>
        <v>0</v>
      </c>
      <c r="G21" s="30" t="s">
        <v>475</v>
      </c>
      <c r="H21" s="33">
        <v>100001</v>
      </c>
      <c r="I21" s="33">
        <v>10000</v>
      </c>
      <c r="J21" s="30" t="s">
        <v>475</v>
      </c>
      <c r="K21" s="33">
        <v>100001</v>
      </c>
      <c r="L21" s="33">
        <v>50000</v>
      </c>
      <c r="M21" s="30"/>
      <c r="N21" s="33" t="s">
        <v>545</v>
      </c>
      <c r="O21" s="33" t="s">
        <v>545</v>
      </c>
      <c r="P21" s="30"/>
      <c r="Q21" s="33" t="s">
        <v>545</v>
      </c>
      <c r="R21" s="33" t="s">
        <v>545</v>
      </c>
      <c r="S21" s="30"/>
      <c r="T21" s="33" t="s">
        <v>545</v>
      </c>
      <c r="U21" s="33" t="s">
        <v>545</v>
      </c>
      <c r="V21" s="30"/>
      <c r="W21" s="33" t="s">
        <v>545</v>
      </c>
      <c r="X21" s="33" t="s">
        <v>545</v>
      </c>
    </row>
    <row r="22" spans="1:24">
      <c r="A22" s="29">
        <v>47500014</v>
      </c>
      <c r="B22" s="203" t="s">
        <v>647</v>
      </c>
      <c r="C22" s="125" t="s">
        <v>2188</v>
      </c>
      <c r="D22" s="30" t="s">
        <v>2312</v>
      </c>
      <c r="E22" s="30"/>
      <c r="F22" s="200">
        <f t="shared" si="0"/>
        <v>0</v>
      </c>
      <c r="G22" s="30" t="s">
        <v>475</v>
      </c>
      <c r="H22" s="33">
        <v>100001</v>
      </c>
      <c r="I22" s="33">
        <v>10000</v>
      </c>
      <c r="J22" s="30" t="s">
        <v>475</v>
      </c>
      <c r="K22" s="33">
        <v>100001</v>
      </c>
      <c r="L22" s="33">
        <v>50000</v>
      </c>
      <c r="M22" s="30"/>
      <c r="N22" s="33" t="s">
        <v>545</v>
      </c>
      <c r="O22" s="33" t="s">
        <v>545</v>
      </c>
      <c r="P22" s="30"/>
      <c r="Q22" s="33" t="s">
        <v>545</v>
      </c>
      <c r="R22" s="33" t="s">
        <v>545</v>
      </c>
      <c r="S22" s="30"/>
      <c r="T22" s="33" t="s">
        <v>545</v>
      </c>
      <c r="U22" s="33" t="s">
        <v>545</v>
      </c>
      <c r="V22" s="30"/>
      <c r="W22" s="33" t="s">
        <v>545</v>
      </c>
      <c r="X22" s="33" t="s">
        <v>545</v>
      </c>
    </row>
    <row r="23" spans="1:24">
      <c r="A23" s="29">
        <v>47500015</v>
      </c>
      <c r="B23" s="203" t="s">
        <v>649</v>
      </c>
      <c r="C23" s="126" t="s">
        <v>2189</v>
      </c>
      <c r="D23" s="30" t="s">
        <v>2312</v>
      </c>
      <c r="E23" s="30"/>
      <c r="F23" s="200">
        <f t="shared" si="0"/>
        <v>0</v>
      </c>
      <c r="G23" s="30" t="s">
        <v>475</v>
      </c>
      <c r="H23" s="33">
        <v>100001</v>
      </c>
      <c r="I23" s="33">
        <v>10000</v>
      </c>
      <c r="J23" s="30" t="s">
        <v>475</v>
      </c>
      <c r="K23" s="33">
        <v>100001</v>
      </c>
      <c r="L23" s="33">
        <v>50000</v>
      </c>
      <c r="M23" s="30"/>
      <c r="N23" s="33" t="s">
        <v>545</v>
      </c>
      <c r="O23" s="33" t="s">
        <v>545</v>
      </c>
      <c r="P23" s="30"/>
      <c r="Q23" s="33" t="s">
        <v>545</v>
      </c>
      <c r="R23" s="33" t="s">
        <v>545</v>
      </c>
      <c r="S23" s="30"/>
      <c r="T23" s="33" t="s">
        <v>545</v>
      </c>
      <c r="U23" s="33" t="s">
        <v>545</v>
      </c>
      <c r="V23" s="30"/>
      <c r="W23" s="33" t="s">
        <v>545</v>
      </c>
      <c r="X23" s="33" t="s">
        <v>545</v>
      </c>
    </row>
    <row r="24" spans="1:24">
      <c r="A24" s="29">
        <v>47500016</v>
      </c>
      <c r="B24" s="203" t="s">
        <v>651</v>
      </c>
      <c r="C24" s="127" t="s">
        <v>2190</v>
      </c>
      <c r="D24" s="30" t="s">
        <v>2312</v>
      </c>
      <c r="E24" s="30"/>
      <c r="F24" s="200">
        <f t="shared" si="0"/>
        <v>0</v>
      </c>
      <c r="G24" s="30" t="s">
        <v>475</v>
      </c>
      <c r="H24" s="33">
        <v>100001</v>
      </c>
      <c r="I24" s="33">
        <v>10000</v>
      </c>
      <c r="J24" s="30" t="s">
        <v>475</v>
      </c>
      <c r="K24" s="33">
        <v>100001</v>
      </c>
      <c r="L24" s="33">
        <v>50000</v>
      </c>
      <c r="M24" s="30"/>
      <c r="N24" s="33" t="s">
        <v>545</v>
      </c>
      <c r="O24" s="33" t="s">
        <v>545</v>
      </c>
      <c r="P24" s="30"/>
      <c r="Q24" s="33" t="s">
        <v>545</v>
      </c>
      <c r="R24" s="33" t="s">
        <v>545</v>
      </c>
      <c r="S24" s="30"/>
      <c r="T24" s="33" t="s">
        <v>545</v>
      </c>
      <c r="U24" s="33" t="s">
        <v>545</v>
      </c>
      <c r="V24" s="30"/>
      <c r="W24" s="33" t="s">
        <v>545</v>
      </c>
      <c r="X24" s="33" t="s">
        <v>545</v>
      </c>
    </row>
    <row r="25" spans="1:24">
      <c r="A25" s="29">
        <v>47500017</v>
      </c>
      <c r="B25" s="203" t="s">
        <v>653</v>
      </c>
      <c r="C25" s="127" t="s">
        <v>2191</v>
      </c>
      <c r="D25" s="30" t="s">
        <v>2312</v>
      </c>
      <c r="E25" s="30"/>
      <c r="F25" s="200">
        <f t="shared" si="0"/>
        <v>0</v>
      </c>
      <c r="G25" s="30" t="s">
        <v>475</v>
      </c>
      <c r="H25" s="33">
        <v>100001</v>
      </c>
      <c r="I25" s="33">
        <v>10000</v>
      </c>
      <c r="J25" s="30" t="s">
        <v>475</v>
      </c>
      <c r="K25" s="33">
        <v>100001</v>
      </c>
      <c r="L25" s="33">
        <v>50000</v>
      </c>
      <c r="M25" s="30"/>
      <c r="N25" s="33" t="s">
        <v>545</v>
      </c>
      <c r="O25" s="33" t="s">
        <v>545</v>
      </c>
      <c r="P25" s="30"/>
      <c r="Q25" s="33" t="s">
        <v>545</v>
      </c>
      <c r="R25" s="33" t="s">
        <v>545</v>
      </c>
      <c r="S25" s="30"/>
      <c r="T25" s="33" t="s">
        <v>545</v>
      </c>
      <c r="U25" s="33" t="s">
        <v>545</v>
      </c>
      <c r="V25" s="30"/>
      <c r="W25" s="33" t="s">
        <v>545</v>
      </c>
      <c r="X25" s="33" t="s">
        <v>545</v>
      </c>
    </row>
    <row r="26" spans="1:24">
      <c r="A26" s="29">
        <v>47500018</v>
      </c>
      <c r="B26" s="30" t="s">
        <v>655</v>
      </c>
      <c r="C26" s="128" t="s">
        <v>2192</v>
      </c>
      <c r="D26" s="30"/>
      <c r="E26" s="30">
        <v>1</v>
      </c>
      <c r="F26" s="200">
        <f t="shared" si="0"/>
        <v>50000</v>
      </c>
      <c r="G26" s="30" t="s">
        <v>475</v>
      </c>
      <c r="H26" s="33">
        <v>100001</v>
      </c>
      <c r="I26" s="33">
        <v>10000</v>
      </c>
      <c r="J26" s="30" t="s">
        <v>475</v>
      </c>
      <c r="K26" s="33">
        <v>100001</v>
      </c>
      <c r="L26" s="33">
        <v>50000</v>
      </c>
      <c r="M26" s="30"/>
      <c r="N26" s="33" t="s">
        <v>545</v>
      </c>
      <c r="O26" s="33" t="s">
        <v>545</v>
      </c>
      <c r="P26" s="30"/>
      <c r="Q26" s="33" t="s">
        <v>545</v>
      </c>
      <c r="R26" s="33" t="s">
        <v>545</v>
      </c>
      <c r="S26" s="30"/>
      <c r="T26" s="33" t="s">
        <v>545</v>
      </c>
      <c r="U26" s="33" t="s">
        <v>545</v>
      </c>
      <c r="V26" s="30"/>
      <c r="W26" s="33" t="s">
        <v>545</v>
      </c>
      <c r="X26" s="33" t="s">
        <v>545</v>
      </c>
    </row>
    <row r="27" spans="1:24">
      <c r="A27" s="29">
        <v>47500019</v>
      </c>
      <c r="B27" s="203" t="s">
        <v>657</v>
      </c>
      <c r="C27" s="129" t="s">
        <v>2193</v>
      </c>
      <c r="D27" s="30" t="s">
        <v>2312</v>
      </c>
      <c r="E27" s="30"/>
      <c r="F27" s="200">
        <f t="shared" si="0"/>
        <v>0</v>
      </c>
      <c r="G27" s="30" t="s">
        <v>475</v>
      </c>
      <c r="H27" s="33">
        <v>100001</v>
      </c>
      <c r="I27" s="33">
        <v>10000</v>
      </c>
      <c r="J27" s="30" t="s">
        <v>475</v>
      </c>
      <c r="K27" s="33">
        <v>100001</v>
      </c>
      <c r="L27" s="33">
        <v>50000</v>
      </c>
      <c r="M27" s="30"/>
      <c r="N27" s="33" t="s">
        <v>545</v>
      </c>
      <c r="O27" s="33" t="s">
        <v>545</v>
      </c>
      <c r="P27" s="30"/>
      <c r="Q27" s="33" t="s">
        <v>545</v>
      </c>
      <c r="R27" s="33" t="s">
        <v>545</v>
      </c>
      <c r="S27" s="30"/>
      <c r="T27" s="33" t="s">
        <v>545</v>
      </c>
      <c r="U27" s="33" t="s">
        <v>545</v>
      </c>
      <c r="V27" s="30"/>
      <c r="W27" s="33" t="s">
        <v>545</v>
      </c>
      <c r="X27" s="33" t="s">
        <v>545</v>
      </c>
    </row>
    <row r="28" spans="1:24">
      <c r="A28" s="29">
        <v>47500020</v>
      </c>
      <c r="B28" s="30" t="s">
        <v>659</v>
      </c>
      <c r="C28" s="130" t="s">
        <v>2194</v>
      </c>
      <c r="D28" s="30"/>
      <c r="E28" s="30">
        <v>2</v>
      </c>
      <c r="F28" s="200">
        <f t="shared" si="0"/>
        <v>250000</v>
      </c>
      <c r="G28" s="30" t="s">
        <v>475</v>
      </c>
      <c r="H28" s="33">
        <v>100001</v>
      </c>
      <c r="I28" s="33">
        <v>10000</v>
      </c>
      <c r="J28" s="30" t="s">
        <v>475</v>
      </c>
      <c r="K28" s="33">
        <v>100001</v>
      </c>
      <c r="L28" s="33">
        <v>250000</v>
      </c>
      <c r="M28" s="30"/>
      <c r="N28" s="33" t="s">
        <v>545</v>
      </c>
      <c r="O28" s="33" t="s">
        <v>545</v>
      </c>
      <c r="P28" s="30"/>
      <c r="Q28" s="33" t="s">
        <v>545</v>
      </c>
      <c r="R28" s="33" t="s">
        <v>545</v>
      </c>
      <c r="S28" s="30"/>
      <c r="T28" s="33" t="s">
        <v>545</v>
      </c>
      <c r="U28" s="33" t="s">
        <v>545</v>
      </c>
      <c r="V28" s="30"/>
      <c r="W28" s="33" t="s">
        <v>545</v>
      </c>
      <c r="X28" s="33" t="s">
        <v>545</v>
      </c>
    </row>
    <row r="29" spans="1:24">
      <c r="A29" s="29">
        <v>47500021</v>
      </c>
      <c r="B29" s="30" t="s">
        <v>661</v>
      </c>
      <c r="C29" s="131" t="s">
        <v>2195</v>
      </c>
      <c r="D29" s="30"/>
      <c r="E29" s="30">
        <v>1</v>
      </c>
      <c r="F29" s="200">
        <f t="shared" si="0"/>
        <v>50000</v>
      </c>
      <c r="G29" s="30" t="s">
        <v>475</v>
      </c>
      <c r="H29" s="33">
        <v>100001</v>
      </c>
      <c r="I29" s="33">
        <v>10000</v>
      </c>
      <c r="J29" s="30" t="s">
        <v>475</v>
      </c>
      <c r="K29" s="33">
        <v>100001</v>
      </c>
      <c r="L29" s="33">
        <v>50000</v>
      </c>
      <c r="M29" s="30"/>
      <c r="N29" s="33" t="s">
        <v>545</v>
      </c>
      <c r="O29" s="33" t="s">
        <v>545</v>
      </c>
      <c r="P29" s="30"/>
      <c r="Q29" s="33" t="s">
        <v>545</v>
      </c>
      <c r="R29" s="33" t="s">
        <v>545</v>
      </c>
      <c r="S29" s="30"/>
      <c r="T29" s="33" t="s">
        <v>545</v>
      </c>
      <c r="U29" s="33" t="s">
        <v>545</v>
      </c>
      <c r="V29" s="30"/>
      <c r="W29" s="33" t="s">
        <v>545</v>
      </c>
      <c r="X29" s="33" t="s">
        <v>545</v>
      </c>
    </row>
    <row r="30" spans="1:24">
      <c r="A30" s="29">
        <v>47500022</v>
      </c>
      <c r="B30" s="203" t="s">
        <v>663</v>
      </c>
      <c r="C30" s="132" t="s">
        <v>2196</v>
      </c>
      <c r="D30" s="30" t="s">
        <v>2312</v>
      </c>
      <c r="E30" s="30"/>
      <c r="F30" s="200">
        <f t="shared" si="0"/>
        <v>0</v>
      </c>
      <c r="G30" s="30" t="s">
        <v>475</v>
      </c>
      <c r="H30" s="33">
        <v>100001</v>
      </c>
      <c r="I30" s="33">
        <v>10000</v>
      </c>
      <c r="J30" s="30" t="s">
        <v>475</v>
      </c>
      <c r="K30" s="33">
        <v>100001</v>
      </c>
      <c r="L30" s="33">
        <v>50000</v>
      </c>
      <c r="M30" s="30"/>
      <c r="N30" s="33" t="s">
        <v>545</v>
      </c>
      <c r="O30" s="33" t="s">
        <v>545</v>
      </c>
      <c r="P30" s="30"/>
      <c r="Q30" s="33" t="s">
        <v>545</v>
      </c>
      <c r="R30" s="33" t="s">
        <v>545</v>
      </c>
      <c r="S30" s="30"/>
      <c r="T30" s="33" t="s">
        <v>545</v>
      </c>
      <c r="U30" s="33" t="s">
        <v>545</v>
      </c>
      <c r="V30" s="30"/>
      <c r="W30" s="33" t="s">
        <v>545</v>
      </c>
      <c r="X30" s="33" t="s">
        <v>545</v>
      </c>
    </row>
    <row r="31" spans="1:24">
      <c r="A31" s="29">
        <v>47500023</v>
      </c>
      <c r="B31" s="30" t="s">
        <v>665</v>
      </c>
      <c r="C31" s="133" t="s">
        <v>2197</v>
      </c>
      <c r="D31" s="30"/>
      <c r="E31" s="30">
        <v>1</v>
      </c>
      <c r="F31" s="200">
        <f t="shared" si="0"/>
        <v>50000</v>
      </c>
      <c r="G31" s="30" t="s">
        <v>475</v>
      </c>
      <c r="H31" s="33">
        <v>100001</v>
      </c>
      <c r="I31" s="33">
        <v>10000</v>
      </c>
      <c r="J31" s="30" t="s">
        <v>475</v>
      </c>
      <c r="K31" s="33">
        <v>100001</v>
      </c>
      <c r="L31" s="33">
        <v>50000</v>
      </c>
      <c r="M31" s="30"/>
      <c r="N31" s="33" t="s">
        <v>545</v>
      </c>
      <c r="O31" s="33" t="s">
        <v>545</v>
      </c>
      <c r="P31" s="30"/>
      <c r="Q31" s="33" t="s">
        <v>545</v>
      </c>
      <c r="R31" s="33" t="s">
        <v>545</v>
      </c>
      <c r="S31" s="30"/>
      <c r="T31" s="33" t="s">
        <v>545</v>
      </c>
      <c r="U31" s="33" t="s">
        <v>545</v>
      </c>
      <c r="V31" s="30"/>
      <c r="W31" s="33" t="s">
        <v>545</v>
      </c>
      <c r="X31" s="33" t="s">
        <v>545</v>
      </c>
    </row>
    <row r="32" spans="1:24">
      <c r="A32" s="29">
        <v>47500024</v>
      </c>
      <c r="B32" s="30" t="s">
        <v>667</v>
      </c>
      <c r="C32" s="134" t="s">
        <v>2198</v>
      </c>
      <c r="D32" s="30"/>
      <c r="E32" s="30">
        <v>2</v>
      </c>
      <c r="F32" s="200">
        <f t="shared" si="0"/>
        <v>250000</v>
      </c>
      <c r="G32" s="30" t="s">
        <v>475</v>
      </c>
      <c r="H32" s="33">
        <v>100001</v>
      </c>
      <c r="I32" s="33">
        <v>10000</v>
      </c>
      <c r="J32" s="30" t="s">
        <v>475</v>
      </c>
      <c r="K32" s="33">
        <v>100001</v>
      </c>
      <c r="L32" s="33">
        <v>250000</v>
      </c>
      <c r="M32" s="30"/>
      <c r="N32" s="33" t="s">
        <v>545</v>
      </c>
      <c r="O32" s="33" t="s">
        <v>545</v>
      </c>
      <c r="P32" s="30"/>
      <c r="Q32" s="33" t="s">
        <v>545</v>
      </c>
      <c r="R32" s="33" t="s">
        <v>545</v>
      </c>
      <c r="S32" s="30"/>
      <c r="T32" s="33" t="s">
        <v>545</v>
      </c>
      <c r="U32" s="33" t="s">
        <v>545</v>
      </c>
      <c r="V32" s="30"/>
      <c r="W32" s="33" t="s">
        <v>545</v>
      </c>
      <c r="X32" s="33" t="s">
        <v>545</v>
      </c>
    </row>
    <row r="33" spans="1:24">
      <c r="A33" s="29">
        <v>47500025</v>
      </c>
      <c r="B33" s="203" t="s">
        <v>669</v>
      </c>
      <c r="C33" s="135" t="s">
        <v>2199</v>
      </c>
      <c r="D33" s="30" t="s">
        <v>2312</v>
      </c>
      <c r="E33" s="30"/>
      <c r="F33" s="200">
        <f t="shared" si="0"/>
        <v>0</v>
      </c>
      <c r="G33" s="30" t="s">
        <v>475</v>
      </c>
      <c r="H33" s="33">
        <v>100001</v>
      </c>
      <c r="I33" s="33">
        <v>10000</v>
      </c>
      <c r="J33" s="30" t="s">
        <v>475</v>
      </c>
      <c r="K33" s="33">
        <v>100001</v>
      </c>
      <c r="L33" s="33">
        <v>50000</v>
      </c>
      <c r="M33" s="30"/>
      <c r="N33" s="33" t="s">
        <v>545</v>
      </c>
      <c r="O33" s="33" t="s">
        <v>545</v>
      </c>
      <c r="P33" s="30"/>
      <c r="Q33" s="33" t="s">
        <v>545</v>
      </c>
      <c r="R33" s="33" t="s">
        <v>545</v>
      </c>
      <c r="S33" s="30"/>
      <c r="T33" s="33" t="s">
        <v>545</v>
      </c>
      <c r="U33" s="33" t="s">
        <v>545</v>
      </c>
      <c r="V33" s="30"/>
      <c r="W33" s="33" t="s">
        <v>545</v>
      </c>
      <c r="X33" s="33" t="s">
        <v>545</v>
      </c>
    </row>
    <row r="34" spans="1:24">
      <c r="A34" s="29">
        <v>47500026</v>
      </c>
      <c r="B34" s="30" t="s">
        <v>671</v>
      </c>
      <c r="C34" s="136" t="s">
        <v>2200</v>
      </c>
      <c r="D34" s="30"/>
      <c r="E34" s="30">
        <v>1</v>
      </c>
      <c r="F34" s="200">
        <f t="shared" si="0"/>
        <v>50000</v>
      </c>
      <c r="G34" s="30" t="s">
        <v>475</v>
      </c>
      <c r="H34" s="33">
        <v>100001</v>
      </c>
      <c r="I34" s="33">
        <v>10000</v>
      </c>
      <c r="J34" s="30" t="s">
        <v>475</v>
      </c>
      <c r="K34" s="33">
        <v>100001</v>
      </c>
      <c r="L34" s="33">
        <v>50000</v>
      </c>
      <c r="M34" s="30"/>
      <c r="N34" s="33" t="s">
        <v>545</v>
      </c>
      <c r="O34" s="33" t="s">
        <v>545</v>
      </c>
      <c r="P34" s="30"/>
      <c r="Q34" s="33" t="s">
        <v>545</v>
      </c>
      <c r="R34" s="33" t="s">
        <v>545</v>
      </c>
      <c r="S34" s="30"/>
      <c r="T34" s="33" t="s">
        <v>545</v>
      </c>
      <c r="U34" s="33" t="s">
        <v>545</v>
      </c>
      <c r="V34" s="30"/>
      <c r="W34" s="33" t="s">
        <v>545</v>
      </c>
      <c r="X34" s="33" t="s">
        <v>545</v>
      </c>
    </row>
    <row r="35" spans="1:24">
      <c r="A35" s="29">
        <v>47500027</v>
      </c>
      <c r="B35" s="30" t="s">
        <v>673</v>
      </c>
      <c r="C35" s="137" t="s">
        <v>2201</v>
      </c>
      <c r="D35" s="30"/>
      <c r="E35" s="30">
        <v>1</v>
      </c>
      <c r="F35" s="200">
        <f t="shared" si="0"/>
        <v>50000</v>
      </c>
      <c r="G35" s="30" t="s">
        <v>475</v>
      </c>
      <c r="H35" s="33">
        <v>100001</v>
      </c>
      <c r="I35" s="33">
        <v>10000</v>
      </c>
      <c r="J35" s="30" t="s">
        <v>475</v>
      </c>
      <c r="K35" s="33">
        <v>100001</v>
      </c>
      <c r="L35" s="33">
        <v>50000</v>
      </c>
      <c r="M35" s="30"/>
      <c r="N35" s="33" t="s">
        <v>545</v>
      </c>
      <c r="O35" s="33" t="s">
        <v>545</v>
      </c>
      <c r="P35" s="30"/>
      <c r="Q35" s="33" t="s">
        <v>545</v>
      </c>
      <c r="R35" s="33" t="s">
        <v>545</v>
      </c>
      <c r="S35" s="30"/>
      <c r="T35" s="33" t="s">
        <v>545</v>
      </c>
      <c r="U35" s="33" t="s">
        <v>545</v>
      </c>
      <c r="V35" s="30"/>
      <c r="W35" s="33" t="s">
        <v>545</v>
      </c>
      <c r="X35" s="33" t="s">
        <v>545</v>
      </c>
    </row>
    <row r="36" spans="1:24">
      <c r="A36" s="29">
        <v>47500028</v>
      </c>
      <c r="B36" s="203" t="s">
        <v>675</v>
      </c>
      <c r="C36" s="138" t="s">
        <v>2202</v>
      </c>
      <c r="D36" s="30" t="s">
        <v>2312</v>
      </c>
      <c r="E36" s="30"/>
      <c r="F36" s="200">
        <f t="shared" si="0"/>
        <v>0</v>
      </c>
      <c r="G36" s="30" t="s">
        <v>475</v>
      </c>
      <c r="H36" s="33">
        <v>100001</v>
      </c>
      <c r="I36" s="33">
        <v>10000</v>
      </c>
      <c r="J36" s="30" t="s">
        <v>475</v>
      </c>
      <c r="K36" s="33">
        <v>100001</v>
      </c>
      <c r="L36" s="33">
        <v>50000</v>
      </c>
      <c r="M36" s="30"/>
      <c r="N36" s="33" t="s">
        <v>545</v>
      </c>
      <c r="O36" s="33" t="s">
        <v>545</v>
      </c>
      <c r="P36" s="30"/>
      <c r="Q36" s="33" t="s">
        <v>545</v>
      </c>
      <c r="R36" s="33" t="s">
        <v>545</v>
      </c>
      <c r="S36" s="30"/>
      <c r="T36" s="33" t="s">
        <v>545</v>
      </c>
      <c r="U36" s="33" t="s">
        <v>545</v>
      </c>
      <c r="V36" s="30"/>
      <c r="W36" s="33" t="s">
        <v>545</v>
      </c>
      <c r="X36" s="33" t="s">
        <v>545</v>
      </c>
    </row>
    <row r="37" spans="1:24">
      <c r="A37" s="29">
        <v>47500029</v>
      </c>
      <c r="B37" s="30" t="s">
        <v>677</v>
      </c>
      <c r="C37" s="139" t="s">
        <v>2203</v>
      </c>
      <c r="D37" s="30"/>
      <c r="E37" s="30">
        <v>1</v>
      </c>
      <c r="F37" s="200">
        <f t="shared" si="0"/>
        <v>50000</v>
      </c>
      <c r="G37" s="30" t="s">
        <v>475</v>
      </c>
      <c r="H37" s="33">
        <v>100001</v>
      </c>
      <c r="I37" s="33">
        <v>10000</v>
      </c>
      <c r="J37" s="30" t="s">
        <v>475</v>
      </c>
      <c r="K37" s="33">
        <v>100001</v>
      </c>
      <c r="L37" s="33">
        <v>50000</v>
      </c>
      <c r="M37" s="30"/>
      <c r="N37" s="33" t="s">
        <v>545</v>
      </c>
      <c r="O37" s="33" t="s">
        <v>545</v>
      </c>
      <c r="P37" s="30"/>
      <c r="Q37" s="33" t="s">
        <v>545</v>
      </c>
      <c r="R37" s="33" t="s">
        <v>545</v>
      </c>
      <c r="S37" s="30"/>
      <c r="T37" s="33" t="s">
        <v>545</v>
      </c>
      <c r="U37" s="33" t="s">
        <v>545</v>
      </c>
      <c r="V37" s="30"/>
      <c r="W37" s="33" t="s">
        <v>545</v>
      </c>
      <c r="X37" s="33" t="s">
        <v>545</v>
      </c>
    </row>
    <row r="38" spans="1:24">
      <c r="A38" s="29">
        <v>47500030</v>
      </c>
      <c r="B38" s="30" t="s">
        <v>679</v>
      </c>
      <c r="C38" s="140" t="s">
        <v>2204</v>
      </c>
      <c r="D38" s="30"/>
      <c r="E38" s="30">
        <v>1</v>
      </c>
      <c r="F38" s="200">
        <f t="shared" si="0"/>
        <v>50000</v>
      </c>
      <c r="G38" s="30" t="s">
        <v>475</v>
      </c>
      <c r="H38" s="33">
        <v>100001</v>
      </c>
      <c r="I38" s="33">
        <v>10000</v>
      </c>
      <c r="J38" s="30" t="s">
        <v>475</v>
      </c>
      <c r="K38" s="33">
        <v>100001</v>
      </c>
      <c r="L38" s="33">
        <v>50000</v>
      </c>
      <c r="M38" s="30"/>
      <c r="N38" s="33" t="s">
        <v>545</v>
      </c>
      <c r="O38" s="33" t="s">
        <v>545</v>
      </c>
      <c r="P38" s="30"/>
      <c r="Q38" s="33" t="s">
        <v>545</v>
      </c>
      <c r="R38" s="33" t="s">
        <v>545</v>
      </c>
      <c r="S38" s="30"/>
      <c r="T38" s="33" t="s">
        <v>545</v>
      </c>
      <c r="U38" s="33" t="s">
        <v>545</v>
      </c>
      <c r="V38" s="30"/>
      <c r="W38" s="33" t="s">
        <v>545</v>
      </c>
      <c r="X38" s="33" t="s">
        <v>545</v>
      </c>
    </row>
    <row r="39" spans="1:24">
      <c r="A39" s="29">
        <v>47500031</v>
      </c>
      <c r="B39" s="203" t="s">
        <v>681</v>
      </c>
      <c r="C39" s="141" t="s">
        <v>2205</v>
      </c>
      <c r="D39" s="30" t="s">
        <v>2312</v>
      </c>
      <c r="E39" s="30"/>
      <c r="F39" s="200">
        <f t="shared" si="0"/>
        <v>0</v>
      </c>
      <c r="G39" s="30" t="s">
        <v>475</v>
      </c>
      <c r="H39" s="33">
        <v>100001</v>
      </c>
      <c r="I39" s="33">
        <v>10000</v>
      </c>
      <c r="J39" s="30" t="s">
        <v>475</v>
      </c>
      <c r="K39" s="33">
        <v>100001</v>
      </c>
      <c r="L39" s="33">
        <v>50000</v>
      </c>
      <c r="M39" s="30"/>
      <c r="N39" s="33" t="s">
        <v>545</v>
      </c>
      <c r="O39" s="33" t="s">
        <v>545</v>
      </c>
      <c r="P39" s="30"/>
      <c r="Q39" s="33" t="s">
        <v>545</v>
      </c>
      <c r="R39" s="33" t="s">
        <v>545</v>
      </c>
      <c r="S39" s="30"/>
      <c r="T39" s="33" t="s">
        <v>545</v>
      </c>
      <c r="U39" s="33" t="s">
        <v>545</v>
      </c>
      <c r="V39" s="30"/>
      <c r="W39" s="33" t="s">
        <v>545</v>
      </c>
      <c r="X39" s="33" t="s">
        <v>545</v>
      </c>
    </row>
    <row r="40" spans="1:24">
      <c r="A40" s="29">
        <v>47500032</v>
      </c>
      <c r="B40" s="30" t="s">
        <v>683</v>
      </c>
      <c r="C40" s="142" t="s">
        <v>2206</v>
      </c>
      <c r="D40" s="30"/>
      <c r="E40" s="30">
        <v>1</v>
      </c>
      <c r="F40" s="200">
        <f t="shared" si="0"/>
        <v>50000</v>
      </c>
      <c r="G40" s="30" t="s">
        <v>475</v>
      </c>
      <c r="H40" s="33">
        <v>100001</v>
      </c>
      <c r="I40" s="33">
        <v>10000</v>
      </c>
      <c r="J40" s="30" t="s">
        <v>475</v>
      </c>
      <c r="K40" s="33">
        <v>100001</v>
      </c>
      <c r="L40" s="33">
        <v>50000</v>
      </c>
      <c r="M40" s="30"/>
      <c r="N40" s="33" t="s">
        <v>545</v>
      </c>
      <c r="O40" s="33" t="s">
        <v>545</v>
      </c>
      <c r="P40" s="30"/>
      <c r="Q40" s="33" t="s">
        <v>545</v>
      </c>
      <c r="R40" s="33" t="s">
        <v>545</v>
      </c>
      <c r="S40" s="30"/>
      <c r="T40" s="33" t="s">
        <v>545</v>
      </c>
      <c r="U40" s="33" t="s">
        <v>545</v>
      </c>
      <c r="V40" s="30"/>
      <c r="W40" s="33" t="s">
        <v>545</v>
      </c>
      <c r="X40" s="33" t="s">
        <v>545</v>
      </c>
    </row>
    <row r="41" spans="1:24">
      <c r="A41" s="29">
        <v>47500033</v>
      </c>
      <c r="B41" s="30" t="s">
        <v>685</v>
      </c>
      <c r="C41" s="143" t="s">
        <v>2207</v>
      </c>
      <c r="D41" s="30"/>
      <c r="E41" s="30">
        <v>2</v>
      </c>
      <c r="F41" s="200">
        <f t="shared" si="0"/>
        <v>250000</v>
      </c>
      <c r="G41" s="30" t="s">
        <v>475</v>
      </c>
      <c r="H41" s="33">
        <v>100001</v>
      </c>
      <c r="I41" s="33">
        <v>10000</v>
      </c>
      <c r="J41" s="30" t="s">
        <v>475</v>
      </c>
      <c r="K41" s="33">
        <v>100001</v>
      </c>
      <c r="L41" s="33">
        <v>250000</v>
      </c>
      <c r="M41" s="30"/>
      <c r="N41" s="33" t="s">
        <v>545</v>
      </c>
      <c r="O41" s="33" t="s">
        <v>545</v>
      </c>
      <c r="P41" s="30"/>
      <c r="Q41" s="33" t="s">
        <v>545</v>
      </c>
      <c r="R41" s="33" t="s">
        <v>545</v>
      </c>
      <c r="S41" s="30"/>
      <c r="T41" s="33" t="s">
        <v>545</v>
      </c>
      <c r="U41" s="33" t="s">
        <v>545</v>
      </c>
      <c r="V41" s="30"/>
      <c r="W41" s="33" t="s">
        <v>545</v>
      </c>
      <c r="X41" s="33" t="s">
        <v>545</v>
      </c>
    </row>
    <row r="42" spans="1:24">
      <c r="A42" s="29">
        <v>47500034</v>
      </c>
      <c r="B42" s="203" t="s">
        <v>687</v>
      </c>
      <c r="C42" s="144" t="s">
        <v>2208</v>
      </c>
      <c r="D42" s="30" t="s">
        <v>2312</v>
      </c>
      <c r="E42" s="30"/>
      <c r="F42" s="200">
        <f t="shared" si="0"/>
        <v>0</v>
      </c>
      <c r="G42" s="30" t="s">
        <v>475</v>
      </c>
      <c r="H42" s="33">
        <v>100001</v>
      </c>
      <c r="I42" s="33">
        <v>10000</v>
      </c>
      <c r="J42" s="30" t="s">
        <v>475</v>
      </c>
      <c r="K42" s="33">
        <v>100001</v>
      </c>
      <c r="L42" s="33">
        <v>50000</v>
      </c>
      <c r="M42" s="30"/>
      <c r="N42" s="33" t="s">
        <v>545</v>
      </c>
      <c r="O42" s="33" t="s">
        <v>545</v>
      </c>
      <c r="P42" s="30"/>
      <c r="Q42" s="33" t="s">
        <v>545</v>
      </c>
      <c r="R42" s="33" t="s">
        <v>545</v>
      </c>
      <c r="S42" s="30"/>
      <c r="T42" s="33" t="s">
        <v>545</v>
      </c>
      <c r="U42" s="33" t="s">
        <v>545</v>
      </c>
      <c r="V42" s="30"/>
      <c r="W42" s="33" t="s">
        <v>545</v>
      </c>
      <c r="X42" s="33" t="s">
        <v>545</v>
      </c>
    </row>
    <row r="43" spans="1:24">
      <c r="A43" s="29">
        <v>47500035</v>
      </c>
      <c r="B43" s="30" t="s">
        <v>689</v>
      </c>
      <c r="C43" s="145" t="s">
        <v>2209</v>
      </c>
      <c r="D43" s="30"/>
      <c r="E43" s="30">
        <v>2</v>
      </c>
      <c r="F43" s="200">
        <f t="shared" si="0"/>
        <v>250000</v>
      </c>
      <c r="G43" s="30" t="s">
        <v>475</v>
      </c>
      <c r="H43" s="33">
        <v>100001</v>
      </c>
      <c r="I43" s="33">
        <v>10000</v>
      </c>
      <c r="J43" s="30" t="s">
        <v>475</v>
      </c>
      <c r="K43" s="33">
        <v>100001</v>
      </c>
      <c r="L43" s="33">
        <v>250000</v>
      </c>
      <c r="M43" s="30"/>
      <c r="N43" s="33" t="s">
        <v>545</v>
      </c>
      <c r="O43" s="33" t="s">
        <v>545</v>
      </c>
      <c r="P43" s="30"/>
      <c r="Q43" s="33" t="s">
        <v>545</v>
      </c>
      <c r="R43" s="33" t="s">
        <v>545</v>
      </c>
      <c r="S43" s="30"/>
      <c r="T43" s="33" t="s">
        <v>545</v>
      </c>
      <c r="U43" s="33" t="s">
        <v>545</v>
      </c>
      <c r="V43" s="30"/>
      <c r="W43" s="33" t="s">
        <v>545</v>
      </c>
      <c r="X43" s="33" t="s">
        <v>545</v>
      </c>
    </row>
    <row r="44" spans="1:24">
      <c r="A44" s="29">
        <v>47500036</v>
      </c>
      <c r="B44" s="30" t="s">
        <v>691</v>
      </c>
      <c r="C44" s="146" t="s">
        <v>2210</v>
      </c>
      <c r="D44" s="30"/>
      <c r="E44" s="30">
        <v>2</v>
      </c>
      <c r="F44" s="200">
        <f t="shared" si="0"/>
        <v>250000</v>
      </c>
      <c r="G44" s="30" t="s">
        <v>475</v>
      </c>
      <c r="H44" s="33">
        <v>100001</v>
      </c>
      <c r="I44" s="33">
        <v>10000</v>
      </c>
      <c r="J44" s="30" t="s">
        <v>475</v>
      </c>
      <c r="K44" s="33">
        <v>100001</v>
      </c>
      <c r="L44" s="33">
        <v>250000</v>
      </c>
      <c r="M44" s="30"/>
      <c r="N44" s="33" t="s">
        <v>545</v>
      </c>
      <c r="O44" s="33" t="s">
        <v>545</v>
      </c>
      <c r="P44" s="30"/>
      <c r="Q44" s="33" t="s">
        <v>545</v>
      </c>
      <c r="R44" s="33" t="s">
        <v>545</v>
      </c>
      <c r="S44" s="30"/>
      <c r="T44" s="33" t="s">
        <v>545</v>
      </c>
      <c r="U44" s="33" t="s">
        <v>545</v>
      </c>
      <c r="V44" s="30"/>
      <c r="W44" s="33" t="s">
        <v>545</v>
      </c>
      <c r="X44" s="33" t="s">
        <v>545</v>
      </c>
    </row>
    <row r="45" spans="1:24">
      <c r="A45" s="29">
        <v>47500037</v>
      </c>
      <c r="B45" s="30" t="s">
        <v>693</v>
      </c>
      <c r="C45" s="147" t="s">
        <v>2211</v>
      </c>
      <c r="D45" s="30"/>
      <c r="E45" s="30">
        <v>1</v>
      </c>
      <c r="F45" s="200">
        <f t="shared" si="0"/>
        <v>50000</v>
      </c>
      <c r="G45" s="30" t="s">
        <v>475</v>
      </c>
      <c r="H45" s="33">
        <v>100001</v>
      </c>
      <c r="I45" s="33">
        <v>10000</v>
      </c>
      <c r="J45" s="30" t="s">
        <v>475</v>
      </c>
      <c r="K45" s="33">
        <v>100001</v>
      </c>
      <c r="L45" s="33">
        <v>50000</v>
      </c>
      <c r="M45" s="30"/>
      <c r="N45" s="33" t="s">
        <v>545</v>
      </c>
      <c r="O45" s="33" t="s">
        <v>545</v>
      </c>
      <c r="P45" s="30"/>
      <c r="Q45" s="33" t="s">
        <v>545</v>
      </c>
      <c r="R45" s="33" t="s">
        <v>545</v>
      </c>
      <c r="S45" s="30"/>
      <c r="T45" s="33" t="s">
        <v>545</v>
      </c>
      <c r="U45" s="33" t="s">
        <v>545</v>
      </c>
      <c r="V45" s="30"/>
      <c r="W45" s="33" t="s">
        <v>545</v>
      </c>
      <c r="X45" s="33" t="s">
        <v>545</v>
      </c>
    </row>
    <row r="46" spans="1:24">
      <c r="A46" s="29">
        <v>47500038</v>
      </c>
      <c r="B46" s="203" t="s">
        <v>695</v>
      </c>
      <c r="C46" s="148" t="s">
        <v>2212</v>
      </c>
      <c r="D46" s="30" t="s">
        <v>2312</v>
      </c>
      <c r="E46" s="30"/>
      <c r="F46" s="200">
        <f t="shared" si="0"/>
        <v>0</v>
      </c>
      <c r="G46" s="30" t="s">
        <v>475</v>
      </c>
      <c r="H46" s="33">
        <v>100001</v>
      </c>
      <c r="I46" s="33">
        <v>10000</v>
      </c>
      <c r="J46" s="30" t="s">
        <v>475</v>
      </c>
      <c r="K46" s="33">
        <v>100001</v>
      </c>
      <c r="L46" s="33">
        <v>50000</v>
      </c>
      <c r="M46" s="30"/>
      <c r="N46" s="33" t="s">
        <v>545</v>
      </c>
      <c r="O46" s="33" t="s">
        <v>545</v>
      </c>
      <c r="P46" s="30"/>
      <c r="Q46" s="33" t="s">
        <v>545</v>
      </c>
      <c r="R46" s="33" t="s">
        <v>545</v>
      </c>
      <c r="S46" s="30"/>
      <c r="T46" s="33" t="s">
        <v>545</v>
      </c>
      <c r="U46" s="33" t="s">
        <v>545</v>
      </c>
      <c r="V46" s="30"/>
      <c r="W46" s="33" t="s">
        <v>545</v>
      </c>
      <c r="X46" s="33" t="s">
        <v>545</v>
      </c>
    </row>
    <row r="47" spans="1:24">
      <c r="A47" s="29">
        <v>47500039</v>
      </c>
      <c r="B47" s="30" t="s">
        <v>697</v>
      </c>
      <c r="C47" s="149" t="s">
        <v>2213</v>
      </c>
      <c r="D47" s="30"/>
      <c r="E47" s="30">
        <v>2</v>
      </c>
      <c r="F47" s="200">
        <f t="shared" si="0"/>
        <v>250000</v>
      </c>
      <c r="G47" s="30" t="s">
        <v>475</v>
      </c>
      <c r="H47" s="33">
        <v>100001</v>
      </c>
      <c r="I47" s="33">
        <v>10000</v>
      </c>
      <c r="J47" s="30" t="s">
        <v>475</v>
      </c>
      <c r="K47" s="33">
        <v>100001</v>
      </c>
      <c r="L47" s="33">
        <v>250000</v>
      </c>
      <c r="M47" s="30"/>
      <c r="N47" s="33" t="s">
        <v>545</v>
      </c>
      <c r="O47" s="33" t="s">
        <v>545</v>
      </c>
      <c r="P47" s="30"/>
      <c r="Q47" s="33" t="s">
        <v>545</v>
      </c>
      <c r="R47" s="33" t="s">
        <v>545</v>
      </c>
      <c r="S47" s="30"/>
      <c r="T47" s="33" t="s">
        <v>545</v>
      </c>
      <c r="U47" s="33" t="s">
        <v>545</v>
      </c>
      <c r="V47" s="30"/>
      <c r="W47" s="33" t="s">
        <v>545</v>
      </c>
      <c r="X47" s="33" t="s">
        <v>545</v>
      </c>
    </row>
    <row r="48" spans="1:24">
      <c r="A48" s="29">
        <v>47500040</v>
      </c>
      <c r="B48" s="203" t="s">
        <v>699</v>
      </c>
      <c r="C48" s="150" t="s">
        <v>2214</v>
      </c>
      <c r="D48" s="30" t="s">
        <v>2312</v>
      </c>
      <c r="E48" s="30"/>
      <c r="F48" s="200">
        <f t="shared" si="0"/>
        <v>0</v>
      </c>
      <c r="G48" s="30" t="s">
        <v>475</v>
      </c>
      <c r="H48" s="33">
        <v>100001</v>
      </c>
      <c r="I48" s="33">
        <v>10000</v>
      </c>
      <c r="J48" s="30" t="s">
        <v>475</v>
      </c>
      <c r="K48" s="33">
        <v>100001</v>
      </c>
      <c r="L48" s="33">
        <v>50000</v>
      </c>
      <c r="M48" s="30"/>
      <c r="N48" s="33" t="s">
        <v>545</v>
      </c>
      <c r="O48" s="33" t="s">
        <v>545</v>
      </c>
      <c r="P48" s="30"/>
      <c r="Q48" s="33" t="s">
        <v>545</v>
      </c>
      <c r="R48" s="33" t="s">
        <v>545</v>
      </c>
      <c r="S48" s="30"/>
      <c r="T48" s="33" t="s">
        <v>545</v>
      </c>
      <c r="U48" s="33" t="s">
        <v>545</v>
      </c>
      <c r="V48" s="30"/>
      <c r="W48" s="33" t="s">
        <v>545</v>
      </c>
      <c r="X48" s="33" t="s">
        <v>545</v>
      </c>
    </row>
    <row r="49" spans="1:24">
      <c r="A49" s="29">
        <v>47500041</v>
      </c>
      <c r="B49" s="30" t="s">
        <v>701</v>
      </c>
      <c r="C49" s="151" t="s">
        <v>2215</v>
      </c>
      <c r="D49" s="30"/>
      <c r="E49" s="30">
        <v>1</v>
      </c>
      <c r="F49" s="200">
        <f t="shared" si="0"/>
        <v>50000</v>
      </c>
      <c r="G49" s="30" t="s">
        <v>475</v>
      </c>
      <c r="H49" s="33">
        <v>100001</v>
      </c>
      <c r="I49" s="33">
        <v>10000</v>
      </c>
      <c r="J49" s="30" t="s">
        <v>475</v>
      </c>
      <c r="K49" s="33">
        <v>100001</v>
      </c>
      <c r="L49" s="33">
        <v>50000</v>
      </c>
      <c r="M49" s="30"/>
      <c r="N49" s="33" t="s">
        <v>545</v>
      </c>
      <c r="O49" s="33" t="s">
        <v>545</v>
      </c>
      <c r="P49" s="30"/>
      <c r="Q49" s="33" t="s">
        <v>545</v>
      </c>
      <c r="R49" s="33" t="s">
        <v>545</v>
      </c>
      <c r="S49" s="30"/>
      <c r="T49" s="33" t="s">
        <v>545</v>
      </c>
      <c r="U49" s="33" t="s">
        <v>545</v>
      </c>
      <c r="V49" s="30"/>
      <c r="W49" s="33" t="s">
        <v>545</v>
      </c>
      <c r="X49" s="33" t="s">
        <v>545</v>
      </c>
    </row>
    <row r="50" spans="1:24">
      <c r="A50" s="29">
        <v>47500042</v>
      </c>
      <c r="B50" s="30" t="s">
        <v>703</v>
      </c>
      <c r="C50" s="152" t="s">
        <v>2216</v>
      </c>
      <c r="D50" s="30"/>
      <c r="E50" s="30">
        <v>0</v>
      </c>
      <c r="F50" s="200">
        <f t="shared" si="0"/>
        <v>0</v>
      </c>
      <c r="G50" s="30" t="s">
        <v>475</v>
      </c>
      <c r="H50" s="33">
        <v>100001</v>
      </c>
      <c r="I50" s="33">
        <v>10000</v>
      </c>
      <c r="J50" s="30" t="s">
        <v>475</v>
      </c>
      <c r="K50" s="33">
        <v>100001</v>
      </c>
      <c r="L50" s="33">
        <v>50000</v>
      </c>
      <c r="M50" s="30"/>
      <c r="N50" s="33" t="s">
        <v>545</v>
      </c>
      <c r="O50" s="33" t="s">
        <v>545</v>
      </c>
      <c r="P50" s="30"/>
      <c r="Q50" s="33" t="s">
        <v>545</v>
      </c>
      <c r="R50" s="33" t="s">
        <v>545</v>
      </c>
      <c r="S50" s="30"/>
      <c r="T50" s="33" t="s">
        <v>545</v>
      </c>
      <c r="U50" s="33" t="s">
        <v>545</v>
      </c>
      <c r="V50" s="30"/>
      <c r="W50" s="33" t="s">
        <v>545</v>
      </c>
      <c r="X50" s="33" t="s">
        <v>545</v>
      </c>
    </row>
    <row r="51" spans="1:24">
      <c r="A51" s="29">
        <v>47500043</v>
      </c>
      <c r="B51" s="30" t="s">
        <v>705</v>
      </c>
      <c r="C51" s="153" t="s">
        <v>2217</v>
      </c>
      <c r="D51" s="30"/>
      <c r="E51" s="30">
        <v>1</v>
      </c>
      <c r="F51" s="200">
        <f t="shared" si="0"/>
        <v>50000</v>
      </c>
      <c r="G51" s="30" t="s">
        <v>475</v>
      </c>
      <c r="H51" s="33">
        <v>100001</v>
      </c>
      <c r="I51" s="33">
        <v>10000</v>
      </c>
      <c r="J51" s="30" t="s">
        <v>475</v>
      </c>
      <c r="K51" s="33">
        <v>100001</v>
      </c>
      <c r="L51" s="33">
        <v>50000</v>
      </c>
      <c r="M51" s="30"/>
      <c r="N51" s="33" t="s">
        <v>545</v>
      </c>
      <c r="O51" s="33" t="s">
        <v>545</v>
      </c>
      <c r="P51" s="30"/>
      <c r="Q51" s="33" t="s">
        <v>545</v>
      </c>
      <c r="R51" s="33" t="s">
        <v>545</v>
      </c>
      <c r="S51" s="30"/>
      <c r="T51" s="33" t="s">
        <v>545</v>
      </c>
      <c r="U51" s="33" t="s">
        <v>545</v>
      </c>
      <c r="V51" s="30"/>
      <c r="W51" s="33" t="s">
        <v>545</v>
      </c>
      <c r="X51" s="33" t="s">
        <v>545</v>
      </c>
    </row>
    <row r="52" spans="1:24">
      <c r="A52" s="29">
        <v>47500044</v>
      </c>
      <c r="B52" s="203" t="s">
        <v>707</v>
      </c>
      <c r="C52" s="154" t="s">
        <v>2218</v>
      </c>
      <c r="D52" s="30" t="s">
        <v>2312</v>
      </c>
      <c r="E52" s="30"/>
      <c r="F52" s="200">
        <f t="shared" si="0"/>
        <v>0</v>
      </c>
      <c r="G52" s="30" t="s">
        <v>475</v>
      </c>
      <c r="H52" s="33">
        <v>100001</v>
      </c>
      <c r="I52" s="33">
        <v>10000</v>
      </c>
      <c r="J52" s="30" t="s">
        <v>475</v>
      </c>
      <c r="K52" s="33">
        <v>100001</v>
      </c>
      <c r="L52" s="33">
        <v>50000</v>
      </c>
      <c r="M52" s="30"/>
      <c r="N52" s="33" t="s">
        <v>545</v>
      </c>
      <c r="O52" s="33" t="s">
        <v>545</v>
      </c>
      <c r="P52" s="30"/>
      <c r="Q52" s="33" t="s">
        <v>545</v>
      </c>
      <c r="R52" s="33" t="s">
        <v>545</v>
      </c>
      <c r="S52" s="30"/>
      <c r="T52" s="33" t="s">
        <v>545</v>
      </c>
      <c r="U52" s="33" t="s">
        <v>545</v>
      </c>
      <c r="V52" s="30"/>
      <c r="W52" s="33" t="s">
        <v>545</v>
      </c>
      <c r="X52" s="33" t="s">
        <v>545</v>
      </c>
    </row>
    <row r="53" spans="1:24">
      <c r="A53" s="29">
        <v>47500045</v>
      </c>
      <c r="B53" s="30" t="s">
        <v>709</v>
      </c>
      <c r="C53" s="155" t="s">
        <v>2219</v>
      </c>
      <c r="D53" s="30"/>
      <c r="E53" s="30">
        <v>3</v>
      </c>
      <c r="F53" s="200">
        <f t="shared" si="0"/>
        <v>1300000</v>
      </c>
      <c r="G53" s="30" t="s">
        <v>475</v>
      </c>
      <c r="H53" s="33">
        <v>100001</v>
      </c>
      <c r="I53" s="33">
        <v>10000</v>
      </c>
      <c r="J53" s="30" t="s">
        <v>475</v>
      </c>
      <c r="K53" s="33">
        <v>100001</v>
      </c>
      <c r="L53" s="33">
        <v>1300000</v>
      </c>
      <c r="M53" s="30"/>
      <c r="N53" s="33" t="s">
        <v>545</v>
      </c>
      <c r="O53" s="33" t="s">
        <v>545</v>
      </c>
      <c r="P53" s="30"/>
      <c r="Q53" s="33" t="s">
        <v>545</v>
      </c>
      <c r="R53" s="33" t="s">
        <v>545</v>
      </c>
      <c r="S53" s="30"/>
      <c r="T53" s="33" t="s">
        <v>545</v>
      </c>
      <c r="U53" s="33" t="s">
        <v>545</v>
      </c>
      <c r="V53" s="30"/>
      <c r="W53" s="33" t="s">
        <v>545</v>
      </c>
      <c r="X53" s="33" t="s">
        <v>545</v>
      </c>
    </row>
    <row r="54" spans="1:24">
      <c r="A54" s="29">
        <v>47500046</v>
      </c>
      <c r="B54" s="203" t="s">
        <v>2264</v>
      </c>
      <c r="C54" s="156" t="s">
        <v>2220</v>
      </c>
      <c r="D54" s="30" t="s">
        <v>2312</v>
      </c>
      <c r="E54" s="30"/>
      <c r="F54" s="200">
        <f t="shared" si="0"/>
        <v>0</v>
      </c>
      <c r="G54" s="30" t="s">
        <v>475</v>
      </c>
      <c r="H54" s="33">
        <v>100001</v>
      </c>
      <c r="I54" s="33">
        <v>10000</v>
      </c>
      <c r="J54" s="30" t="s">
        <v>475</v>
      </c>
      <c r="K54" s="33">
        <v>100001</v>
      </c>
      <c r="L54" s="33">
        <v>50000</v>
      </c>
      <c r="M54" s="30"/>
      <c r="N54" s="33" t="s">
        <v>545</v>
      </c>
      <c r="O54" s="33" t="s">
        <v>545</v>
      </c>
      <c r="P54" s="30"/>
      <c r="Q54" s="33" t="s">
        <v>545</v>
      </c>
      <c r="R54" s="33" t="s">
        <v>545</v>
      </c>
      <c r="S54" s="30"/>
      <c r="T54" s="33" t="s">
        <v>545</v>
      </c>
      <c r="U54" s="33" t="s">
        <v>545</v>
      </c>
      <c r="V54" s="30"/>
      <c r="W54" s="33" t="s">
        <v>545</v>
      </c>
      <c r="X54" s="33" t="s">
        <v>545</v>
      </c>
    </row>
    <row r="55" spans="1:24">
      <c r="A55" s="29">
        <v>47500047</v>
      </c>
      <c r="B55" s="30" t="s">
        <v>2265</v>
      </c>
      <c r="C55" s="157" t="s">
        <v>2221</v>
      </c>
      <c r="D55" s="30"/>
      <c r="E55" s="30">
        <v>2</v>
      </c>
      <c r="F55" s="200">
        <f t="shared" si="0"/>
        <v>250000</v>
      </c>
      <c r="G55" s="30" t="s">
        <v>475</v>
      </c>
      <c r="H55" s="33">
        <v>100001</v>
      </c>
      <c r="I55" s="33">
        <v>10000</v>
      </c>
      <c r="J55" s="30" t="s">
        <v>475</v>
      </c>
      <c r="K55" s="33">
        <v>100001</v>
      </c>
      <c r="L55" s="33">
        <v>250000</v>
      </c>
      <c r="M55" s="30"/>
      <c r="N55" s="33" t="s">
        <v>545</v>
      </c>
      <c r="O55" s="33" t="s">
        <v>545</v>
      </c>
      <c r="P55" s="30"/>
      <c r="Q55" s="33" t="s">
        <v>545</v>
      </c>
      <c r="R55" s="33" t="s">
        <v>545</v>
      </c>
      <c r="S55" s="30"/>
      <c r="T55" s="33" t="s">
        <v>545</v>
      </c>
      <c r="U55" s="33" t="s">
        <v>545</v>
      </c>
      <c r="V55" s="30"/>
      <c r="W55" s="33" t="s">
        <v>545</v>
      </c>
      <c r="X55" s="33" t="s">
        <v>545</v>
      </c>
    </row>
    <row r="56" spans="1:24">
      <c r="A56" s="29">
        <v>47500048</v>
      </c>
      <c r="B56" s="30" t="s">
        <v>2266</v>
      </c>
      <c r="C56" s="158" t="s">
        <v>2222</v>
      </c>
      <c r="D56" s="30"/>
      <c r="E56" s="30">
        <v>1</v>
      </c>
      <c r="F56" s="200">
        <f t="shared" si="0"/>
        <v>50000</v>
      </c>
      <c r="G56" s="30" t="s">
        <v>475</v>
      </c>
      <c r="H56" s="33">
        <v>100001</v>
      </c>
      <c r="I56" s="33">
        <v>10000</v>
      </c>
      <c r="J56" s="30" t="s">
        <v>475</v>
      </c>
      <c r="K56" s="33">
        <v>100001</v>
      </c>
      <c r="L56" s="33">
        <v>50000</v>
      </c>
      <c r="M56" s="30"/>
      <c r="N56" s="33" t="s">
        <v>545</v>
      </c>
      <c r="O56" s="33" t="s">
        <v>545</v>
      </c>
      <c r="P56" s="30"/>
      <c r="Q56" s="33" t="s">
        <v>545</v>
      </c>
      <c r="R56" s="33" t="s">
        <v>545</v>
      </c>
      <c r="S56" s="30"/>
      <c r="T56" s="33" t="s">
        <v>545</v>
      </c>
      <c r="U56" s="33" t="s">
        <v>545</v>
      </c>
      <c r="V56" s="30"/>
      <c r="W56" s="33" t="s">
        <v>545</v>
      </c>
      <c r="X56" s="33" t="s">
        <v>545</v>
      </c>
    </row>
    <row r="57" spans="1:24">
      <c r="A57" s="29">
        <v>47500049</v>
      </c>
      <c r="B57" s="30" t="s">
        <v>2267</v>
      </c>
      <c r="C57" s="159" t="s">
        <v>2223</v>
      </c>
      <c r="D57" s="30"/>
      <c r="E57" s="30">
        <v>1</v>
      </c>
      <c r="F57" s="200">
        <f t="shared" si="0"/>
        <v>50000</v>
      </c>
      <c r="G57" s="30" t="s">
        <v>475</v>
      </c>
      <c r="H57" s="33">
        <v>100001</v>
      </c>
      <c r="I57" s="33">
        <v>10000</v>
      </c>
      <c r="J57" s="30" t="s">
        <v>475</v>
      </c>
      <c r="K57" s="33">
        <v>100001</v>
      </c>
      <c r="L57" s="33">
        <v>50000</v>
      </c>
      <c r="M57" s="30"/>
      <c r="N57" s="33" t="s">
        <v>545</v>
      </c>
      <c r="O57" s="33" t="s">
        <v>545</v>
      </c>
      <c r="P57" s="30"/>
      <c r="Q57" s="33" t="s">
        <v>545</v>
      </c>
      <c r="R57" s="33" t="s">
        <v>545</v>
      </c>
      <c r="S57" s="30"/>
      <c r="T57" s="33" t="s">
        <v>545</v>
      </c>
      <c r="U57" s="33" t="s">
        <v>545</v>
      </c>
      <c r="V57" s="30"/>
      <c r="W57" s="33" t="s">
        <v>545</v>
      </c>
      <c r="X57" s="33" t="s">
        <v>545</v>
      </c>
    </row>
    <row r="58" spans="1:24">
      <c r="A58" s="29">
        <v>47500050</v>
      </c>
      <c r="B58" s="203" t="s">
        <v>2268</v>
      </c>
      <c r="C58" s="160" t="s">
        <v>2224</v>
      </c>
      <c r="D58" s="30" t="s">
        <v>2312</v>
      </c>
      <c r="E58" s="30"/>
      <c r="F58" s="200">
        <f t="shared" si="0"/>
        <v>0</v>
      </c>
      <c r="G58" s="30" t="s">
        <v>475</v>
      </c>
      <c r="H58" s="33">
        <v>100001</v>
      </c>
      <c r="I58" s="33">
        <v>10000</v>
      </c>
      <c r="J58" s="30" t="s">
        <v>475</v>
      </c>
      <c r="K58" s="33">
        <v>100001</v>
      </c>
      <c r="L58" s="33">
        <v>50000</v>
      </c>
      <c r="M58" s="30"/>
      <c r="N58" s="33" t="s">
        <v>545</v>
      </c>
      <c r="O58" s="33" t="s">
        <v>545</v>
      </c>
      <c r="P58" s="30"/>
      <c r="Q58" s="33" t="s">
        <v>545</v>
      </c>
      <c r="R58" s="33" t="s">
        <v>545</v>
      </c>
      <c r="S58" s="30"/>
      <c r="T58" s="33" t="s">
        <v>545</v>
      </c>
      <c r="U58" s="33" t="s">
        <v>545</v>
      </c>
      <c r="V58" s="30"/>
      <c r="W58" s="33" t="s">
        <v>545</v>
      </c>
      <c r="X58" s="33" t="s">
        <v>545</v>
      </c>
    </row>
    <row r="59" spans="1:24">
      <c r="A59" s="29">
        <v>47500051</v>
      </c>
      <c r="B59" s="30" t="s">
        <v>2269</v>
      </c>
      <c r="C59" s="161" t="s">
        <v>2225</v>
      </c>
      <c r="D59" s="30"/>
      <c r="E59" s="30">
        <v>2</v>
      </c>
      <c r="F59" s="200">
        <f t="shared" si="0"/>
        <v>250000</v>
      </c>
      <c r="G59" s="30" t="s">
        <v>475</v>
      </c>
      <c r="H59" s="33">
        <v>100001</v>
      </c>
      <c r="I59" s="33">
        <v>10000</v>
      </c>
      <c r="J59" s="30" t="s">
        <v>475</v>
      </c>
      <c r="K59" s="33">
        <v>100001</v>
      </c>
      <c r="L59" s="33">
        <v>250000</v>
      </c>
      <c r="M59" s="30"/>
      <c r="N59" s="33" t="s">
        <v>545</v>
      </c>
      <c r="O59" s="33" t="s">
        <v>545</v>
      </c>
      <c r="P59" s="30"/>
      <c r="Q59" s="33" t="s">
        <v>545</v>
      </c>
      <c r="R59" s="33" t="s">
        <v>545</v>
      </c>
      <c r="S59" s="30"/>
      <c r="T59" s="33" t="s">
        <v>545</v>
      </c>
      <c r="U59" s="33" t="s">
        <v>545</v>
      </c>
      <c r="V59" s="30"/>
      <c r="W59" s="33" t="s">
        <v>545</v>
      </c>
      <c r="X59" s="33" t="s">
        <v>545</v>
      </c>
    </row>
    <row r="60" spans="1:24">
      <c r="A60" s="29">
        <v>47500052</v>
      </c>
      <c r="B60" s="203" t="s">
        <v>2270</v>
      </c>
      <c r="C60" s="162" t="s">
        <v>2226</v>
      </c>
      <c r="D60" s="30" t="s">
        <v>2312</v>
      </c>
      <c r="E60" s="30"/>
      <c r="F60" s="200">
        <f t="shared" si="0"/>
        <v>0</v>
      </c>
      <c r="G60" s="30" t="s">
        <v>475</v>
      </c>
      <c r="H60" s="33">
        <v>100001</v>
      </c>
      <c r="I60" s="33">
        <v>10000</v>
      </c>
      <c r="J60" s="30" t="s">
        <v>475</v>
      </c>
      <c r="K60" s="33">
        <v>100001</v>
      </c>
      <c r="L60" s="33">
        <v>50000</v>
      </c>
      <c r="M60" s="30"/>
      <c r="N60" s="33" t="s">
        <v>545</v>
      </c>
      <c r="O60" s="33" t="s">
        <v>545</v>
      </c>
      <c r="P60" s="30"/>
      <c r="Q60" s="33" t="s">
        <v>545</v>
      </c>
      <c r="R60" s="33" t="s">
        <v>545</v>
      </c>
      <c r="S60" s="30"/>
      <c r="T60" s="33" t="s">
        <v>545</v>
      </c>
      <c r="U60" s="33" t="s">
        <v>545</v>
      </c>
      <c r="V60" s="30"/>
      <c r="W60" s="33" t="s">
        <v>545</v>
      </c>
      <c r="X60" s="33" t="s">
        <v>545</v>
      </c>
    </row>
    <row r="61" spans="1:24">
      <c r="A61" s="29">
        <v>47500053</v>
      </c>
      <c r="B61" s="30" t="s">
        <v>2271</v>
      </c>
      <c r="C61" s="163" t="s">
        <v>2227</v>
      </c>
      <c r="D61" s="30"/>
      <c r="E61" s="30">
        <v>1</v>
      </c>
      <c r="F61" s="200">
        <f t="shared" si="0"/>
        <v>50000</v>
      </c>
      <c r="G61" s="30" t="s">
        <v>475</v>
      </c>
      <c r="H61" s="33">
        <v>100001</v>
      </c>
      <c r="I61" s="33">
        <v>10000</v>
      </c>
      <c r="J61" s="30" t="s">
        <v>475</v>
      </c>
      <c r="K61" s="33">
        <v>100001</v>
      </c>
      <c r="L61" s="33">
        <v>50000</v>
      </c>
      <c r="M61" s="30"/>
      <c r="N61" s="33" t="s">
        <v>545</v>
      </c>
      <c r="O61" s="33" t="s">
        <v>545</v>
      </c>
      <c r="P61" s="30"/>
      <c r="Q61" s="33" t="s">
        <v>545</v>
      </c>
      <c r="R61" s="33" t="s">
        <v>545</v>
      </c>
      <c r="S61" s="30"/>
      <c r="T61" s="33" t="s">
        <v>545</v>
      </c>
      <c r="U61" s="33" t="s">
        <v>545</v>
      </c>
      <c r="V61" s="30"/>
      <c r="W61" s="33" t="s">
        <v>545</v>
      </c>
      <c r="X61" s="33" t="s">
        <v>545</v>
      </c>
    </row>
    <row r="62" spans="1:24">
      <c r="A62" s="29">
        <v>47500054</v>
      </c>
      <c r="B62" s="30" t="s">
        <v>2272</v>
      </c>
      <c r="C62" s="164" t="s">
        <v>2228</v>
      </c>
      <c r="D62" s="30"/>
      <c r="E62" s="30">
        <v>2</v>
      </c>
      <c r="F62" s="200">
        <f t="shared" si="0"/>
        <v>250000</v>
      </c>
      <c r="G62" s="30" t="s">
        <v>475</v>
      </c>
      <c r="H62" s="33">
        <v>100001</v>
      </c>
      <c r="I62" s="33">
        <v>10000</v>
      </c>
      <c r="J62" s="30" t="s">
        <v>475</v>
      </c>
      <c r="K62" s="33">
        <v>100001</v>
      </c>
      <c r="L62" s="33">
        <v>250000</v>
      </c>
      <c r="M62" s="30"/>
      <c r="N62" s="33" t="s">
        <v>545</v>
      </c>
      <c r="O62" s="33" t="s">
        <v>545</v>
      </c>
      <c r="P62" s="30"/>
      <c r="Q62" s="33" t="s">
        <v>545</v>
      </c>
      <c r="R62" s="33" t="s">
        <v>545</v>
      </c>
      <c r="S62" s="30"/>
      <c r="T62" s="33" t="s">
        <v>545</v>
      </c>
      <c r="U62" s="33" t="s">
        <v>545</v>
      </c>
      <c r="V62" s="30"/>
      <c r="W62" s="33" t="s">
        <v>545</v>
      </c>
      <c r="X62" s="33" t="s">
        <v>545</v>
      </c>
    </row>
    <row r="63" spans="1:24">
      <c r="A63" s="29">
        <v>47500055</v>
      </c>
      <c r="B63" s="30" t="s">
        <v>2273</v>
      </c>
      <c r="C63" s="165" t="s">
        <v>2229</v>
      </c>
      <c r="D63" s="30"/>
      <c r="E63" s="30">
        <v>2</v>
      </c>
      <c r="F63" s="200">
        <f t="shared" si="0"/>
        <v>250000</v>
      </c>
      <c r="G63" s="30" t="s">
        <v>475</v>
      </c>
      <c r="H63" s="33">
        <v>100001</v>
      </c>
      <c r="I63" s="33">
        <v>10000</v>
      </c>
      <c r="J63" s="30" t="s">
        <v>475</v>
      </c>
      <c r="K63" s="33">
        <v>100001</v>
      </c>
      <c r="L63" s="33">
        <v>250000</v>
      </c>
      <c r="M63" s="30"/>
      <c r="N63" s="33" t="s">
        <v>545</v>
      </c>
      <c r="O63" s="33" t="s">
        <v>545</v>
      </c>
      <c r="P63" s="30"/>
      <c r="Q63" s="33" t="s">
        <v>545</v>
      </c>
      <c r="R63" s="33" t="s">
        <v>545</v>
      </c>
      <c r="S63" s="30"/>
      <c r="T63" s="33" t="s">
        <v>545</v>
      </c>
      <c r="U63" s="33" t="s">
        <v>545</v>
      </c>
      <c r="V63" s="30"/>
      <c r="W63" s="33" t="s">
        <v>545</v>
      </c>
      <c r="X63" s="33" t="s">
        <v>545</v>
      </c>
    </row>
    <row r="64" spans="1:24">
      <c r="A64" s="29">
        <v>47500056</v>
      </c>
      <c r="B64" s="203" t="s">
        <v>2274</v>
      </c>
      <c r="C64" s="166" t="s">
        <v>2230</v>
      </c>
      <c r="D64" s="30" t="s">
        <v>2312</v>
      </c>
      <c r="E64" s="30"/>
      <c r="F64" s="200">
        <f t="shared" si="0"/>
        <v>0</v>
      </c>
      <c r="G64" s="30" t="s">
        <v>475</v>
      </c>
      <c r="H64" s="33">
        <v>100001</v>
      </c>
      <c r="I64" s="33">
        <v>10000</v>
      </c>
      <c r="J64" s="30" t="s">
        <v>475</v>
      </c>
      <c r="K64" s="33">
        <v>100001</v>
      </c>
      <c r="L64" s="33">
        <v>50000</v>
      </c>
      <c r="M64" s="30"/>
      <c r="N64" s="33" t="s">
        <v>545</v>
      </c>
      <c r="O64" s="33" t="s">
        <v>545</v>
      </c>
      <c r="P64" s="30"/>
      <c r="Q64" s="33" t="s">
        <v>545</v>
      </c>
      <c r="R64" s="33" t="s">
        <v>545</v>
      </c>
      <c r="S64" s="30"/>
      <c r="T64" s="33" t="s">
        <v>545</v>
      </c>
      <c r="U64" s="33" t="s">
        <v>545</v>
      </c>
      <c r="V64" s="30"/>
      <c r="W64" s="33" t="s">
        <v>545</v>
      </c>
      <c r="X64" s="33" t="s">
        <v>545</v>
      </c>
    </row>
    <row r="65" spans="1:24">
      <c r="A65" s="29">
        <v>47500057</v>
      </c>
      <c r="B65" s="30" t="s">
        <v>2275</v>
      </c>
      <c r="C65" s="167" t="s">
        <v>2231</v>
      </c>
      <c r="D65" s="30"/>
      <c r="E65" s="30">
        <v>1</v>
      </c>
      <c r="F65" s="200">
        <f t="shared" si="0"/>
        <v>50000</v>
      </c>
      <c r="G65" s="30" t="s">
        <v>475</v>
      </c>
      <c r="H65" s="33">
        <v>100001</v>
      </c>
      <c r="I65" s="33">
        <v>10000</v>
      </c>
      <c r="J65" s="30" t="s">
        <v>475</v>
      </c>
      <c r="K65" s="33">
        <v>100001</v>
      </c>
      <c r="L65" s="33">
        <v>50000</v>
      </c>
      <c r="M65" s="30"/>
      <c r="N65" s="33" t="s">
        <v>545</v>
      </c>
      <c r="O65" s="33" t="s">
        <v>545</v>
      </c>
      <c r="P65" s="30"/>
      <c r="Q65" s="33" t="s">
        <v>545</v>
      </c>
      <c r="R65" s="33" t="s">
        <v>545</v>
      </c>
      <c r="S65" s="30"/>
      <c r="T65" s="33" t="s">
        <v>545</v>
      </c>
      <c r="U65" s="33" t="s">
        <v>545</v>
      </c>
      <c r="V65" s="30"/>
      <c r="W65" s="33" t="s">
        <v>545</v>
      </c>
      <c r="X65" s="33" t="s">
        <v>545</v>
      </c>
    </row>
    <row r="66" spans="1:24">
      <c r="A66" s="29">
        <v>47500058</v>
      </c>
      <c r="B66" s="203" t="s">
        <v>2276</v>
      </c>
      <c r="C66" s="168" t="s">
        <v>2232</v>
      </c>
      <c r="D66" s="30" t="s">
        <v>2312</v>
      </c>
      <c r="E66" s="30"/>
      <c r="F66" s="200">
        <f t="shared" si="0"/>
        <v>0</v>
      </c>
      <c r="G66" s="30" t="s">
        <v>475</v>
      </c>
      <c r="H66" s="33">
        <v>100001</v>
      </c>
      <c r="I66" s="33">
        <v>10000</v>
      </c>
      <c r="J66" s="30" t="s">
        <v>475</v>
      </c>
      <c r="K66" s="33">
        <v>100001</v>
      </c>
      <c r="L66" s="33">
        <v>50000</v>
      </c>
      <c r="M66" s="30"/>
      <c r="N66" s="33" t="s">
        <v>545</v>
      </c>
      <c r="O66" s="33" t="s">
        <v>545</v>
      </c>
      <c r="P66" s="30"/>
      <c r="Q66" s="33" t="s">
        <v>545</v>
      </c>
      <c r="R66" s="33" t="s">
        <v>545</v>
      </c>
      <c r="S66" s="30"/>
      <c r="T66" s="33" t="s">
        <v>545</v>
      </c>
      <c r="U66" s="33" t="s">
        <v>545</v>
      </c>
      <c r="V66" s="30"/>
      <c r="W66" s="33" t="s">
        <v>545</v>
      </c>
      <c r="X66" s="33" t="s">
        <v>545</v>
      </c>
    </row>
    <row r="67" spans="1:24">
      <c r="A67" s="29">
        <v>47500059</v>
      </c>
      <c r="B67" s="30" t="s">
        <v>2277</v>
      </c>
      <c r="C67" s="169" t="s">
        <v>2233</v>
      </c>
      <c r="D67" s="30"/>
      <c r="E67" s="30">
        <v>3</v>
      </c>
      <c r="F67" s="200">
        <f t="shared" si="0"/>
        <v>1300000</v>
      </c>
      <c r="G67" s="30" t="s">
        <v>475</v>
      </c>
      <c r="H67" s="33">
        <v>100001</v>
      </c>
      <c r="I67" s="33">
        <v>10000</v>
      </c>
      <c r="J67" s="30" t="s">
        <v>475</v>
      </c>
      <c r="K67" s="33">
        <v>100001</v>
      </c>
      <c r="L67" s="33">
        <v>1300000</v>
      </c>
      <c r="M67" s="30"/>
      <c r="N67" s="33" t="s">
        <v>545</v>
      </c>
      <c r="O67" s="33" t="s">
        <v>545</v>
      </c>
      <c r="P67" s="30"/>
      <c r="Q67" s="33" t="s">
        <v>545</v>
      </c>
      <c r="R67" s="33" t="s">
        <v>545</v>
      </c>
      <c r="S67" s="30"/>
      <c r="T67" s="33" t="s">
        <v>545</v>
      </c>
      <c r="U67" s="33" t="s">
        <v>545</v>
      </c>
      <c r="V67" s="30"/>
      <c r="W67" s="33" t="s">
        <v>545</v>
      </c>
      <c r="X67" s="33" t="s">
        <v>545</v>
      </c>
    </row>
    <row r="68" spans="1:24">
      <c r="A68" s="29">
        <v>47500060</v>
      </c>
      <c r="B68" s="30" t="s">
        <v>2278</v>
      </c>
      <c r="C68" s="170" t="s">
        <v>2234</v>
      </c>
      <c r="D68" s="30"/>
      <c r="E68" s="30">
        <v>2</v>
      </c>
      <c r="F68" s="200">
        <f t="shared" si="0"/>
        <v>250000</v>
      </c>
      <c r="G68" s="30" t="s">
        <v>475</v>
      </c>
      <c r="H68" s="33">
        <v>100001</v>
      </c>
      <c r="I68" s="33">
        <v>10000</v>
      </c>
      <c r="J68" s="30" t="s">
        <v>475</v>
      </c>
      <c r="K68" s="33">
        <v>100001</v>
      </c>
      <c r="L68" s="33">
        <v>250000</v>
      </c>
      <c r="M68" s="30"/>
      <c r="N68" s="33" t="s">
        <v>545</v>
      </c>
      <c r="O68" s="33" t="s">
        <v>545</v>
      </c>
      <c r="P68" s="30"/>
      <c r="Q68" s="33" t="s">
        <v>545</v>
      </c>
      <c r="R68" s="33" t="s">
        <v>545</v>
      </c>
      <c r="S68" s="30"/>
      <c r="T68" s="33" t="s">
        <v>545</v>
      </c>
      <c r="U68" s="33" t="s">
        <v>545</v>
      </c>
      <c r="V68" s="30"/>
      <c r="W68" s="33" t="s">
        <v>545</v>
      </c>
      <c r="X68" s="33" t="s">
        <v>545</v>
      </c>
    </row>
    <row r="69" spans="1:24">
      <c r="A69" s="29">
        <v>47500061</v>
      </c>
      <c r="B69" s="30" t="s">
        <v>2279</v>
      </c>
      <c r="C69" s="171" t="s">
        <v>2235</v>
      </c>
      <c r="D69" s="30"/>
      <c r="E69" s="30">
        <v>1</v>
      </c>
      <c r="F69" s="200">
        <f t="shared" si="0"/>
        <v>50000</v>
      </c>
      <c r="G69" s="30" t="s">
        <v>475</v>
      </c>
      <c r="H69" s="33">
        <v>100001</v>
      </c>
      <c r="I69" s="33">
        <v>10000</v>
      </c>
      <c r="J69" s="30" t="s">
        <v>475</v>
      </c>
      <c r="K69" s="33">
        <v>100001</v>
      </c>
      <c r="L69" s="33">
        <v>50000</v>
      </c>
      <c r="M69" s="30"/>
      <c r="N69" s="33" t="s">
        <v>545</v>
      </c>
      <c r="O69" s="33" t="s">
        <v>545</v>
      </c>
      <c r="P69" s="30"/>
      <c r="Q69" s="33" t="s">
        <v>545</v>
      </c>
      <c r="R69" s="33" t="s">
        <v>545</v>
      </c>
      <c r="S69" s="30"/>
      <c r="T69" s="33" t="s">
        <v>545</v>
      </c>
      <c r="U69" s="33" t="s">
        <v>545</v>
      </c>
      <c r="V69" s="30"/>
      <c r="W69" s="33" t="s">
        <v>545</v>
      </c>
      <c r="X69" s="33" t="s">
        <v>545</v>
      </c>
    </row>
    <row r="70" spans="1:24">
      <c r="A70" s="29">
        <v>47500062</v>
      </c>
      <c r="B70" s="203" t="s">
        <v>2280</v>
      </c>
      <c r="C70" s="172" t="s">
        <v>2236</v>
      </c>
      <c r="D70" s="30" t="s">
        <v>2312</v>
      </c>
      <c r="E70" s="30"/>
      <c r="F70" s="200">
        <f t="shared" si="0"/>
        <v>0</v>
      </c>
      <c r="G70" s="30" t="s">
        <v>475</v>
      </c>
      <c r="H70" s="33">
        <v>100001</v>
      </c>
      <c r="I70" s="33">
        <v>10000</v>
      </c>
      <c r="J70" s="30" t="s">
        <v>475</v>
      </c>
      <c r="K70" s="33">
        <v>100001</v>
      </c>
      <c r="L70" s="33">
        <v>50000</v>
      </c>
      <c r="M70" s="30"/>
      <c r="N70" s="33" t="s">
        <v>545</v>
      </c>
      <c r="O70" s="33" t="s">
        <v>545</v>
      </c>
      <c r="P70" s="30"/>
      <c r="Q70" s="33" t="s">
        <v>545</v>
      </c>
      <c r="R70" s="33" t="s">
        <v>545</v>
      </c>
      <c r="S70" s="30"/>
      <c r="T70" s="33" t="s">
        <v>545</v>
      </c>
      <c r="U70" s="33" t="s">
        <v>545</v>
      </c>
      <c r="V70" s="30"/>
      <c r="W70" s="33" t="s">
        <v>545</v>
      </c>
      <c r="X70" s="33" t="s">
        <v>545</v>
      </c>
    </row>
    <row r="71" spans="1:24">
      <c r="A71" s="29">
        <v>47500063</v>
      </c>
      <c r="B71" s="30" t="s">
        <v>2281</v>
      </c>
      <c r="C71" s="173" t="s">
        <v>2237</v>
      </c>
      <c r="D71" s="30"/>
      <c r="E71" s="30">
        <v>1</v>
      </c>
      <c r="F71" s="200">
        <f t="shared" si="0"/>
        <v>50000</v>
      </c>
      <c r="G71" s="30" t="s">
        <v>475</v>
      </c>
      <c r="H71" s="33">
        <v>100001</v>
      </c>
      <c r="I71" s="33">
        <v>10000</v>
      </c>
      <c r="J71" s="30" t="s">
        <v>475</v>
      </c>
      <c r="K71" s="33">
        <v>100001</v>
      </c>
      <c r="L71" s="33">
        <v>50000</v>
      </c>
      <c r="M71" s="30"/>
      <c r="N71" s="33" t="s">
        <v>545</v>
      </c>
      <c r="O71" s="33" t="s">
        <v>545</v>
      </c>
      <c r="P71" s="30"/>
      <c r="Q71" s="33" t="s">
        <v>545</v>
      </c>
      <c r="R71" s="33" t="s">
        <v>545</v>
      </c>
      <c r="S71" s="30"/>
      <c r="T71" s="33" t="s">
        <v>545</v>
      </c>
      <c r="U71" s="33" t="s">
        <v>545</v>
      </c>
      <c r="V71" s="30"/>
      <c r="W71" s="33" t="s">
        <v>545</v>
      </c>
      <c r="X71" s="33" t="s">
        <v>545</v>
      </c>
    </row>
    <row r="72" spans="1:24">
      <c r="A72" s="29">
        <v>47500064</v>
      </c>
      <c r="B72" s="203" t="s">
        <v>2282</v>
      </c>
      <c r="C72" s="174" t="s">
        <v>2238</v>
      </c>
      <c r="D72" s="30" t="s">
        <v>2312</v>
      </c>
      <c r="E72" s="30"/>
      <c r="F72" s="200">
        <f t="shared" ref="F72:F98" si="1">IFERROR(INT(POWER(5,(POWER(E72-1,1.02)))) * 50000, 0)</f>
        <v>0</v>
      </c>
      <c r="G72" s="30" t="s">
        <v>475</v>
      </c>
      <c r="H72" s="33">
        <v>100001</v>
      </c>
      <c r="I72" s="33">
        <v>10000</v>
      </c>
      <c r="J72" s="30" t="s">
        <v>475</v>
      </c>
      <c r="K72" s="33">
        <v>100001</v>
      </c>
      <c r="L72" s="33">
        <v>50000</v>
      </c>
      <c r="M72" s="30"/>
      <c r="N72" s="33" t="s">
        <v>545</v>
      </c>
      <c r="O72" s="33" t="s">
        <v>545</v>
      </c>
      <c r="P72" s="30"/>
      <c r="Q72" s="33" t="s">
        <v>545</v>
      </c>
      <c r="R72" s="33" t="s">
        <v>545</v>
      </c>
      <c r="S72" s="30"/>
      <c r="T72" s="33" t="s">
        <v>545</v>
      </c>
      <c r="U72" s="33" t="s">
        <v>545</v>
      </c>
      <c r="V72" s="30"/>
      <c r="W72" s="33" t="s">
        <v>545</v>
      </c>
      <c r="X72" s="33" t="s">
        <v>545</v>
      </c>
    </row>
    <row r="73" spans="1:24">
      <c r="A73" s="29">
        <v>47500065</v>
      </c>
      <c r="B73" s="30" t="s">
        <v>2283</v>
      </c>
      <c r="C73" s="175" t="s">
        <v>2239</v>
      </c>
      <c r="D73" s="30"/>
      <c r="E73" s="30">
        <v>2</v>
      </c>
      <c r="F73" s="200">
        <f t="shared" si="1"/>
        <v>250000</v>
      </c>
      <c r="G73" s="30" t="s">
        <v>475</v>
      </c>
      <c r="H73" s="33">
        <v>100001</v>
      </c>
      <c r="I73" s="33">
        <v>10000</v>
      </c>
      <c r="J73" s="30" t="s">
        <v>475</v>
      </c>
      <c r="K73" s="33">
        <v>100001</v>
      </c>
      <c r="L73" s="33">
        <v>250000</v>
      </c>
      <c r="M73" s="30"/>
      <c r="N73" s="33" t="s">
        <v>545</v>
      </c>
      <c r="O73" s="33" t="s">
        <v>545</v>
      </c>
      <c r="P73" s="30"/>
      <c r="Q73" s="33" t="s">
        <v>545</v>
      </c>
      <c r="R73" s="33" t="s">
        <v>545</v>
      </c>
      <c r="S73" s="30"/>
      <c r="T73" s="33" t="s">
        <v>545</v>
      </c>
      <c r="U73" s="33" t="s">
        <v>545</v>
      </c>
      <c r="V73" s="30"/>
      <c r="W73" s="33" t="s">
        <v>545</v>
      </c>
      <c r="X73" s="33" t="s">
        <v>545</v>
      </c>
    </row>
    <row r="74" spans="1:24">
      <c r="A74" s="29">
        <v>47500066</v>
      </c>
      <c r="B74" s="30" t="s">
        <v>2284</v>
      </c>
      <c r="C74" s="176" t="s">
        <v>2240</v>
      </c>
      <c r="D74" s="30"/>
      <c r="E74" s="30">
        <v>1</v>
      </c>
      <c r="F74" s="200">
        <f t="shared" si="1"/>
        <v>50000</v>
      </c>
      <c r="G74" s="30" t="s">
        <v>475</v>
      </c>
      <c r="H74" s="33">
        <v>100001</v>
      </c>
      <c r="I74" s="33">
        <v>10000</v>
      </c>
      <c r="J74" s="30" t="s">
        <v>475</v>
      </c>
      <c r="K74" s="33">
        <v>100001</v>
      </c>
      <c r="L74" s="33">
        <v>50000</v>
      </c>
      <c r="M74" s="30"/>
      <c r="N74" s="33" t="s">
        <v>545</v>
      </c>
      <c r="O74" s="33" t="s">
        <v>545</v>
      </c>
      <c r="P74" s="30"/>
      <c r="Q74" s="33" t="s">
        <v>545</v>
      </c>
      <c r="R74" s="33" t="s">
        <v>545</v>
      </c>
      <c r="S74" s="30"/>
      <c r="T74" s="33" t="s">
        <v>545</v>
      </c>
      <c r="U74" s="33" t="s">
        <v>545</v>
      </c>
      <c r="V74" s="30"/>
      <c r="W74" s="33" t="s">
        <v>545</v>
      </c>
      <c r="X74" s="33" t="s">
        <v>545</v>
      </c>
    </row>
    <row r="75" spans="1:24">
      <c r="A75" s="29">
        <v>47500067</v>
      </c>
      <c r="B75" s="30" t="s">
        <v>2285</v>
      </c>
      <c r="C75" s="177" t="s">
        <v>2241</v>
      </c>
      <c r="D75" s="30"/>
      <c r="E75" s="30">
        <v>2</v>
      </c>
      <c r="F75" s="200">
        <f t="shared" si="1"/>
        <v>250000</v>
      </c>
      <c r="G75" s="30" t="s">
        <v>475</v>
      </c>
      <c r="H75" s="33">
        <v>100001</v>
      </c>
      <c r="I75" s="33">
        <v>10000</v>
      </c>
      <c r="J75" s="30" t="s">
        <v>475</v>
      </c>
      <c r="K75" s="33">
        <v>100001</v>
      </c>
      <c r="L75" s="33">
        <v>250000</v>
      </c>
      <c r="M75" s="30"/>
      <c r="N75" s="33" t="s">
        <v>545</v>
      </c>
      <c r="O75" s="33" t="s">
        <v>545</v>
      </c>
      <c r="P75" s="30"/>
      <c r="Q75" s="33" t="s">
        <v>545</v>
      </c>
      <c r="R75" s="33" t="s">
        <v>545</v>
      </c>
      <c r="S75" s="30"/>
      <c r="T75" s="33" t="s">
        <v>545</v>
      </c>
      <c r="U75" s="33" t="s">
        <v>545</v>
      </c>
      <c r="V75" s="30"/>
      <c r="W75" s="33" t="s">
        <v>545</v>
      </c>
      <c r="X75" s="33" t="s">
        <v>545</v>
      </c>
    </row>
    <row r="76" spans="1:24">
      <c r="A76" s="29">
        <v>47500068</v>
      </c>
      <c r="B76" s="203" t="s">
        <v>2286</v>
      </c>
      <c r="C76" s="178" t="s">
        <v>2242</v>
      </c>
      <c r="D76" s="30" t="s">
        <v>2312</v>
      </c>
      <c r="E76" s="30"/>
      <c r="F76" s="200">
        <f t="shared" si="1"/>
        <v>0</v>
      </c>
      <c r="G76" s="30" t="s">
        <v>475</v>
      </c>
      <c r="H76" s="33">
        <v>100001</v>
      </c>
      <c r="I76" s="33">
        <v>10000</v>
      </c>
      <c r="J76" s="30" t="s">
        <v>475</v>
      </c>
      <c r="K76" s="33">
        <v>100001</v>
      </c>
      <c r="L76" s="33">
        <v>50000</v>
      </c>
      <c r="M76" s="30"/>
      <c r="N76" s="33" t="s">
        <v>545</v>
      </c>
      <c r="O76" s="33" t="s">
        <v>545</v>
      </c>
      <c r="P76" s="30"/>
      <c r="Q76" s="33" t="s">
        <v>545</v>
      </c>
      <c r="R76" s="33" t="s">
        <v>545</v>
      </c>
      <c r="S76" s="30"/>
      <c r="T76" s="33" t="s">
        <v>545</v>
      </c>
      <c r="U76" s="33" t="s">
        <v>545</v>
      </c>
      <c r="V76" s="30"/>
      <c r="W76" s="33" t="s">
        <v>545</v>
      </c>
      <c r="X76" s="33" t="s">
        <v>545</v>
      </c>
    </row>
    <row r="77" spans="1:24">
      <c r="A77" s="29">
        <v>47500069</v>
      </c>
      <c r="B77" s="30" t="s">
        <v>2287</v>
      </c>
      <c r="C77" s="179" t="s">
        <v>2243</v>
      </c>
      <c r="D77" s="30"/>
      <c r="E77" s="30">
        <v>2</v>
      </c>
      <c r="F77" s="200">
        <f t="shared" si="1"/>
        <v>250000</v>
      </c>
      <c r="G77" s="30" t="s">
        <v>475</v>
      </c>
      <c r="H77" s="33">
        <v>100001</v>
      </c>
      <c r="I77" s="33">
        <v>10000</v>
      </c>
      <c r="J77" s="30" t="s">
        <v>475</v>
      </c>
      <c r="K77" s="33">
        <v>100001</v>
      </c>
      <c r="L77" s="33">
        <v>250000</v>
      </c>
      <c r="M77" s="30"/>
      <c r="N77" s="33" t="s">
        <v>545</v>
      </c>
      <c r="O77" s="33" t="s">
        <v>545</v>
      </c>
      <c r="P77" s="30"/>
      <c r="Q77" s="33" t="s">
        <v>545</v>
      </c>
      <c r="R77" s="33" t="s">
        <v>545</v>
      </c>
      <c r="S77" s="30"/>
      <c r="T77" s="33" t="s">
        <v>545</v>
      </c>
      <c r="U77" s="33" t="s">
        <v>545</v>
      </c>
      <c r="V77" s="30"/>
      <c r="W77" s="33" t="s">
        <v>545</v>
      </c>
      <c r="X77" s="33" t="s">
        <v>545</v>
      </c>
    </row>
    <row r="78" spans="1:24">
      <c r="A78" s="29">
        <v>47500070</v>
      </c>
      <c r="B78" s="203" t="s">
        <v>2288</v>
      </c>
      <c r="C78" s="180" t="s">
        <v>2244</v>
      </c>
      <c r="D78" s="30" t="s">
        <v>2312</v>
      </c>
      <c r="E78" s="30"/>
      <c r="F78" s="200">
        <f t="shared" si="1"/>
        <v>0</v>
      </c>
      <c r="G78" s="30" t="s">
        <v>475</v>
      </c>
      <c r="H78" s="33">
        <v>100001</v>
      </c>
      <c r="I78" s="33">
        <v>10000</v>
      </c>
      <c r="J78" s="30" t="s">
        <v>475</v>
      </c>
      <c r="K78" s="33">
        <v>100001</v>
      </c>
      <c r="L78" s="33">
        <v>50000</v>
      </c>
      <c r="M78" s="30"/>
      <c r="N78" s="33" t="s">
        <v>545</v>
      </c>
      <c r="O78" s="33" t="s">
        <v>545</v>
      </c>
      <c r="P78" s="30"/>
      <c r="Q78" s="33" t="s">
        <v>545</v>
      </c>
      <c r="R78" s="33" t="s">
        <v>545</v>
      </c>
      <c r="S78" s="30"/>
      <c r="T78" s="33" t="s">
        <v>545</v>
      </c>
      <c r="U78" s="33" t="s">
        <v>545</v>
      </c>
      <c r="V78" s="30"/>
      <c r="W78" s="33" t="s">
        <v>545</v>
      </c>
      <c r="X78" s="33" t="s">
        <v>545</v>
      </c>
    </row>
    <row r="79" spans="1:24">
      <c r="A79" s="29">
        <v>47500071</v>
      </c>
      <c r="B79" s="30" t="s">
        <v>2289</v>
      </c>
      <c r="C79" s="181" t="s">
        <v>2245</v>
      </c>
      <c r="D79" s="30"/>
      <c r="E79" s="30">
        <v>1</v>
      </c>
      <c r="F79" s="200">
        <f t="shared" si="1"/>
        <v>50000</v>
      </c>
      <c r="G79" s="30" t="s">
        <v>475</v>
      </c>
      <c r="H79" s="33">
        <v>100001</v>
      </c>
      <c r="I79" s="33">
        <v>10000</v>
      </c>
      <c r="J79" s="30" t="s">
        <v>475</v>
      </c>
      <c r="K79" s="33">
        <v>100001</v>
      </c>
      <c r="L79" s="33">
        <v>50000</v>
      </c>
      <c r="M79" s="30"/>
      <c r="N79" s="33" t="s">
        <v>545</v>
      </c>
      <c r="O79" s="33" t="s">
        <v>545</v>
      </c>
      <c r="P79" s="30"/>
      <c r="Q79" s="33" t="s">
        <v>545</v>
      </c>
      <c r="R79" s="33" t="s">
        <v>545</v>
      </c>
      <c r="S79" s="30"/>
      <c r="T79" s="33" t="s">
        <v>545</v>
      </c>
      <c r="U79" s="33" t="s">
        <v>545</v>
      </c>
      <c r="V79" s="30"/>
      <c r="W79" s="33" t="s">
        <v>545</v>
      </c>
      <c r="X79" s="33" t="s">
        <v>545</v>
      </c>
    </row>
    <row r="80" spans="1:24">
      <c r="A80" s="29">
        <v>47500072</v>
      </c>
      <c r="B80" s="30" t="s">
        <v>2290</v>
      </c>
      <c r="C80" s="182" t="s">
        <v>2246</v>
      </c>
      <c r="D80" s="30"/>
      <c r="E80" s="30">
        <v>2</v>
      </c>
      <c r="F80" s="200">
        <f t="shared" si="1"/>
        <v>250000</v>
      </c>
      <c r="G80" s="30" t="s">
        <v>475</v>
      </c>
      <c r="H80" s="33">
        <v>100001</v>
      </c>
      <c r="I80" s="33">
        <v>10000</v>
      </c>
      <c r="J80" s="30" t="s">
        <v>475</v>
      </c>
      <c r="K80" s="33">
        <v>100001</v>
      </c>
      <c r="L80" s="33">
        <v>250000</v>
      </c>
      <c r="M80" s="30"/>
      <c r="N80" s="33" t="s">
        <v>545</v>
      </c>
      <c r="O80" s="33" t="s">
        <v>545</v>
      </c>
      <c r="P80" s="30"/>
      <c r="Q80" s="33" t="s">
        <v>545</v>
      </c>
      <c r="R80" s="33" t="s">
        <v>545</v>
      </c>
      <c r="S80" s="30"/>
      <c r="T80" s="33" t="s">
        <v>545</v>
      </c>
      <c r="U80" s="33" t="s">
        <v>545</v>
      </c>
      <c r="V80" s="30"/>
      <c r="W80" s="33" t="s">
        <v>545</v>
      </c>
      <c r="X80" s="33" t="s">
        <v>545</v>
      </c>
    </row>
    <row r="81" spans="1:24">
      <c r="A81" s="29">
        <v>47500073</v>
      </c>
      <c r="B81" s="30" t="s">
        <v>2291</v>
      </c>
      <c r="C81" s="184" t="s">
        <v>2247</v>
      </c>
      <c r="D81" s="30"/>
      <c r="E81" s="30">
        <v>1</v>
      </c>
      <c r="F81" s="200">
        <f t="shared" si="1"/>
        <v>50000</v>
      </c>
      <c r="G81" s="30" t="s">
        <v>475</v>
      </c>
      <c r="H81" s="33">
        <v>100001</v>
      </c>
      <c r="I81" s="33">
        <v>10000</v>
      </c>
      <c r="J81" s="30" t="s">
        <v>475</v>
      </c>
      <c r="K81" s="33">
        <v>100001</v>
      </c>
      <c r="L81" s="33">
        <v>50000</v>
      </c>
      <c r="M81" s="30"/>
      <c r="N81" s="33" t="s">
        <v>545</v>
      </c>
      <c r="O81" s="33" t="s">
        <v>545</v>
      </c>
      <c r="P81" s="30"/>
      <c r="Q81" s="33" t="s">
        <v>545</v>
      </c>
      <c r="R81" s="33" t="s">
        <v>545</v>
      </c>
      <c r="S81" s="30"/>
      <c r="T81" s="33" t="s">
        <v>545</v>
      </c>
      <c r="U81" s="33" t="s">
        <v>545</v>
      </c>
      <c r="V81" s="30"/>
      <c r="W81" s="33" t="s">
        <v>545</v>
      </c>
      <c r="X81" s="33" t="s">
        <v>545</v>
      </c>
    </row>
    <row r="82" spans="1:24">
      <c r="A82" s="29">
        <v>47500074</v>
      </c>
      <c r="B82" s="203" t="s">
        <v>2292</v>
      </c>
      <c r="C82" s="183" t="s">
        <v>2248</v>
      </c>
      <c r="D82" s="30" t="s">
        <v>2312</v>
      </c>
      <c r="E82" s="30"/>
      <c r="F82" s="200">
        <f t="shared" si="1"/>
        <v>0</v>
      </c>
      <c r="G82" s="30" t="s">
        <v>475</v>
      </c>
      <c r="H82" s="33">
        <v>100001</v>
      </c>
      <c r="I82" s="33">
        <v>10000</v>
      </c>
      <c r="J82" s="30" t="s">
        <v>475</v>
      </c>
      <c r="K82" s="33">
        <v>100001</v>
      </c>
      <c r="L82" s="33">
        <v>50000</v>
      </c>
      <c r="M82" s="30"/>
      <c r="N82" s="33" t="s">
        <v>545</v>
      </c>
      <c r="O82" s="33" t="s">
        <v>545</v>
      </c>
      <c r="P82" s="30"/>
      <c r="Q82" s="33" t="s">
        <v>545</v>
      </c>
      <c r="R82" s="33" t="s">
        <v>545</v>
      </c>
      <c r="S82" s="30"/>
      <c r="T82" s="33" t="s">
        <v>545</v>
      </c>
      <c r="U82" s="33" t="s">
        <v>545</v>
      </c>
      <c r="V82" s="30"/>
      <c r="W82" s="33" t="s">
        <v>545</v>
      </c>
      <c r="X82" s="33" t="s">
        <v>545</v>
      </c>
    </row>
    <row r="83" spans="1:24">
      <c r="A83" s="29">
        <v>47500075</v>
      </c>
      <c r="B83" s="30" t="s">
        <v>2293</v>
      </c>
      <c r="C83" s="185" t="s">
        <v>2249</v>
      </c>
      <c r="D83" s="30"/>
      <c r="E83" s="30">
        <v>2</v>
      </c>
      <c r="F83" s="200">
        <f t="shared" si="1"/>
        <v>250000</v>
      </c>
      <c r="G83" s="30" t="s">
        <v>475</v>
      </c>
      <c r="H83" s="33">
        <v>100001</v>
      </c>
      <c r="I83" s="33">
        <v>10000</v>
      </c>
      <c r="J83" s="30" t="s">
        <v>475</v>
      </c>
      <c r="K83" s="33">
        <v>100001</v>
      </c>
      <c r="L83" s="33">
        <v>250000</v>
      </c>
      <c r="M83" s="30"/>
      <c r="N83" s="33" t="s">
        <v>545</v>
      </c>
      <c r="O83" s="33" t="s">
        <v>545</v>
      </c>
      <c r="P83" s="30"/>
      <c r="Q83" s="33" t="s">
        <v>545</v>
      </c>
      <c r="R83" s="33" t="s">
        <v>545</v>
      </c>
      <c r="S83" s="30"/>
      <c r="T83" s="33" t="s">
        <v>545</v>
      </c>
      <c r="U83" s="33" t="s">
        <v>545</v>
      </c>
      <c r="V83" s="30"/>
      <c r="W83" s="33" t="s">
        <v>545</v>
      </c>
      <c r="X83" s="33" t="s">
        <v>545</v>
      </c>
    </row>
    <row r="84" spans="1:24">
      <c r="A84" s="29">
        <v>47500076</v>
      </c>
      <c r="B84" s="203" t="s">
        <v>2294</v>
      </c>
      <c r="C84" s="186" t="s">
        <v>2250</v>
      </c>
      <c r="D84" s="30" t="s">
        <v>2312</v>
      </c>
      <c r="E84" s="30"/>
      <c r="F84" s="200">
        <f t="shared" si="1"/>
        <v>0</v>
      </c>
      <c r="G84" s="30" t="s">
        <v>475</v>
      </c>
      <c r="H84" s="33">
        <v>100001</v>
      </c>
      <c r="I84" s="33">
        <v>10000</v>
      </c>
      <c r="J84" s="30" t="s">
        <v>475</v>
      </c>
      <c r="K84" s="33">
        <v>100001</v>
      </c>
      <c r="L84" s="33">
        <v>50000</v>
      </c>
      <c r="M84" s="30"/>
      <c r="N84" s="33" t="s">
        <v>545</v>
      </c>
      <c r="O84" s="33" t="s">
        <v>545</v>
      </c>
      <c r="P84" s="30"/>
      <c r="Q84" s="33" t="s">
        <v>545</v>
      </c>
      <c r="R84" s="33" t="s">
        <v>545</v>
      </c>
      <c r="S84" s="30"/>
      <c r="T84" s="33" t="s">
        <v>545</v>
      </c>
      <c r="U84" s="33" t="s">
        <v>545</v>
      </c>
      <c r="V84" s="30"/>
      <c r="W84" s="33" t="s">
        <v>545</v>
      </c>
      <c r="X84" s="33" t="s">
        <v>545</v>
      </c>
    </row>
    <row r="85" spans="1:24">
      <c r="A85" s="29">
        <v>47500077</v>
      </c>
      <c r="B85" s="30" t="s">
        <v>2295</v>
      </c>
      <c r="C85" s="187" t="s">
        <v>2251</v>
      </c>
      <c r="D85" s="30"/>
      <c r="E85" s="30">
        <v>1</v>
      </c>
      <c r="F85" s="200">
        <f t="shared" si="1"/>
        <v>50000</v>
      </c>
      <c r="G85" s="30" t="s">
        <v>475</v>
      </c>
      <c r="H85" s="33">
        <v>100001</v>
      </c>
      <c r="I85" s="33">
        <v>10000</v>
      </c>
      <c r="J85" s="30" t="s">
        <v>475</v>
      </c>
      <c r="K85" s="33">
        <v>100001</v>
      </c>
      <c r="L85" s="33">
        <v>50000</v>
      </c>
      <c r="M85" s="30"/>
      <c r="N85" s="33" t="s">
        <v>545</v>
      </c>
      <c r="O85" s="33" t="s">
        <v>545</v>
      </c>
      <c r="P85" s="30"/>
      <c r="Q85" s="33" t="s">
        <v>545</v>
      </c>
      <c r="R85" s="33" t="s">
        <v>545</v>
      </c>
      <c r="S85" s="30"/>
      <c r="T85" s="33" t="s">
        <v>545</v>
      </c>
      <c r="U85" s="33" t="s">
        <v>545</v>
      </c>
      <c r="V85" s="30"/>
      <c r="W85" s="33" t="s">
        <v>545</v>
      </c>
      <c r="X85" s="33" t="s">
        <v>545</v>
      </c>
    </row>
    <row r="86" spans="1:24">
      <c r="A86" s="29">
        <v>47500078</v>
      </c>
      <c r="B86" s="30" t="s">
        <v>2296</v>
      </c>
      <c r="C86" s="188" t="s">
        <v>2252</v>
      </c>
      <c r="D86" s="30"/>
      <c r="E86" s="30">
        <v>1</v>
      </c>
      <c r="F86" s="200">
        <f t="shared" si="1"/>
        <v>50000</v>
      </c>
      <c r="G86" s="30" t="s">
        <v>475</v>
      </c>
      <c r="H86" s="33">
        <v>100001</v>
      </c>
      <c r="I86" s="33">
        <v>10000</v>
      </c>
      <c r="J86" s="30" t="s">
        <v>475</v>
      </c>
      <c r="K86" s="33">
        <v>100001</v>
      </c>
      <c r="L86" s="33">
        <v>50000</v>
      </c>
      <c r="M86" s="30"/>
      <c r="N86" s="33" t="s">
        <v>545</v>
      </c>
      <c r="O86" s="33" t="s">
        <v>545</v>
      </c>
      <c r="P86" s="30"/>
      <c r="Q86" s="33" t="s">
        <v>545</v>
      </c>
      <c r="R86" s="33" t="s">
        <v>545</v>
      </c>
      <c r="S86" s="30"/>
      <c r="T86" s="33" t="s">
        <v>545</v>
      </c>
      <c r="U86" s="33" t="s">
        <v>545</v>
      </c>
      <c r="V86" s="30"/>
      <c r="W86" s="33" t="s">
        <v>545</v>
      </c>
      <c r="X86" s="33" t="s">
        <v>545</v>
      </c>
    </row>
    <row r="87" spans="1:24">
      <c r="A87" s="29">
        <v>47500079</v>
      </c>
      <c r="B87" s="30" t="s">
        <v>2297</v>
      </c>
      <c r="C87" s="189" t="s">
        <v>2253</v>
      </c>
      <c r="D87" s="30"/>
      <c r="E87" s="30">
        <v>2</v>
      </c>
      <c r="F87" s="200">
        <f t="shared" si="1"/>
        <v>250000</v>
      </c>
      <c r="G87" s="30" t="s">
        <v>475</v>
      </c>
      <c r="H87" s="33">
        <v>100001</v>
      </c>
      <c r="I87" s="33">
        <v>10000</v>
      </c>
      <c r="J87" s="30" t="s">
        <v>475</v>
      </c>
      <c r="K87" s="33">
        <v>100001</v>
      </c>
      <c r="L87" s="33">
        <v>250000</v>
      </c>
      <c r="M87" s="30"/>
      <c r="N87" s="33" t="s">
        <v>545</v>
      </c>
      <c r="O87" s="33" t="s">
        <v>545</v>
      </c>
      <c r="P87" s="30"/>
      <c r="Q87" s="33" t="s">
        <v>545</v>
      </c>
      <c r="R87" s="33" t="s">
        <v>545</v>
      </c>
      <c r="S87" s="30"/>
      <c r="T87" s="33" t="s">
        <v>545</v>
      </c>
      <c r="U87" s="33" t="s">
        <v>545</v>
      </c>
      <c r="V87" s="30"/>
      <c r="W87" s="33" t="s">
        <v>545</v>
      </c>
      <c r="X87" s="33" t="s">
        <v>545</v>
      </c>
    </row>
    <row r="88" spans="1:24">
      <c r="A88" s="29">
        <v>47500080</v>
      </c>
      <c r="B88" s="203" t="s">
        <v>2298</v>
      </c>
      <c r="C88" s="190" t="s">
        <v>2254</v>
      </c>
      <c r="D88" s="30" t="s">
        <v>2312</v>
      </c>
      <c r="E88" s="30"/>
      <c r="F88" s="200">
        <f t="shared" si="1"/>
        <v>0</v>
      </c>
      <c r="G88" s="30" t="s">
        <v>475</v>
      </c>
      <c r="H88" s="33">
        <v>100001</v>
      </c>
      <c r="I88" s="33">
        <v>10000</v>
      </c>
      <c r="J88" s="30" t="s">
        <v>475</v>
      </c>
      <c r="K88" s="33">
        <v>100001</v>
      </c>
      <c r="L88" s="33">
        <v>50000</v>
      </c>
      <c r="M88" s="30"/>
      <c r="N88" s="33" t="s">
        <v>545</v>
      </c>
      <c r="O88" s="33" t="s">
        <v>545</v>
      </c>
      <c r="P88" s="30"/>
      <c r="Q88" s="33" t="s">
        <v>545</v>
      </c>
      <c r="R88" s="33" t="s">
        <v>545</v>
      </c>
      <c r="S88" s="30"/>
      <c r="T88" s="33" t="s">
        <v>545</v>
      </c>
      <c r="U88" s="33" t="s">
        <v>545</v>
      </c>
      <c r="V88" s="30"/>
      <c r="W88" s="33" t="s">
        <v>545</v>
      </c>
      <c r="X88" s="33" t="s">
        <v>545</v>
      </c>
    </row>
    <row r="89" spans="1:24">
      <c r="A89" s="29">
        <v>47500081</v>
      </c>
      <c r="B89" s="30" t="s">
        <v>2299</v>
      </c>
      <c r="C89" s="191" t="s">
        <v>2255</v>
      </c>
      <c r="D89" s="30"/>
      <c r="E89" s="30">
        <v>3</v>
      </c>
      <c r="F89" s="200">
        <f t="shared" si="1"/>
        <v>1300000</v>
      </c>
      <c r="G89" s="30" t="s">
        <v>475</v>
      </c>
      <c r="H89" s="33">
        <v>100001</v>
      </c>
      <c r="I89" s="33">
        <v>10000</v>
      </c>
      <c r="J89" s="30" t="s">
        <v>475</v>
      </c>
      <c r="K89" s="33">
        <v>100001</v>
      </c>
      <c r="L89" s="33">
        <v>1300000</v>
      </c>
      <c r="M89" s="30"/>
      <c r="N89" s="33" t="s">
        <v>545</v>
      </c>
      <c r="O89" s="33" t="s">
        <v>545</v>
      </c>
      <c r="P89" s="30"/>
      <c r="Q89" s="33" t="s">
        <v>545</v>
      </c>
      <c r="R89" s="33" t="s">
        <v>545</v>
      </c>
      <c r="S89" s="30"/>
      <c r="T89" s="33" t="s">
        <v>545</v>
      </c>
      <c r="U89" s="33" t="s">
        <v>545</v>
      </c>
      <c r="V89" s="30"/>
      <c r="W89" s="33" t="s">
        <v>545</v>
      </c>
      <c r="X89" s="33" t="s">
        <v>545</v>
      </c>
    </row>
    <row r="90" spans="1:24">
      <c r="A90" s="29">
        <v>47500082</v>
      </c>
      <c r="B90" s="203" t="s">
        <v>2300</v>
      </c>
      <c r="C90" s="192" t="s">
        <v>2256</v>
      </c>
      <c r="D90" s="30" t="s">
        <v>2312</v>
      </c>
      <c r="E90" s="30"/>
      <c r="F90" s="200">
        <f t="shared" si="1"/>
        <v>0</v>
      </c>
      <c r="G90" s="30" t="s">
        <v>475</v>
      </c>
      <c r="H90" s="33">
        <v>100001</v>
      </c>
      <c r="I90" s="33">
        <v>10000</v>
      </c>
      <c r="J90" s="30" t="s">
        <v>475</v>
      </c>
      <c r="K90" s="33">
        <v>100001</v>
      </c>
      <c r="L90" s="33">
        <v>50000</v>
      </c>
      <c r="M90" s="30"/>
      <c r="N90" s="33" t="s">
        <v>545</v>
      </c>
      <c r="O90" s="33" t="s">
        <v>545</v>
      </c>
      <c r="P90" s="30"/>
      <c r="Q90" s="33" t="s">
        <v>545</v>
      </c>
      <c r="R90" s="33" t="s">
        <v>545</v>
      </c>
      <c r="S90" s="30"/>
      <c r="T90" s="33" t="s">
        <v>545</v>
      </c>
      <c r="U90" s="33" t="s">
        <v>545</v>
      </c>
      <c r="V90" s="30"/>
      <c r="W90" s="33" t="s">
        <v>545</v>
      </c>
      <c r="X90" s="33" t="s">
        <v>545</v>
      </c>
    </row>
    <row r="91" spans="1:24">
      <c r="A91" s="29">
        <v>47500083</v>
      </c>
      <c r="B91" s="30" t="s">
        <v>2301</v>
      </c>
      <c r="C91" s="193" t="s">
        <v>2257</v>
      </c>
      <c r="D91" s="30"/>
      <c r="E91" s="30">
        <v>1</v>
      </c>
      <c r="F91" s="200">
        <f t="shared" si="1"/>
        <v>50000</v>
      </c>
      <c r="G91" s="30" t="s">
        <v>475</v>
      </c>
      <c r="H91" s="33">
        <v>100001</v>
      </c>
      <c r="I91" s="33">
        <v>10000</v>
      </c>
      <c r="J91" s="30" t="s">
        <v>475</v>
      </c>
      <c r="K91" s="33">
        <v>100001</v>
      </c>
      <c r="L91" s="33">
        <v>50000</v>
      </c>
      <c r="M91" s="30"/>
      <c r="N91" s="33" t="s">
        <v>545</v>
      </c>
      <c r="O91" s="33" t="s">
        <v>545</v>
      </c>
      <c r="P91" s="30"/>
      <c r="Q91" s="33" t="s">
        <v>545</v>
      </c>
      <c r="R91" s="33" t="s">
        <v>545</v>
      </c>
      <c r="S91" s="30"/>
      <c r="T91" s="33" t="s">
        <v>545</v>
      </c>
      <c r="U91" s="33" t="s">
        <v>545</v>
      </c>
      <c r="V91" s="30"/>
      <c r="W91" s="33" t="s">
        <v>545</v>
      </c>
      <c r="X91" s="33" t="s">
        <v>545</v>
      </c>
    </row>
    <row r="92" spans="1:24">
      <c r="A92" s="29">
        <v>47500084</v>
      </c>
      <c r="B92" s="30" t="s">
        <v>2302</v>
      </c>
      <c r="C92" s="194" t="s">
        <v>2258</v>
      </c>
      <c r="D92" s="30"/>
      <c r="E92" s="30">
        <v>4</v>
      </c>
      <c r="F92" s="200">
        <f t="shared" si="1"/>
        <v>6950000</v>
      </c>
      <c r="G92" s="30" t="s">
        <v>475</v>
      </c>
      <c r="H92" s="33">
        <v>100001</v>
      </c>
      <c r="I92" s="33">
        <v>10000</v>
      </c>
      <c r="J92" s="30" t="s">
        <v>475</v>
      </c>
      <c r="K92" s="33">
        <v>100001</v>
      </c>
      <c r="L92" s="33">
        <v>6950000</v>
      </c>
      <c r="M92" s="30"/>
      <c r="N92" s="33" t="s">
        <v>545</v>
      </c>
      <c r="O92" s="33" t="s">
        <v>545</v>
      </c>
      <c r="P92" s="30"/>
      <c r="Q92" s="33" t="s">
        <v>545</v>
      </c>
      <c r="R92" s="33" t="s">
        <v>545</v>
      </c>
      <c r="S92" s="30"/>
      <c r="T92" s="33" t="s">
        <v>545</v>
      </c>
      <c r="U92" s="33" t="s">
        <v>545</v>
      </c>
      <c r="V92" s="30"/>
      <c r="W92" s="33" t="s">
        <v>545</v>
      </c>
      <c r="X92" s="33" t="s">
        <v>545</v>
      </c>
    </row>
    <row r="93" spans="1:24">
      <c r="A93" s="29">
        <v>47500085</v>
      </c>
      <c r="B93" s="30" t="s">
        <v>2303</v>
      </c>
      <c r="C93" s="195" t="s">
        <v>2259</v>
      </c>
      <c r="D93" s="30"/>
      <c r="E93" s="30">
        <v>1</v>
      </c>
      <c r="F93" s="200">
        <f t="shared" si="1"/>
        <v>50000</v>
      </c>
      <c r="G93" s="30" t="s">
        <v>475</v>
      </c>
      <c r="H93" s="33">
        <v>100001</v>
      </c>
      <c r="I93" s="33">
        <v>10000</v>
      </c>
      <c r="J93" s="30" t="s">
        <v>475</v>
      </c>
      <c r="K93" s="33">
        <v>100001</v>
      </c>
      <c r="L93" s="33">
        <v>50000</v>
      </c>
      <c r="M93" s="30"/>
      <c r="N93" s="33" t="s">
        <v>545</v>
      </c>
      <c r="O93" s="33" t="s">
        <v>545</v>
      </c>
      <c r="P93" s="30"/>
      <c r="Q93" s="33" t="s">
        <v>545</v>
      </c>
      <c r="R93" s="33" t="s">
        <v>545</v>
      </c>
      <c r="S93" s="30"/>
      <c r="T93" s="33" t="s">
        <v>545</v>
      </c>
      <c r="U93" s="33" t="s">
        <v>545</v>
      </c>
      <c r="V93" s="30"/>
      <c r="W93" s="33" t="s">
        <v>545</v>
      </c>
      <c r="X93" s="33" t="s">
        <v>545</v>
      </c>
    </row>
    <row r="94" spans="1:24">
      <c r="A94" s="29">
        <v>47500086</v>
      </c>
      <c r="B94" s="203" t="s">
        <v>2304</v>
      </c>
      <c r="C94" s="196" t="s">
        <v>2260</v>
      </c>
      <c r="D94" s="30" t="s">
        <v>2312</v>
      </c>
      <c r="E94" s="30"/>
      <c r="F94" s="200">
        <f t="shared" si="1"/>
        <v>0</v>
      </c>
      <c r="G94" s="30" t="s">
        <v>475</v>
      </c>
      <c r="H94" s="33">
        <v>100001</v>
      </c>
      <c r="I94" s="33">
        <v>10000</v>
      </c>
      <c r="J94" s="30" t="s">
        <v>475</v>
      </c>
      <c r="K94" s="33">
        <v>100001</v>
      </c>
      <c r="L94" s="33">
        <v>50000</v>
      </c>
      <c r="M94" s="30"/>
      <c r="N94" s="33" t="s">
        <v>545</v>
      </c>
      <c r="O94" s="33" t="s">
        <v>545</v>
      </c>
      <c r="P94" s="30"/>
      <c r="Q94" s="33" t="s">
        <v>545</v>
      </c>
      <c r="R94" s="33" t="s">
        <v>545</v>
      </c>
      <c r="S94" s="30"/>
      <c r="T94" s="33" t="s">
        <v>545</v>
      </c>
      <c r="U94" s="33" t="s">
        <v>545</v>
      </c>
      <c r="V94" s="30"/>
      <c r="W94" s="33" t="s">
        <v>545</v>
      </c>
      <c r="X94" s="33" t="s">
        <v>545</v>
      </c>
    </row>
    <row r="95" spans="1:24">
      <c r="A95" s="29">
        <v>47500087</v>
      </c>
      <c r="B95" s="30" t="s">
        <v>2305</v>
      </c>
      <c r="C95" s="197" t="s">
        <v>2261</v>
      </c>
      <c r="D95" s="30"/>
      <c r="E95" s="30">
        <v>0</v>
      </c>
      <c r="F95" s="200">
        <f t="shared" si="1"/>
        <v>0</v>
      </c>
      <c r="G95" s="30" t="s">
        <v>475</v>
      </c>
      <c r="H95" s="33">
        <v>100001</v>
      </c>
      <c r="I95" s="33">
        <v>10000</v>
      </c>
      <c r="J95" s="30" t="s">
        <v>475</v>
      </c>
      <c r="K95" s="33">
        <v>100001</v>
      </c>
      <c r="L95" s="33">
        <v>50000</v>
      </c>
      <c r="M95" s="30"/>
      <c r="N95" s="33" t="s">
        <v>545</v>
      </c>
      <c r="O95" s="33" t="s">
        <v>545</v>
      </c>
      <c r="P95" s="30"/>
      <c r="Q95" s="33" t="s">
        <v>545</v>
      </c>
      <c r="R95" s="33" t="s">
        <v>545</v>
      </c>
      <c r="S95" s="30"/>
      <c r="T95" s="33" t="s">
        <v>545</v>
      </c>
      <c r="U95" s="33" t="s">
        <v>545</v>
      </c>
      <c r="V95" s="30"/>
      <c r="W95" s="33" t="s">
        <v>545</v>
      </c>
      <c r="X95" s="33" t="s">
        <v>545</v>
      </c>
    </row>
    <row r="96" spans="1:24">
      <c r="A96" s="29">
        <v>47500088</v>
      </c>
      <c r="B96" s="203" t="s">
        <v>2306</v>
      </c>
      <c r="C96" s="198" t="s">
        <v>2262</v>
      </c>
      <c r="D96" s="30" t="s">
        <v>2312</v>
      </c>
      <c r="E96" s="30"/>
      <c r="F96" s="200">
        <f t="shared" si="1"/>
        <v>0</v>
      </c>
      <c r="G96" s="30" t="s">
        <v>475</v>
      </c>
      <c r="H96" s="33">
        <v>100001</v>
      </c>
      <c r="I96" s="33">
        <v>10000</v>
      </c>
      <c r="J96" s="30" t="s">
        <v>475</v>
      </c>
      <c r="K96" s="33">
        <v>100001</v>
      </c>
      <c r="L96" s="33">
        <v>50000</v>
      </c>
      <c r="M96" s="30"/>
      <c r="N96" s="33" t="s">
        <v>545</v>
      </c>
      <c r="O96" s="33" t="s">
        <v>545</v>
      </c>
      <c r="P96" s="30"/>
      <c r="Q96" s="33" t="s">
        <v>545</v>
      </c>
      <c r="R96" s="33" t="s">
        <v>545</v>
      </c>
      <c r="S96" s="30"/>
      <c r="T96" s="33" t="s">
        <v>545</v>
      </c>
      <c r="U96" s="33" t="s">
        <v>545</v>
      </c>
      <c r="V96" s="30"/>
      <c r="W96" s="33" t="s">
        <v>545</v>
      </c>
      <c r="X96" s="33" t="s">
        <v>545</v>
      </c>
    </row>
    <row r="97" spans="1:25">
      <c r="A97" s="29">
        <v>47500089</v>
      </c>
      <c r="B97" s="30" t="s">
        <v>2307</v>
      </c>
      <c r="C97" s="199" t="s">
        <v>2263</v>
      </c>
      <c r="D97" s="30"/>
      <c r="E97" s="30">
        <v>1</v>
      </c>
      <c r="F97" s="200">
        <f t="shared" si="1"/>
        <v>50000</v>
      </c>
      <c r="G97" s="30" t="s">
        <v>475</v>
      </c>
      <c r="H97" s="33">
        <v>100001</v>
      </c>
      <c r="I97" s="33">
        <v>10000</v>
      </c>
      <c r="J97" s="30" t="s">
        <v>475</v>
      </c>
      <c r="K97" s="33">
        <v>100001</v>
      </c>
      <c r="L97" s="33">
        <v>50000</v>
      </c>
      <c r="M97" s="30"/>
      <c r="N97" s="33" t="s">
        <v>545</v>
      </c>
      <c r="O97" s="33" t="s">
        <v>545</v>
      </c>
      <c r="P97" s="30"/>
      <c r="Q97" s="33" t="s">
        <v>545</v>
      </c>
      <c r="R97" s="33" t="s">
        <v>545</v>
      </c>
      <c r="S97" s="30"/>
      <c r="T97" s="33" t="s">
        <v>545</v>
      </c>
      <c r="U97" s="33" t="s">
        <v>545</v>
      </c>
      <c r="V97" s="30"/>
      <c r="W97" s="33" t="s">
        <v>545</v>
      </c>
      <c r="X97" s="33" t="s">
        <v>545</v>
      </c>
    </row>
    <row r="98" spans="1:25">
      <c r="A98" s="29">
        <v>47500090</v>
      </c>
      <c r="B98" s="30" t="s">
        <v>2308</v>
      </c>
      <c r="C98" s="35" t="s">
        <v>630</v>
      </c>
      <c r="D98" s="30"/>
      <c r="E98" s="30">
        <v>3</v>
      </c>
      <c r="F98" s="200">
        <f t="shared" si="1"/>
        <v>1300000</v>
      </c>
      <c r="G98" s="30" t="s">
        <v>475</v>
      </c>
      <c r="H98" s="33">
        <v>100001</v>
      </c>
      <c r="I98" s="33">
        <v>10000</v>
      </c>
      <c r="J98" s="30" t="s">
        <v>475</v>
      </c>
      <c r="K98" s="33">
        <v>100001</v>
      </c>
      <c r="L98" s="33">
        <v>1300000</v>
      </c>
      <c r="M98" s="30"/>
      <c r="N98" s="33" t="s">
        <v>545</v>
      </c>
      <c r="O98" s="33" t="s">
        <v>545</v>
      </c>
      <c r="P98" s="30"/>
      <c r="Q98" s="33" t="s">
        <v>545</v>
      </c>
      <c r="R98" s="33" t="s">
        <v>545</v>
      </c>
      <c r="S98" s="30"/>
      <c r="T98" s="33" t="s">
        <v>545</v>
      </c>
      <c r="U98" s="33" t="s">
        <v>545</v>
      </c>
      <c r="V98" s="30"/>
      <c r="W98" s="33" t="s">
        <v>545</v>
      </c>
      <c r="X98" s="33" t="s">
        <v>545</v>
      </c>
    </row>
    <row r="99" spans="1:25">
      <c r="A99" s="31"/>
      <c r="B99" s="32"/>
      <c r="C99" s="32"/>
      <c r="D99" s="32"/>
      <c r="E99" s="32"/>
      <c r="F99" s="32"/>
      <c r="G99" s="32"/>
      <c r="H99" s="32"/>
      <c r="I99" s="32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2"/>
      <c r="X99" s="32"/>
      <c r="Y99" s="27" t="s">
        <v>8</v>
      </c>
    </row>
  </sheetData>
  <phoneticPr fontId="5" type="noConversion"/>
  <conditionalFormatting sqref="E10 E8 E12:E14 E16 E18:E19 E26 E28:E29 E31:E32 E34:E35 E37:E38 E40:E41 E43:E45 E47 E49:E51 E53 E55:E57 E59 E61:E63 E65 E67:E69 E71 E73:E75 E77 E79:E81 E83 E85:E87 E89 E91:E93 E95 E97:E98 E9:F9 E11:F11 E15:F15 E17:F17 E20:F25 E27:F27 E30:F30 E33:F33 E36:F36 E39:F39 E42:F42 E46:F46 E48:F48 E52:F52 E54:F54 E58:F58 E60:F60 E64:F64 E66:F66 E70:F70 E72:F72 E76:F76 E78:F78 E82:F82 E84:F84 E88:F88 E90:F90 E94:F94 E96:F96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8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8:F98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pageSetup paperSize="9" orientation="portrait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M24"/>
  <sheetViews>
    <sheetView workbookViewId="0">
      <pane xSplit="1" topLeftCell="B1" activePane="topRight" state="frozen"/>
      <selection pane="topRight" activeCell="I30" sqref="I30"/>
    </sheetView>
  </sheetViews>
  <sheetFormatPr defaultColWidth="9.140625" defaultRowHeight="13.5"/>
  <cols>
    <col min="1" max="1" width="23.85546875" style="27" bestFit="1" customWidth="1"/>
    <col min="2" max="3" width="19" style="27" customWidth="1"/>
    <col min="4" max="4" width="13.140625" style="27" customWidth="1"/>
    <col min="5" max="5" width="27.42578125" style="27" bestFit="1" customWidth="1"/>
    <col min="6" max="6" width="11.85546875" style="27" bestFit="1" customWidth="1"/>
    <col min="7" max="7" width="26.42578125" style="27" bestFit="1" customWidth="1"/>
    <col min="8" max="8" width="11.42578125" style="27" bestFit="1" customWidth="1"/>
    <col min="9" max="9" width="11.7109375" style="27" bestFit="1" customWidth="1"/>
    <col min="10" max="10" width="11.5703125" style="27" bestFit="1" customWidth="1"/>
    <col min="11" max="11" width="11.7109375" style="27" bestFit="1" customWidth="1"/>
    <col min="12" max="12" width="11.7109375" style="27" customWidth="1"/>
    <col min="13" max="13" width="11" style="27" bestFit="1" customWidth="1"/>
    <col min="14" max="14" width="9.140625" style="27"/>
    <col min="15" max="15" width="24.7109375" style="27" customWidth="1"/>
    <col min="16" max="16" width="22.5703125" style="27" customWidth="1"/>
    <col min="17" max="16384" width="9.140625" style="27"/>
  </cols>
  <sheetData>
    <row r="1" spans="1:13">
      <c r="A1" s="6" t="s">
        <v>5</v>
      </c>
      <c r="B1" s="3"/>
      <c r="C1" s="3"/>
      <c r="D1" s="7" t="s">
        <v>2013</v>
      </c>
      <c r="E1" s="26" t="s">
        <v>2035</v>
      </c>
      <c r="F1" s="26" t="s">
        <v>2017</v>
      </c>
      <c r="G1" s="26" t="s">
        <v>2021</v>
      </c>
      <c r="H1" s="26" t="s">
        <v>2019</v>
      </c>
      <c r="I1" s="26" t="s">
        <v>2025</v>
      </c>
      <c r="J1" s="26" t="s">
        <v>2026</v>
      </c>
      <c r="K1" s="26" t="s">
        <v>2028</v>
      </c>
      <c r="L1" s="26" t="s">
        <v>2029</v>
      </c>
      <c r="M1" s="59" t="s">
        <v>2038</v>
      </c>
    </row>
    <row r="2" spans="1:13">
      <c r="A2" s="6" t="s">
        <v>2001</v>
      </c>
      <c r="B2" s="3"/>
      <c r="C2" s="3"/>
      <c r="D2" s="7" t="s">
        <v>7</v>
      </c>
      <c r="E2" s="26" t="s">
        <v>2002</v>
      </c>
      <c r="F2" s="26" t="s">
        <v>6</v>
      </c>
      <c r="G2" s="26" t="s">
        <v>2022</v>
      </c>
      <c r="H2" s="26" t="s">
        <v>2020</v>
      </c>
      <c r="I2" s="26" t="s">
        <v>7</v>
      </c>
      <c r="J2" s="26" t="s">
        <v>2027</v>
      </c>
      <c r="K2" s="26" t="s">
        <v>7</v>
      </c>
      <c r="L2" s="26" t="s">
        <v>7</v>
      </c>
    </row>
    <row r="3" spans="1:13">
      <c r="A3" s="8" t="s">
        <v>1</v>
      </c>
      <c r="B3" s="3" t="s">
        <v>0</v>
      </c>
      <c r="C3" s="3" t="s">
        <v>13</v>
      </c>
      <c r="D3" s="9">
        <v>1</v>
      </c>
      <c r="E3" s="28">
        <v>1</v>
      </c>
      <c r="F3" s="28">
        <v>1</v>
      </c>
      <c r="G3" s="28" t="s">
        <v>0</v>
      </c>
      <c r="H3" s="28">
        <v>1</v>
      </c>
      <c r="I3" s="28" t="s">
        <v>0</v>
      </c>
      <c r="J3" s="28" t="s">
        <v>0</v>
      </c>
      <c r="K3" s="28" t="s">
        <v>0</v>
      </c>
      <c r="L3" s="28" t="s">
        <v>0</v>
      </c>
    </row>
    <row r="4" spans="1:13">
      <c r="A4" s="8" t="s">
        <v>2</v>
      </c>
      <c r="B4" s="3" t="s">
        <v>0</v>
      </c>
      <c r="C4" s="3" t="s">
        <v>0</v>
      </c>
      <c r="D4" s="9" t="s">
        <v>0</v>
      </c>
      <c r="E4" s="28" t="s">
        <v>0</v>
      </c>
      <c r="F4" s="28" t="s">
        <v>0</v>
      </c>
      <c r="G4" s="28" t="s">
        <v>0</v>
      </c>
      <c r="H4" s="28" t="s">
        <v>0</v>
      </c>
      <c r="I4" s="28" t="s">
        <v>0</v>
      </c>
      <c r="J4" s="28" t="s">
        <v>0</v>
      </c>
      <c r="K4" s="28" t="s">
        <v>0</v>
      </c>
      <c r="L4" s="28" t="s">
        <v>0</v>
      </c>
    </row>
    <row r="5" spans="1:13">
      <c r="A5" s="8" t="s">
        <v>3</v>
      </c>
      <c r="B5" s="3" t="s">
        <v>0</v>
      </c>
      <c r="C5" s="3" t="s">
        <v>54</v>
      </c>
      <c r="D5" s="9" t="s">
        <v>0</v>
      </c>
      <c r="E5" s="28" t="s">
        <v>0</v>
      </c>
      <c r="F5" s="28" t="s">
        <v>0</v>
      </c>
      <c r="G5" s="28" t="s">
        <v>0</v>
      </c>
      <c r="H5" s="28" t="s">
        <v>0</v>
      </c>
      <c r="I5" s="28" t="s">
        <v>0</v>
      </c>
      <c r="J5" s="28" t="s">
        <v>0</v>
      </c>
      <c r="K5" s="28" t="s">
        <v>0</v>
      </c>
      <c r="L5" s="28" t="s">
        <v>0</v>
      </c>
    </row>
    <row r="6" spans="1:13">
      <c r="A6" s="8" t="s">
        <v>4</v>
      </c>
      <c r="B6" s="3" t="s">
        <v>0</v>
      </c>
      <c r="C6" s="3" t="s">
        <v>55</v>
      </c>
      <c r="D6" s="9" t="s">
        <v>0</v>
      </c>
      <c r="E6" s="28" t="s">
        <v>0</v>
      </c>
      <c r="F6" s="28" t="s">
        <v>0</v>
      </c>
      <c r="G6" s="28" t="s">
        <v>0</v>
      </c>
      <c r="H6" s="28" t="s">
        <v>0</v>
      </c>
      <c r="I6" s="28" t="s">
        <v>0</v>
      </c>
      <c r="J6" s="28" t="s">
        <v>0</v>
      </c>
      <c r="K6" s="28" t="s">
        <v>0</v>
      </c>
      <c r="L6" s="28" t="s">
        <v>0</v>
      </c>
    </row>
    <row r="7" spans="1:13">
      <c r="A7" s="8" t="s">
        <v>10</v>
      </c>
      <c r="B7" s="3" t="s">
        <v>0</v>
      </c>
      <c r="C7" s="3" t="s">
        <v>56</v>
      </c>
      <c r="D7" s="9" t="s">
        <v>0</v>
      </c>
      <c r="E7" s="28" t="s">
        <v>0</v>
      </c>
      <c r="F7" s="28" t="s">
        <v>0</v>
      </c>
      <c r="G7" s="28" t="s">
        <v>0</v>
      </c>
      <c r="H7" s="28" t="s">
        <v>0</v>
      </c>
      <c r="I7" s="28" t="s">
        <v>0</v>
      </c>
      <c r="J7" s="28" t="s">
        <v>0</v>
      </c>
      <c r="K7" s="28" t="s">
        <v>0</v>
      </c>
      <c r="L7" s="28" t="s">
        <v>0</v>
      </c>
    </row>
    <row r="8" spans="1:13">
      <c r="A8" s="8" t="s">
        <v>2036</v>
      </c>
      <c r="B8" s="3" t="s">
        <v>0</v>
      </c>
      <c r="C8" s="3" t="s">
        <v>56</v>
      </c>
      <c r="D8" s="9" t="s">
        <v>0</v>
      </c>
      <c r="E8" s="28">
        <v>1</v>
      </c>
      <c r="F8" s="28" t="s">
        <v>0</v>
      </c>
      <c r="G8" s="28">
        <v>1</v>
      </c>
      <c r="H8" s="28" t="s">
        <v>0</v>
      </c>
      <c r="I8" s="28" t="s">
        <v>0</v>
      </c>
      <c r="J8" s="28" t="s">
        <v>0</v>
      </c>
      <c r="K8" s="28" t="s">
        <v>0</v>
      </c>
      <c r="L8" s="28" t="s">
        <v>0</v>
      </c>
    </row>
    <row r="9" spans="1:13">
      <c r="A9" s="56">
        <v>47600000</v>
      </c>
      <c r="B9" s="205" t="s">
        <v>2333</v>
      </c>
      <c r="C9" s="57" t="s">
        <v>2004</v>
      </c>
      <c r="D9" s="57">
        <f>IFERROR(VLOOKUP(C9,ShipShapeEnum!$K:$L,2,FALSE),"-")</f>
        <v>1</v>
      </c>
      <c r="E9" s="58" t="s">
        <v>2014</v>
      </c>
      <c r="F9" s="58" t="s">
        <v>2018</v>
      </c>
      <c r="G9" s="58" t="s">
        <v>2023</v>
      </c>
      <c r="H9" s="58" t="b">
        <v>1</v>
      </c>
      <c r="I9" s="58" t="s">
        <v>2024</v>
      </c>
      <c r="J9" s="58" t="s">
        <v>2024</v>
      </c>
      <c r="K9" s="58" t="s">
        <v>2024</v>
      </c>
      <c r="L9" s="58" t="s">
        <v>0</v>
      </c>
      <c r="M9" s="59" t="s">
        <v>2034</v>
      </c>
    </row>
    <row r="10" spans="1:13">
      <c r="A10" s="56">
        <v>47600001</v>
      </c>
      <c r="B10" s="205" t="s">
        <v>2333</v>
      </c>
      <c r="C10" s="57" t="s">
        <v>2007</v>
      </c>
      <c r="D10" s="57">
        <f>IFERROR(VLOOKUP(C10,ShipShapeEnum!$K:$L,2,FALSE),"-")</f>
        <v>2</v>
      </c>
      <c r="E10" s="58" t="s">
        <v>2015</v>
      </c>
      <c r="F10" s="58" t="s">
        <v>2018</v>
      </c>
      <c r="G10" s="58" t="s">
        <v>2024</v>
      </c>
      <c r="H10" s="58" t="b">
        <v>1</v>
      </c>
      <c r="I10" s="58" t="s">
        <v>2024</v>
      </c>
      <c r="J10" s="58" t="s">
        <v>2024</v>
      </c>
      <c r="K10" s="58" t="s">
        <v>2024</v>
      </c>
      <c r="L10" s="58" t="s">
        <v>0</v>
      </c>
      <c r="M10" s="59" t="s">
        <v>2034</v>
      </c>
    </row>
    <row r="11" spans="1:13">
      <c r="A11" s="56">
        <v>47600002</v>
      </c>
      <c r="B11" s="205" t="s">
        <v>2333</v>
      </c>
      <c r="C11" s="57" t="s">
        <v>2006</v>
      </c>
      <c r="D11" s="57">
        <f>IFERROR(VLOOKUP(C11,ShipShapeEnum!$K:$L,2,FALSE),"-")</f>
        <v>3</v>
      </c>
      <c r="E11" s="58" t="s">
        <v>2016</v>
      </c>
      <c r="F11" s="58" t="s">
        <v>2018</v>
      </c>
      <c r="G11" s="58" t="s">
        <v>2024</v>
      </c>
      <c r="H11" s="58" t="b">
        <v>1</v>
      </c>
      <c r="I11" s="58" t="s">
        <v>2024</v>
      </c>
      <c r="J11" s="58" t="s">
        <v>2024</v>
      </c>
      <c r="K11" s="58" t="s">
        <v>2024</v>
      </c>
      <c r="L11" s="58" t="s">
        <v>0</v>
      </c>
      <c r="M11" s="59" t="s">
        <v>2034</v>
      </c>
    </row>
    <row r="12" spans="1:13">
      <c r="A12" s="29">
        <v>47600003</v>
      </c>
      <c r="B12" s="205" t="s">
        <v>2333</v>
      </c>
      <c r="C12" s="4" t="s">
        <v>2004</v>
      </c>
      <c r="D12" s="11">
        <f>IFERROR(VLOOKUP(C12,ShipShapeEnum!$K:$L,2,FALSE),"-")</f>
        <v>1</v>
      </c>
      <c r="E12" s="33" t="s">
        <v>2014</v>
      </c>
      <c r="F12" s="33" t="s">
        <v>2018</v>
      </c>
      <c r="G12" s="33" t="s">
        <v>2023</v>
      </c>
      <c r="H12" s="33" t="b">
        <v>0</v>
      </c>
      <c r="I12" s="33">
        <v>1.6</v>
      </c>
      <c r="J12" s="33">
        <v>1.6</v>
      </c>
      <c r="K12" s="33">
        <v>0.6</v>
      </c>
      <c r="L12" s="33">
        <v>0.5</v>
      </c>
    </row>
    <row r="13" spans="1:13">
      <c r="A13" s="29">
        <v>47600004</v>
      </c>
      <c r="B13" s="205" t="s">
        <v>2333</v>
      </c>
      <c r="C13" s="4" t="s">
        <v>2007</v>
      </c>
      <c r="D13" s="11">
        <f>IFERROR(VLOOKUP(C13,ShipShapeEnum!$K:$L,2,FALSE),"-")</f>
        <v>2</v>
      </c>
      <c r="E13" s="33" t="s">
        <v>2015</v>
      </c>
      <c r="F13" s="33" t="s">
        <v>2018</v>
      </c>
      <c r="G13" s="33" t="s">
        <v>2024</v>
      </c>
      <c r="H13" s="33" t="b">
        <v>0</v>
      </c>
      <c r="I13" s="33">
        <v>1.6</v>
      </c>
      <c r="J13" s="33">
        <v>1.6</v>
      </c>
      <c r="K13" s="33" t="s">
        <v>2024</v>
      </c>
      <c r="L13" s="33" t="s">
        <v>0</v>
      </c>
    </row>
    <row r="14" spans="1:13">
      <c r="A14" s="29">
        <v>47600005</v>
      </c>
      <c r="B14" s="205" t="s">
        <v>2333</v>
      </c>
      <c r="C14" s="4" t="s">
        <v>2006</v>
      </c>
      <c r="D14" s="11">
        <f>IFERROR(VLOOKUP(C14,ShipShapeEnum!$K:$L,2,FALSE),"-")</f>
        <v>3</v>
      </c>
      <c r="E14" s="33" t="s">
        <v>2016</v>
      </c>
      <c r="F14" s="33" t="s">
        <v>2018</v>
      </c>
      <c r="G14" s="33" t="s">
        <v>2024</v>
      </c>
      <c r="H14" s="33" t="b">
        <v>0</v>
      </c>
      <c r="I14" s="33">
        <v>1.6</v>
      </c>
      <c r="J14" s="33">
        <v>1.6</v>
      </c>
      <c r="K14" s="33" t="s">
        <v>2024</v>
      </c>
      <c r="L14" s="33" t="s">
        <v>0</v>
      </c>
    </row>
    <row r="15" spans="1:13">
      <c r="A15" s="29">
        <v>47600010</v>
      </c>
      <c r="B15" s="205" t="s">
        <v>1534</v>
      </c>
      <c r="C15" s="4" t="s">
        <v>2004</v>
      </c>
      <c r="D15" s="11">
        <f>IFERROR(VLOOKUP(C15,ShipShapeEnum!$K:$L,2,FALSE),"-")</f>
        <v>1</v>
      </c>
      <c r="E15" s="33" t="s">
        <v>2014</v>
      </c>
      <c r="F15" s="33" t="s">
        <v>2018</v>
      </c>
      <c r="G15" s="33" t="s">
        <v>2023</v>
      </c>
      <c r="H15" s="33" t="b">
        <v>0</v>
      </c>
      <c r="I15" s="33">
        <v>1.6</v>
      </c>
      <c r="J15" s="33">
        <v>1.6</v>
      </c>
      <c r="K15" s="33">
        <v>0.6</v>
      </c>
      <c r="L15" s="33">
        <v>0.5</v>
      </c>
    </row>
    <row r="16" spans="1:13">
      <c r="A16" s="29">
        <v>47600011</v>
      </c>
      <c r="B16" s="205" t="s">
        <v>2334</v>
      </c>
      <c r="C16" s="4" t="s">
        <v>2004</v>
      </c>
      <c r="D16" s="11">
        <f>IFERROR(VLOOKUP(C16,ShipShapeEnum!$K:$L,2,FALSE),"-")</f>
        <v>1</v>
      </c>
      <c r="E16" s="33" t="s">
        <v>2014</v>
      </c>
      <c r="F16" s="33" t="s">
        <v>2018</v>
      </c>
      <c r="G16" s="33" t="s">
        <v>2023</v>
      </c>
      <c r="H16" s="33" t="b">
        <v>0</v>
      </c>
      <c r="I16" s="33">
        <v>1.6</v>
      </c>
      <c r="J16" s="33">
        <v>1.6</v>
      </c>
      <c r="K16" s="33">
        <v>0.6</v>
      </c>
      <c r="L16" s="33">
        <v>0.5</v>
      </c>
    </row>
    <row r="17" spans="1:13">
      <c r="A17" s="29">
        <v>47600012</v>
      </c>
      <c r="B17" s="205" t="s">
        <v>1386</v>
      </c>
      <c r="C17" s="4" t="s">
        <v>2004</v>
      </c>
      <c r="D17" s="11">
        <f>IFERROR(VLOOKUP(C17,ShipShapeEnum!$K:$L,2,FALSE),"-")</f>
        <v>1</v>
      </c>
      <c r="E17" s="33" t="s">
        <v>2014</v>
      </c>
      <c r="F17" s="33" t="s">
        <v>2018</v>
      </c>
      <c r="G17" s="33" t="s">
        <v>2023</v>
      </c>
      <c r="H17" s="33" t="b">
        <v>0</v>
      </c>
      <c r="I17" s="33">
        <v>1.6</v>
      </c>
      <c r="J17" s="33">
        <v>1.6</v>
      </c>
      <c r="K17" s="33">
        <v>0.6</v>
      </c>
      <c r="L17" s="33">
        <v>0.5</v>
      </c>
    </row>
    <row r="18" spans="1:13">
      <c r="A18" s="29">
        <v>47600013</v>
      </c>
      <c r="B18" s="205" t="s">
        <v>1381</v>
      </c>
      <c r="C18" s="4" t="s">
        <v>2004</v>
      </c>
      <c r="D18" s="11">
        <f>IFERROR(VLOOKUP(C18,ShipShapeEnum!$K:$L,2,FALSE),"-")</f>
        <v>1</v>
      </c>
      <c r="E18" s="33" t="s">
        <v>2014</v>
      </c>
      <c r="F18" s="33" t="s">
        <v>2018</v>
      </c>
      <c r="G18" s="33" t="s">
        <v>2023</v>
      </c>
      <c r="H18" s="33" t="b">
        <v>0</v>
      </c>
      <c r="I18" s="33">
        <v>1.6</v>
      </c>
      <c r="J18" s="33">
        <v>1.6</v>
      </c>
      <c r="K18" s="33">
        <v>0.6</v>
      </c>
      <c r="L18" s="33">
        <v>0.5</v>
      </c>
    </row>
    <row r="19" spans="1:13">
      <c r="A19" s="29">
        <v>47600014</v>
      </c>
      <c r="B19" s="205" t="s">
        <v>2339</v>
      </c>
      <c r="C19" s="4" t="s">
        <v>2004</v>
      </c>
      <c r="D19" s="11">
        <f>IFERROR(VLOOKUP(C19,ShipShapeEnum!$K:$L,2,FALSE),"-")</f>
        <v>1</v>
      </c>
      <c r="E19" s="33" t="s">
        <v>2340</v>
      </c>
      <c r="F19" s="33" t="s">
        <v>2018</v>
      </c>
      <c r="G19" s="33" t="s">
        <v>2023</v>
      </c>
      <c r="H19" s="33" t="b">
        <v>0</v>
      </c>
      <c r="I19" s="33">
        <v>1.6</v>
      </c>
      <c r="J19" s="33">
        <v>1.6</v>
      </c>
      <c r="K19" s="33">
        <v>0.7</v>
      </c>
      <c r="L19" s="33">
        <v>0.6</v>
      </c>
    </row>
    <row r="20" spans="1:13">
      <c r="A20" s="29">
        <v>47600015</v>
      </c>
      <c r="B20" s="205" t="s">
        <v>2335</v>
      </c>
      <c r="C20" s="4" t="s">
        <v>2004</v>
      </c>
      <c r="D20" s="11">
        <f>IFERROR(VLOOKUP(C20,ShipShapeEnum!$K:$L,2,FALSE),"-")</f>
        <v>1</v>
      </c>
      <c r="E20" s="33" t="s">
        <v>2341</v>
      </c>
      <c r="F20" s="33" t="s">
        <v>2018</v>
      </c>
      <c r="G20" s="33" t="s">
        <v>2023</v>
      </c>
      <c r="H20" s="33" t="b">
        <v>0</v>
      </c>
      <c r="I20" s="33">
        <v>1.7000000000000002</v>
      </c>
      <c r="J20" s="33">
        <v>1.7000000000000002</v>
      </c>
      <c r="K20" s="33">
        <v>0.8</v>
      </c>
      <c r="L20" s="33">
        <v>0.6</v>
      </c>
    </row>
    <row r="21" spans="1:13">
      <c r="A21" s="29">
        <v>47600016</v>
      </c>
      <c r="B21" s="205" t="s">
        <v>2336</v>
      </c>
      <c r="C21" s="4" t="s">
        <v>2004</v>
      </c>
      <c r="D21" s="11">
        <f>IFERROR(VLOOKUP(C21,ShipShapeEnum!$K:$L,2,FALSE),"-")</f>
        <v>1</v>
      </c>
      <c r="E21" s="33" t="s">
        <v>2342</v>
      </c>
      <c r="F21" s="33" t="s">
        <v>2018</v>
      </c>
      <c r="G21" s="33" t="s">
        <v>2023</v>
      </c>
      <c r="H21" s="33" t="b">
        <v>0</v>
      </c>
      <c r="I21" s="33">
        <v>1.8000000000000003</v>
      </c>
      <c r="J21" s="33">
        <v>1.8000000000000003</v>
      </c>
      <c r="K21" s="33">
        <v>1</v>
      </c>
      <c r="L21" s="33">
        <v>0.85</v>
      </c>
    </row>
    <row r="22" spans="1:13">
      <c r="A22" s="29">
        <v>47600017</v>
      </c>
      <c r="B22" s="205" t="s">
        <v>2337</v>
      </c>
      <c r="C22" s="4" t="s">
        <v>2004</v>
      </c>
      <c r="D22" s="11">
        <f>IFERROR(VLOOKUP(C22,ShipShapeEnum!$K:$L,2,FALSE),"-")</f>
        <v>1</v>
      </c>
      <c r="E22" s="33" t="s">
        <v>2343</v>
      </c>
      <c r="F22" s="33" t="s">
        <v>2018</v>
      </c>
      <c r="G22" s="33" t="s">
        <v>2023</v>
      </c>
      <c r="H22" s="33" t="b">
        <v>0</v>
      </c>
      <c r="I22" s="33">
        <v>1.9000000000000004</v>
      </c>
      <c r="J22" s="33">
        <v>1.9000000000000004</v>
      </c>
      <c r="K22" s="33">
        <v>1.3</v>
      </c>
      <c r="L22" s="33">
        <v>1.1000000000000001</v>
      </c>
    </row>
    <row r="23" spans="1:13">
      <c r="A23" s="29">
        <v>47600018</v>
      </c>
      <c r="B23" s="205" t="s">
        <v>2338</v>
      </c>
      <c r="C23" s="4" t="s">
        <v>2004</v>
      </c>
      <c r="D23" s="11">
        <f>IFERROR(VLOOKUP(C23,ShipShapeEnum!$K:$L,2,FALSE),"-")</f>
        <v>1</v>
      </c>
      <c r="E23" s="33" t="s">
        <v>2344</v>
      </c>
      <c r="F23" s="33" t="s">
        <v>2018</v>
      </c>
      <c r="G23" s="33" t="s">
        <v>2023</v>
      </c>
      <c r="H23" s="33" t="b">
        <v>0</v>
      </c>
      <c r="I23" s="33">
        <v>2.0000000000000004</v>
      </c>
      <c r="J23" s="33">
        <v>2.0000000000000004</v>
      </c>
      <c r="K23" s="33">
        <v>1.6</v>
      </c>
      <c r="L23" s="33">
        <v>1.3</v>
      </c>
    </row>
    <row r="24" spans="1:13">
      <c r="A24" s="31"/>
      <c r="B24" s="31"/>
      <c r="C24" s="31"/>
      <c r="D24" s="31"/>
      <c r="E24" s="32"/>
      <c r="F24" s="32"/>
      <c r="G24" s="32"/>
      <c r="H24" s="32"/>
      <c r="I24" s="32"/>
      <c r="J24" s="32"/>
      <c r="K24" s="32"/>
      <c r="L24" s="32"/>
      <c r="M24" s="27" t="s">
        <v>8</v>
      </c>
    </row>
  </sheetData>
  <phoneticPr fontId="5" type="noConversion"/>
  <pageMargins left="0.7" right="0.7" top="0.75" bottom="0.75" header="0.3" footer="0.3"/>
  <pageSetup paperSize="9" orientation="portrait" verticalDpi="0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700-000000000000}">
          <x14:formula1>
            <xm:f>ShipShapeEnum!$K$2:$K$4</xm:f>
          </x14:formula1>
          <xm:sqref>C9:C23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S99"/>
  <sheetViews>
    <sheetView zoomScale="85" zoomScaleNormal="85" workbookViewId="0">
      <pane ySplit="7" topLeftCell="A58" activePane="bottomLeft" state="frozen"/>
      <selection activeCell="A12" sqref="A12"/>
      <selection pane="bottomLeft" activeCell="C45" sqref="C45"/>
    </sheetView>
  </sheetViews>
  <sheetFormatPr defaultColWidth="9.140625" defaultRowHeight="13.5"/>
  <cols>
    <col min="1" max="1" width="24.28515625" style="27" bestFit="1" customWidth="1"/>
    <col min="2" max="2" width="28.140625" style="27" bestFit="1" customWidth="1"/>
    <col min="3" max="4" width="20" style="27" bestFit="1" customWidth="1"/>
    <col min="5" max="6" width="20" style="27" customWidth="1"/>
    <col min="7" max="7" width="20" style="27" bestFit="1" customWidth="1"/>
    <col min="8" max="19" width="20" style="27" customWidth="1"/>
    <col min="20" max="20" width="31.42578125" style="27" customWidth="1"/>
    <col min="21" max="21" width="11" style="27" bestFit="1" customWidth="1"/>
    <col min="22" max="22" width="9.140625" style="27"/>
    <col min="23" max="23" width="24.7109375" style="27" customWidth="1"/>
    <col min="24" max="24" width="22.5703125" style="27" customWidth="1"/>
    <col min="25" max="16384" width="9.140625" style="27"/>
  </cols>
  <sheetData>
    <row r="1" spans="1:18">
      <c r="A1" s="6" t="s">
        <v>5</v>
      </c>
      <c r="B1" s="25"/>
      <c r="C1" s="26" t="s">
        <v>552</v>
      </c>
      <c r="D1" s="25"/>
      <c r="E1" s="26" t="s">
        <v>471</v>
      </c>
      <c r="F1" s="26" t="s">
        <v>472</v>
      </c>
      <c r="G1" s="25"/>
      <c r="H1" s="26" t="s">
        <v>473</v>
      </c>
      <c r="I1" s="26" t="s">
        <v>474</v>
      </c>
      <c r="J1" s="25"/>
      <c r="K1" s="26" t="s">
        <v>1249</v>
      </c>
      <c r="L1" s="26" t="s">
        <v>1250</v>
      </c>
      <c r="M1" s="25"/>
      <c r="N1" s="26" t="s">
        <v>1251</v>
      </c>
      <c r="O1" s="26" t="s">
        <v>1252</v>
      </c>
      <c r="P1" s="25"/>
      <c r="Q1" s="26" t="s">
        <v>1253</v>
      </c>
      <c r="R1" s="26" t="s">
        <v>1254</v>
      </c>
    </row>
    <row r="2" spans="1:18">
      <c r="A2" s="6" t="s">
        <v>2381</v>
      </c>
      <c r="B2" s="25"/>
      <c r="C2" s="26" t="s">
        <v>7</v>
      </c>
      <c r="D2" s="25"/>
      <c r="E2" s="26" t="s">
        <v>7</v>
      </c>
      <c r="F2" s="26" t="s">
        <v>7</v>
      </c>
      <c r="G2" s="25"/>
      <c r="H2" s="26" t="s">
        <v>7</v>
      </c>
      <c r="I2" s="26" t="s">
        <v>7</v>
      </c>
      <c r="J2" s="25"/>
      <c r="K2" s="26" t="s">
        <v>7</v>
      </c>
      <c r="L2" s="26" t="s">
        <v>7</v>
      </c>
      <c r="M2" s="25"/>
      <c r="N2" s="26" t="s">
        <v>7</v>
      </c>
      <c r="O2" s="26" t="s">
        <v>7</v>
      </c>
      <c r="P2" s="25"/>
      <c r="Q2" s="26" t="s">
        <v>7</v>
      </c>
      <c r="R2" s="26" t="s">
        <v>7</v>
      </c>
    </row>
    <row r="3" spans="1:18">
      <c r="A3" s="8" t="s">
        <v>1</v>
      </c>
      <c r="B3" s="25"/>
      <c r="C3" s="28" t="s">
        <v>0</v>
      </c>
      <c r="D3" s="25"/>
      <c r="E3" s="28" t="s">
        <v>0</v>
      </c>
      <c r="F3" s="28" t="s">
        <v>0</v>
      </c>
      <c r="G3" s="25"/>
      <c r="H3" s="28" t="s">
        <v>0</v>
      </c>
      <c r="I3" s="28" t="s">
        <v>0</v>
      </c>
      <c r="J3" s="25"/>
      <c r="K3" s="28" t="s">
        <v>0</v>
      </c>
      <c r="L3" s="28" t="s">
        <v>0</v>
      </c>
      <c r="M3" s="25"/>
      <c r="N3" s="28" t="s">
        <v>0</v>
      </c>
      <c r="O3" s="28" t="s">
        <v>0</v>
      </c>
      <c r="P3" s="25"/>
      <c r="Q3" s="28" t="s">
        <v>0</v>
      </c>
      <c r="R3" s="28" t="s">
        <v>0</v>
      </c>
    </row>
    <row r="4" spans="1:18">
      <c r="A4" s="8" t="s">
        <v>2</v>
      </c>
      <c r="B4" s="25"/>
      <c r="C4" s="28" t="s">
        <v>0</v>
      </c>
      <c r="D4" s="25"/>
      <c r="E4" s="28" t="s">
        <v>0</v>
      </c>
      <c r="F4" s="28" t="s">
        <v>0</v>
      </c>
      <c r="G4" s="25"/>
      <c r="H4" s="28" t="s">
        <v>0</v>
      </c>
      <c r="I4" s="28" t="s">
        <v>0</v>
      </c>
      <c r="J4" s="25"/>
      <c r="K4" s="28" t="s">
        <v>0</v>
      </c>
      <c r="L4" s="28" t="s">
        <v>0</v>
      </c>
      <c r="M4" s="25"/>
      <c r="N4" s="28" t="s">
        <v>0</v>
      </c>
      <c r="O4" s="28" t="s">
        <v>0</v>
      </c>
      <c r="P4" s="25"/>
      <c r="Q4" s="28" t="s">
        <v>0</v>
      </c>
      <c r="R4" s="28" t="s">
        <v>0</v>
      </c>
    </row>
    <row r="5" spans="1:18">
      <c r="A5" s="8" t="s">
        <v>3</v>
      </c>
      <c r="B5" s="25"/>
      <c r="C5" s="28" t="s">
        <v>0</v>
      </c>
      <c r="D5" s="25"/>
      <c r="E5" s="28" t="s">
        <v>0</v>
      </c>
      <c r="F5" s="28" t="s">
        <v>0</v>
      </c>
      <c r="G5" s="25"/>
      <c r="H5" s="28" t="s">
        <v>0</v>
      </c>
      <c r="I5" s="28" t="s">
        <v>0</v>
      </c>
      <c r="J5" s="25"/>
      <c r="K5" s="28" t="s">
        <v>0</v>
      </c>
      <c r="L5" s="28" t="s">
        <v>0</v>
      </c>
      <c r="M5" s="25"/>
      <c r="N5" s="28" t="s">
        <v>0</v>
      </c>
      <c r="O5" s="28" t="s">
        <v>0</v>
      </c>
      <c r="P5" s="25"/>
      <c r="Q5" s="28" t="s">
        <v>0</v>
      </c>
      <c r="R5" s="28" t="s">
        <v>0</v>
      </c>
    </row>
    <row r="6" spans="1:18">
      <c r="A6" s="8" t="s">
        <v>4</v>
      </c>
      <c r="B6" s="25"/>
      <c r="C6" s="28" t="s">
        <v>0</v>
      </c>
      <c r="D6" s="25"/>
      <c r="E6" s="28" t="s">
        <v>0</v>
      </c>
      <c r="F6" s="28" t="s">
        <v>0</v>
      </c>
      <c r="G6" s="25"/>
      <c r="H6" s="28" t="s">
        <v>0</v>
      </c>
      <c r="I6" s="28" t="s">
        <v>0</v>
      </c>
      <c r="J6" s="25"/>
      <c r="K6" s="28" t="s">
        <v>0</v>
      </c>
      <c r="L6" s="28" t="s">
        <v>0</v>
      </c>
      <c r="M6" s="25"/>
      <c r="N6" s="28" t="s">
        <v>0</v>
      </c>
      <c r="O6" s="28" t="s">
        <v>0</v>
      </c>
      <c r="P6" s="25"/>
      <c r="Q6" s="28" t="s">
        <v>0</v>
      </c>
      <c r="R6" s="28" t="s">
        <v>0</v>
      </c>
    </row>
    <row r="7" spans="1:18">
      <c r="A7" s="8" t="s">
        <v>10</v>
      </c>
      <c r="B7" s="25"/>
      <c r="C7" s="28" t="s">
        <v>0</v>
      </c>
      <c r="D7" s="25"/>
      <c r="E7" s="28" t="s">
        <v>0</v>
      </c>
      <c r="F7" s="28" t="s">
        <v>0</v>
      </c>
      <c r="G7" s="25"/>
      <c r="H7" s="28" t="s">
        <v>0</v>
      </c>
      <c r="I7" s="28" t="s">
        <v>0</v>
      </c>
      <c r="J7" s="25"/>
      <c r="K7" s="28" t="s">
        <v>0</v>
      </c>
      <c r="L7" s="28" t="s">
        <v>0</v>
      </c>
      <c r="M7" s="25"/>
      <c r="N7" s="28" t="s">
        <v>0</v>
      </c>
      <c r="O7" s="28" t="s">
        <v>0</v>
      </c>
      <c r="P7" s="25"/>
      <c r="Q7" s="28" t="s">
        <v>0</v>
      </c>
      <c r="R7" s="28" t="s">
        <v>0</v>
      </c>
    </row>
    <row r="8" spans="1:18">
      <c r="A8" s="29">
        <v>47700000</v>
      </c>
      <c r="B8" s="200" t="s">
        <v>629</v>
      </c>
      <c r="C8" s="112" t="s">
        <v>2174</v>
      </c>
      <c r="D8" s="30" t="s">
        <v>475</v>
      </c>
      <c r="E8" s="33">
        <v>100001</v>
      </c>
      <c r="F8" s="200">
        <v>10000</v>
      </c>
      <c r="G8" s="30" t="s">
        <v>475</v>
      </c>
      <c r="H8" s="33">
        <v>100001</v>
      </c>
      <c r="I8" s="200">
        <v>250000</v>
      </c>
      <c r="J8" s="30"/>
      <c r="K8" s="33" t="s">
        <v>545</v>
      </c>
      <c r="L8" s="200" t="s">
        <v>545</v>
      </c>
      <c r="M8" s="30"/>
      <c r="N8" s="33" t="s">
        <v>545</v>
      </c>
      <c r="O8" s="200" t="s">
        <v>545</v>
      </c>
      <c r="P8" s="30"/>
      <c r="Q8" s="33" t="s">
        <v>545</v>
      </c>
      <c r="R8" s="200" t="s">
        <v>545</v>
      </c>
    </row>
    <row r="9" spans="1:18">
      <c r="A9" s="29">
        <v>47700001</v>
      </c>
      <c r="B9" s="200" t="s">
        <v>481</v>
      </c>
      <c r="C9" s="113" t="s">
        <v>2175</v>
      </c>
      <c r="D9" s="30" t="s">
        <v>475</v>
      </c>
      <c r="E9" s="33">
        <v>100001</v>
      </c>
      <c r="F9" s="200">
        <v>10000</v>
      </c>
      <c r="G9" s="30" t="s">
        <v>475</v>
      </c>
      <c r="H9" s="33">
        <v>100001</v>
      </c>
      <c r="I9" s="200">
        <v>250000</v>
      </c>
      <c r="J9" s="30"/>
      <c r="K9" s="33" t="s">
        <v>545</v>
      </c>
      <c r="L9" s="200" t="s">
        <v>545</v>
      </c>
      <c r="M9" s="30"/>
      <c r="N9" s="33" t="s">
        <v>545</v>
      </c>
      <c r="O9" s="200" t="s">
        <v>545</v>
      </c>
      <c r="P9" s="30"/>
      <c r="Q9" s="33" t="s">
        <v>545</v>
      </c>
      <c r="R9" s="200" t="s">
        <v>545</v>
      </c>
    </row>
    <row r="10" spans="1:18">
      <c r="A10" s="29">
        <v>47700002</v>
      </c>
      <c r="B10" s="200" t="s">
        <v>482</v>
      </c>
      <c r="C10" s="114" t="s">
        <v>2176</v>
      </c>
      <c r="D10" s="30" t="s">
        <v>475</v>
      </c>
      <c r="E10" s="33">
        <v>100001</v>
      </c>
      <c r="F10" s="200">
        <v>10000</v>
      </c>
      <c r="G10" s="30" t="s">
        <v>475</v>
      </c>
      <c r="H10" s="33">
        <v>100001</v>
      </c>
      <c r="I10" s="200">
        <v>250000</v>
      </c>
      <c r="J10" s="30"/>
      <c r="K10" s="33" t="s">
        <v>545</v>
      </c>
      <c r="L10" s="200" t="s">
        <v>545</v>
      </c>
      <c r="M10" s="30"/>
      <c r="N10" s="33" t="s">
        <v>545</v>
      </c>
      <c r="O10" s="200" t="s">
        <v>545</v>
      </c>
      <c r="P10" s="30"/>
      <c r="Q10" s="33" t="s">
        <v>545</v>
      </c>
      <c r="R10" s="200" t="s">
        <v>545</v>
      </c>
    </row>
    <row r="11" spans="1:18">
      <c r="A11" s="29">
        <v>47700003</v>
      </c>
      <c r="B11" s="200" t="s">
        <v>483</v>
      </c>
      <c r="C11" s="114" t="s">
        <v>2177</v>
      </c>
      <c r="D11" s="30" t="s">
        <v>475</v>
      </c>
      <c r="E11" s="33">
        <v>100001</v>
      </c>
      <c r="F11" s="200">
        <v>10000</v>
      </c>
      <c r="G11" s="30" t="s">
        <v>475</v>
      </c>
      <c r="H11" s="33">
        <v>100001</v>
      </c>
      <c r="I11" s="200">
        <v>250000</v>
      </c>
      <c r="J11" s="30"/>
      <c r="K11" s="33" t="s">
        <v>545</v>
      </c>
      <c r="L11" s="200" t="s">
        <v>545</v>
      </c>
      <c r="M11" s="30"/>
      <c r="N11" s="33" t="s">
        <v>545</v>
      </c>
      <c r="O11" s="200" t="s">
        <v>545</v>
      </c>
      <c r="P11" s="30"/>
      <c r="Q11" s="33" t="s">
        <v>545</v>
      </c>
      <c r="R11" s="200" t="s">
        <v>545</v>
      </c>
    </row>
    <row r="12" spans="1:18">
      <c r="A12" s="29">
        <v>47700004</v>
      </c>
      <c r="B12" s="200" t="s">
        <v>484</v>
      </c>
      <c r="C12" s="115" t="s">
        <v>2178</v>
      </c>
      <c r="D12" s="30" t="s">
        <v>475</v>
      </c>
      <c r="E12" s="33">
        <v>100001</v>
      </c>
      <c r="F12" s="200">
        <v>10000</v>
      </c>
      <c r="G12" s="30" t="s">
        <v>475</v>
      </c>
      <c r="H12" s="33">
        <v>100001</v>
      </c>
      <c r="I12" s="200">
        <v>50000</v>
      </c>
      <c r="J12" s="30"/>
      <c r="K12" s="33" t="s">
        <v>545</v>
      </c>
      <c r="L12" s="200" t="s">
        <v>545</v>
      </c>
      <c r="M12" s="30"/>
      <c r="N12" s="33" t="s">
        <v>545</v>
      </c>
      <c r="O12" s="200" t="s">
        <v>545</v>
      </c>
      <c r="P12" s="30"/>
      <c r="Q12" s="33" t="s">
        <v>545</v>
      </c>
      <c r="R12" s="200" t="s">
        <v>545</v>
      </c>
    </row>
    <row r="13" spans="1:18">
      <c r="A13" s="29">
        <v>47700005</v>
      </c>
      <c r="B13" s="200" t="s">
        <v>485</v>
      </c>
      <c r="C13" s="116" t="s">
        <v>2179</v>
      </c>
      <c r="D13" s="30" t="s">
        <v>475</v>
      </c>
      <c r="E13" s="33">
        <v>100001</v>
      </c>
      <c r="F13" s="200">
        <v>10000</v>
      </c>
      <c r="G13" s="30" t="s">
        <v>475</v>
      </c>
      <c r="H13" s="33">
        <v>100001</v>
      </c>
      <c r="I13" s="200">
        <v>2250000</v>
      </c>
      <c r="J13" s="30"/>
      <c r="K13" s="33" t="s">
        <v>545</v>
      </c>
      <c r="L13" s="200" t="s">
        <v>545</v>
      </c>
      <c r="M13" s="30"/>
      <c r="N13" s="33" t="s">
        <v>545</v>
      </c>
      <c r="O13" s="200" t="s">
        <v>545</v>
      </c>
      <c r="P13" s="30"/>
      <c r="Q13" s="33" t="s">
        <v>545</v>
      </c>
      <c r="R13" s="200" t="s">
        <v>545</v>
      </c>
    </row>
    <row r="14" spans="1:18">
      <c r="A14" s="29">
        <v>47700006</v>
      </c>
      <c r="B14" s="200" t="s">
        <v>486</v>
      </c>
      <c r="C14" s="117" t="s">
        <v>2180</v>
      </c>
      <c r="D14" s="30" t="s">
        <v>475</v>
      </c>
      <c r="E14" s="33">
        <v>100001</v>
      </c>
      <c r="F14" s="200">
        <v>10000</v>
      </c>
      <c r="G14" s="30" t="s">
        <v>475</v>
      </c>
      <c r="H14" s="33">
        <v>100001</v>
      </c>
      <c r="I14" s="200">
        <v>50000</v>
      </c>
      <c r="J14" s="30"/>
      <c r="K14" s="33" t="s">
        <v>545</v>
      </c>
      <c r="L14" s="200" t="s">
        <v>545</v>
      </c>
      <c r="M14" s="30"/>
      <c r="N14" s="33" t="s">
        <v>545</v>
      </c>
      <c r="O14" s="200" t="s">
        <v>545</v>
      </c>
      <c r="P14" s="30"/>
      <c r="Q14" s="33" t="s">
        <v>545</v>
      </c>
      <c r="R14" s="200" t="s">
        <v>545</v>
      </c>
    </row>
    <row r="15" spans="1:18">
      <c r="A15" s="29">
        <v>47700007</v>
      </c>
      <c r="B15" s="200" t="s">
        <v>487</v>
      </c>
      <c r="C15" s="118" t="s">
        <v>2181</v>
      </c>
      <c r="D15" s="30" t="s">
        <v>475</v>
      </c>
      <c r="E15" s="33">
        <v>100001</v>
      </c>
      <c r="F15" s="200">
        <v>10000</v>
      </c>
      <c r="G15" s="30" t="s">
        <v>475</v>
      </c>
      <c r="H15" s="33">
        <v>100001</v>
      </c>
      <c r="I15" s="200">
        <v>250000</v>
      </c>
      <c r="J15" s="30"/>
      <c r="K15" s="33" t="s">
        <v>545</v>
      </c>
      <c r="L15" s="200" t="s">
        <v>545</v>
      </c>
      <c r="M15" s="30"/>
      <c r="N15" s="33" t="s">
        <v>545</v>
      </c>
      <c r="O15" s="200" t="s">
        <v>545</v>
      </c>
      <c r="P15" s="30"/>
      <c r="Q15" s="33" t="s">
        <v>545</v>
      </c>
      <c r="R15" s="200" t="s">
        <v>545</v>
      </c>
    </row>
    <row r="16" spans="1:18">
      <c r="A16" s="29">
        <v>47700008</v>
      </c>
      <c r="B16" s="200" t="s">
        <v>488</v>
      </c>
      <c r="C16" s="119" t="s">
        <v>2182</v>
      </c>
      <c r="D16" s="30" t="s">
        <v>475</v>
      </c>
      <c r="E16" s="33">
        <v>100001</v>
      </c>
      <c r="F16" s="200">
        <v>10000</v>
      </c>
      <c r="G16" s="30" t="s">
        <v>475</v>
      </c>
      <c r="H16" s="33">
        <v>100001</v>
      </c>
      <c r="I16" s="200">
        <v>250000</v>
      </c>
      <c r="J16" s="30"/>
      <c r="K16" s="33" t="s">
        <v>545</v>
      </c>
      <c r="L16" s="200" t="s">
        <v>545</v>
      </c>
      <c r="M16" s="30"/>
      <c r="N16" s="33" t="s">
        <v>545</v>
      </c>
      <c r="O16" s="200" t="s">
        <v>545</v>
      </c>
      <c r="P16" s="30"/>
      <c r="Q16" s="33" t="s">
        <v>545</v>
      </c>
      <c r="R16" s="200" t="s">
        <v>545</v>
      </c>
    </row>
    <row r="17" spans="1:18">
      <c r="A17" s="29">
        <v>47700009</v>
      </c>
      <c r="B17" s="200" t="s">
        <v>489</v>
      </c>
      <c r="C17" s="120" t="s">
        <v>2183</v>
      </c>
      <c r="D17" s="30" t="s">
        <v>475</v>
      </c>
      <c r="E17" s="33">
        <v>100001</v>
      </c>
      <c r="F17" s="200">
        <v>10000</v>
      </c>
      <c r="G17" s="30" t="s">
        <v>475</v>
      </c>
      <c r="H17" s="33">
        <v>100001</v>
      </c>
      <c r="I17" s="200">
        <v>2250000</v>
      </c>
      <c r="J17" s="30"/>
      <c r="K17" s="33" t="s">
        <v>545</v>
      </c>
      <c r="L17" s="200" t="s">
        <v>545</v>
      </c>
      <c r="M17" s="30"/>
      <c r="N17" s="33" t="s">
        <v>545</v>
      </c>
      <c r="O17" s="200" t="s">
        <v>545</v>
      </c>
      <c r="P17" s="30"/>
      <c r="Q17" s="33" t="s">
        <v>545</v>
      </c>
      <c r="R17" s="200" t="s">
        <v>545</v>
      </c>
    </row>
    <row r="18" spans="1:18">
      <c r="A18" s="29">
        <v>47700010</v>
      </c>
      <c r="B18" s="200" t="s">
        <v>490</v>
      </c>
      <c r="C18" s="121" t="s">
        <v>2184</v>
      </c>
      <c r="D18" s="30" t="s">
        <v>475</v>
      </c>
      <c r="E18" s="33">
        <v>100001</v>
      </c>
      <c r="F18" s="200">
        <v>10000</v>
      </c>
      <c r="G18" s="30" t="s">
        <v>475</v>
      </c>
      <c r="H18" s="33">
        <v>100001</v>
      </c>
      <c r="I18" s="200">
        <v>50000</v>
      </c>
      <c r="J18" s="30"/>
      <c r="K18" s="33" t="s">
        <v>545</v>
      </c>
      <c r="L18" s="200" t="s">
        <v>545</v>
      </c>
      <c r="M18" s="30"/>
      <c r="N18" s="33" t="s">
        <v>545</v>
      </c>
      <c r="O18" s="200" t="s">
        <v>545</v>
      </c>
      <c r="P18" s="30"/>
      <c r="Q18" s="33" t="s">
        <v>545</v>
      </c>
      <c r="R18" s="200" t="s">
        <v>545</v>
      </c>
    </row>
    <row r="19" spans="1:18">
      <c r="A19" s="29">
        <v>47700011</v>
      </c>
      <c r="B19" s="200" t="s">
        <v>641</v>
      </c>
      <c r="C19" s="122" t="s">
        <v>2185</v>
      </c>
      <c r="D19" s="30" t="s">
        <v>475</v>
      </c>
      <c r="E19" s="33">
        <v>100001</v>
      </c>
      <c r="F19" s="200">
        <v>10000</v>
      </c>
      <c r="G19" s="30" t="s">
        <v>475</v>
      </c>
      <c r="H19" s="33">
        <v>100001</v>
      </c>
      <c r="I19" s="200">
        <v>50000</v>
      </c>
      <c r="J19" s="30"/>
      <c r="K19" s="33" t="s">
        <v>545</v>
      </c>
      <c r="L19" s="200" t="s">
        <v>545</v>
      </c>
      <c r="M19" s="30"/>
      <c r="N19" s="33" t="s">
        <v>545</v>
      </c>
      <c r="O19" s="200" t="s">
        <v>545</v>
      </c>
      <c r="P19" s="30"/>
      <c r="Q19" s="33" t="s">
        <v>545</v>
      </c>
      <c r="R19" s="200" t="s">
        <v>545</v>
      </c>
    </row>
    <row r="20" spans="1:18">
      <c r="A20" s="29">
        <v>47700012</v>
      </c>
      <c r="B20" s="200" t="s">
        <v>643</v>
      </c>
      <c r="C20" s="123" t="s">
        <v>2186</v>
      </c>
      <c r="D20" s="30" t="s">
        <v>475</v>
      </c>
      <c r="E20" s="33">
        <v>100001</v>
      </c>
      <c r="F20" s="200">
        <v>10000</v>
      </c>
      <c r="G20" s="30" t="s">
        <v>475</v>
      </c>
      <c r="H20" s="33">
        <v>100001</v>
      </c>
      <c r="I20" s="200">
        <v>50000</v>
      </c>
      <c r="J20" s="30"/>
      <c r="K20" s="33" t="s">
        <v>545</v>
      </c>
      <c r="L20" s="200" t="s">
        <v>545</v>
      </c>
      <c r="M20" s="30"/>
      <c r="N20" s="33" t="s">
        <v>545</v>
      </c>
      <c r="O20" s="200" t="s">
        <v>545</v>
      </c>
      <c r="P20" s="30"/>
      <c r="Q20" s="33" t="s">
        <v>545</v>
      </c>
      <c r="R20" s="200" t="s">
        <v>545</v>
      </c>
    </row>
    <row r="21" spans="1:18">
      <c r="A21" s="29">
        <v>47700013</v>
      </c>
      <c r="B21" s="200" t="s">
        <v>645</v>
      </c>
      <c r="C21" s="124" t="s">
        <v>2187</v>
      </c>
      <c r="D21" s="30" t="s">
        <v>475</v>
      </c>
      <c r="E21" s="33">
        <v>100001</v>
      </c>
      <c r="F21" s="200">
        <v>10000</v>
      </c>
      <c r="G21" s="30" t="s">
        <v>475</v>
      </c>
      <c r="H21" s="33">
        <v>100001</v>
      </c>
      <c r="I21" s="200">
        <v>250000</v>
      </c>
      <c r="J21" s="30"/>
      <c r="K21" s="33" t="s">
        <v>545</v>
      </c>
      <c r="L21" s="200" t="s">
        <v>545</v>
      </c>
      <c r="M21" s="30"/>
      <c r="N21" s="33" t="s">
        <v>545</v>
      </c>
      <c r="O21" s="200" t="s">
        <v>545</v>
      </c>
      <c r="P21" s="30"/>
      <c r="Q21" s="33" t="s">
        <v>545</v>
      </c>
      <c r="R21" s="200" t="s">
        <v>545</v>
      </c>
    </row>
    <row r="22" spans="1:18">
      <c r="A22" s="29">
        <v>47700014</v>
      </c>
      <c r="B22" s="200" t="s">
        <v>647</v>
      </c>
      <c r="C22" s="125" t="s">
        <v>2188</v>
      </c>
      <c r="D22" s="30" t="s">
        <v>475</v>
      </c>
      <c r="E22" s="33">
        <v>100001</v>
      </c>
      <c r="F22" s="200">
        <v>10000</v>
      </c>
      <c r="G22" s="30" t="s">
        <v>475</v>
      </c>
      <c r="H22" s="33">
        <v>100001</v>
      </c>
      <c r="I22" s="200">
        <v>50000</v>
      </c>
      <c r="J22" s="30"/>
      <c r="K22" s="33" t="s">
        <v>545</v>
      </c>
      <c r="L22" s="200" t="s">
        <v>545</v>
      </c>
      <c r="M22" s="30"/>
      <c r="N22" s="33" t="s">
        <v>545</v>
      </c>
      <c r="O22" s="200" t="s">
        <v>545</v>
      </c>
      <c r="P22" s="30"/>
      <c r="Q22" s="33" t="s">
        <v>545</v>
      </c>
      <c r="R22" s="200" t="s">
        <v>545</v>
      </c>
    </row>
    <row r="23" spans="1:18">
      <c r="A23" s="29">
        <v>47700015</v>
      </c>
      <c r="B23" s="200" t="s">
        <v>649</v>
      </c>
      <c r="C23" s="126" t="s">
        <v>2189</v>
      </c>
      <c r="D23" s="30" t="s">
        <v>475</v>
      </c>
      <c r="E23" s="33">
        <v>100001</v>
      </c>
      <c r="F23" s="200">
        <v>10000</v>
      </c>
      <c r="G23" s="30" t="s">
        <v>475</v>
      </c>
      <c r="H23" s="33">
        <v>100001</v>
      </c>
      <c r="I23" s="200">
        <v>2250000</v>
      </c>
      <c r="J23" s="30"/>
      <c r="K23" s="33" t="s">
        <v>545</v>
      </c>
      <c r="L23" s="200" t="s">
        <v>545</v>
      </c>
      <c r="M23" s="30"/>
      <c r="N23" s="33" t="s">
        <v>545</v>
      </c>
      <c r="O23" s="200" t="s">
        <v>545</v>
      </c>
      <c r="P23" s="30"/>
      <c r="Q23" s="33" t="s">
        <v>545</v>
      </c>
      <c r="R23" s="200" t="s">
        <v>545</v>
      </c>
    </row>
    <row r="24" spans="1:18">
      <c r="A24" s="29">
        <v>47700016</v>
      </c>
      <c r="B24" s="200" t="s">
        <v>651</v>
      </c>
      <c r="C24" s="127" t="s">
        <v>2190</v>
      </c>
      <c r="D24" s="30" t="s">
        <v>475</v>
      </c>
      <c r="E24" s="33">
        <v>100001</v>
      </c>
      <c r="F24" s="200">
        <v>10000</v>
      </c>
      <c r="G24" s="30" t="s">
        <v>475</v>
      </c>
      <c r="H24" s="33">
        <v>100001</v>
      </c>
      <c r="I24" s="200">
        <v>250000</v>
      </c>
      <c r="J24" s="30"/>
      <c r="K24" s="33" t="s">
        <v>545</v>
      </c>
      <c r="L24" s="200" t="s">
        <v>545</v>
      </c>
      <c r="M24" s="30"/>
      <c r="N24" s="33" t="s">
        <v>545</v>
      </c>
      <c r="O24" s="200" t="s">
        <v>545</v>
      </c>
      <c r="P24" s="30"/>
      <c r="Q24" s="33" t="s">
        <v>545</v>
      </c>
      <c r="R24" s="200" t="s">
        <v>545</v>
      </c>
    </row>
    <row r="25" spans="1:18">
      <c r="A25" s="29">
        <v>47700017</v>
      </c>
      <c r="B25" s="200" t="s">
        <v>653</v>
      </c>
      <c r="C25" s="127" t="s">
        <v>2191</v>
      </c>
      <c r="D25" s="30" t="s">
        <v>475</v>
      </c>
      <c r="E25" s="33">
        <v>100001</v>
      </c>
      <c r="F25" s="200">
        <v>10000</v>
      </c>
      <c r="G25" s="30" t="s">
        <v>475</v>
      </c>
      <c r="H25" s="33">
        <v>100001</v>
      </c>
      <c r="I25" s="200">
        <v>50000</v>
      </c>
      <c r="J25" s="30"/>
      <c r="K25" s="33" t="s">
        <v>545</v>
      </c>
      <c r="L25" s="200" t="s">
        <v>545</v>
      </c>
      <c r="M25" s="30"/>
      <c r="N25" s="33" t="s">
        <v>545</v>
      </c>
      <c r="O25" s="200" t="s">
        <v>545</v>
      </c>
      <c r="P25" s="30"/>
      <c r="Q25" s="33" t="s">
        <v>545</v>
      </c>
      <c r="R25" s="200" t="s">
        <v>545</v>
      </c>
    </row>
    <row r="26" spans="1:18">
      <c r="A26" s="29">
        <v>47700018</v>
      </c>
      <c r="B26" s="200" t="s">
        <v>655</v>
      </c>
      <c r="C26" s="128" t="s">
        <v>2192</v>
      </c>
      <c r="D26" s="30" t="s">
        <v>475</v>
      </c>
      <c r="E26" s="33">
        <v>100001</v>
      </c>
      <c r="F26" s="200">
        <v>10000</v>
      </c>
      <c r="G26" s="30" t="s">
        <v>475</v>
      </c>
      <c r="H26" s="33">
        <v>100001</v>
      </c>
      <c r="I26" s="200">
        <v>50000</v>
      </c>
      <c r="J26" s="30"/>
      <c r="K26" s="33" t="s">
        <v>545</v>
      </c>
      <c r="L26" s="200" t="s">
        <v>545</v>
      </c>
      <c r="M26" s="30"/>
      <c r="N26" s="33" t="s">
        <v>545</v>
      </c>
      <c r="O26" s="200" t="s">
        <v>545</v>
      </c>
      <c r="P26" s="30"/>
      <c r="Q26" s="33" t="s">
        <v>545</v>
      </c>
      <c r="R26" s="200" t="s">
        <v>545</v>
      </c>
    </row>
    <row r="27" spans="1:18">
      <c r="A27" s="29">
        <v>47700019</v>
      </c>
      <c r="B27" s="200" t="s">
        <v>657</v>
      </c>
      <c r="C27" s="129" t="s">
        <v>2193</v>
      </c>
      <c r="D27" s="30" t="s">
        <v>475</v>
      </c>
      <c r="E27" s="33">
        <v>100001</v>
      </c>
      <c r="F27" s="200">
        <v>10000</v>
      </c>
      <c r="G27" s="30" t="s">
        <v>475</v>
      </c>
      <c r="H27" s="33">
        <v>100001</v>
      </c>
      <c r="I27" s="200">
        <v>250000</v>
      </c>
      <c r="J27" s="30"/>
      <c r="K27" s="33" t="s">
        <v>545</v>
      </c>
      <c r="L27" s="200" t="s">
        <v>545</v>
      </c>
      <c r="M27" s="30"/>
      <c r="N27" s="33" t="s">
        <v>545</v>
      </c>
      <c r="O27" s="200" t="s">
        <v>545</v>
      </c>
      <c r="P27" s="30"/>
      <c r="Q27" s="33" t="s">
        <v>545</v>
      </c>
      <c r="R27" s="200" t="s">
        <v>545</v>
      </c>
    </row>
    <row r="28" spans="1:18">
      <c r="A28" s="29">
        <v>47700020</v>
      </c>
      <c r="B28" s="200" t="s">
        <v>659</v>
      </c>
      <c r="C28" s="130" t="s">
        <v>2194</v>
      </c>
      <c r="D28" s="30" t="s">
        <v>475</v>
      </c>
      <c r="E28" s="33">
        <v>100001</v>
      </c>
      <c r="F28" s="200">
        <v>10000</v>
      </c>
      <c r="G28" s="30" t="s">
        <v>475</v>
      </c>
      <c r="H28" s="33">
        <v>100001</v>
      </c>
      <c r="I28" s="200">
        <v>50000</v>
      </c>
      <c r="J28" s="30"/>
      <c r="K28" s="33" t="s">
        <v>545</v>
      </c>
      <c r="L28" s="200" t="s">
        <v>545</v>
      </c>
      <c r="M28" s="30"/>
      <c r="N28" s="33" t="s">
        <v>545</v>
      </c>
      <c r="O28" s="200" t="s">
        <v>545</v>
      </c>
      <c r="P28" s="30"/>
      <c r="Q28" s="33" t="s">
        <v>545</v>
      </c>
      <c r="R28" s="200" t="s">
        <v>545</v>
      </c>
    </row>
    <row r="29" spans="1:18">
      <c r="A29" s="29">
        <v>47700021</v>
      </c>
      <c r="B29" s="200" t="s">
        <v>661</v>
      </c>
      <c r="C29" s="131" t="s">
        <v>2195</v>
      </c>
      <c r="D29" s="30" t="s">
        <v>475</v>
      </c>
      <c r="E29" s="33">
        <v>100001</v>
      </c>
      <c r="F29" s="200">
        <v>10000</v>
      </c>
      <c r="G29" s="30" t="s">
        <v>475</v>
      </c>
      <c r="H29" s="33">
        <v>100001</v>
      </c>
      <c r="I29" s="200">
        <v>50000</v>
      </c>
      <c r="J29" s="30"/>
      <c r="K29" s="33" t="s">
        <v>545</v>
      </c>
      <c r="L29" s="200" t="s">
        <v>545</v>
      </c>
      <c r="M29" s="30"/>
      <c r="N29" s="33" t="s">
        <v>545</v>
      </c>
      <c r="O29" s="200" t="s">
        <v>545</v>
      </c>
      <c r="P29" s="30"/>
      <c r="Q29" s="33" t="s">
        <v>545</v>
      </c>
      <c r="R29" s="200" t="s">
        <v>545</v>
      </c>
    </row>
    <row r="30" spans="1:18">
      <c r="A30" s="29">
        <v>47700022</v>
      </c>
      <c r="B30" s="200" t="s">
        <v>663</v>
      </c>
      <c r="C30" s="132" t="s">
        <v>2196</v>
      </c>
      <c r="D30" s="30" t="s">
        <v>475</v>
      </c>
      <c r="E30" s="33">
        <v>100001</v>
      </c>
      <c r="F30" s="200">
        <v>10000</v>
      </c>
      <c r="G30" s="30" t="s">
        <v>475</v>
      </c>
      <c r="H30" s="33">
        <v>100001</v>
      </c>
      <c r="I30" s="200">
        <v>50000</v>
      </c>
      <c r="J30" s="30"/>
      <c r="K30" s="33" t="s">
        <v>545</v>
      </c>
      <c r="L30" s="200" t="s">
        <v>545</v>
      </c>
      <c r="M30" s="30"/>
      <c r="N30" s="33" t="s">
        <v>545</v>
      </c>
      <c r="O30" s="200" t="s">
        <v>545</v>
      </c>
      <c r="P30" s="30"/>
      <c r="Q30" s="33" t="s">
        <v>545</v>
      </c>
      <c r="R30" s="200" t="s">
        <v>545</v>
      </c>
    </row>
    <row r="31" spans="1:18">
      <c r="A31" s="29">
        <v>47700023</v>
      </c>
      <c r="B31" s="200" t="s">
        <v>665</v>
      </c>
      <c r="C31" s="133" t="s">
        <v>2197</v>
      </c>
      <c r="D31" s="30" t="s">
        <v>475</v>
      </c>
      <c r="E31" s="33">
        <v>100001</v>
      </c>
      <c r="F31" s="200">
        <v>10000</v>
      </c>
      <c r="G31" s="30" t="s">
        <v>475</v>
      </c>
      <c r="H31" s="33">
        <v>100001</v>
      </c>
      <c r="I31" s="200">
        <v>250000</v>
      </c>
      <c r="J31" s="30"/>
      <c r="K31" s="33" t="s">
        <v>545</v>
      </c>
      <c r="L31" s="200" t="s">
        <v>545</v>
      </c>
      <c r="M31" s="30"/>
      <c r="N31" s="33" t="s">
        <v>545</v>
      </c>
      <c r="O31" s="200" t="s">
        <v>545</v>
      </c>
      <c r="P31" s="30"/>
      <c r="Q31" s="33" t="s">
        <v>545</v>
      </c>
      <c r="R31" s="200" t="s">
        <v>545</v>
      </c>
    </row>
    <row r="32" spans="1:18">
      <c r="A32" s="29">
        <v>47700024</v>
      </c>
      <c r="B32" s="200" t="s">
        <v>667</v>
      </c>
      <c r="C32" s="134" t="s">
        <v>2198</v>
      </c>
      <c r="D32" s="30" t="s">
        <v>475</v>
      </c>
      <c r="E32" s="33">
        <v>100001</v>
      </c>
      <c r="F32" s="200">
        <v>10000</v>
      </c>
      <c r="G32" s="30" t="s">
        <v>475</v>
      </c>
      <c r="H32" s="33">
        <v>100001</v>
      </c>
      <c r="I32" s="200">
        <v>50000</v>
      </c>
      <c r="J32" s="30"/>
      <c r="K32" s="33" t="s">
        <v>545</v>
      </c>
      <c r="L32" s="200" t="s">
        <v>545</v>
      </c>
      <c r="M32" s="30"/>
      <c r="N32" s="33" t="s">
        <v>545</v>
      </c>
      <c r="O32" s="200" t="s">
        <v>545</v>
      </c>
      <c r="P32" s="30"/>
      <c r="Q32" s="33" t="s">
        <v>545</v>
      </c>
      <c r="R32" s="200" t="s">
        <v>545</v>
      </c>
    </row>
    <row r="33" spans="1:18">
      <c r="A33" s="29">
        <v>47700025</v>
      </c>
      <c r="B33" s="200" t="s">
        <v>669</v>
      </c>
      <c r="C33" s="135" t="s">
        <v>2199</v>
      </c>
      <c r="D33" s="30" t="s">
        <v>475</v>
      </c>
      <c r="E33" s="33">
        <v>100001</v>
      </c>
      <c r="F33" s="200">
        <v>10000</v>
      </c>
      <c r="G33" s="30" t="s">
        <v>475</v>
      </c>
      <c r="H33" s="33">
        <v>100001</v>
      </c>
      <c r="I33" s="200">
        <v>50000</v>
      </c>
      <c r="J33" s="30"/>
      <c r="K33" s="33" t="s">
        <v>545</v>
      </c>
      <c r="L33" s="200" t="s">
        <v>545</v>
      </c>
      <c r="M33" s="30"/>
      <c r="N33" s="33" t="s">
        <v>545</v>
      </c>
      <c r="O33" s="200" t="s">
        <v>545</v>
      </c>
      <c r="P33" s="30"/>
      <c r="Q33" s="33" t="s">
        <v>545</v>
      </c>
      <c r="R33" s="200" t="s">
        <v>545</v>
      </c>
    </row>
    <row r="34" spans="1:18">
      <c r="A34" s="29">
        <v>47700026</v>
      </c>
      <c r="B34" s="200" t="s">
        <v>671</v>
      </c>
      <c r="C34" s="136" t="s">
        <v>2200</v>
      </c>
      <c r="D34" s="30" t="s">
        <v>475</v>
      </c>
      <c r="E34" s="33">
        <v>100001</v>
      </c>
      <c r="F34" s="200">
        <v>10000</v>
      </c>
      <c r="G34" s="30" t="s">
        <v>475</v>
      </c>
      <c r="H34" s="33">
        <v>100001</v>
      </c>
      <c r="I34" s="200">
        <v>250000</v>
      </c>
      <c r="J34" s="30"/>
      <c r="K34" s="33" t="s">
        <v>545</v>
      </c>
      <c r="L34" s="200" t="s">
        <v>545</v>
      </c>
      <c r="M34" s="30"/>
      <c r="N34" s="33" t="s">
        <v>545</v>
      </c>
      <c r="O34" s="200" t="s">
        <v>545</v>
      </c>
      <c r="P34" s="30"/>
      <c r="Q34" s="33" t="s">
        <v>545</v>
      </c>
      <c r="R34" s="200" t="s">
        <v>545</v>
      </c>
    </row>
    <row r="35" spans="1:18">
      <c r="A35" s="29">
        <v>47700027</v>
      </c>
      <c r="B35" s="200" t="s">
        <v>673</v>
      </c>
      <c r="C35" s="137" t="s">
        <v>2201</v>
      </c>
      <c r="D35" s="30" t="s">
        <v>475</v>
      </c>
      <c r="E35" s="33">
        <v>100001</v>
      </c>
      <c r="F35" s="200">
        <v>10000</v>
      </c>
      <c r="G35" s="30" t="s">
        <v>475</v>
      </c>
      <c r="H35" s="33">
        <v>100001</v>
      </c>
      <c r="I35" s="200">
        <v>2250000</v>
      </c>
      <c r="J35" s="30"/>
      <c r="K35" s="33" t="s">
        <v>545</v>
      </c>
      <c r="L35" s="200" t="s">
        <v>545</v>
      </c>
      <c r="M35" s="30"/>
      <c r="N35" s="33" t="s">
        <v>545</v>
      </c>
      <c r="O35" s="200" t="s">
        <v>545</v>
      </c>
      <c r="P35" s="30"/>
      <c r="Q35" s="33" t="s">
        <v>545</v>
      </c>
      <c r="R35" s="200" t="s">
        <v>545</v>
      </c>
    </row>
    <row r="36" spans="1:18">
      <c r="A36" s="29">
        <v>47700028</v>
      </c>
      <c r="B36" s="200" t="s">
        <v>675</v>
      </c>
      <c r="C36" s="138" t="s">
        <v>2202</v>
      </c>
      <c r="D36" s="30" t="s">
        <v>475</v>
      </c>
      <c r="E36" s="33">
        <v>100001</v>
      </c>
      <c r="F36" s="200">
        <v>10000</v>
      </c>
      <c r="G36" s="30" t="s">
        <v>475</v>
      </c>
      <c r="H36" s="33">
        <v>100001</v>
      </c>
      <c r="I36" s="200">
        <v>50000</v>
      </c>
      <c r="J36" s="30"/>
      <c r="K36" s="33" t="s">
        <v>545</v>
      </c>
      <c r="L36" s="200" t="s">
        <v>545</v>
      </c>
      <c r="M36" s="30"/>
      <c r="N36" s="33" t="s">
        <v>545</v>
      </c>
      <c r="O36" s="200" t="s">
        <v>545</v>
      </c>
      <c r="P36" s="30"/>
      <c r="Q36" s="33" t="s">
        <v>545</v>
      </c>
      <c r="R36" s="200" t="s">
        <v>545</v>
      </c>
    </row>
    <row r="37" spans="1:18">
      <c r="A37" s="29">
        <v>47700029</v>
      </c>
      <c r="B37" s="200" t="s">
        <v>677</v>
      </c>
      <c r="C37" s="139" t="s">
        <v>2203</v>
      </c>
      <c r="D37" s="30" t="s">
        <v>475</v>
      </c>
      <c r="E37" s="33">
        <v>100001</v>
      </c>
      <c r="F37" s="200">
        <v>10000</v>
      </c>
      <c r="G37" s="30" t="s">
        <v>475</v>
      </c>
      <c r="H37" s="33">
        <v>100001</v>
      </c>
      <c r="I37" s="200">
        <v>250000</v>
      </c>
      <c r="J37" s="30"/>
      <c r="K37" s="33" t="s">
        <v>545</v>
      </c>
      <c r="L37" s="200" t="s">
        <v>545</v>
      </c>
      <c r="M37" s="30"/>
      <c r="N37" s="33" t="s">
        <v>545</v>
      </c>
      <c r="O37" s="200" t="s">
        <v>545</v>
      </c>
      <c r="P37" s="30"/>
      <c r="Q37" s="33" t="s">
        <v>545</v>
      </c>
      <c r="R37" s="200" t="s">
        <v>545</v>
      </c>
    </row>
    <row r="38" spans="1:18">
      <c r="A38" s="29">
        <v>47700030</v>
      </c>
      <c r="B38" s="200" t="s">
        <v>679</v>
      </c>
      <c r="C38" s="140" t="s">
        <v>2204</v>
      </c>
      <c r="D38" s="30" t="s">
        <v>475</v>
      </c>
      <c r="E38" s="33">
        <v>100001</v>
      </c>
      <c r="F38" s="200">
        <v>10000</v>
      </c>
      <c r="G38" s="30" t="s">
        <v>475</v>
      </c>
      <c r="H38" s="33">
        <v>100001</v>
      </c>
      <c r="I38" s="200">
        <v>50000</v>
      </c>
      <c r="J38" s="30"/>
      <c r="K38" s="33" t="s">
        <v>545</v>
      </c>
      <c r="L38" s="200" t="s">
        <v>545</v>
      </c>
      <c r="M38" s="30"/>
      <c r="N38" s="33" t="s">
        <v>545</v>
      </c>
      <c r="O38" s="200" t="s">
        <v>545</v>
      </c>
      <c r="P38" s="30"/>
      <c r="Q38" s="33" t="s">
        <v>545</v>
      </c>
      <c r="R38" s="200" t="s">
        <v>545</v>
      </c>
    </row>
    <row r="39" spans="1:18">
      <c r="A39" s="29">
        <v>47700031</v>
      </c>
      <c r="B39" s="200" t="s">
        <v>681</v>
      </c>
      <c r="C39" s="141" t="s">
        <v>2205</v>
      </c>
      <c r="D39" s="30" t="s">
        <v>475</v>
      </c>
      <c r="E39" s="33">
        <v>100001</v>
      </c>
      <c r="F39" s="200">
        <v>10000</v>
      </c>
      <c r="G39" s="30" t="s">
        <v>475</v>
      </c>
      <c r="H39" s="33">
        <v>100001</v>
      </c>
      <c r="I39" s="200">
        <v>250000</v>
      </c>
      <c r="J39" s="30"/>
      <c r="K39" s="33" t="s">
        <v>545</v>
      </c>
      <c r="L39" s="200" t="s">
        <v>545</v>
      </c>
      <c r="M39" s="30"/>
      <c r="N39" s="33" t="s">
        <v>545</v>
      </c>
      <c r="O39" s="200" t="s">
        <v>545</v>
      </c>
      <c r="P39" s="30"/>
      <c r="Q39" s="33" t="s">
        <v>545</v>
      </c>
      <c r="R39" s="200" t="s">
        <v>545</v>
      </c>
    </row>
    <row r="40" spans="1:18">
      <c r="A40" s="29">
        <v>47700032</v>
      </c>
      <c r="B40" s="200" t="s">
        <v>683</v>
      </c>
      <c r="C40" s="142" t="s">
        <v>2206</v>
      </c>
      <c r="D40" s="30" t="s">
        <v>475</v>
      </c>
      <c r="E40" s="33">
        <v>100001</v>
      </c>
      <c r="F40" s="200">
        <v>10000</v>
      </c>
      <c r="G40" s="30" t="s">
        <v>475</v>
      </c>
      <c r="H40" s="33">
        <v>100001</v>
      </c>
      <c r="I40" s="200">
        <v>2250000</v>
      </c>
      <c r="J40" s="30"/>
      <c r="K40" s="33" t="s">
        <v>545</v>
      </c>
      <c r="L40" s="200" t="s">
        <v>545</v>
      </c>
      <c r="M40" s="30"/>
      <c r="N40" s="33" t="s">
        <v>545</v>
      </c>
      <c r="O40" s="200" t="s">
        <v>545</v>
      </c>
      <c r="P40" s="30"/>
      <c r="Q40" s="33" t="s">
        <v>545</v>
      </c>
      <c r="R40" s="200" t="s">
        <v>545</v>
      </c>
    </row>
    <row r="41" spans="1:18">
      <c r="A41" s="29">
        <v>47700033</v>
      </c>
      <c r="B41" s="200" t="s">
        <v>685</v>
      </c>
      <c r="C41" s="143" t="s">
        <v>2207</v>
      </c>
      <c r="D41" s="30" t="s">
        <v>475</v>
      </c>
      <c r="E41" s="33">
        <v>100001</v>
      </c>
      <c r="F41" s="200">
        <v>10000</v>
      </c>
      <c r="G41" s="30" t="s">
        <v>475</v>
      </c>
      <c r="H41" s="33">
        <v>100001</v>
      </c>
      <c r="I41" s="200">
        <v>250000</v>
      </c>
      <c r="J41" s="30"/>
      <c r="K41" s="33" t="s">
        <v>545</v>
      </c>
      <c r="L41" s="200" t="s">
        <v>545</v>
      </c>
      <c r="M41" s="30"/>
      <c r="N41" s="33" t="s">
        <v>545</v>
      </c>
      <c r="O41" s="200" t="s">
        <v>545</v>
      </c>
      <c r="P41" s="30"/>
      <c r="Q41" s="33" t="s">
        <v>545</v>
      </c>
      <c r="R41" s="200" t="s">
        <v>545</v>
      </c>
    </row>
    <row r="42" spans="1:18">
      <c r="A42" s="29">
        <v>47700034</v>
      </c>
      <c r="B42" s="200" t="s">
        <v>687</v>
      </c>
      <c r="C42" s="144" t="s">
        <v>2208</v>
      </c>
      <c r="D42" s="30" t="s">
        <v>475</v>
      </c>
      <c r="E42" s="33">
        <v>100001</v>
      </c>
      <c r="F42" s="200">
        <v>10000</v>
      </c>
      <c r="G42" s="30" t="s">
        <v>475</v>
      </c>
      <c r="H42" s="33">
        <v>100001</v>
      </c>
      <c r="I42" s="200">
        <v>50000</v>
      </c>
      <c r="J42" s="30"/>
      <c r="K42" s="33" t="s">
        <v>545</v>
      </c>
      <c r="L42" s="200" t="s">
        <v>545</v>
      </c>
      <c r="M42" s="30"/>
      <c r="N42" s="33" t="s">
        <v>545</v>
      </c>
      <c r="O42" s="200" t="s">
        <v>545</v>
      </c>
      <c r="P42" s="30"/>
      <c r="Q42" s="33" t="s">
        <v>545</v>
      </c>
      <c r="R42" s="200" t="s">
        <v>545</v>
      </c>
    </row>
    <row r="43" spans="1:18">
      <c r="A43" s="29">
        <v>47700035</v>
      </c>
      <c r="B43" s="200" t="s">
        <v>689</v>
      </c>
      <c r="C43" s="145" t="s">
        <v>2209</v>
      </c>
      <c r="D43" s="30" t="s">
        <v>475</v>
      </c>
      <c r="E43" s="33">
        <v>100001</v>
      </c>
      <c r="F43" s="200">
        <v>10000</v>
      </c>
      <c r="G43" s="30" t="s">
        <v>475</v>
      </c>
      <c r="H43" s="33">
        <v>100001</v>
      </c>
      <c r="I43" s="200">
        <v>50000</v>
      </c>
      <c r="J43" s="30"/>
      <c r="K43" s="33" t="s">
        <v>545</v>
      </c>
      <c r="L43" s="200" t="s">
        <v>545</v>
      </c>
      <c r="M43" s="30"/>
      <c r="N43" s="33" t="s">
        <v>545</v>
      </c>
      <c r="O43" s="200" t="s">
        <v>545</v>
      </c>
      <c r="P43" s="30"/>
      <c r="Q43" s="33" t="s">
        <v>545</v>
      </c>
      <c r="R43" s="200" t="s">
        <v>545</v>
      </c>
    </row>
    <row r="44" spans="1:18">
      <c r="A44" s="29">
        <v>47700036</v>
      </c>
      <c r="B44" s="200" t="s">
        <v>691</v>
      </c>
      <c r="C44" s="146" t="s">
        <v>2210</v>
      </c>
      <c r="D44" s="30" t="s">
        <v>475</v>
      </c>
      <c r="E44" s="33">
        <v>100001</v>
      </c>
      <c r="F44" s="200">
        <v>10000</v>
      </c>
      <c r="G44" s="30" t="s">
        <v>475</v>
      </c>
      <c r="H44" s="33">
        <v>100001</v>
      </c>
      <c r="I44" s="200">
        <v>50000</v>
      </c>
      <c r="J44" s="30"/>
      <c r="K44" s="33" t="s">
        <v>545</v>
      </c>
      <c r="L44" s="200" t="s">
        <v>545</v>
      </c>
      <c r="M44" s="30"/>
      <c r="N44" s="33" t="s">
        <v>545</v>
      </c>
      <c r="O44" s="200" t="s">
        <v>545</v>
      </c>
      <c r="P44" s="30"/>
      <c r="Q44" s="33" t="s">
        <v>545</v>
      </c>
      <c r="R44" s="200" t="s">
        <v>545</v>
      </c>
    </row>
    <row r="45" spans="1:18">
      <c r="A45" s="29">
        <v>47700037</v>
      </c>
      <c r="B45" s="200" t="s">
        <v>693</v>
      </c>
      <c r="C45" s="147" t="s">
        <v>2211</v>
      </c>
      <c r="D45" s="30" t="s">
        <v>475</v>
      </c>
      <c r="E45" s="33">
        <v>100001</v>
      </c>
      <c r="F45" s="200">
        <v>10000</v>
      </c>
      <c r="G45" s="30" t="s">
        <v>475</v>
      </c>
      <c r="H45" s="33">
        <v>100001</v>
      </c>
      <c r="I45" s="200">
        <v>250000</v>
      </c>
      <c r="J45" s="30"/>
      <c r="K45" s="33" t="s">
        <v>545</v>
      </c>
      <c r="L45" s="200" t="s">
        <v>545</v>
      </c>
      <c r="M45" s="30"/>
      <c r="N45" s="33" t="s">
        <v>545</v>
      </c>
      <c r="O45" s="200" t="s">
        <v>545</v>
      </c>
      <c r="P45" s="30"/>
      <c r="Q45" s="33" t="s">
        <v>545</v>
      </c>
      <c r="R45" s="200" t="s">
        <v>545</v>
      </c>
    </row>
    <row r="46" spans="1:18">
      <c r="A46" s="29">
        <v>47700038</v>
      </c>
      <c r="B46" s="200" t="s">
        <v>695</v>
      </c>
      <c r="C46" s="148" t="s">
        <v>2212</v>
      </c>
      <c r="D46" s="30" t="s">
        <v>475</v>
      </c>
      <c r="E46" s="33">
        <v>100001</v>
      </c>
      <c r="F46" s="200">
        <v>10000</v>
      </c>
      <c r="G46" s="30" t="s">
        <v>475</v>
      </c>
      <c r="H46" s="33">
        <v>100001</v>
      </c>
      <c r="I46" s="200">
        <v>50000</v>
      </c>
      <c r="J46" s="30"/>
      <c r="K46" s="33" t="s">
        <v>545</v>
      </c>
      <c r="L46" s="200" t="s">
        <v>545</v>
      </c>
      <c r="M46" s="30"/>
      <c r="N46" s="33" t="s">
        <v>545</v>
      </c>
      <c r="O46" s="200" t="s">
        <v>545</v>
      </c>
      <c r="P46" s="30"/>
      <c r="Q46" s="33" t="s">
        <v>545</v>
      </c>
      <c r="R46" s="200" t="s">
        <v>545</v>
      </c>
    </row>
    <row r="47" spans="1:18">
      <c r="A47" s="29">
        <v>47700039</v>
      </c>
      <c r="B47" s="200" t="s">
        <v>697</v>
      </c>
      <c r="C47" s="149" t="s">
        <v>2213</v>
      </c>
      <c r="D47" s="30" t="s">
        <v>475</v>
      </c>
      <c r="E47" s="33">
        <v>100001</v>
      </c>
      <c r="F47" s="200">
        <v>10000</v>
      </c>
      <c r="G47" s="30" t="s">
        <v>475</v>
      </c>
      <c r="H47" s="33">
        <v>100001</v>
      </c>
      <c r="I47" s="200">
        <v>50000</v>
      </c>
      <c r="J47" s="30"/>
      <c r="K47" s="33" t="s">
        <v>545</v>
      </c>
      <c r="L47" s="200" t="s">
        <v>545</v>
      </c>
      <c r="M47" s="30"/>
      <c r="N47" s="33" t="s">
        <v>545</v>
      </c>
      <c r="O47" s="200" t="s">
        <v>545</v>
      </c>
      <c r="P47" s="30"/>
      <c r="Q47" s="33" t="s">
        <v>545</v>
      </c>
      <c r="R47" s="200" t="s">
        <v>545</v>
      </c>
    </row>
    <row r="48" spans="1:18">
      <c r="A48" s="29">
        <v>47700040</v>
      </c>
      <c r="B48" s="200" t="s">
        <v>699</v>
      </c>
      <c r="C48" s="150" t="s">
        <v>2214</v>
      </c>
      <c r="D48" s="30" t="s">
        <v>475</v>
      </c>
      <c r="E48" s="33">
        <v>100001</v>
      </c>
      <c r="F48" s="200">
        <v>10000</v>
      </c>
      <c r="G48" s="30" t="s">
        <v>475</v>
      </c>
      <c r="H48" s="33">
        <v>100001</v>
      </c>
      <c r="I48" s="200">
        <v>50000</v>
      </c>
      <c r="J48" s="30"/>
      <c r="K48" s="33" t="s">
        <v>545</v>
      </c>
      <c r="L48" s="200" t="s">
        <v>545</v>
      </c>
      <c r="M48" s="30"/>
      <c r="N48" s="33" t="s">
        <v>545</v>
      </c>
      <c r="O48" s="200" t="s">
        <v>545</v>
      </c>
      <c r="P48" s="30"/>
      <c r="Q48" s="33" t="s">
        <v>545</v>
      </c>
      <c r="R48" s="200" t="s">
        <v>545</v>
      </c>
    </row>
    <row r="49" spans="1:18">
      <c r="A49" s="29">
        <v>47700041</v>
      </c>
      <c r="B49" s="200" t="s">
        <v>701</v>
      </c>
      <c r="C49" s="151" t="s">
        <v>2215</v>
      </c>
      <c r="D49" s="30" t="s">
        <v>475</v>
      </c>
      <c r="E49" s="33">
        <v>100001</v>
      </c>
      <c r="F49" s="200">
        <v>10000</v>
      </c>
      <c r="G49" s="30" t="s">
        <v>475</v>
      </c>
      <c r="H49" s="33">
        <v>100001</v>
      </c>
      <c r="I49" s="200">
        <v>250000</v>
      </c>
      <c r="J49" s="30"/>
      <c r="K49" s="33" t="s">
        <v>545</v>
      </c>
      <c r="L49" s="200" t="s">
        <v>545</v>
      </c>
      <c r="M49" s="30"/>
      <c r="N49" s="33" t="s">
        <v>545</v>
      </c>
      <c r="O49" s="200" t="s">
        <v>545</v>
      </c>
      <c r="P49" s="30"/>
      <c r="Q49" s="33" t="s">
        <v>545</v>
      </c>
      <c r="R49" s="200" t="s">
        <v>545</v>
      </c>
    </row>
    <row r="50" spans="1:18">
      <c r="A50" s="29">
        <v>47700042</v>
      </c>
      <c r="B50" s="200" t="s">
        <v>703</v>
      </c>
      <c r="C50" s="152" t="s">
        <v>2216</v>
      </c>
      <c r="D50" s="30" t="s">
        <v>475</v>
      </c>
      <c r="E50" s="33">
        <v>100001</v>
      </c>
      <c r="F50" s="200">
        <v>10000</v>
      </c>
      <c r="G50" s="30" t="s">
        <v>475</v>
      </c>
      <c r="H50" s="33">
        <v>100001</v>
      </c>
      <c r="I50" s="200">
        <v>50000</v>
      </c>
      <c r="J50" s="30"/>
      <c r="K50" s="33" t="s">
        <v>545</v>
      </c>
      <c r="L50" s="200" t="s">
        <v>545</v>
      </c>
      <c r="M50" s="30"/>
      <c r="N50" s="33" t="s">
        <v>545</v>
      </c>
      <c r="O50" s="200" t="s">
        <v>545</v>
      </c>
      <c r="P50" s="30"/>
      <c r="Q50" s="33" t="s">
        <v>545</v>
      </c>
      <c r="R50" s="200" t="s">
        <v>545</v>
      </c>
    </row>
    <row r="51" spans="1:18">
      <c r="A51" s="29">
        <v>47700043</v>
      </c>
      <c r="B51" s="200" t="s">
        <v>705</v>
      </c>
      <c r="C51" s="153" t="s">
        <v>2217</v>
      </c>
      <c r="D51" s="30" t="s">
        <v>475</v>
      </c>
      <c r="E51" s="33">
        <v>100001</v>
      </c>
      <c r="F51" s="200">
        <v>10000</v>
      </c>
      <c r="G51" s="30" t="s">
        <v>475</v>
      </c>
      <c r="H51" s="33">
        <v>100001</v>
      </c>
      <c r="I51" s="200">
        <v>50000</v>
      </c>
      <c r="J51" s="30"/>
      <c r="K51" s="33" t="s">
        <v>545</v>
      </c>
      <c r="L51" s="200" t="s">
        <v>545</v>
      </c>
      <c r="M51" s="30"/>
      <c r="N51" s="33" t="s">
        <v>545</v>
      </c>
      <c r="O51" s="200" t="s">
        <v>545</v>
      </c>
      <c r="P51" s="30"/>
      <c r="Q51" s="33" t="s">
        <v>545</v>
      </c>
      <c r="R51" s="200" t="s">
        <v>545</v>
      </c>
    </row>
    <row r="52" spans="1:18">
      <c r="A52" s="29">
        <v>47700044</v>
      </c>
      <c r="B52" s="200" t="s">
        <v>707</v>
      </c>
      <c r="C52" s="154" t="s">
        <v>2218</v>
      </c>
      <c r="D52" s="30" t="s">
        <v>475</v>
      </c>
      <c r="E52" s="33">
        <v>100001</v>
      </c>
      <c r="F52" s="200">
        <v>10000</v>
      </c>
      <c r="G52" s="30" t="s">
        <v>475</v>
      </c>
      <c r="H52" s="33">
        <v>100001</v>
      </c>
      <c r="I52" s="200">
        <v>250000</v>
      </c>
      <c r="J52" s="30"/>
      <c r="K52" s="33" t="s">
        <v>545</v>
      </c>
      <c r="L52" s="200" t="s">
        <v>545</v>
      </c>
      <c r="M52" s="30"/>
      <c r="N52" s="33" t="s">
        <v>545</v>
      </c>
      <c r="O52" s="200" t="s">
        <v>545</v>
      </c>
      <c r="P52" s="30"/>
      <c r="Q52" s="33" t="s">
        <v>545</v>
      </c>
      <c r="R52" s="200" t="s">
        <v>545</v>
      </c>
    </row>
    <row r="53" spans="1:18">
      <c r="A53" s="29">
        <v>47700045</v>
      </c>
      <c r="B53" s="200" t="s">
        <v>709</v>
      </c>
      <c r="C53" s="155" t="s">
        <v>2219</v>
      </c>
      <c r="D53" s="30" t="s">
        <v>475</v>
      </c>
      <c r="E53" s="33">
        <v>100001</v>
      </c>
      <c r="F53" s="200">
        <v>10000</v>
      </c>
      <c r="G53" s="30" t="s">
        <v>475</v>
      </c>
      <c r="H53" s="33">
        <v>100001</v>
      </c>
      <c r="I53" s="200">
        <v>2250000</v>
      </c>
      <c r="J53" s="30"/>
      <c r="K53" s="33" t="s">
        <v>545</v>
      </c>
      <c r="L53" s="200" t="s">
        <v>545</v>
      </c>
      <c r="M53" s="30"/>
      <c r="N53" s="33" t="s">
        <v>545</v>
      </c>
      <c r="O53" s="200" t="s">
        <v>545</v>
      </c>
      <c r="P53" s="30"/>
      <c r="Q53" s="33" t="s">
        <v>545</v>
      </c>
      <c r="R53" s="200" t="s">
        <v>545</v>
      </c>
    </row>
    <row r="54" spans="1:18">
      <c r="A54" s="29">
        <v>47700046</v>
      </c>
      <c r="B54" s="200" t="s">
        <v>716</v>
      </c>
      <c r="C54" s="156" t="s">
        <v>2220</v>
      </c>
      <c r="D54" s="30" t="s">
        <v>475</v>
      </c>
      <c r="E54" s="33">
        <v>100001</v>
      </c>
      <c r="F54" s="200">
        <v>10000</v>
      </c>
      <c r="G54" s="30" t="s">
        <v>475</v>
      </c>
      <c r="H54" s="33">
        <v>100001</v>
      </c>
      <c r="I54" s="200">
        <v>250000</v>
      </c>
      <c r="J54" s="30"/>
      <c r="K54" s="33" t="s">
        <v>545</v>
      </c>
      <c r="L54" s="200" t="s">
        <v>545</v>
      </c>
      <c r="M54" s="30"/>
      <c r="N54" s="33" t="s">
        <v>545</v>
      </c>
      <c r="O54" s="200" t="s">
        <v>545</v>
      </c>
      <c r="P54" s="30"/>
      <c r="Q54" s="33" t="s">
        <v>545</v>
      </c>
      <c r="R54" s="200" t="s">
        <v>545</v>
      </c>
    </row>
    <row r="55" spans="1:18">
      <c r="A55" s="29">
        <v>47700047</v>
      </c>
      <c r="B55" s="200" t="s">
        <v>482</v>
      </c>
      <c r="C55" s="157" t="s">
        <v>2221</v>
      </c>
      <c r="D55" s="30" t="s">
        <v>475</v>
      </c>
      <c r="E55" s="33">
        <v>100001</v>
      </c>
      <c r="F55" s="200">
        <v>10000</v>
      </c>
      <c r="G55" s="30" t="s">
        <v>475</v>
      </c>
      <c r="H55" s="33">
        <v>100001</v>
      </c>
      <c r="I55" s="200">
        <v>1300000</v>
      </c>
      <c r="J55" s="30"/>
      <c r="K55" s="33" t="s">
        <v>545</v>
      </c>
      <c r="L55" s="200" t="s">
        <v>545</v>
      </c>
      <c r="M55" s="30"/>
      <c r="N55" s="33" t="s">
        <v>545</v>
      </c>
      <c r="O55" s="200" t="s">
        <v>545</v>
      </c>
      <c r="P55" s="30"/>
      <c r="Q55" s="33" t="s">
        <v>545</v>
      </c>
      <c r="R55" s="200" t="s">
        <v>545</v>
      </c>
    </row>
    <row r="56" spans="1:18">
      <c r="A56" s="29">
        <v>47700048</v>
      </c>
      <c r="B56" s="200" t="s">
        <v>484</v>
      </c>
      <c r="C56" s="158" t="s">
        <v>2222</v>
      </c>
      <c r="D56" s="30" t="s">
        <v>475</v>
      </c>
      <c r="E56" s="33">
        <v>100001</v>
      </c>
      <c r="F56" s="200">
        <v>10000</v>
      </c>
      <c r="G56" s="30" t="s">
        <v>475</v>
      </c>
      <c r="H56" s="33">
        <v>100001</v>
      </c>
      <c r="I56" s="200">
        <v>250000</v>
      </c>
      <c r="J56" s="30"/>
      <c r="K56" s="33" t="s">
        <v>545</v>
      </c>
      <c r="L56" s="200" t="s">
        <v>545</v>
      </c>
      <c r="M56" s="30"/>
      <c r="N56" s="33" t="s">
        <v>545</v>
      </c>
      <c r="O56" s="200" t="s">
        <v>545</v>
      </c>
      <c r="P56" s="30"/>
      <c r="Q56" s="33" t="s">
        <v>545</v>
      </c>
      <c r="R56" s="200" t="s">
        <v>545</v>
      </c>
    </row>
    <row r="57" spans="1:18">
      <c r="A57" s="29">
        <v>47700049</v>
      </c>
      <c r="B57" s="200" t="s">
        <v>485</v>
      </c>
      <c r="C57" s="159" t="s">
        <v>2223</v>
      </c>
      <c r="D57" s="30" t="s">
        <v>475</v>
      </c>
      <c r="E57" s="33">
        <v>100001</v>
      </c>
      <c r="F57" s="200">
        <v>10000</v>
      </c>
      <c r="G57" s="30" t="s">
        <v>475</v>
      </c>
      <c r="H57" s="33">
        <v>100001</v>
      </c>
      <c r="I57" s="200">
        <v>50000</v>
      </c>
      <c r="J57" s="30"/>
      <c r="K57" s="33" t="s">
        <v>545</v>
      </c>
      <c r="L57" s="200" t="s">
        <v>545</v>
      </c>
      <c r="M57" s="30"/>
      <c r="N57" s="33" t="s">
        <v>545</v>
      </c>
      <c r="O57" s="200" t="s">
        <v>545</v>
      </c>
      <c r="P57" s="30"/>
      <c r="Q57" s="33" t="s">
        <v>545</v>
      </c>
      <c r="R57" s="200" t="s">
        <v>545</v>
      </c>
    </row>
    <row r="58" spans="1:18">
      <c r="A58" s="29">
        <v>47700050</v>
      </c>
      <c r="B58" s="200" t="s">
        <v>486</v>
      </c>
      <c r="C58" s="160" t="s">
        <v>2224</v>
      </c>
      <c r="D58" s="30" t="s">
        <v>475</v>
      </c>
      <c r="E58" s="33">
        <v>100001</v>
      </c>
      <c r="F58" s="200">
        <v>10000</v>
      </c>
      <c r="G58" s="30" t="s">
        <v>475</v>
      </c>
      <c r="H58" s="33">
        <v>100001</v>
      </c>
      <c r="I58" s="200">
        <v>50000</v>
      </c>
      <c r="J58" s="30"/>
      <c r="K58" s="33" t="s">
        <v>545</v>
      </c>
      <c r="L58" s="200" t="s">
        <v>545</v>
      </c>
      <c r="M58" s="30"/>
      <c r="N58" s="33" t="s">
        <v>545</v>
      </c>
      <c r="O58" s="200" t="s">
        <v>545</v>
      </c>
      <c r="P58" s="30"/>
      <c r="Q58" s="33" t="s">
        <v>545</v>
      </c>
      <c r="R58" s="200" t="s">
        <v>545</v>
      </c>
    </row>
    <row r="59" spans="1:18">
      <c r="A59" s="29">
        <v>47700051</v>
      </c>
      <c r="B59" s="200" t="s">
        <v>488</v>
      </c>
      <c r="C59" s="161" t="s">
        <v>2225</v>
      </c>
      <c r="D59" s="30" t="s">
        <v>475</v>
      </c>
      <c r="E59" s="33">
        <v>100001</v>
      </c>
      <c r="F59" s="200">
        <v>10000</v>
      </c>
      <c r="G59" s="30" t="s">
        <v>475</v>
      </c>
      <c r="H59" s="33">
        <v>100001</v>
      </c>
      <c r="I59" s="200">
        <v>250000</v>
      </c>
      <c r="J59" s="30"/>
      <c r="K59" s="33" t="s">
        <v>545</v>
      </c>
      <c r="L59" s="200" t="s">
        <v>545</v>
      </c>
      <c r="M59" s="30"/>
      <c r="N59" s="33" t="s">
        <v>545</v>
      </c>
      <c r="O59" s="200" t="s">
        <v>545</v>
      </c>
      <c r="P59" s="30"/>
      <c r="Q59" s="33" t="s">
        <v>545</v>
      </c>
      <c r="R59" s="200" t="s">
        <v>545</v>
      </c>
    </row>
    <row r="60" spans="1:18">
      <c r="A60" s="29">
        <v>47700052</v>
      </c>
      <c r="B60" s="200" t="s">
        <v>490</v>
      </c>
      <c r="C60" s="162" t="s">
        <v>2226</v>
      </c>
      <c r="D60" s="30" t="s">
        <v>475</v>
      </c>
      <c r="E60" s="33">
        <v>100001</v>
      </c>
      <c r="F60" s="200">
        <v>10000</v>
      </c>
      <c r="G60" s="30" t="s">
        <v>475</v>
      </c>
      <c r="H60" s="33">
        <v>100001</v>
      </c>
      <c r="I60" s="200">
        <v>50000</v>
      </c>
      <c r="J60" s="30"/>
      <c r="K60" s="33" t="s">
        <v>545</v>
      </c>
      <c r="L60" s="200" t="s">
        <v>545</v>
      </c>
      <c r="M60" s="30"/>
      <c r="N60" s="33" t="s">
        <v>545</v>
      </c>
      <c r="O60" s="200" t="s">
        <v>545</v>
      </c>
      <c r="P60" s="30"/>
      <c r="Q60" s="33" t="s">
        <v>545</v>
      </c>
      <c r="R60" s="200" t="s">
        <v>545</v>
      </c>
    </row>
    <row r="61" spans="1:18">
      <c r="A61" s="29">
        <v>47700053</v>
      </c>
      <c r="B61" s="200" t="s">
        <v>641</v>
      </c>
      <c r="C61" s="163" t="s">
        <v>2227</v>
      </c>
      <c r="D61" s="30" t="s">
        <v>475</v>
      </c>
      <c r="E61" s="33">
        <v>100001</v>
      </c>
      <c r="F61" s="200">
        <v>10000</v>
      </c>
      <c r="G61" s="30" t="s">
        <v>475</v>
      </c>
      <c r="H61" s="33">
        <v>100001</v>
      </c>
      <c r="I61" s="200">
        <v>50000</v>
      </c>
      <c r="J61" s="30"/>
      <c r="K61" s="33" t="s">
        <v>545</v>
      </c>
      <c r="L61" s="200" t="s">
        <v>545</v>
      </c>
      <c r="M61" s="30"/>
      <c r="N61" s="33" t="s">
        <v>545</v>
      </c>
      <c r="O61" s="200" t="s">
        <v>545</v>
      </c>
      <c r="P61" s="30"/>
      <c r="Q61" s="33" t="s">
        <v>545</v>
      </c>
      <c r="R61" s="200" t="s">
        <v>545</v>
      </c>
    </row>
    <row r="62" spans="1:18">
      <c r="A62" s="29">
        <v>47700054</v>
      </c>
      <c r="B62" s="200" t="s">
        <v>655</v>
      </c>
      <c r="C62" s="164" t="s">
        <v>2228</v>
      </c>
      <c r="D62" s="30" t="s">
        <v>475</v>
      </c>
      <c r="E62" s="33">
        <v>100001</v>
      </c>
      <c r="F62" s="200">
        <v>10000</v>
      </c>
      <c r="G62" s="30" t="s">
        <v>475</v>
      </c>
      <c r="H62" s="33">
        <v>100001</v>
      </c>
      <c r="I62" s="200">
        <v>50000</v>
      </c>
      <c r="J62" s="30"/>
      <c r="K62" s="33" t="s">
        <v>545</v>
      </c>
      <c r="L62" s="200" t="s">
        <v>545</v>
      </c>
      <c r="M62" s="30"/>
      <c r="N62" s="33" t="s">
        <v>545</v>
      </c>
      <c r="O62" s="200" t="s">
        <v>545</v>
      </c>
      <c r="P62" s="30"/>
      <c r="Q62" s="33" t="s">
        <v>545</v>
      </c>
      <c r="R62" s="200" t="s">
        <v>545</v>
      </c>
    </row>
    <row r="63" spans="1:18">
      <c r="A63" s="29">
        <v>47700055</v>
      </c>
      <c r="B63" s="200" t="s">
        <v>659</v>
      </c>
      <c r="C63" s="165" t="s">
        <v>2229</v>
      </c>
      <c r="D63" s="30" t="s">
        <v>475</v>
      </c>
      <c r="E63" s="33">
        <v>100001</v>
      </c>
      <c r="F63" s="200">
        <v>10000</v>
      </c>
      <c r="G63" s="30" t="s">
        <v>475</v>
      </c>
      <c r="H63" s="33">
        <v>100001</v>
      </c>
      <c r="I63" s="200">
        <v>250000</v>
      </c>
      <c r="J63" s="30"/>
      <c r="K63" s="33" t="s">
        <v>545</v>
      </c>
      <c r="L63" s="200" t="s">
        <v>545</v>
      </c>
      <c r="M63" s="30"/>
      <c r="N63" s="33" t="s">
        <v>545</v>
      </c>
      <c r="O63" s="200" t="s">
        <v>545</v>
      </c>
      <c r="P63" s="30"/>
      <c r="Q63" s="33" t="s">
        <v>545</v>
      </c>
      <c r="R63" s="200" t="s">
        <v>545</v>
      </c>
    </row>
    <row r="64" spans="1:18">
      <c r="A64" s="29">
        <v>47700056</v>
      </c>
      <c r="B64" s="200" t="s">
        <v>661</v>
      </c>
      <c r="C64" s="166" t="s">
        <v>2230</v>
      </c>
      <c r="D64" s="30" t="s">
        <v>475</v>
      </c>
      <c r="E64" s="33">
        <v>100001</v>
      </c>
      <c r="F64" s="200">
        <v>10000</v>
      </c>
      <c r="G64" s="30" t="s">
        <v>475</v>
      </c>
      <c r="H64" s="33">
        <v>100001</v>
      </c>
      <c r="I64" s="200">
        <v>50000</v>
      </c>
      <c r="J64" s="30"/>
      <c r="K64" s="33" t="s">
        <v>545</v>
      </c>
      <c r="L64" s="200" t="s">
        <v>545</v>
      </c>
      <c r="M64" s="30"/>
      <c r="N64" s="33" t="s">
        <v>545</v>
      </c>
      <c r="O64" s="200" t="s">
        <v>545</v>
      </c>
      <c r="P64" s="30"/>
      <c r="Q64" s="33" t="s">
        <v>545</v>
      </c>
      <c r="R64" s="200" t="s">
        <v>545</v>
      </c>
    </row>
    <row r="65" spans="1:18">
      <c r="A65" s="29">
        <v>47700057</v>
      </c>
      <c r="B65" s="200" t="s">
        <v>665</v>
      </c>
      <c r="C65" s="167" t="s">
        <v>2231</v>
      </c>
      <c r="D65" s="30" t="s">
        <v>475</v>
      </c>
      <c r="E65" s="33">
        <v>100001</v>
      </c>
      <c r="F65" s="200">
        <v>10000</v>
      </c>
      <c r="G65" s="30" t="s">
        <v>475</v>
      </c>
      <c r="H65" s="33">
        <v>100001</v>
      </c>
      <c r="I65" s="200">
        <v>50000</v>
      </c>
      <c r="J65" s="30"/>
      <c r="K65" s="33" t="s">
        <v>545</v>
      </c>
      <c r="L65" s="200" t="s">
        <v>545</v>
      </c>
      <c r="M65" s="30"/>
      <c r="N65" s="33" t="s">
        <v>545</v>
      </c>
      <c r="O65" s="200" t="s">
        <v>545</v>
      </c>
      <c r="P65" s="30"/>
      <c r="Q65" s="33" t="s">
        <v>545</v>
      </c>
      <c r="R65" s="200" t="s">
        <v>545</v>
      </c>
    </row>
    <row r="66" spans="1:18">
      <c r="A66" s="29">
        <v>47700058</v>
      </c>
      <c r="B66" s="200" t="s">
        <v>667</v>
      </c>
      <c r="C66" s="168" t="s">
        <v>2232</v>
      </c>
      <c r="D66" s="30" t="s">
        <v>475</v>
      </c>
      <c r="E66" s="33">
        <v>100001</v>
      </c>
      <c r="F66" s="200">
        <v>10000</v>
      </c>
      <c r="G66" s="30" t="s">
        <v>475</v>
      </c>
      <c r="H66" s="33">
        <v>100001</v>
      </c>
      <c r="I66" s="200">
        <v>250000</v>
      </c>
      <c r="J66" s="30"/>
      <c r="K66" s="33" t="s">
        <v>545</v>
      </c>
      <c r="L66" s="200" t="s">
        <v>545</v>
      </c>
      <c r="M66" s="30"/>
      <c r="N66" s="33" t="s">
        <v>545</v>
      </c>
      <c r="O66" s="200" t="s">
        <v>545</v>
      </c>
      <c r="P66" s="30"/>
      <c r="Q66" s="33" t="s">
        <v>545</v>
      </c>
      <c r="R66" s="200" t="s">
        <v>545</v>
      </c>
    </row>
    <row r="67" spans="1:18">
      <c r="A67" s="29">
        <v>47700059</v>
      </c>
      <c r="B67" s="200" t="s">
        <v>671</v>
      </c>
      <c r="C67" s="169" t="s">
        <v>2233</v>
      </c>
      <c r="D67" s="30" t="s">
        <v>475</v>
      </c>
      <c r="E67" s="33">
        <v>100001</v>
      </c>
      <c r="F67" s="200">
        <v>10000</v>
      </c>
      <c r="G67" s="30" t="s">
        <v>475</v>
      </c>
      <c r="H67" s="33">
        <v>100001</v>
      </c>
      <c r="I67" s="200">
        <v>50000</v>
      </c>
      <c r="J67" s="30"/>
      <c r="K67" s="33" t="s">
        <v>545</v>
      </c>
      <c r="L67" s="200" t="s">
        <v>545</v>
      </c>
      <c r="M67" s="30"/>
      <c r="N67" s="33" t="s">
        <v>545</v>
      </c>
      <c r="O67" s="200" t="s">
        <v>545</v>
      </c>
      <c r="P67" s="30"/>
      <c r="Q67" s="33" t="s">
        <v>545</v>
      </c>
      <c r="R67" s="200" t="s">
        <v>545</v>
      </c>
    </row>
    <row r="68" spans="1:18">
      <c r="A68" s="29">
        <v>47700060</v>
      </c>
      <c r="B68" s="200" t="s">
        <v>673</v>
      </c>
      <c r="C68" s="170" t="s">
        <v>2234</v>
      </c>
      <c r="D68" s="30" t="s">
        <v>475</v>
      </c>
      <c r="E68" s="33">
        <v>100001</v>
      </c>
      <c r="F68" s="200">
        <v>10000</v>
      </c>
      <c r="G68" s="30" t="s">
        <v>475</v>
      </c>
      <c r="H68" s="33">
        <v>100001</v>
      </c>
      <c r="I68" s="200">
        <v>50000</v>
      </c>
      <c r="J68" s="30"/>
      <c r="K68" s="33" t="s">
        <v>545</v>
      </c>
      <c r="L68" s="200" t="s">
        <v>545</v>
      </c>
      <c r="M68" s="30"/>
      <c r="N68" s="33" t="s">
        <v>545</v>
      </c>
      <c r="O68" s="200" t="s">
        <v>545</v>
      </c>
      <c r="P68" s="30"/>
      <c r="Q68" s="33" t="s">
        <v>545</v>
      </c>
      <c r="R68" s="200" t="s">
        <v>545</v>
      </c>
    </row>
    <row r="69" spans="1:18">
      <c r="A69" s="29">
        <v>47700061</v>
      </c>
      <c r="B69" s="200" t="s">
        <v>677</v>
      </c>
      <c r="C69" s="171" t="s">
        <v>2235</v>
      </c>
      <c r="D69" s="30" t="s">
        <v>475</v>
      </c>
      <c r="E69" s="33">
        <v>100001</v>
      </c>
      <c r="F69" s="200">
        <v>10000</v>
      </c>
      <c r="G69" s="30" t="s">
        <v>475</v>
      </c>
      <c r="H69" s="33">
        <v>100001</v>
      </c>
      <c r="I69" s="200">
        <v>50000</v>
      </c>
      <c r="J69" s="30"/>
      <c r="K69" s="33" t="s">
        <v>545</v>
      </c>
      <c r="L69" s="200" t="s">
        <v>545</v>
      </c>
      <c r="M69" s="30"/>
      <c r="N69" s="33" t="s">
        <v>545</v>
      </c>
      <c r="O69" s="200" t="s">
        <v>545</v>
      </c>
      <c r="P69" s="30"/>
      <c r="Q69" s="33" t="s">
        <v>545</v>
      </c>
      <c r="R69" s="200" t="s">
        <v>545</v>
      </c>
    </row>
    <row r="70" spans="1:18">
      <c r="A70" s="29">
        <v>47700062</v>
      </c>
      <c r="B70" s="200" t="s">
        <v>679</v>
      </c>
      <c r="C70" s="172" t="s">
        <v>2236</v>
      </c>
      <c r="D70" s="30" t="s">
        <v>475</v>
      </c>
      <c r="E70" s="33">
        <v>100001</v>
      </c>
      <c r="F70" s="200">
        <v>10000</v>
      </c>
      <c r="G70" s="30" t="s">
        <v>475</v>
      </c>
      <c r="H70" s="33">
        <v>100001</v>
      </c>
      <c r="I70" s="200">
        <v>50000</v>
      </c>
      <c r="J70" s="30"/>
      <c r="K70" s="33" t="s">
        <v>545</v>
      </c>
      <c r="L70" s="200" t="s">
        <v>545</v>
      </c>
      <c r="M70" s="30"/>
      <c r="N70" s="33" t="s">
        <v>545</v>
      </c>
      <c r="O70" s="200" t="s">
        <v>545</v>
      </c>
      <c r="P70" s="30"/>
      <c r="Q70" s="33" t="s">
        <v>545</v>
      </c>
      <c r="R70" s="200" t="s">
        <v>545</v>
      </c>
    </row>
    <row r="71" spans="1:18">
      <c r="A71" s="29">
        <v>47700063</v>
      </c>
      <c r="B71" s="200" t="s">
        <v>683</v>
      </c>
      <c r="C71" s="173" t="s">
        <v>2237</v>
      </c>
      <c r="D71" s="30" t="s">
        <v>475</v>
      </c>
      <c r="E71" s="33">
        <v>100001</v>
      </c>
      <c r="F71" s="200">
        <v>10000</v>
      </c>
      <c r="G71" s="30" t="s">
        <v>475</v>
      </c>
      <c r="H71" s="33">
        <v>100001</v>
      </c>
      <c r="I71" s="200">
        <v>50000</v>
      </c>
      <c r="J71" s="30"/>
      <c r="K71" s="33" t="s">
        <v>545</v>
      </c>
      <c r="L71" s="200" t="s">
        <v>545</v>
      </c>
      <c r="M71" s="30"/>
      <c r="N71" s="33" t="s">
        <v>545</v>
      </c>
      <c r="O71" s="200" t="s">
        <v>545</v>
      </c>
      <c r="P71" s="30"/>
      <c r="Q71" s="33" t="s">
        <v>545</v>
      </c>
      <c r="R71" s="200" t="s">
        <v>545</v>
      </c>
    </row>
    <row r="72" spans="1:18">
      <c r="A72" s="29">
        <v>47700064</v>
      </c>
      <c r="B72" s="200" t="s">
        <v>685</v>
      </c>
      <c r="C72" s="174" t="s">
        <v>2238</v>
      </c>
      <c r="D72" s="30" t="s">
        <v>475</v>
      </c>
      <c r="E72" s="33">
        <v>100001</v>
      </c>
      <c r="F72" s="200">
        <v>10000</v>
      </c>
      <c r="G72" s="30" t="s">
        <v>475</v>
      </c>
      <c r="H72" s="33">
        <v>100001</v>
      </c>
      <c r="I72" s="200">
        <v>250000</v>
      </c>
      <c r="J72" s="30"/>
      <c r="K72" s="33" t="s">
        <v>545</v>
      </c>
      <c r="L72" s="200" t="s">
        <v>545</v>
      </c>
      <c r="M72" s="30"/>
      <c r="N72" s="33" t="s">
        <v>545</v>
      </c>
      <c r="O72" s="200" t="s">
        <v>545</v>
      </c>
      <c r="P72" s="30"/>
      <c r="Q72" s="33" t="s">
        <v>545</v>
      </c>
      <c r="R72" s="200" t="s">
        <v>545</v>
      </c>
    </row>
    <row r="73" spans="1:18">
      <c r="A73" s="29">
        <v>47700065</v>
      </c>
      <c r="B73" s="200" t="s">
        <v>689</v>
      </c>
      <c r="C73" s="175" t="s">
        <v>2239</v>
      </c>
      <c r="D73" s="30" t="s">
        <v>475</v>
      </c>
      <c r="E73" s="33">
        <v>100001</v>
      </c>
      <c r="F73" s="200">
        <v>10000</v>
      </c>
      <c r="G73" s="30" t="s">
        <v>475</v>
      </c>
      <c r="H73" s="33">
        <v>100001</v>
      </c>
      <c r="I73" s="200">
        <v>250000</v>
      </c>
      <c r="J73" s="30"/>
      <c r="K73" s="33" t="s">
        <v>545</v>
      </c>
      <c r="L73" s="200" t="s">
        <v>545</v>
      </c>
      <c r="M73" s="30"/>
      <c r="N73" s="33" t="s">
        <v>545</v>
      </c>
      <c r="O73" s="200" t="s">
        <v>545</v>
      </c>
      <c r="P73" s="30"/>
      <c r="Q73" s="33" t="s">
        <v>545</v>
      </c>
      <c r="R73" s="200" t="s">
        <v>545</v>
      </c>
    </row>
    <row r="74" spans="1:18">
      <c r="A74" s="29">
        <v>47700066</v>
      </c>
      <c r="B74" s="200" t="s">
        <v>691</v>
      </c>
      <c r="C74" s="176" t="s">
        <v>2240</v>
      </c>
      <c r="D74" s="30" t="s">
        <v>475</v>
      </c>
      <c r="E74" s="33">
        <v>100001</v>
      </c>
      <c r="F74" s="200">
        <v>10000</v>
      </c>
      <c r="G74" s="30" t="s">
        <v>475</v>
      </c>
      <c r="H74" s="33">
        <v>100001</v>
      </c>
      <c r="I74" s="200">
        <v>250000</v>
      </c>
      <c r="J74" s="30"/>
      <c r="K74" s="33" t="s">
        <v>545</v>
      </c>
      <c r="L74" s="200" t="s">
        <v>545</v>
      </c>
      <c r="M74" s="30"/>
      <c r="N74" s="33" t="s">
        <v>545</v>
      </c>
      <c r="O74" s="200" t="s">
        <v>545</v>
      </c>
      <c r="P74" s="30"/>
      <c r="Q74" s="33" t="s">
        <v>545</v>
      </c>
      <c r="R74" s="200" t="s">
        <v>545</v>
      </c>
    </row>
    <row r="75" spans="1:18">
      <c r="A75" s="29">
        <v>47700067</v>
      </c>
      <c r="B75" s="200" t="s">
        <v>693</v>
      </c>
      <c r="C75" s="177" t="s">
        <v>2241</v>
      </c>
      <c r="D75" s="30" t="s">
        <v>475</v>
      </c>
      <c r="E75" s="33">
        <v>100001</v>
      </c>
      <c r="F75" s="200">
        <v>10000</v>
      </c>
      <c r="G75" s="30" t="s">
        <v>475</v>
      </c>
      <c r="H75" s="33">
        <v>100001</v>
      </c>
      <c r="I75" s="200">
        <v>50000</v>
      </c>
      <c r="J75" s="30"/>
      <c r="K75" s="33" t="s">
        <v>545</v>
      </c>
      <c r="L75" s="200" t="s">
        <v>545</v>
      </c>
      <c r="M75" s="30"/>
      <c r="N75" s="33" t="s">
        <v>545</v>
      </c>
      <c r="O75" s="200" t="s">
        <v>545</v>
      </c>
      <c r="P75" s="30"/>
      <c r="Q75" s="33" t="s">
        <v>545</v>
      </c>
      <c r="R75" s="200" t="s">
        <v>545</v>
      </c>
    </row>
    <row r="76" spans="1:18">
      <c r="A76" s="29">
        <v>47700068</v>
      </c>
      <c r="B76" s="200" t="s">
        <v>697</v>
      </c>
      <c r="C76" s="178" t="s">
        <v>2242</v>
      </c>
      <c r="D76" s="30" t="s">
        <v>475</v>
      </c>
      <c r="E76" s="33">
        <v>100001</v>
      </c>
      <c r="F76" s="200">
        <v>10000</v>
      </c>
      <c r="G76" s="30" t="s">
        <v>475</v>
      </c>
      <c r="H76" s="33">
        <v>100001</v>
      </c>
      <c r="I76" s="200">
        <v>250000</v>
      </c>
      <c r="J76" s="30"/>
      <c r="K76" s="33" t="s">
        <v>545</v>
      </c>
      <c r="L76" s="200" t="s">
        <v>545</v>
      </c>
      <c r="M76" s="30"/>
      <c r="N76" s="33" t="s">
        <v>545</v>
      </c>
      <c r="O76" s="200" t="s">
        <v>545</v>
      </c>
      <c r="P76" s="30"/>
      <c r="Q76" s="33" t="s">
        <v>545</v>
      </c>
      <c r="R76" s="200" t="s">
        <v>545</v>
      </c>
    </row>
    <row r="77" spans="1:18">
      <c r="A77" s="29">
        <v>47700069</v>
      </c>
      <c r="B77" s="200" t="s">
        <v>701</v>
      </c>
      <c r="C77" s="179" t="s">
        <v>2243</v>
      </c>
      <c r="D77" s="30" t="s">
        <v>475</v>
      </c>
      <c r="E77" s="33">
        <v>100001</v>
      </c>
      <c r="F77" s="200">
        <v>10000</v>
      </c>
      <c r="G77" s="30" t="s">
        <v>475</v>
      </c>
      <c r="H77" s="33">
        <v>100001</v>
      </c>
      <c r="I77" s="200">
        <v>50000</v>
      </c>
      <c r="J77" s="30"/>
      <c r="K77" s="33" t="s">
        <v>545</v>
      </c>
      <c r="L77" s="200" t="s">
        <v>545</v>
      </c>
      <c r="M77" s="30"/>
      <c r="N77" s="33" t="s">
        <v>545</v>
      </c>
      <c r="O77" s="200" t="s">
        <v>545</v>
      </c>
      <c r="P77" s="30"/>
      <c r="Q77" s="33" t="s">
        <v>545</v>
      </c>
      <c r="R77" s="200" t="s">
        <v>545</v>
      </c>
    </row>
    <row r="78" spans="1:18">
      <c r="A78" s="29">
        <v>47700070</v>
      </c>
      <c r="B78" s="200" t="s">
        <v>703</v>
      </c>
      <c r="C78" s="180" t="s">
        <v>2244</v>
      </c>
      <c r="D78" s="30" t="s">
        <v>475</v>
      </c>
      <c r="E78" s="33">
        <v>100001</v>
      </c>
      <c r="F78" s="200">
        <v>10000</v>
      </c>
      <c r="G78" s="30" t="s">
        <v>475</v>
      </c>
      <c r="H78" s="33">
        <v>100001</v>
      </c>
      <c r="I78" s="200">
        <v>50000</v>
      </c>
      <c r="J78" s="30"/>
      <c r="K78" s="33" t="s">
        <v>545</v>
      </c>
      <c r="L78" s="200" t="s">
        <v>545</v>
      </c>
      <c r="M78" s="30"/>
      <c r="N78" s="33" t="s">
        <v>545</v>
      </c>
      <c r="O78" s="200" t="s">
        <v>545</v>
      </c>
      <c r="P78" s="30"/>
      <c r="Q78" s="33" t="s">
        <v>545</v>
      </c>
      <c r="R78" s="200" t="s">
        <v>545</v>
      </c>
    </row>
    <row r="79" spans="1:18">
      <c r="A79" s="29">
        <v>47700071</v>
      </c>
      <c r="B79" s="200" t="s">
        <v>705</v>
      </c>
      <c r="C79" s="181" t="s">
        <v>2245</v>
      </c>
      <c r="D79" s="30" t="s">
        <v>475</v>
      </c>
      <c r="E79" s="33">
        <v>100001</v>
      </c>
      <c r="F79" s="200">
        <v>10000</v>
      </c>
      <c r="G79" s="30" t="s">
        <v>475</v>
      </c>
      <c r="H79" s="33">
        <v>100001</v>
      </c>
      <c r="I79" s="200">
        <v>50000</v>
      </c>
      <c r="J79" s="30"/>
      <c r="K79" s="33" t="s">
        <v>545</v>
      </c>
      <c r="L79" s="200" t="s">
        <v>545</v>
      </c>
      <c r="M79" s="30"/>
      <c r="N79" s="33" t="s">
        <v>545</v>
      </c>
      <c r="O79" s="200" t="s">
        <v>545</v>
      </c>
      <c r="P79" s="30"/>
      <c r="Q79" s="33" t="s">
        <v>545</v>
      </c>
      <c r="R79" s="200" t="s">
        <v>545</v>
      </c>
    </row>
    <row r="80" spans="1:18">
      <c r="A80" s="29">
        <v>47700072</v>
      </c>
      <c r="B80" s="200" t="s">
        <v>709</v>
      </c>
      <c r="C80" s="182" t="s">
        <v>2246</v>
      </c>
      <c r="D80" s="30" t="s">
        <v>475</v>
      </c>
      <c r="E80" s="33">
        <v>100001</v>
      </c>
      <c r="F80" s="200">
        <v>10000</v>
      </c>
      <c r="G80" s="30" t="s">
        <v>475</v>
      </c>
      <c r="H80" s="33">
        <v>100001</v>
      </c>
      <c r="I80" s="200">
        <v>1300000</v>
      </c>
      <c r="J80" s="30"/>
      <c r="K80" s="33" t="s">
        <v>545</v>
      </c>
      <c r="L80" s="200" t="s">
        <v>545</v>
      </c>
      <c r="M80" s="30"/>
      <c r="N80" s="33" t="s">
        <v>545</v>
      </c>
      <c r="O80" s="200" t="s">
        <v>545</v>
      </c>
      <c r="P80" s="30"/>
      <c r="Q80" s="33" t="s">
        <v>545</v>
      </c>
      <c r="R80" s="200" t="s">
        <v>545</v>
      </c>
    </row>
    <row r="81" spans="1:18">
      <c r="A81" s="29">
        <v>47700073</v>
      </c>
      <c r="B81" s="200" t="s">
        <v>2265</v>
      </c>
      <c r="C81" s="184" t="s">
        <v>2247</v>
      </c>
      <c r="D81" s="30" t="s">
        <v>475</v>
      </c>
      <c r="E81" s="33">
        <v>100001</v>
      </c>
      <c r="F81" s="200">
        <v>10000</v>
      </c>
      <c r="G81" s="30" t="s">
        <v>475</v>
      </c>
      <c r="H81" s="33">
        <v>100001</v>
      </c>
      <c r="I81" s="200">
        <v>250000</v>
      </c>
      <c r="J81" s="30"/>
      <c r="K81" s="33" t="s">
        <v>545</v>
      </c>
      <c r="L81" s="200" t="s">
        <v>545</v>
      </c>
      <c r="M81" s="30"/>
      <c r="N81" s="33" t="s">
        <v>545</v>
      </c>
      <c r="O81" s="200" t="s">
        <v>545</v>
      </c>
      <c r="P81" s="30"/>
      <c r="Q81" s="33" t="s">
        <v>545</v>
      </c>
      <c r="R81" s="200" t="s">
        <v>545</v>
      </c>
    </row>
    <row r="82" spans="1:18">
      <c r="A82" s="29">
        <v>47700074</v>
      </c>
      <c r="B82" s="200" t="s">
        <v>2266</v>
      </c>
      <c r="C82" s="183" t="s">
        <v>2248</v>
      </c>
      <c r="D82" s="30" t="s">
        <v>475</v>
      </c>
      <c r="E82" s="33">
        <v>100001</v>
      </c>
      <c r="F82" s="200">
        <v>10000</v>
      </c>
      <c r="G82" s="30" t="s">
        <v>475</v>
      </c>
      <c r="H82" s="33">
        <v>100001</v>
      </c>
      <c r="I82" s="200">
        <v>50000</v>
      </c>
      <c r="J82" s="30"/>
      <c r="K82" s="33" t="s">
        <v>545</v>
      </c>
      <c r="L82" s="200" t="s">
        <v>545</v>
      </c>
      <c r="M82" s="30"/>
      <c r="N82" s="33" t="s">
        <v>545</v>
      </c>
      <c r="O82" s="200" t="s">
        <v>545</v>
      </c>
      <c r="P82" s="30"/>
      <c r="Q82" s="33" t="s">
        <v>545</v>
      </c>
      <c r="R82" s="200" t="s">
        <v>545</v>
      </c>
    </row>
    <row r="83" spans="1:18">
      <c r="A83" s="29">
        <v>47700075</v>
      </c>
      <c r="B83" s="200" t="s">
        <v>2267</v>
      </c>
      <c r="C83" s="185" t="s">
        <v>2249</v>
      </c>
      <c r="D83" s="30" t="s">
        <v>475</v>
      </c>
      <c r="E83" s="33">
        <v>100001</v>
      </c>
      <c r="F83" s="200">
        <v>10000</v>
      </c>
      <c r="G83" s="30" t="s">
        <v>475</v>
      </c>
      <c r="H83" s="33">
        <v>100001</v>
      </c>
      <c r="I83" s="200">
        <v>50000</v>
      </c>
      <c r="J83" s="30"/>
      <c r="K83" s="33" t="s">
        <v>545</v>
      </c>
      <c r="L83" s="200" t="s">
        <v>545</v>
      </c>
      <c r="M83" s="30"/>
      <c r="N83" s="33" t="s">
        <v>545</v>
      </c>
      <c r="O83" s="200" t="s">
        <v>545</v>
      </c>
      <c r="P83" s="30"/>
      <c r="Q83" s="33" t="s">
        <v>545</v>
      </c>
      <c r="R83" s="200" t="s">
        <v>545</v>
      </c>
    </row>
    <row r="84" spans="1:18">
      <c r="A84" s="29">
        <v>47700076</v>
      </c>
      <c r="B84" s="200" t="s">
        <v>2269</v>
      </c>
      <c r="C84" s="186" t="s">
        <v>2250</v>
      </c>
      <c r="D84" s="30" t="s">
        <v>475</v>
      </c>
      <c r="E84" s="33">
        <v>100001</v>
      </c>
      <c r="F84" s="200">
        <v>10000</v>
      </c>
      <c r="G84" s="30" t="s">
        <v>475</v>
      </c>
      <c r="H84" s="33">
        <v>100001</v>
      </c>
      <c r="I84" s="200">
        <v>250000</v>
      </c>
      <c r="J84" s="30"/>
      <c r="K84" s="33" t="s">
        <v>545</v>
      </c>
      <c r="L84" s="200" t="s">
        <v>545</v>
      </c>
      <c r="M84" s="30"/>
      <c r="N84" s="33" t="s">
        <v>545</v>
      </c>
      <c r="O84" s="200" t="s">
        <v>545</v>
      </c>
      <c r="P84" s="30"/>
      <c r="Q84" s="33" t="s">
        <v>545</v>
      </c>
      <c r="R84" s="200" t="s">
        <v>545</v>
      </c>
    </row>
    <row r="85" spans="1:18">
      <c r="A85" s="29">
        <v>47700077</v>
      </c>
      <c r="B85" s="200" t="s">
        <v>2271</v>
      </c>
      <c r="C85" s="187" t="s">
        <v>2251</v>
      </c>
      <c r="D85" s="30" t="s">
        <v>475</v>
      </c>
      <c r="E85" s="33">
        <v>100001</v>
      </c>
      <c r="F85" s="200">
        <v>10000</v>
      </c>
      <c r="G85" s="30" t="s">
        <v>475</v>
      </c>
      <c r="H85" s="33">
        <v>100001</v>
      </c>
      <c r="I85" s="200">
        <v>50000</v>
      </c>
      <c r="J85" s="30"/>
      <c r="K85" s="33" t="s">
        <v>545</v>
      </c>
      <c r="L85" s="200" t="s">
        <v>545</v>
      </c>
      <c r="M85" s="30"/>
      <c r="N85" s="33" t="s">
        <v>545</v>
      </c>
      <c r="O85" s="200" t="s">
        <v>545</v>
      </c>
      <c r="P85" s="30"/>
      <c r="Q85" s="33" t="s">
        <v>545</v>
      </c>
      <c r="R85" s="200" t="s">
        <v>545</v>
      </c>
    </row>
    <row r="86" spans="1:18">
      <c r="A86" s="29">
        <v>47700078</v>
      </c>
      <c r="B86" s="200" t="s">
        <v>2272</v>
      </c>
      <c r="C86" s="188" t="s">
        <v>2252</v>
      </c>
      <c r="D86" s="30" t="s">
        <v>475</v>
      </c>
      <c r="E86" s="33">
        <v>100001</v>
      </c>
      <c r="F86" s="200">
        <v>10000</v>
      </c>
      <c r="G86" s="30" t="s">
        <v>475</v>
      </c>
      <c r="H86" s="33">
        <v>100001</v>
      </c>
      <c r="I86" s="200">
        <v>250000</v>
      </c>
      <c r="J86" s="30"/>
      <c r="K86" s="33" t="s">
        <v>545</v>
      </c>
      <c r="L86" s="200" t="s">
        <v>545</v>
      </c>
      <c r="M86" s="30"/>
      <c r="N86" s="33" t="s">
        <v>545</v>
      </c>
      <c r="O86" s="200" t="s">
        <v>545</v>
      </c>
      <c r="P86" s="30"/>
      <c r="Q86" s="33" t="s">
        <v>545</v>
      </c>
      <c r="R86" s="200" t="s">
        <v>545</v>
      </c>
    </row>
    <row r="87" spans="1:18">
      <c r="A87" s="29">
        <v>47700079</v>
      </c>
      <c r="B87" s="200" t="s">
        <v>2273</v>
      </c>
      <c r="C87" s="189" t="s">
        <v>2253</v>
      </c>
      <c r="D87" s="30" t="s">
        <v>475</v>
      </c>
      <c r="E87" s="33">
        <v>100001</v>
      </c>
      <c r="F87" s="200">
        <v>10000</v>
      </c>
      <c r="G87" s="30" t="s">
        <v>475</v>
      </c>
      <c r="H87" s="33">
        <v>100001</v>
      </c>
      <c r="I87" s="200">
        <v>250000</v>
      </c>
      <c r="J87" s="30"/>
      <c r="K87" s="33" t="s">
        <v>545</v>
      </c>
      <c r="L87" s="200" t="s">
        <v>545</v>
      </c>
      <c r="M87" s="30"/>
      <c r="N87" s="33" t="s">
        <v>545</v>
      </c>
      <c r="O87" s="200" t="s">
        <v>545</v>
      </c>
      <c r="P87" s="30"/>
      <c r="Q87" s="33" t="s">
        <v>545</v>
      </c>
      <c r="R87" s="200" t="s">
        <v>545</v>
      </c>
    </row>
    <row r="88" spans="1:18">
      <c r="A88" s="29">
        <v>47700080</v>
      </c>
      <c r="B88" s="200" t="s">
        <v>2275</v>
      </c>
      <c r="C88" s="190" t="s">
        <v>2254</v>
      </c>
      <c r="D88" s="30" t="s">
        <v>475</v>
      </c>
      <c r="E88" s="33">
        <v>100001</v>
      </c>
      <c r="F88" s="200">
        <v>10000</v>
      </c>
      <c r="G88" s="30" t="s">
        <v>475</v>
      </c>
      <c r="H88" s="33">
        <v>100001</v>
      </c>
      <c r="I88" s="200">
        <v>50000</v>
      </c>
      <c r="J88" s="30"/>
      <c r="K88" s="33" t="s">
        <v>545</v>
      </c>
      <c r="L88" s="200" t="s">
        <v>545</v>
      </c>
      <c r="M88" s="30"/>
      <c r="N88" s="33" t="s">
        <v>545</v>
      </c>
      <c r="O88" s="200" t="s">
        <v>545</v>
      </c>
      <c r="P88" s="30"/>
      <c r="Q88" s="33" t="s">
        <v>545</v>
      </c>
      <c r="R88" s="200" t="s">
        <v>545</v>
      </c>
    </row>
    <row r="89" spans="1:18">
      <c r="A89" s="29">
        <v>47700081</v>
      </c>
      <c r="B89" s="200" t="s">
        <v>2277</v>
      </c>
      <c r="C89" s="191" t="s">
        <v>2255</v>
      </c>
      <c r="D89" s="30" t="s">
        <v>475</v>
      </c>
      <c r="E89" s="33">
        <v>100001</v>
      </c>
      <c r="F89" s="200">
        <v>10000</v>
      </c>
      <c r="G89" s="30" t="s">
        <v>475</v>
      </c>
      <c r="H89" s="33">
        <v>100001</v>
      </c>
      <c r="I89" s="200">
        <v>1300000</v>
      </c>
      <c r="J89" s="30"/>
      <c r="K89" s="33" t="s">
        <v>545</v>
      </c>
      <c r="L89" s="200" t="s">
        <v>545</v>
      </c>
      <c r="M89" s="30"/>
      <c r="N89" s="33" t="s">
        <v>545</v>
      </c>
      <c r="O89" s="200" t="s">
        <v>545</v>
      </c>
      <c r="P89" s="30"/>
      <c r="Q89" s="33" t="s">
        <v>545</v>
      </c>
      <c r="R89" s="200" t="s">
        <v>545</v>
      </c>
    </row>
    <row r="90" spans="1:18">
      <c r="A90" s="29">
        <v>47700082</v>
      </c>
      <c r="B90" s="200" t="s">
        <v>2278</v>
      </c>
      <c r="C90" s="192" t="s">
        <v>2256</v>
      </c>
      <c r="D90" s="30" t="s">
        <v>475</v>
      </c>
      <c r="E90" s="33">
        <v>100001</v>
      </c>
      <c r="F90" s="200">
        <v>10000</v>
      </c>
      <c r="G90" s="30" t="s">
        <v>475</v>
      </c>
      <c r="H90" s="33">
        <v>100001</v>
      </c>
      <c r="I90" s="200">
        <v>250000</v>
      </c>
      <c r="J90" s="30"/>
      <c r="K90" s="33" t="s">
        <v>545</v>
      </c>
      <c r="L90" s="200" t="s">
        <v>545</v>
      </c>
      <c r="M90" s="30"/>
      <c r="N90" s="33" t="s">
        <v>545</v>
      </c>
      <c r="O90" s="200" t="s">
        <v>545</v>
      </c>
      <c r="P90" s="30"/>
      <c r="Q90" s="33" t="s">
        <v>545</v>
      </c>
      <c r="R90" s="200" t="s">
        <v>545</v>
      </c>
    </row>
    <row r="91" spans="1:18">
      <c r="A91" s="29">
        <v>47700083</v>
      </c>
      <c r="B91" s="200" t="s">
        <v>2279</v>
      </c>
      <c r="C91" s="193" t="s">
        <v>2257</v>
      </c>
      <c r="D91" s="30" t="s">
        <v>475</v>
      </c>
      <c r="E91" s="33">
        <v>100001</v>
      </c>
      <c r="F91" s="200">
        <v>10000</v>
      </c>
      <c r="G91" s="30" t="s">
        <v>475</v>
      </c>
      <c r="H91" s="33">
        <v>100001</v>
      </c>
      <c r="I91" s="200">
        <v>50000</v>
      </c>
      <c r="J91" s="30"/>
      <c r="K91" s="33" t="s">
        <v>545</v>
      </c>
      <c r="L91" s="200" t="s">
        <v>545</v>
      </c>
      <c r="M91" s="30"/>
      <c r="N91" s="33" t="s">
        <v>545</v>
      </c>
      <c r="O91" s="200" t="s">
        <v>545</v>
      </c>
      <c r="P91" s="30"/>
      <c r="Q91" s="33" t="s">
        <v>545</v>
      </c>
      <c r="R91" s="200" t="s">
        <v>545</v>
      </c>
    </row>
    <row r="92" spans="1:18">
      <c r="A92" s="29">
        <v>47700084</v>
      </c>
      <c r="B92" s="200" t="s">
        <v>2281</v>
      </c>
      <c r="C92" s="194" t="s">
        <v>2258</v>
      </c>
      <c r="D92" s="30" t="s">
        <v>475</v>
      </c>
      <c r="E92" s="33">
        <v>100001</v>
      </c>
      <c r="F92" s="200">
        <v>10000</v>
      </c>
      <c r="G92" s="30" t="s">
        <v>475</v>
      </c>
      <c r="H92" s="33">
        <v>100001</v>
      </c>
      <c r="I92" s="200">
        <v>50000</v>
      </c>
      <c r="J92" s="30"/>
      <c r="K92" s="33" t="s">
        <v>545</v>
      </c>
      <c r="L92" s="200" t="s">
        <v>545</v>
      </c>
      <c r="M92" s="30"/>
      <c r="N92" s="33" t="s">
        <v>545</v>
      </c>
      <c r="O92" s="200" t="s">
        <v>545</v>
      </c>
      <c r="P92" s="30"/>
      <c r="Q92" s="33" t="s">
        <v>545</v>
      </c>
      <c r="R92" s="200" t="s">
        <v>545</v>
      </c>
    </row>
    <row r="93" spans="1:18">
      <c r="A93" s="29">
        <v>47700085</v>
      </c>
      <c r="B93" s="200" t="s">
        <v>2283</v>
      </c>
      <c r="C93" s="195" t="s">
        <v>2259</v>
      </c>
      <c r="D93" s="30" t="s">
        <v>475</v>
      </c>
      <c r="E93" s="33">
        <v>100001</v>
      </c>
      <c r="F93" s="200">
        <v>10000</v>
      </c>
      <c r="G93" s="30" t="s">
        <v>475</v>
      </c>
      <c r="H93" s="33">
        <v>100001</v>
      </c>
      <c r="I93" s="200">
        <v>250000</v>
      </c>
      <c r="J93" s="30"/>
      <c r="K93" s="33" t="s">
        <v>545</v>
      </c>
      <c r="L93" s="200" t="s">
        <v>545</v>
      </c>
      <c r="M93" s="30"/>
      <c r="N93" s="33" t="s">
        <v>545</v>
      </c>
      <c r="O93" s="200" t="s">
        <v>545</v>
      </c>
      <c r="P93" s="30"/>
      <c r="Q93" s="33" t="s">
        <v>545</v>
      </c>
      <c r="R93" s="200" t="s">
        <v>545</v>
      </c>
    </row>
    <row r="94" spans="1:18">
      <c r="A94" s="29">
        <v>47700086</v>
      </c>
      <c r="B94" s="200" t="s">
        <v>2284</v>
      </c>
      <c r="C94" s="196" t="s">
        <v>2260</v>
      </c>
      <c r="D94" s="30" t="s">
        <v>475</v>
      </c>
      <c r="E94" s="33">
        <v>100001</v>
      </c>
      <c r="F94" s="200">
        <v>10000</v>
      </c>
      <c r="G94" s="30" t="s">
        <v>475</v>
      </c>
      <c r="H94" s="33">
        <v>100001</v>
      </c>
      <c r="I94" s="200">
        <v>50000</v>
      </c>
      <c r="J94" s="30"/>
      <c r="K94" s="33" t="s">
        <v>545</v>
      </c>
      <c r="L94" s="200" t="s">
        <v>545</v>
      </c>
      <c r="M94" s="30"/>
      <c r="N94" s="33" t="s">
        <v>545</v>
      </c>
      <c r="O94" s="200" t="s">
        <v>545</v>
      </c>
      <c r="P94" s="30"/>
      <c r="Q94" s="33" t="s">
        <v>545</v>
      </c>
      <c r="R94" s="200" t="s">
        <v>545</v>
      </c>
    </row>
    <row r="95" spans="1:18">
      <c r="A95" s="29">
        <v>47700087</v>
      </c>
      <c r="B95" s="200" t="s">
        <v>2285</v>
      </c>
      <c r="C95" s="197" t="s">
        <v>2261</v>
      </c>
      <c r="D95" s="30" t="s">
        <v>475</v>
      </c>
      <c r="E95" s="33">
        <v>100001</v>
      </c>
      <c r="F95" s="200">
        <v>10000</v>
      </c>
      <c r="G95" s="30" t="s">
        <v>475</v>
      </c>
      <c r="H95" s="33">
        <v>100001</v>
      </c>
      <c r="I95" s="200">
        <v>250000</v>
      </c>
      <c r="J95" s="30"/>
      <c r="K95" s="33" t="s">
        <v>545</v>
      </c>
      <c r="L95" s="200" t="s">
        <v>545</v>
      </c>
      <c r="M95" s="30"/>
      <c r="N95" s="33" t="s">
        <v>545</v>
      </c>
      <c r="O95" s="200" t="s">
        <v>545</v>
      </c>
      <c r="P95" s="30"/>
      <c r="Q95" s="33" t="s">
        <v>545</v>
      </c>
      <c r="R95" s="200" t="s">
        <v>545</v>
      </c>
    </row>
    <row r="96" spans="1:18">
      <c r="A96" s="29">
        <v>47700088</v>
      </c>
      <c r="B96" s="200" t="s">
        <v>2287</v>
      </c>
      <c r="C96" s="198" t="s">
        <v>2262</v>
      </c>
      <c r="D96" s="30" t="s">
        <v>475</v>
      </c>
      <c r="E96" s="33">
        <v>100001</v>
      </c>
      <c r="F96" s="200">
        <v>10000</v>
      </c>
      <c r="G96" s="30" t="s">
        <v>475</v>
      </c>
      <c r="H96" s="33">
        <v>100001</v>
      </c>
      <c r="I96" s="200">
        <v>250000</v>
      </c>
      <c r="J96" s="30"/>
      <c r="K96" s="33" t="s">
        <v>545</v>
      </c>
      <c r="L96" s="200" t="s">
        <v>545</v>
      </c>
      <c r="M96" s="30"/>
      <c r="N96" s="33" t="s">
        <v>545</v>
      </c>
      <c r="O96" s="200" t="s">
        <v>545</v>
      </c>
      <c r="P96" s="30"/>
      <c r="Q96" s="33" t="s">
        <v>545</v>
      </c>
      <c r="R96" s="200" t="s">
        <v>545</v>
      </c>
    </row>
    <row r="97" spans="1:19">
      <c r="A97" s="29">
        <v>47700089</v>
      </c>
      <c r="B97" s="200" t="s">
        <v>2289</v>
      </c>
      <c r="C97" s="199" t="s">
        <v>2263</v>
      </c>
      <c r="D97" s="30" t="s">
        <v>475</v>
      </c>
      <c r="E97" s="33">
        <v>100001</v>
      </c>
      <c r="F97" s="200">
        <v>10000</v>
      </c>
      <c r="G97" s="30" t="s">
        <v>475</v>
      </c>
      <c r="H97" s="33">
        <v>100001</v>
      </c>
      <c r="I97" s="200">
        <v>50000</v>
      </c>
      <c r="J97" s="30"/>
      <c r="K97" s="33" t="s">
        <v>545</v>
      </c>
      <c r="L97" s="200" t="s">
        <v>545</v>
      </c>
      <c r="M97" s="30"/>
      <c r="N97" s="33" t="s">
        <v>545</v>
      </c>
      <c r="O97" s="200" t="s">
        <v>545</v>
      </c>
      <c r="P97" s="30"/>
      <c r="Q97" s="33" t="s">
        <v>545</v>
      </c>
      <c r="R97" s="200" t="s">
        <v>545</v>
      </c>
    </row>
    <row r="98" spans="1:19">
      <c r="A98" s="29">
        <v>47700090</v>
      </c>
      <c r="B98" s="200" t="s">
        <v>2290</v>
      </c>
      <c r="C98" s="35" t="s">
        <v>630</v>
      </c>
      <c r="D98" s="30" t="s">
        <v>475</v>
      </c>
      <c r="E98" s="33">
        <v>100001</v>
      </c>
      <c r="F98" s="200">
        <v>10000</v>
      </c>
      <c r="G98" s="30" t="s">
        <v>475</v>
      </c>
      <c r="H98" s="33">
        <v>100001</v>
      </c>
      <c r="I98" s="200">
        <v>250000</v>
      </c>
      <c r="J98" s="30"/>
      <c r="K98" s="33" t="s">
        <v>545</v>
      </c>
      <c r="L98" s="200" t="s">
        <v>545</v>
      </c>
      <c r="M98" s="30"/>
      <c r="N98" s="33" t="s">
        <v>545</v>
      </c>
      <c r="O98" s="200" t="s">
        <v>545</v>
      </c>
      <c r="P98" s="30"/>
      <c r="Q98" s="33" t="s">
        <v>545</v>
      </c>
      <c r="R98" s="200" t="s">
        <v>545</v>
      </c>
    </row>
    <row r="99" spans="1:19">
      <c r="A99" s="31"/>
      <c r="B99" s="32"/>
      <c r="C99" s="32"/>
      <c r="D99" s="32"/>
      <c r="E99" s="32"/>
      <c r="F99" s="32"/>
      <c r="G99" s="32"/>
      <c r="H99" s="32"/>
      <c r="I99" s="32"/>
      <c r="J99" s="32"/>
      <c r="K99" s="32"/>
      <c r="L99" s="32"/>
      <c r="M99" s="32"/>
      <c r="N99" s="32"/>
      <c r="O99" s="32"/>
      <c r="P99" s="32"/>
      <c r="Q99" s="32"/>
      <c r="R99" s="32"/>
      <c r="S99" s="27" t="s">
        <v>8</v>
      </c>
    </row>
  </sheetData>
  <phoneticPr fontId="5" type="noConversion"/>
  <pageMargins left="0.7" right="0.7" top="0.75" bottom="0.75" header="0.3" footer="0.3"/>
  <pageSetup paperSize="9" orientation="portrait" verticalDpi="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S99"/>
  <sheetViews>
    <sheetView zoomScale="85" zoomScaleNormal="85" workbookViewId="0">
      <pane ySplit="7" topLeftCell="A8" activePane="bottomLeft" state="frozen"/>
      <selection pane="bottomLeft" activeCell="A8" sqref="A8:A98"/>
    </sheetView>
  </sheetViews>
  <sheetFormatPr defaultColWidth="9.140625" defaultRowHeight="13.5"/>
  <cols>
    <col min="1" max="1" width="24.28515625" style="27" bestFit="1" customWidth="1"/>
    <col min="2" max="2" width="28.140625" style="27" bestFit="1" customWidth="1"/>
    <col min="3" max="4" width="20" style="27" bestFit="1" customWidth="1"/>
    <col min="5" max="6" width="20" style="27" customWidth="1"/>
    <col min="7" max="7" width="20" style="27" bestFit="1" customWidth="1"/>
    <col min="8" max="19" width="20" style="27" customWidth="1"/>
    <col min="20" max="20" width="31.42578125" style="27" customWidth="1"/>
    <col min="21" max="21" width="11" style="27" bestFit="1" customWidth="1"/>
    <col min="22" max="22" width="9.140625" style="27"/>
    <col min="23" max="23" width="24.7109375" style="27" customWidth="1"/>
    <col min="24" max="24" width="22.5703125" style="27" customWidth="1"/>
    <col min="25" max="16384" width="9.140625" style="27"/>
  </cols>
  <sheetData>
    <row r="1" spans="1:18">
      <c r="A1" s="6" t="s">
        <v>5</v>
      </c>
      <c r="B1" s="25"/>
      <c r="C1" s="26" t="s">
        <v>552</v>
      </c>
      <c r="D1" s="25"/>
      <c r="E1" s="26" t="s">
        <v>471</v>
      </c>
      <c r="F1" s="26" t="s">
        <v>472</v>
      </c>
      <c r="G1" s="25"/>
      <c r="H1" s="26" t="s">
        <v>473</v>
      </c>
      <c r="I1" s="26" t="s">
        <v>474</v>
      </c>
      <c r="J1" s="25"/>
      <c r="K1" s="26" t="s">
        <v>1249</v>
      </c>
      <c r="L1" s="26" t="s">
        <v>1250</v>
      </c>
      <c r="M1" s="25"/>
      <c r="N1" s="26" t="s">
        <v>1251</v>
      </c>
      <c r="O1" s="26" t="s">
        <v>1252</v>
      </c>
      <c r="P1" s="25"/>
      <c r="Q1" s="26" t="s">
        <v>1253</v>
      </c>
      <c r="R1" s="26" t="s">
        <v>1254</v>
      </c>
    </row>
    <row r="2" spans="1:18">
      <c r="A2" s="6" t="s">
        <v>2382</v>
      </c>
      <c r="B2" s="25"/>
      <c r="C2" s="26" t="s">
        <v>7</v>
      </c>
      <c r="D2" s="25"/>
      <c r="E2" s="26" t="s">
        <v>7</v>
      </c>
      <c r="F2" s="26" t="s">
        <v>7</v>
      </c>
      <c r="G2" s="25"/>
      <c r="H2" s="26" t="s">
        <v>7</v>
      </c>
      <c r="I2" s="26" t="s">
        <v>7</v>
      </c>
      <c r="J2" s="25"/>
      <c r="K2" s="26" t="s">
        <v>7</v>
      </c>
      <c r="L2" s="26" t="s">
        <v>7</v>
      </c>
      <c r="M2" s="25"/>
      <c r="N2" s="26" t="s">
        <v>7</v>
      </c>
      <c r="O2" s="26" t="s">
        <v>7</v>
      </c>
      <c r="P2" s="25"/>
      <c r="Q2" s="26" t="s">
        <v>7</v>
      </c>
      <c r="R2" s="26" t="s">
        <v>7</v>
      </c>
    </row>
    <row r="3" spans="1:18">
      <c r="A3" s="8" t="s">
        <v>1</v>
      </c>
      <c r="B3" s="25"/>
      <c r="C3" s="28" t="s">
        <v>0</v>
      </c>
      <c r="D3" s="25"/>
      <c r="E3" s="28" t="s">
        <v>0</v>
      </c>
      <c r="F3" s="28" t="s">
        <v>0</v>
      </c>
      <c r="G3" s="25"/>
      <c r="H3" s="28" t="s">
        <v>0</v>
      </c>
      <c r="I3" s="28" t="s">
        <v>0</v>
      </c>
      <c r="J3" s="25"/>
      <c r="K3" s="28" t="s">
        <v>0</v>
      </c>
      <c r="L3" s="28" t="s">
        <v>0</v>
      </c>
      <c r="M3" s="25"/>
      <c r="N3" s="28" t="s">
        <v>0</v>
      </c>
      <c r="O3" s="28" t="s">
        <v>0</v>
      </c>
      <c r="P3" s="25"/>
      <c r="Q3" s="28" t="s">
        <v>0</v>
      </c>
      <c r="R3" s="28" t="s">
        <v>0</v>
      </c>
    </row>
    <row r="4" spans="1:18">
      <c r="A4" s="8" t="s">
        <v>2</v>
      </c>
      <c r="B4" s="25"/>
      <c r="C4" s="28" t="s">
        <v>0</v>
      </c>
      <c r="D4" s="25"/>
      <c r="E4" s="28" t="s">
        <v>0</v>
      </c>
      <c r="F4" s="28" t="s">
        <v>0</v>
      </c>
      <c r="G4" s="25"/>
      <c r="H4" s="28" t="s">
        <v>0</v>
      </c>
      <c r="I4" s="28" t="s">
        <v>0</v>
      </c>
      <c r="J4" s="25"/>
      <c r="K4" s="28" t="s">
        <v>0</v>
      </c>
      <c r="L4" s="28" t="s">
        <v>0</v>
      </c>
      <c r="M4" s="25"/>
      <c r="N4" s="28" t="s">
        <v>0</v>
      </c>
      <c r="O4" s="28" t="s">
        <v>0</v>
      </c>
      <c r="P4" s="25"/>
      <c r="Q4" s="28" t="s">
        <v>0</v>
      </c>
      <c r="R4" s="28" t="s">
        <v>0</v>
      </c>
    </row>
    <row r="5" spans="1:18">
      <c r="A5" s="8" t="s">
        <v>3</v>
      </c>
      <c r="B5" s="25"/>
      <c r="C5" s="28" t="s">
        <v>0</v>
      </c>
      <c r="D5" s="25"/>
      <c r="E5" s="28" t="s">
        <v>0</v>
      </c>
      <c r="F5" s="28" t="s">
        <v>0</v>
      </c>
      <c r="G5" s="25"/>
      <c r="H5" s="28" t="s">
        <v>0</v>
      </c>
      <c r="I5" s="28" t="s">
        <v>0</v>
      </c>
      <c r="J5" s="25"/>
      <c r="K5" s="28" t="s">
        <v>0</v>
      </c>
      <c r="L5" s="28" t="s">
        <v>0</v>
      </c>
      <c r="M5" s="25"/>
      <c r="N5" s="28" t="s">
        <v>0</v>
      </c>
      <c r="O5" s="28" t="s">
        <v>0</v>
      </c>
      <c r="P5" s="25"/>
      <c r="Q5" s="28" t="s">
        <v>0</v>
      </c>
      <c r="R5" s="28" t="s">
        <v>0</v>
      </c>
    </row>
    <row r="6" spans="1:18">
      <c r="A6" s="8" t="s">
        <v>4</v>
      </c>
      <c r="B6" s="25"/>
      <c r="C6" s="28" t="s">
        <v>0</v>
      </c>
      <c r="D6" s="25"/>
      <c r="E6" s="28" t="s">
        <v>0</v>
      </c>
      <c r="F6" s="28" t="s">
        <v>0</v>
      </c>
      <c r="G6" s="25"/>
      <c r="H6" s="28" t="s">
        <v>0</v>
      </c>
      <c r="I6" s="28" t="s">
        <v>0</v>
      </c>
      <c r="J6" s="25"/>
      <c r="K6" s="28" t="s">
        <v>0</v>
      </c>
      <c r="L6" s="28" t="s">
        <v>0</v>
      </c>
      <c r="M6" s="25"/>
      <c r="N6" s="28" t="s">
        <v>0</v>
      </c>
      <c r="O6" s="28" t="s">
        <v>0</v>
      </c>
      <c r="P6" s="25"/>
      <c r="Q6" s="28" t="s">
        <v>0</v>
      </c>
      <c r="R6" s="28" t="s">
        <v>0</v>
      </c>
    </row>
    <row r="7" spans="1:18">
      <c r="A7" s="8" t="s">
        <v>10</v>
      </c>
      <c r="B7" s="25"/>
      <c r="C7" s="28" t="s">
        <v>0</v>
      </c>
      <c r="D7" s="25"/>
      <c r="E7" s="28" t="s">
        <v>0</v>
      </c>
      <c r="F7" s="28" t="s">
        <v>0</v>
      </c>
      <c r="G7" s="25"/>
      <c r="H7" s="28" t="s">
        <v>0</v>
      </c>
      <c r="I7" s="28" t="s">
        <v>0</v>
      </c>
      <c r="J7" s="25"/>
      <c r="K7" s="28" t="s">
        <v>0</v>
      </c>
      <c r="L7" s="28" t="s">
        <v>0</v>
      </c>
      <c r="M7" s="25"/>
      <c r="N7" s="28" t="s">
        <v>0</v>
      </c>
      <c r="O7" s="28" t="s">
        <v>0</v>
      </c>
      <c r="P7" s="25"/>
      <c r="Q7" s="28" t="s">
        <v>0</v>
      </c>
      <c r="R7" s="28" t="s">
        <v>0</v>
      </c>
    </row>
    <row r="8" spans="1:18">
      <c r="A8" s="29">
        <v>47800000</v>
      </c>
      <c r="B8" s="200" t="s">
        <v>629</v>
      </c>
      <c r="C8" s="112" t="s">
        <v>2174</v>
      </c>
      <c r="D8" s="30" t="s">
        <v>475</v>
      </c>
      <c r="E8" s="33">
        <v>100001</v>
      </c>
      <c r="F8" s="200">
        <v>10000</v>
      </c>
      <c r="G8" s="30" t="s">
        <v>475</v>
      </c>
      <c r="H8" s="33">
        <v>100001</v>
      </c>
      <c r="I8" s="200">
        <v>250000</v>
      </c>
      <c r="J8" s="30"/>
      <c r="K8" s="33" t="s">
        <v>545</v>
      </c>
      <c r="L8" s="200" t="s">
        <v>545</v>
      </c>
      <c r="M8" s="30"/>
      <c r="N8" s="33" t="s">
        <v>545</v>
      </c>
      <c r="O8" s="200" t="s">
        <v>545</v>
      </c>
      <c r="P8" s="30"/>
      <c r="Q8" s="33" t="s">
        <v>545</v>
      </c>
      <c r="R8" s="200" t="s">
        <v>545</v>
      </c>
    </row>
    <row r="9" spans="1:18">
      <c r="A9" s="29">
        <v>47800001</v>
      </c>
      <c r="B9" s="200" t="s">
        <v>481</v>
      </c>
      <c r="C9" s="113" t="s">
        <v>2175</v>
      </c>
      <c r="D9" s="30" t="s">
        <v>475</v>
      </c>
      <c r="E9" s="33">
        <v>100001</v>
      </c>
      <c r="F9" s="200">
        <v>10000</v>
      </c>
      <c r="G9" s="30" t="s">
        <v>475</v>
      </c>
      <c r="H9" s="33">
        <v>100001</v>
      </c>
      <c r="I9" s="200">
        <v>250000</v>
      </c>
      <c r="J9" s="30"/>
      <c r="K9" s="33" t="s">
        <v>545</v>
      </c>
      <c r="L9" s="200" t="s">
        <v>545</v>
      </c>
      <c r="M9" s="30"/>
      <c r="N9" s="33" t="s">
        <v>545</v>
      </c>
      <c r="O9" s="200" t="s">
        <v>545</v>
      </c>
      <c r="P9" s="30"/>
      <c r="Q9" s="33" t="s">
        <v>545</v>
      </c>
      <c r="R9" s="200" t="s">
        <v>545</v>
      </c>
    </row>
    <row r="10" spans="1:18">
      <c r="A10" s="29">
        <v>47800002</v>
      </c>
      <c r="B10" s="200" t="s">
        <v>482</v>
      </c>
      <c r="C10" s="114" t="s">
        <v>2176</v>
      </c>
      <c r="D10" s="30" t="s">
        <v>475</v>
      </c>
      <c r="E10" s="33">
        <v>100001</v>
      </c>
      <c r="F10" s="200">
        <v>10000</v>
      </c>
      <c r="G10" s="30" t="s">
        <v>475</v>
      </c>
      <c r="H10" s="33">
        <v>100001</v>
      </c>
      <c r="I10" s="200">
        <v>250000</v>
      </c>
      <c r="J10" s="30"/>
      <c r="K10" s="33" t="s">
        <v>545</v>
      </c>
      <c r="L10" s="200" t="s">
        <v>545</v>
      </c>
      <c r="M10" s="30"/>
      <c r="N10" s="33" t="s">
        <v>545</v>
      </c>
      <c r="O10" s="200" t="s">
        <v>545</v>
      </c>
      <c r="P10" s="30"/>
      <c r="Q10" s="33" t="s">
        <v>545</v>
      </c>
      <c r="R10" s="200" t="s">
        <v>545</v>
      </c>
    </row>
    <row r="11" spans="1:18">
      <c r="A11" s="29">
        <v>47800003</v>
      </c>
      <c r="B11" s="200" t="s">
        <v>483</v>
      </c>
      <c r="C11" s="114" t="s">
        <v>2177</v>
      </c>
      <c r="D11" s="30" t="s">
        <v>475</v>
      </c>
      <c r="E11" s="33">
        <v>100001</v>
      </c>
      <c r="F11" s="200">
        <v>10000</v>
      </c>
      <c r="G11" s="30" t="s">
        <v>475</v>
      </c>
      <c r="H11" s="33">
        <v>100001</v>
      </c>
      <c r="I11" s="200">
        <v>250000</v>
      </c>
      <c r="J11" s="30"/>
      <c r="K11" s="33" t="s">
        <v>545</v>
      </c>
      <c r="L11" s="200" t="s">
        <v>545</v>
      </c>
      <c r="M11" s="30"/>
      <c r="N11" s="33" t="s">
        <v>545</v>
      </c>
      <c r="O11" s="200" t="s">
        <v>545</v>
      </c>
      <c r="P11" s="30"/>
      <c r="Q11" s="33" t="s">
        <v>545</v>
      </c>
      <c r="R11" s="200" t="s">
        <v>545</v>
      </c>
    </row>
    <row r="12" spans="1:18">
      <c r="A12" s="29">
        <v>47800004</v>
      </c>
      <c r="B12" s="200" t="s">
        <v>484</v>
      </c>
      <c r="C12" s="115" t="s">
        <v>2178</v>
      </c>
      <c r="D12" s="30" t="s">
        <v>475</v>
      </c>
      <c r="E12" s="33">
        <v>100001</v>
      </c>
      <c r="F12" s="200">
        <v>10000</v>
      </c>
      <c r="G12" s="30" t="s">
        <v>475</v>
      </c>
      <c r="H12" s="33">
        <v>100001</v>
      </c>
      <c r="I12" s="200">
        <v>50000</v>
      </c>
      <c r="J12" s="30"/>
      <c r="K12" s="33" t="s">
        <v>545</v>
      </c>
      <c r="L12" s="200" t="s">
        <v>545</v>
      </c>
      <c r="M12" s="30"/>
      <c r="N12" s="33" t="s">
        <v>545</v>
      </c>
      <c r="O12" s="200" t="s">
        <v>545</v>
      </c>
      <c r="P12" s="30"/>
      <c r="Q12" s="33" t="s">
        <v>545</v>
      </c>
      <c r="R12" s="200" t="s">
        <v>545</v>
      </c>
    </row>
    <row r="13" spans="1:18">
      <c r="A13" s="29">
        <v>47800005</v>
      </c>
      <c r="B13" s="200" t="s">
        <v>485</v>
      </c>
      <c r="C13" s="116" t="s">
        <v>2179</v>
      </c>
      <c r="D13" s="30" t="s">
        <v>475</v>
      </c>
      <c r="E13" s="33">
        <v>100001</v>
      </c>
      <c r="F13" s="200">
        <v>10000</v>
      </c>
      <c r="G13" s="30" t="s">
        <v>475</v>
      </c>
      <c r="H13" s="33">
        <v>100001</v>
      </c>
      <c r="I13" s="200">
        <v>2250000</v>
      </c>
      <c r="J13" s="30"/>
      <c r="K13" s="33" t="s">
        <v>545</v>
      </c>
      <c r="L13" s="200" t="s">
        <v>545</v>
      </c>
      <c r="M13" s="30"/>
      <c r="N13" s="33" t="s">
        <v>545</v>
      </c>
      <c r="O13" s="200" t="s">
        <v>545</v>
      </c>
      <c r="P13" s="30"/>
      <c r="Q13" s="33" t="s">
        <v>545</v>
      </c>
      <c r="R13" s="200" t="s">
        <v>545</v>
      </c>
    </row>
    <row r="14" spans="1:18">
      <c r="A14" s="29">
        <v>47800006</v>
      </c>
      <c r="B14" s="200" t="s">
        <v>486</v>
      </c>
      <c r="C14" s="117" t="s">
        <v>2180</v>
      </c>
      <c r="D14" s="30" t="s">
        <v>475</v>
      </c>
      <c r="E14" s="33">
        <v>100001</v>
      </c>
      <c r="F14" s="200">
        <v>10000</v>
      </c>
      <c r="G14" s="30" t="s">
        <v>475</v>
      </c>
      <c r="H14" s="33">
        <v>100001</v>
      </c>
      <c r="I14" s="200">
        <v>50000</v>
      </c>
      <c r="J14" s="30"/>
      <c r="K14" s="33" t="s">
        <v>545</v>
      </c>
      <c r="L14" s="200" t="s">
        <v>545</v>
      </c>
      <c r="M14" s="30"/>
      <c r="N14" s="33" t="s">
        <v>545</v>
      </c>
      <c r="O14" s="200" t="s">
        <v>545</v>
      </c>
      <c r="P14" s="30"/>
      <c r="Q14" s="33" t="s">
        <v>545</v>
      </c>
      <c r="R14" s="200" t="s">
        <v>545</v>
      </c>
    </row>
    <row r="15" spans="1:18">
      <c r="A15" s="29">
        <v>47800007</v>
      </c>
      <c r="B15" s="200" t="s">
        <v>487</v>
      </c>
      <c r="C15" s="118" t="s">
        <v>2181</v>
      </c>
      <c r="D15" s="30" t="s">
        <v>475</v>
      </c>
      <c r="E15" s="33">
        <v>100001</v>
      </c>
      <c r="F15" s="200">
        <v>10000</v>
      </c>
      <c r="G15" s="30" t="s">
        <v>475</v>
      </c>
      <c r="H15" s="33">
        <v>100001</v>
      </c>
      <c r="I15" s="200">
        <v>250000</v>
      </c>
      <c r="J15" s="30"/>
      <c r="K15" s="33" t="s">
        <v>545</v>
      </c>
      <c r="L15" s="200" t="s">
        <v>545</v>
      </c>
      <c r="M15" s="30"/>
      <c r="N15" s="33" t="s">
        <v>545</v>
      </c>
      <c r="O15" s="200" t="s">
        <v>545</v>
      </c>
      <c r="P15" s="30"/>
      <c r="Q15" s="33" t="s">
        <v>545</v>
      </c>
      <c r="R15" s="200" t="s">
        <v>545</v>
      </c>
    </row>
    <row r="16" spans="1:18">
      <c r="A16" s="29">
        <v>47800008</v>
      </c>
      <c r="B16" s="200" t="s">
        <v>488</v>
      </c>
      <c r="C16" s="119" t="s">
        <v>2182</v>
      </c>
      <c r="D16" s="30" t="s">
        <v>475</v>
      </c>
      <c r="E16" s="33">
        <v>100001</v>
      </c>
      <c r="F16" s="200">
        <v>10000</v>
      </c>
      <c r="G16" s="30" t="s">
        <v>475</v>
      </c>
      <c r="H16" s="33">
        <v>100001</v>
      </c>
      <c r="I16" s="200">
        <v>250000</v>
      </c>
      <c r="J16" s="30"/>
      <c r="K16" s="33" t="s">
        <v>545</v>
      </c>
      <c r="L16" s="200" t="s">
        <v>545</v>
      </c>
      <c r="M16" s="30"/>
      <c r="N16" s="33" t="s">
        <v>545</v>
      </c>
      <c r="O16" s="200" t="s">
        <v>545</v>
      </c>
      <c r="P16" s="30"/>
      <c r="Q16" s="33" t="s">
        <v>545</v>
      </c>
      <c r="R16" s="200" t="s">
        <v>545</v>
      </c>
    </row>
    <row r="17" spans="1:18">
      <c r="A17" s="29">
        <v>47800009</v>
      </c>
      <c r="B17" s="200" t="s">
        <v>489</v>
      </c>
      <c r="C17" s="120" t="s">
        <v>2183</v>
      </c>
      <c r="D17" s="30" t="s">
        <v>475</v>
      </c>
      <c r="E17" s="33">
        <v>100001</v>
      </c>
      <c r="F17" s="200">
        <v>10000</v>
      </c>
      <c r="G17" s="30" t="s">
        <v>475</v>
      </c>
      <c r="H17" s="33">
        <v>100001</v>
      </c>
      <c r="I17" s="200">
        <v>2250000</v>
      </c>
      <c r="J17" s="30"/>
      <c r="K17" s="33" t="s">
        <v>545</v>
      </c>
      <c r="L17" s="200" t="s">
        <v>545</v>
      </c>
      <c r="M17" s="30"/>
      <c r="N17" s="33" t="s">
        <v>545</v>
      </c>
      <c r="O17" s="200" t="s">
        <v>545</v>
      </c>
      <c r="P17" s="30"/>
      <c r="Q17" s="33" t="s">
        <v>545</v>
      </c>
      <c r="R17" s="200" t="s">
        <v>545</v>
      </c>
    </row>
    <row r="18" spans="1:18">
      <c r="A18" s="29">
        <v>47800010</v>
      </c>
      <c r="B18" s="200" t="s">
        <v>490</v>
      </c>
      <c r="C18" s="121" t="s">
        <v>2184</v>
      </c>
      <c r="D18" s="30" t="s">
        <v>475</v>
      </c>
      <c r="E18" s="33">
        <v>100001</v>
      </c>
      <c r="F18" s="200">
        <v>10000</v>
      </c>
      <c r="G18" s="30" t="s">
        <v>475</v>
      </c>
      <c r="H18" s="33">
        <v>100001</v>
      </c>
      <c r="I18" s="200">
        <v>50000</v>
      </c>
      <c r="J18" s="30"/>
      <c r="K18" s="33" t="s">
        <v>545</v>
      </c>
      <c r="L18" s="200" t="s">
        <v>545</v>
      </c>
      <c r="M18" s="30"/>
      <c r="N18" s="33" t="s">
        <v>545</v>
      </c>
      <c r="O18" s="200" t="s">
        <v>545</v>
      </c>
      <c r="P18" s="30"/>
      <c r="Q18" s="33" t="s">
        <v>545</v>
      </c>
      <c r="R18" s="200" t="s">
        <v>545</v>
      </c>
    </row>
    <row r="19" spans="1:18">
      <c r="A19" s="29">
        <v>47800011</v>
      </c>
      <c r="B19" s="200" t="s">
        <v>641</v>
      </c>
      <c r="C19" s="122" t="s">
        <v>2185</v>
      </c>
      <c r="D19" s="30" t="s">
        <v>475</v>
      </c>
      <c r="E19" s="33">
        <v>100001</v>
      </c>
      <c r="F19" s="200">
        <v>10000</v>
      </c>
      <c r="G19" s="30" t="s">
        <v>475</v>
      </c>
      <c r="H19" s="33">
        <v>100001</v>
      </c>
      <c r="I19" s="200">
        <v>50000</v>
      </c>
      <c r="J19" s="30"/>
      <c r="K19" s="33" t="s">
        <v>545</v>
      </c>
      <c r="L19" s="200" t="s">
        <v>545</v>
      </c>
      <c r="M19" s="30"/>
      <c r="N19" s="33" t="s">
        <v>545</v>
      </c>
      <c r="O19" s="200" t="s">
        <v>545</v>
      </c>
      <c r="P19" s="30"/>
      <c r="Q19" s="33" t="s">
        <v>545</v>
      </c>
      <c r="R19" s="200" t="s">
        <v>545</v>
      </c>
    </row>
    <row r="20" spans="1:18">
      <c r="A20" s="29">
        <v>47800012</v>
      </c>
      <c r="B20" s="200" t="s">
        <v>643</v>
      </c>
      <c r="C20" s="123" t="s">
        <v>2186</v>
      </c>
      <c r="D20" s="30" t="s">
        <v>475</v>
      </c>
      <c r="E20" s="33">
        <v>100001</v>
      </c>
      <c r="F20" s="200">
        <v>10000</v>
      </c>
      <c r="G20" s="30" t="s">
        <v>475</v>
      </c>
      <c r="H20" s="33">
        <v>100001</v>
      </c>
      <c r="I20" s="200">
        <v>50000</v>
      </c>
      <c r="J20" s="30"/>
      <c r="K20" s="33" t="s">
        <v>545</v>
      </c>
      <c r="L20" s="200" t="s">
        <v>545</v>
      </c>
      <c r="M20" s="30"/>
      <c r="N20" s="33" t="s">
        <v>545</v>
      </c>
      <c r="O20" s="200" t="s">
        <v>545</v>
      </c>
      <c r="P20" s="30"/>
      <c r="Q20" s="33" t="s">
        <v>545</v>
      </c>
      <c r="R20" s="200" t="s">
        <v>545</v>
      </c>
    </row>
    <row r="21" spans="1:18">
      <c r="A21" s="29">
        <v>47800013</v>
      </c>
      <c r="B21" s="200" t="s">
        <v>645</v>
      </c>
      <c r="C21" s="124" t="s">
        <v>2187</v>
      </c>
      <c r="D21" s="30" t="s">
        <v>475</v>
      </c>
      <c r="E21" s="33">
        <v>100001</v>
      </c>
      <c r="F21" s="200">
        <v>10000</v>
      </c>
      <c r="G21" s="30" t="s">
        <v>475</v>
      </c>
      <c r="H21" s="33">
        <v>100001</v>
      </c>
      <c r="I21" s="200">
        <v>250000</v>
      </c>
      <c r="J21" s="30"/>
      <c r="K21" s="33" t="s">
        <v>545</v>
      </c>
      <c r="L21" s="200" t="s">
        <v>545</v>
      </c>
      <c r="M21" s="30"/>
      <c r="N21" s="33" t="s">
        <v>545</v>
      </c>
      <c r="O21" s="200" t="s">
        <v>545</v>
      </c>
      <c r="P21" s="30"/>
      <c r="Q21" s="33" t="s">
        <v>545</v>
      </c>
      <c r="R21" s="200" t="s">
        <v>545</v>
      </c>
    </row>
    <row r="22" spans="1:18">
      <c r="A22" s="29">
        <v>47800014</v>
      </c>
      <c r="B22" s="200" t="s">
        <v>647</v>
      </c>
      <c r="C22" s="125" t="s">
        <v>2188</v>
      </c>
      <c r="D22" s="30" t="s">
        <v>475</v>
      </c>
      <c r="E22" s="33">
        <v>100001</v>
      </c>
      <c r="F22" s="200">
        <v>10000</v>
      </c>
      <c r="G22" s="30" t="s">
        <v>475</v>
      </c>
      <c r="H22" s="33">
        <v>100001</v>
      </c>
      <c r="I22" s="200">
        <v>50000</v>
      </c>
      <c r="J22" s="30"/>
      <c r="K22" s="33" t="s">
        <v>545</v>
      </c>
      <c r="L22" s="200" t="s">
        <v>545</v>
      </c>
      <c r="M22" s="30"/>
      <c r="N22" s="33" t="s">
        <v>545</v>
      </c>
      <c r="O22" s="200" t="s">
        <v>545</v>
      </c>
      <c r="P22" s="30"/>
      <c r="Q22" s="33" t="s">
        <v>545</v>
      </c>
      <c r="R22" s="200" t="s">
        <v>545</v>
      </c>
    </row>
    <row r="23" spans="1:18">
      <c r="A23" s="29">
        <v>47800015</v>
      </c>
      <c r="B23" s="200" t="s">
        <v>649</v>
      </c>
      <c r="C23" s="126" t="s">
        <v>2189</v>
      </c>
      <c r="D23" s="30" t="s">
        <v>475</v>
      </c>
      <c r="E23" s="33">
        <v>100001</v>
      </c>
      <c r="F23" s="200">
        <v>10000</v>
      </c>
      <c r="G23" s="30" t="s">
        <v>475</v>
      </c>
      <c r="H23" s="33">
        <v>100001</v>
      </c>
      <c r="I23" s="200">
        <v>2250000</v>
      </c>
      <c r="J23" s="30"/>
      <c r="K23" s="33" t="s">
        <v>545</v>
      </c>
      <c r="L23" s="200" t="s">
        <v>545</v>
      </c>
      <c r="M23" s="30"/>
      <c r="N23" s="33" t="s">
        <v>545</v>
      </c>
      <c r="O23" s="200" t="s">
        <v>545</v>
      </c>
      <c r="P23" s="30"/>
      <c r="Q23" s="33" t="s">
        <v>545</v>
      </c>
      <c r="R23" s="200" t="s">
        <v>545</v>
      </c>
    </row>
    <row r="24" spans="1:18">
      <c r="A24" s="29">
        <v>47800016</v>
      </c>
      <c r="B24" s="200" t="s">
        <v>651</v>
      </c>
      <c r="C24" s="127" t="s">
        <v>2190</v>
      </c>
      <c r="D24" s="30" t="s">
        <v>475</v>
      </c>
      <c r="E24" s="33">
        <v>100001</v>
      </c>
      <c r="F24" s="200">
        <v>10000</v>
      </c>
      <c r="G24" s="30" t="s">
        <v>475</v>
      </c>
      <c r="H24" s="33">
        <v>100001</v>
      </c>
      <c r="I24" s="200">
        <v>250000</v>
      </c>
      <c r="J24" s="30"/>
      <c r="K24" s="33" t="s">
        <v>545</v>
      </c>
      <c r="L24" s="200" t="s">
        <v>545</v>
      </c>
      <c r="M24" s="30"/>
      <c r="N24" s="33" t="s">
        <v>545</v>
      </c>
      <c r="O24" s="200" t="s">
        <v>545</v>
      </c>
      <c r="P24" s="30"/>
      <c r="Q24" s="33" t="s">
        <v>545</v>
      </c>
      <c r="R24" s="200" t="s">
        <v>545</v>
      </c>
    </row>
    <row r="25" spans="1:18">
      <c r="A25" s="29">
        <v>47800017</v>
      </c>
      <c r="B25" s="200" t="s">
        <v>653</v>
      </c>
      <c r="C25" s="127" t="s">
        <v>2191</v>
      </c>
      <c r="D25" s="30" t="s">
        <v>475</v>
      </c>
      <c r="E25" s="33">
        <v>100001</v>
      </c>
      <c r="F25" s="200">
        <v>10000</v>
      </c>
      <c r="G25" s="30" t="s">
        <v>475</v>
      </c>
      <c r="H25" s="33">
        <v>100001</v>
      </c>
      <c r="I25" s="200">
        <v>50000</v>
      </c>
      <c r="J25" s="30"/>
      <c r="K25" s="33" t="s">
        <v>545</v>
      </c>
      <c r="L25" s="200" t="s">
        <v>545</v>
      </c>
      <c r="M25" s="30"/>
      <c r="N25" s="33" t="s">
        <v>545</v>
      </c>
      <c r="O25" s="200" t="s">
        <v>545</v>
      </c>
      <c r="P25" s="30"/>
      <c r="Q25" s="33" t="s">
        <v>545</v>
      </c>
      <c r="R25" s="200" t="s">
        <v>545</v>
      </c>
    </row>
    <row r="26" spans="1:18">
      <c r="A26" s="29">
        <v>47800018</v>
      </c>
      <c r="B26" s="200" t="s">
        <v>655</v>
      </c>
      <c r="C26" s="128" t="s">
        <v>2192</v>
      </c>
      <c r="D26" s="30" t="s">
        <v>475</v>
      </c>
      <c r="E26" s="33">
        <v>100001</v>
      </c>
      <c r="F26" s="200">
        <v>10000</v>
      </c>
      <c r="G26" s="30" t="s">
        <v>475</v>
      </c>
      <c r="H26" s="33">
        <v>100001</v>
      </c>
      <c r="I26" s="200">
        <v>50000</v>
      </c>
      <c r="J26" s="30"/>
      <c r="K26" s="33" t="s">
        <v>545</v>
      </c>
      <c r="L26" s="200" t="s">
        <v>545</v>
      </c>
      <c r="M26" s="30"/>
      <c r="N26" s="33" t="s">
        <v>545</v>
      </c>
      <c r="O26" s="200" t="s">
        <v>545</v>
      </c>
      <c r="P26" s="30"/>
      <c r="Q26" s="33" t="s">
        <v>545</v>
      </c>
      <c r="R26" s="200" t="s">
        <v>545</v>
      </c>
    </row>
    <row r="27" spans="1:18">
      <c r="A27" s="29">
        <v>47800019</v>
      </c>
      <c r="B27" s="200" t="s">
        <v>657</v>
      </c>
      <c r="C27" s="129" t="s">
        <v>2193</v>
      </c>
      <c r="D27" s="30" t="s">
        <v>475</v>
      </c>
      <c r="E27" s="33">
        <v>100001</v>
      </c>
      <c r="F27" s="200">
        <v>10000</v>
      </c>
      <c r="G27" s="30" t="s">
        <v>475</v>
      </c>
      <c r="H27" s="33">
        <v>100001</v>
      </c>
      <c r="I27" s="200">
        <v>250000</v>
      </c>
      <c r="J27" s="30"/>
      <c r="K27" s="33" t="s">
        <v>545</v>
      </c>
      <c r="L27" s="200" t="s">
        <v>545</v>
      </c>
      <c r="M27" s="30"/>
      <c r="N27" s="33" t="s">
        <v>545</v>
      </c>
      <c r="O27" s="200" t="s">
        <v>545</v>
      </c>
      <c r="P27" s="30"/>
      <c r="Q27" s="33" t="s">
        <v>545</v>
      </c>
      <c r="R27" s="200" t="s">
        <v>545</v>
      </c>
    </row>
    <row r="28" spans="1:18">
      <c r="A28" s="29">
        <v>47800020</v>
      </c>
      <c r="B28" s="200" t="s">
        <v>659</v>
      </c>
      <c r="C28" s="130" t="s">
        <v>2194</v>
      </c>
      <c r="D28" s="30" t="s">
        <v>475</v>
      </c>
      <c r="E28" s="33">
        <v>100001</v>
      </c>
      <c r="F28" s="200">
        <v>10000</v>
      </c>
      <c r="G28" s="30" t="s">
        <v>475</v>
      </c>
      <c r="H28" s="33">
        <v>100001</v>
      </c>
      <c r="I28" s="200">
        <v>50000</v>
      </c>
      <c r="J28" s="30"/>
      <c r="K28" s="33" t="s">
        <v>545</v>
      </c>
      <c r="L28" s="200" t="s">
        <v>545</v>
      </c>
      <c r="M28" s="30"/>
      <c r="N28" s="33" t="s">
        <v>545</v>
      </c>
      <c r="O28" s="200" t="s">
        <v>545</v>
      </c>
      <c r="P28" s="30"/>
      <c r="Q28" s="33" t="s">
        <v>545</v>
      </c>
      <c r="R28" s="200" t="s">
        <v>545</v>
      </c>
    </row>
    <row r="29" spans="1:18">
      <c r="A29" s="29">
        <v>47800021</v>
      </c>
      <c r="B29" s="200" t="s">
        <v>661</v>
      </c>
      <c r="C29" s="131" t="s">
        <v>2195</v>
      </c>
      <c r="D29" s="30" t="s">
        <v>475</v>
      </c>
      <c r="E29" s="33">
        <v>100001</v>
      </c>
      <c r="F29" s="200">
        <v>10000</v>
      </c>
      <c r="G29" s="30" t="s">
        <v>475</v>
      </c>
      <c r="H29" s="33">
        <v>100001</v>
      </c>
      <c r="I29" s="200">
        <v>50000</v>
      </c>
      <c r="J29" s="30"/>
      <c r="K29" s="33" t="s">
        <v>545</v>
      </c>
      <c r="L29" s="200" t="s">
        <v>545</v>
      </c>
      <c r="M29" s="30"/>
      <c r="N29" s="33" t="s">
        <v>545</v>
      </c>
      <c r="O29" s="200" t="s">
        <v>545</v>
      </c>
      <c r="P29" s="30"/>
      <c r="Q29" s="33" t="s">
        <v>545</v>
      </c>
      <c r="R29" s="200" t="s">
        <v>545</v>
      </c>
    </row>
    <row r="30" spans="1:18">
      <c r="A30" s="29">
        <v>47800022</v>
      </c>
      <c r="B30" s="200" t="s">
        <v>663</v>
      </c>
      <c r="C30" s="132" t="s">
        <v>2196</v>
      </c>
      <c r="D30" s="30" t="s">
        <v>475</v>
      </c>
      <c r="E30" s="33">
        <v>100001</v>
      </c>
      <c r="F30" s="200">
        <v>10000</v>
      </c>
      <c r="G30" s="30" t="s">
        <v>475</v>
      </c>
      <c r="H30" s="33">
        <v>100001</v>
      </c>
      <c r="I30" s="200">
        <v>50000</v>
      </c>
      <c r="J30" s="30"/>
      <c r="K30" s="33" t="s">
        <v>545</v>
      </c>
      <c r="L30" s="200" t="s">
        <v>545</v>
      </c>
      <c r="M30" s="30"/>
      <c r="N30" s="33" t="s">
        <v>545</v>
      </c>
      <c r="O30" s="200" t="s">
        <v>545</v>
      </c>
      <c r="P30" s="30"/>
      <c r="Q30" s="33" t="s">
        <v>545</v>
      </c>
      <c r="R30" s="200" t="s">
        <v>545</v>
      </c>
    </row>
    <row r="31" spans="1:18">
      <c r="A31" s="29">
        <v>47800023</v>
      </c>
      <c r="B31" s="200" t="s">
        <v>665</v>
      </c>
      <c r="C31" s="133" t="s">
        <v>2197</v>
      </c>
      <c r="D31" s="30" t="s">
        <v>475</v>
      </c>
      <c r="E31" s="33">
        <v>100001</v>
      </c>
      <c r="F31" s="200">
        <v>10000</v>
      </c>
      <c r="G31" s="30" t="s">
        <v>475</v>
      </c>
      <c r="H31" s="33">
        <v>100001</v>
      </c>
      <c r="I31" s="200">
        <v>250000</v>
      </c>
      <c r="J31" s="30"/>
      <c r="K31" s="33" t="s">
        <v>545</v>
      </c>
      <c r="L31" s="200" t="s">
        <v>545</v>
      </c>
      <c r="M31" s="30"/>
      <c r="N31" s="33" t="s">
        <v>545</v>
      </c>
      <c r="O31" s="200" t="s">
        <v>545</v>
      </c>
      <c r="P31" s="30"/>
      <c r="Q31" s="33" t="s">
        <v>545</v>
      </c>
      <c r="R31" s="200" t="s">
        <v>545</v>
      </c>
    </row>
    <row r="32" spans="1:18">
      <c r="A32" s="29">
        <v>47800024</v>
      </c>
      <c r="B32" s="200" t="s">
        <v>667</v>
      </c>
      <c r="C32" s="134" t="s">
        <v>2198</v>
      </c>
      <c r="D32" s="30" t="s">
        <v>475</v>
      </c>
      <c r="E32" s="33">
        <v>100001</v>
      </c>
      <c r="F32" s="200">
        <v>10000</v>
      </c>
      <c r="G32" s="30" t="s">
        <v>475</v>
      </c>
      <c r="H32" s="33">
        <v>100001</v>
      </c>
      <c r="I32" s="200">
        <v>50000</v>
      </c>
      <c r="J32" s="30"/>
      <c r="K32" s="33" t="s">
        <v>545</v>
      </c>
      <c r="L32" s="200" t="s">
        <v>545</v>
      </c>
      <c r="M32" s="30"/>
      <c r="N32" s="33" t="s">
        <v>545</v>
      </c>
      <c r="O32" s="200" t="s">
        <v>545</v>
      </c>
      <c r="P32" s="30"/>
      <c r="Q32" s="33" t="s">
        <v>545</v>
      </c>
      <c r="R32" s="200" t="s">
        <v>545</v>
      </c>
    </row>
    <row r="33" spans="1:18">
      <c r="A33" s="29">
        <v>47800025</v>
      </c>
      <c r="B33" s="200" t="s">
        <v>669</v>
      </c>
      <c r="C33" s="135" t="s">
        <v>2199</v>
      </c>
      <c r="D33" s="30" t="s">
        <v>475</v>
      </c>
      <c r="E33" s="33">
        <v>100001</v>
      </c>
      <c r="F33" s="200">
        <v>10000</v>
      </c>
      <c r="G33" s="30" t="s">
        <v>475</v>
      </c>
      <c r="H33" s="33">
        <v>100001</v>
      </c>
      <c r="I33" s="200">
        <v>50000</v>
      </c>
      <c r="J33" s="30"/>
      <c r="K33" s="33" t="s">
        <v>545</v>
      </c>
      <c r="L33" s="200" t="s">
        <v>545</v>
      </c>
      <c r="M33" s="30"/>
      <c r="N33" s="33" t="s">
        <v>545</v>
      </c>
      <c r="O33" s="200" t="s">
        <v>545</v>
      </c>
      <c r="P33" s="30"/>
      <c r="Q33" s="33" t="s">
        <v>545</v>
      </c>
      <c r="R33" s="200" t="s">
        <v>545</v>
      </c>
    </row>
    <row r="34" spans="1:18">
      <c r="A34" s="29">
        <v>47800026</v>
      </c>
      <c r="B34" s="200" t="s">
        <v>671</v>
      </c>
      <c r="C34" s="136" t="s">
        <v>2200</v>
      </c>
      <c r="D34" s="30" t="s">
        <v>475</v>
      </c>
      <c r="E34" s="33">
        <v>100001</v>
      </c>
      <c r="F34" s="200">
        <v>10000</v>
      </c>
      <c r="G34" s="30" t="s">
        <v>475</v>
      </c>
      <c r="H34" s="33">
        <v>100001</v>
      </c>
      <c r="I34" s="200">
        <v>250000</v>
      </c>
      <c r="J34" s="30"/>
      <c r="K34" s="33" t="s">
        <v>545</v>
      </c>
      <c r="L34" s="200" t="s">
        <v>545</v>
      </c>
      <c r="M34" s="30"/>
      <c r="N34" s="33" t="s">
        <v>545</v>
      </c>
      <c r="O34" s="200" t="s">
        <v>545</v>
      </c>
      <c r="P34" s="30"/>
      <c r="Q34" s="33" t="s">
        <v>545</v>
      </c>
      <c r="R34" s="200" t="s">
        <v>545</v>
      </c>
    </row>
    <row r="35" spans="1:18">
      <c r="A35" s="29">
        <v>47800027</v>
      </c>
      <c r="B35" s="200" t="s">
        <v>673</v>
      </c>
      <c r="C35" s="137" t="s">
        <v>2201</v>
      </c>
      <c r="D35" s="30" t="s">
        <v>475</v>
      </c>
      <c r="E35" s="33">
        <v>100001</v>
      </c>
      <c r="F35" s="200">
        <v>10000</v>
      </c>
      <c r="G35" s="30" t="s">
        <v>475</v>
      </c>
      <c r="H35" s="33">
        <v>100001</v>
      </c>
      <c r="I35" s="200">
        <v>2250000</v>
      </c>
      <c r="J35" s="30"/>
      <c r="K35" s="33" t="s">
        <v>545</v>
      </c>
      <c r="L35" s="200" t="s">
        <v>545</v>
      </c>
      <c r="M35" s="30"/>
      <c r="N35" s="33" t="s">
        <v>545</v>
      </c>
      <c r="O35" s="200" t="s">
        <v>545</v>
      </c>
      <c r="P35" s="30"/>
      <c r="Q35" s="33" t="s">
        <v>545</v>
      </c>
      <c r="R35" s="200" t="s">
        <v>545</v>
      </c>
    </row>
    <row r="36" spans="1:18">
      <c r="A36" s="29">
        <v>47800028</v>
      </c>
      <c r="B36" s="200" t="s">
        <v>675</v>
      </c>
      <c r="C36" s="138" t="s">
        <v>2202</v>
      </c>
      <c r="D36" s="30" t="s">
        <v>475</v>
      </c>
      <c r="E36" s="33">
        <v>100001</v>
      </c>
      <c r="F36" s="200">
        <v>10000</v>
      </c>
      <c r="G36" s="30" t="s">
        <v>475</v>
      </c>
      <c r="H36" s="33">
        <v>100001</v>
      </c>
      <c r="I36" s="200">
        <v>50000</v>
      </c>
      <c r="J36" s="30"/>
      <c r="K36" s="33" t="s">
        <v>545</v>
      </c>
      <c r="L36" s="200" t="s">
        <v>545</v>
      </c>
      <c r="M36" s="30"/>
      <c r="N36" s="33" t="s">
        <v>545</v>
      </c>
      <c r="O36" s="200" t="s">
        <v>545</v>
      </c>
      <c r="P36" s="30"/>
      <c r="Q36" s="33" t="s">
        <v>545</v>
      </c>
      <c r="R36" s="200" t="s">
        <v>545</v>
      </c>
    </row>
    <row r="37" spans="1:18">
      <c r="A37" s="29">
        <v>47800029</v>
      </c>
      <c r="B37" s="200" t="s">
        <v>677</v>
      </c>
      <c r="C37" s="139" t="s">
        <v>2203</v>
      </c>
      <c r="D37" s="30" t="s">
        <v>475</v>
      </c>
      <c r="E37" s="33">
        <v>100001</v>
      </c>
      <c r="F37" s="200">
        <v>10000</v>
      </c>
      <c r="G37" s="30" t="s">
        <v>475</v>
      </c>
      <c r="H37" s="33">
        <v>100001</v>
      </c>
      <c r="I37" s="200">
        <v>250000</v>
      </c>
      <c r="J37" s="30"/>
      <c r="K37" s="33" t="s">
        <v>545</v>
      </c>
      <c r="L37" s="200" t="s">
        <v>545</v>
      </c>
      <c r="M37" s="30"/>
      <c r="N37" s="33" t="s">
        <v>545</v>
      </c>
      <c r="O37" s="200" t="s">
        <v>545</v>
      </c>
      <c r="P37" s="30"/>
      <c r="Q37" s="33" t="s">
        <v>545</v>
      </c>
      <c r="R37" s="200" t="s">
        <v>545</v>
      </c>
    </row>
    <row r="38" spans="1:18">
      <c r="A38" s="29">
        <v>47800030</v>
      </c>
      <c r="B38" s="200" t="s">
        <v>679</v>
      </c>
      <c r="C38" s="140" t="s">
        <v>2204</v>
      </c>
      <c r="D38" s="30" t="s">
        <v>475</v>
      </c>
      <c r="E38" s="33">
        <v>100001</v>
      </c>
      <c r="F38" s="200">
        <v>10000</v>
      </c>
      <c r="G38" s="30" t="s">
        <v>475</v>
      </c>
      <c r="H38" s="33">
        <v>100001</v>
      </c>
      <c r="I38" s="200">
        <v>50000</v>
      </c>
      <c r="J38" s="30"/>
      <c r="K38" s="33" t="s">
        <v>545</v>
      </c>
      <c r="L38" s="200" t="s">
        <v>545</v>
      </c>
      <c r="M38" s="30"/>
      <c r="N38" s="33" t="s">
        <v>545</v>
      </c>
      <c r="O38" s="200" t="s">
        <v>545</v>
      </c>
      <c r="P38" s="30"/>
      <c r="Q38" s="33" t="s">
        <v>545</v>
      </c>
      <c r="R38" s="200" t="s">
        <v>545</v>
      </c>
    </row>
    <row r="39" spans="1:18">
      <c r="A39" s="29">
        <v>47800031</v>
      </c>
      <c r="B39" s="200" t="s">
        <v>681</v>
      </c>
      <c r="C39" s="141" t="s">
        <v>2205</v>
      </c>
      <c r="D39" s="30" t="s">
        <v>475</v>
      </c>
      <c r="E39" s="33">
        <v>100001</v>
      </c>
      <c r="F39" s="200">
        <v>10000</v>
      </c>
      <c r="G39" s="30" t="s">
        <v>475</v>
      </c>
      <c r="H39" s="33">
        <v>100001</v>
      </c>
      <c r="I39" s="200">
        <v>250000</v>
      </c>
      <c r="J39" s="30"/>
      <c r="K39" s="33" t="s">
        <v>545</v>
      </c>
      <c r="L39" s="200" t="s">
        <v>545</v>
      </c>
      <c r="M39" s="30"/>
      <c r="N39" s="33" t="s">
        <v>545</v>
      </c>
      <c r="O39" s="200" t="s">
        <v>545</v>
      </c>
      <c r="P39" s="30"/>
      <c r="Q39" s="33" t="s">
        <v>545</v>
      </c>
      <c r="R39" s="200" t="s">
        <v>545</v>
      </c>
    </row>
    <row r="40" spans="1:18">
      <c r="A40" s="29">
        <v>47800032</v>
      </c>
      <c r="B40" s="200" t="s">
        <v>683</v>
      </c>
      <c r="C40" s="142" t="s">
        <v>2206</v>
      </c>
      <c r="D40" s="30" t="s">
        <v>475</v>
      </c>
      <c r="E40" s="33">
        <v>100001</v>
      </c>
      <c r="F40" s="200">
        <v>10000</v>
      </c>
      <c r="G40" s="30" t="s">
        <v>475</v>
      </c>
      <c r="H40" s="33">
        <v>100001</v>
      </c>
      <c r="I40" s="200">
        <v>2250000</v>
      </c>
      <c r="J40" s="30"/>
      <c r="K40" s="33" t="s">
        <v>545</v>
      </c>
      <c r="L40" s="200" t="s">
        <v>545</v>
      </c>
      <c r="M40" s="30"/>
      <c r="N40" s="33" t="s">
        <v>545</v>
      </c>
      <c r="O40" s="200" t="s">
        <v>545</v>
      </c>
      <c r="P40" s="30"/>
      <c r="Q40" s="33" t="s">
        <v>545</v>
      </c>
      <c r="R40" s="200" t="s">
        <v>545</v>
      </c>
    </row>
    <row r="41" spans="1:18">
      <c r="A41" s="29">
        <v>47800033</v>
      </c>
      <c r="B41" s="200" t="s">
        <v>685</v>
      </c>
      <c r="C41" s="143" t="s">
        <v>2207</v>
      </c>
      <c r="D41" s="30" t="s">
        <v>475</v>
      </c>
      <c r="E41" s="33">
        <v>100001</v>
      </c>
      <c r="F41" s="200">
        <v>10000</v>
      </c>
      <c r="G41" s="30" t="s">
        <v>475</v>
      </c>
      <c r="H41" s="33">
        <v>100001</v>
      </c>
      <c r="I41" s="200">
        <v>250000</v>
      </c>
      <c r="J41" s="30"/>
      <c r="K41" s="33" t="s">
        <v>545</v>
      </c>
      <c r="L41" s="200" t="s">
        <v>545</v>
      </c>
      <c r="M41" s="30"/>
      <c r="N41" s="33" t="s">
        <v>545</v>
      </c>
      <c r="O41" s="200" t="s">
        <v>545</v>
      </c>
      <c r="P41" s="30"/>
      <c r="Q41" s="33" t="s">
        <v>545</v>
      </c>
      <c r="R41" s="200" t="s">
        <v>545</v>
      </c>
    </row>
    <row r="42" spans="1:18">
      <c r="A42" s="29">
        <v>47800034</v>
      </c>
      <c r="B42" s="200" t="s">
        <v>687</v>
      </c>
      <c r="C42" s="144" t="s">
        <v>2208</v>
      </c>
      <c r="D42" s="30" t="s">
        <v>475</v>
      </c>
      <c r="E42" s="33">
        <v>100001</v>
      </c>
      <c r="F42" s="200">
        <v>10000</v>
      </c>
      <c r="G42" s="30" t="s">
        <v>475</v>
      </c>
      <c r="H42" s="33">
        <v>100001</v>
      </c>
      <c r="I42" s="200">
        <v>50000</v>
      </c>
      <c r="J42" s="30"/>
      <c r="K42" s="33" t="s">
        <v>545</v>
      </c>
      <c r="L42" s="200" t="s">
        <v>545</v>
      </c>
      <c r="M42" s="30"/>
      <c r="N42" s="33" t="s">
        <v>545</v>
      </c>
      <c r="O42" s="200" t="s">
        <v>545</v>
      </c>
      <c r="P42" s="30"/>
      <c r="Q42" s="33" t="s">
        <v>545</v>
      </c>
      <c r="R42" s="200" t="s">
        <v>545</v>
      </c>
    </row>
    <row r="43" spans="1:18">
      <c r="A43" s="29">
        <v>47800035</v>
      </c>
      <c r="B43" s="200" t="s">
        <v>689</v>
      </c>
      <c r="C43" s="145" t="s">
        <v>2209</v>
      </c>
      <c r="D43" s="30" t="s">
        <v>475</v>
      </c>
      <c r="E43" s="33">
        <v>100001</v>
      </c>
      <c r="F43" s="200">
        <v>10000</v>
      </c>
      <c r="G43" s="30" t="s">
        <v>475</v>
      </c>
      <c r="H43" s="33">
        <v>100001</v>
      </c>
      <c r="I43" s="200">
        <v>50000</v>
      </c>
      <c r="J43" s="30"/>
      <c r="K43" s="33" t="s">
        <v>545</v>
      </c>
      <c r="L43" s="200" t="s">
        <v>545</v>
      </c>
      <c r="M43" s="30"/>
      <c r="N43" s="33" t="s">
        <v>545</v>
      </c>
      <c r="O43" s="200" t="s">
        <v>545</v>
      </c>
      <c r="P43" s="30"/>
      <c r="Q43" s="33" t="s">
        <v>545</v>
      </c>
      <c r="R43" s="200" t="s">
        <v>545</v>
      </c>
    </row>
    <row r="44" spans="1:18">
      <c r="A44" s="29">
        <v>47800036</v>
      </c>
      <c r="B44" s="200" t="s">
        <v>691</v>
      </c>
      <c r="C44" s="146" t="s">
        <v>2210</v>
      </c>
      <c r="D44" s="30" t="s">
        <v>475</v>
      </c>
      <c r="E44" s="33">
        <v>100001</v>
      </c>
      <c r="F44" s="200">
        <v>10000</v>
      </c>
      <c r="G44" s="30" t="s">
        <v>475</v>
      </c>
      <c r="H44" s="33">
        <v>100001</v>
      </c>
      <c r="I44" s="200">
        <v>50000</v>
      </c>
      <c r="J44" s="30"/>
      <c r="K44" s="33" t="s">
        <v>545</v>
      </c>
      <c r="L44" s="200" t="s">
        <v>545</v>
      </c>
      <c r="M44" s="30"/>
      <c r="N44" s="33" t="s">
        <v>545</v>
      </c>
      <c r="O44" s="200" t="s">
        <v>545</v>
      </c>
      <c r="P44" s="30"/>
      <c r="Q44" s="33" t="s">
        <v>545</v>
      </c>
      <c r="R44" s="200" t="s">
        <v>545</v>
      </c>
    </row>
    <row r="45" spans="1:18">
      <c r="A45" s="29">
        <v>47800037</v>
      </c>
      <c r="B45" s="200" t="s">
        <v>693</v>
      </c>
      <c r="C45" s="147" t="s">
        <v>2211</v>
      </c>
      <c r="D45" s="30" t="s">
        <v>475</v>
      </c>
      <c r="E45" s="33">
        <v>100001</v>
      </c>
      <c r="F45" s="200">
        <v>10000</v>
      </c>
      <c r="G45" s="30" t="s">
        <v>475</v>
      </c>
      <c r="H45" s="33">
        <v>100001</v>
      </c>
      <c r="I45" s="200">
        <v>250000</v>
      </c>
      <c r="J45" s="30"/>
      <c r="K45" s="33" t="s">
        <v>545</v>
      </c>
      <c r="L45" s="200" t="s">
        <v>545</v>
      </c>
      <c r="M45" s="30"/>
      <c r="N45" s="33" t="s">
        <v>545</v>
      </c>
      <c r="O45" s="200" t="s">
        <v>545</v>
      </c>
      <c r="P45" s="30"/>
      <c r="Q45" s="33" t="s">
        <v>545</v>
      </c>
      <c r="R45" s="200" t="s">
        <v>545</v>
      </c>
    </row>
    <row r="46" spans="1:18">
      <c r="A46" s="29">
        <v>47800038</v>
      </c>
      <c r="B46" s="200" t="s">
        <v>695</v>
      </c>
      <c r="C46" s="148" t="s">
        <v>2212</v>
      </c>
      <c r="D46" s="30" t="s">
        <v>475</v>
      </c>
      <c r="E46" s="33">
        <v>100001</v>
      </c>
      <c r="F46" s="200">
        <v>10000</v>
      </c>
      <c r="G46" s="30" t="s">
        <v>475</v>
      </c>
      <c r="H46" s="33">
        <v>100001</v>
      </c>
      <c r="I46" s="200">
        <v>50000</v>
      </c>
      <c r="J46" s="30"/>
      <c r="K46" s="33" t="s">
        <v>545</v>
      </c>
      <c r="L46" s="200" t="s">
        <v>545</v>
      </c>
      <c r="M46" s="30"/>
      <c r="N46" s="33" t="s">
        <v>545</v>
      </c>
      <c r="O46" s="200" t="s">
        <v>545</v>
      </c>
      <c r="P46" s="30"/>
      <c r="Q46" s="33" t="s">
        <v>545</v>
      </c>
      <c r="R46" s="200" t="s">
        <v>545</v>
      </c>
    </row>
    <row r="47" spans="1:18">
      <c r="A47" s="29">
        <v>47800039</v>
      </c>
      <c r="B47" s="200" t="s">
        <v>697</v>
      </c>
      <c r="C47" s="149" t="s">
        <v>2213</v>
      </c>
      <c r="D47" s="30" t="s">
        <v>475</v>
      </c>
      <c r="E47" s="33">
        <v>100001</v>
      </c>
      <c r="F47" s="200">
        <v>10000</v>
      </c>
      <c r="G47" s="30" t="s">
        <v>475</v>
      </c>
      <c r="H47" s="33">
        <v>100001</v>
      </c>
      <c r="I47" s="200">
        <v>50000</v>
      </c>
      <c r="J47" s="30"/>
      <c r="K47" s="33" t="s">
        <v>545</v>
      </c>
      <c r="L47" s="200" t="s">
        <v>545</v>
      </c>
      <c r="M47" s="30"/>
      <c r="N47" s="33" t="s">
        <v>545</v>
      </c>
      <c r="O47" s="200" t="s">
        <v>545</v>
      </c>
      <c r="P47" s="30"/>
      <c r="Q47" s="33" t="s">
        <v>545</v>
      </c>
      <c r="R47" s="200" t="s">
        <v>545</v>
      </c>
    </row>
    <row r="48" spans="1:18">
      <c r="A48" s="29">
        <v>47800040</v>
      </c>
      <c r="B48" s="200" t="s">
        <v>699</v>
      </c>
      <c r="C48" s="150" t="s">
        <v>2214</v>
      </c>
      <c r="D48" s="30" t="s">
        <v>475</v>
      </c>
      <c r="E48" s="33">
        <v>100001</v>
      </c>
      <c r="F48" s="200">
        <v>10000</v>
      </c>
      <c r="G48" s="30" t="s">
        <v>475</v>
      </c>
      <c r="H48" s="33">
        <v>100001</v>
      </c>
      <c r="I48" s="200">
        <v>50000</v>
      </c>
      <c r="J48" s="30"/>
      <c r="K48" s="33" t="s">
        <v>545</v>
      </c>
      <c r="L48" s="200" t="s">
        <v>545</v>
      </c>
      <c r="M48" s="30"/>
      <c r="N48" s="33" t="s">
        <v>545</v>
      </c>
      <c r="O48" s="200" t="s">
        <v>545</v>
      </c>
      <c r="P48" s="30"/>
      <c r="Q48" s="33" t="s">
        <v>545</v>
      </c>
      <c r="R48" s="200" t="s">
        <v>545</v>
      </c>
    </row>
    <row r="49" spans="1:18">
      <c r="A49" s="29">
        <v>47800041</v>
      </c>
      <c r="B49" s="200" t="s">
        <v>701</v>
      </c>
      <c r="C49" s="151" t="s">
        <v>2215</v>
      </c>
      <c r="D49" s="30" t="s">
        <v>475</v>
      </c>
      <c r="E49" s="33">
        <v>100001</v>
      </c>
      <c r="F49" s="200">
        <v>10000</v>
      </c>
      <c r="G49" s="30" t="s">
        <v>475</v>
      </c>
      <c r="H49" s="33">
        <v>100001</v>
      </c>
      <c r="I49" s="200">
        <v>250000</v>
      </c>
      <c r="J49" s="30"/>
      <c r="K49" s="33" t="s">
        <v>545</v>
      </c>
      <c r="L49" s="200" t="s">
        <v>545</v>
      </c>
      <c r="M49" s="30"/>
      <c r="N49" s="33" t="s">
        <v>545</v>
      </c>
      <c r="O49" s="200" t="s">
        <v>545</v>
      </c>
      <c r="P49" s="30"/>
      <c r="Q49" s="33" t="s">
        <v>545</v>
      </c>
      <c r="R49" s="200" t="s">
        <v>545</v>
      </c>
    </row>
    <row r="50" spans="1:18">
      <c r="A50" s="29">
        <v>47800042</v>
      </c>
      <c r="B50" s="200" t="s">
        <v>703</v>
      </c>
      <c r="C50" s="152" t="s">
        <v>2216</v>
      </c>
      <c r="D50" s="30" t="s">
        <v>475</v>
      </c>
      <c r="E50" s="33">
        <v>100001</v>
      </c>
      <c r="F50" s="200">
        <v>10000</v>
      </c>
      <c r="G50" s="30" t="s">
        <v>475</v>
      </c>
      <c r="H50" s="33">
        <v>100001</v>
      </c>
      <c r="I50" s="200">
        <v>50000</v>
      </c>
      <c r="J50" s="30"/>
      <c r="K50" s="33" t="s">
        <v>545</v>
      </c>
      <c r="L50" s="200" t="s">
        <v>545</v>
      </c>
      <c r="M50" s="30"/>
      <c r="N50" s="33" t="s">
        <v>545</v>
      </c>
      <c r="O50" s="200" t="s">
        <v>545</v>
      </c>
      <c r="P50" s="30"/>
      <c r="Q50" s="33" t="s">
        <v>545</v>
      </c>
      <c r="R50" s="200" t="s">
        <v>545</v>
      </c>
    </row>
    <row r="51" spans="1:18">
      <c r="A51" s="29">
        <v>47800043</v>
      </c>
      <c r="B51" s="200" t="s">
        <v>705</v>
      </c>
      <c r="C51" s="153" t="s">
        <v>2217</v>
      </c>
      <c r="D51" s="30" t="s">
        <v>475</v>
      </c>
      <c r="E51" s="33">
        <v>100001</v>
      </c>
      <c r="F51" s="200">
        <v>10000</v>
      </c>
      <c r="G51" s="30" t="s">
        <v>475</v>
      </c>
      <c r="H51" s="33">
        <v>100001</v>
      </c>
      <c r="I51" s="200">
        <v>50000</v>
      </c>
      <c r="J51" s="30"/>
      <c r="K51" s="33" t="s">
        <v>545</v>
      </c>
      <c r="L51" s="200" t="s">
        <v>545</v>
      </c>
      <c r="M51" s="30"/>
      <c r="N51" s="33" t="s">
        <v>545</v>
      </c>
      <c r="O51" s="200" t="s">
        <v>545</v>
      </c>
      <c r="P51" s="30"/>
      <c r="Q51" s="33" t="s">
        <v>545</v>
      </c>
      <c r="R51" s="200" t="s">
        <v>545</v>
      </c>
    </row>
    <row r="52" spans="1:18">
      <c r="A52" s="29">
        <v>47800044</v>
      </c>
      <c r="B52" s="200" t="s">
        <v>707</v>
      </c>
      <c r="C52" s="154" t="s">
        <v>2218</v>
      </c>
      <c r="D52" s="30" t="s">
        <v>475</v>
      </c>
      <c r="E52" s="33">
        <v>100001</v>
      </c>
      <c r="F52" s="200">
        <v>10000</v>
      </c>
      <c r="G52" s="30" t="s">
        <v>475</v>
      </c>
      <c r="H52" s="33">
        <v>100001</v>
      </c>
      <c r="I52" s="200">
        <v>250000</v>
      </c>
      <c r="J52" s="30"/>
      <c r="K52" s="33" t="s">
        <v>545</v>
      </c>
      <c r="L52" s="200" t="s">
        <v>545</v>
      </c>
      <c r="M52" s="30"/>
      <c r="N52" s="33" t="s">
        <v>545</v>
      </c>
      <c r="O52" s="200" t="s">
        <v>545</v>
      </c>
      <c r="P52" s="30"/>
      <c r="Q52" s="33" t="s">
        <v>545</v>
      </c>
      <c r="R52" s="200" t="s">
        <v>545</v>
      </c>
    </row>
    <row r="53" spans="1:18">
      <c r="A53" s="29">
        <v>47800045</v>
      </c>
      <c r="B53" s="200" t="s">
        <v>709</v>
      </c>
      <c r="C53" s="155" t="s">
        <v>2219</v>
      </c>
      <c r="D53" s="30" t="s">
        <v>475</v>
      </c>
      <c r="E53" s="33">
        <v>100001</v>
      </c>
      <c r="F53" s="200">
        <v>10000</v>
      </c>
      <c r="G53" s="30" t="s">
        <v>475</v>
      </c>
      <c r="H53" s="33">
        <v>100001</v>
      </c>
      <c r="I53" s="200">
        <v>2250000</v>
      </c>
      <c r="J53" s="30"/>
      <c r="K53" s="33" t="s">
        <v>545</v>
      </c>
      <c r="L53" s="200" t="s">
        <v>545</v>
      </c>
      <c r="M53" s="30"/>
      <c r="N53" s="33" t="s">
        <v>545</v>
      </c>
      <c r="O53" s="200" t="s">
        <v>545</v>
      </c>
      <c r="P53" s="30"/>
      <c r="Q53" s="33" t="s">
        <v>545</v>
      </c>
      <c r="R53" s="200" t="s">
        <v>545</v>
      </c>
    </row>
    <row r="54" spans="1:18">
      <c r="A54" s="29">
        <v>47800046</v>
      </c>
      <c r="B54" s="200" t="s">
        <v>716</v>
      </c>
      <c r="C54" s="156" t="s">
        <v>2220</v>
      </c>
      <c r="D54" s="30" t="s">
        <v>475</v>
      </c>
      <c r="E54" s="33">
        <v>100001</v>
      </c>
      <c r="F54" s="200">
        <v>10000</v>
      </c>
      <c r="G54" s="30" t="s">
        <v>475</v>
      </c>
      <c r="H54" s="33">
        <v>100001</v>
      </c>
      <c r="I54" s="200">
        <v>250000</v>
      </c>
      <c r="J54" s="30"/>
      <c r="K54" s="33" t="s">
        <v>545</v>
      </c>
      <c r="L54" s="200" t="s">
        <v>545</v>
      </c>
      <c r="M54" s="30"/>
      <c r="N54" s="33" t="s">
        <v>545</v>
      </c>
      <c r="O54" s="200" t="s">
        <v>545</v>
      </c>
      <c r="P54" s="30"/>
      <c r="Q54" s="33" t="s">
        <v>545</v>
      </c>
      <c r="R54" s="200" t="s">
        <v>545</v>
      </c>
    </row>
    <row r="55" spans="1:18">
      <c r="A55" s="29">
        <v>47800047</v>
      </c>
      <c r="B55" s="200" t="s">
        <v>482</v>
      </c>
      <c r="C55" s="157" t="s">
        <v>2221</v>
      </c>
      <c r="D55" s="30" t="s">
        <v>475</v>
      </c>
      <c r="E55" s="33">
        <v>100001</v>
      </c>
      <c r="F55" s="200">
        <v>10000</v>
      </c>
      <c r="G55" s="30" t="s">
        <v>475</v>
      </c>
      <c r="H55" s="33">
        <v>100001</v>
      </c>
      <c r="I55" s="200">
        <v>1300000</v>
      </c>
      <c r="J55" s="30"/>
      <c r="K55" s="33" t="s">
        <v>545</v>
      </c>
      <c r="L55" s="200" t="s">
        <v>545</v>
      </c>
      <c r="M55" s="30"/>
      <c r="N55" s="33" t="s">
        <v>545</v>
      </c>
      <c r="O55" s="200" t="s">
        <v>545</v>
      </c>
      <c r="P55" s="30"/>
      <c r="Q55" s="33" t="s">
        <v>545</v>
      </c>
      <c r="R55" s="200" t="s">
        <v>545</v>
      </c>
    </row>
    <row r="56" spans="1:18">
      <c r="A56" s="29">
        <v>47800048</v>
      </c>
      <c r="B56" s="200" t="s">
        <v>484</v>
      </c>
      <c r="C56" s="158" t="s">
        <v>2222</v>
      </c>
      <c r="D56" s="30" t="s">
        <v>475</v>
      </c>
      <c r="E56" s="33">
        <v>100001</v>
      </c>
      <c r="F56" s="200">
        <v>10000</v>
      </c>
      <c r="G56" s="30" t="s">
        <v>475</v>
      </c>
      <c r="H56" s="33">
        <v>100001</v>
      </c>
      <c r="I56" s="200">
        <v>250000</v>
      </c>
      <c r="J56" s="30"/>
      <c r="K56" s="33" t="s">
        <v>545</v>
      </c>
      <c r="L56" s="200" t="s">
        <v>545</v>
      </c>
      <c r="M56" s="30"/>
      <c r="N56" s="33" t="s">
        <v>545</v>
      </c>
      <c r="O56" s="200" t="s">
        <v>545</v>
      </c>
      <c r="P56" s="30"/>
      <c r="Q56" s="33" t="s">
        <v>545</v>
      </c>
      <c r="R56" s="200" t="s">
        <v>545</v>
      </c>
    </row>
    <row r="57" spans="1:18">
      <c r="A57" s="29">
        <v>47800049</v>
      </c>
      <c r="B57" s="200" t="s">
        <v>485</v>
      </c>
      <c r="C57" s="159" t="s">
        <v>2223</v>
      </c>
      <c r="D57" s="30" t="s">
        <v>475</v>
      </c>
      <c r="E57" s="33">
        <v>100001</v>
      </c>
      <c r="F57" s="200">
        <v>10000</v>
      </c>
      <c r="G57" s="30" t="s">
        <v>475</v>
      </c>
      <c r="H57" s="33">
        <v>100001</v>
      </c>
      <c r="I57" s="200">
        <v>50000</v>
      </c>
      <c r="J57" s="30"/>
      <c r="K57" s="33" t="s">
        <v>545</v>
      </c>
      <c r="L57" s="200" t="s">
        <v>545</v>
      </c>
      <c r="M57" s="30"/>
      <c r="N57" s="33" t="s">
        <v>545</v>
      </c>
      <c r="O57" s="200" t="s">
        <v>545</v>
      </c>
      <c r="P57" s="30"/>
      <c r="Q57" s="33" t="s">
        <v>545</v>
      </c>
      <c r="R57" s="200" t="s">
        <v>545</v>
      </c>
    </row>
    <row r="58" spans="1:18">
      <c r="A58" s="29">
        <v>47800050</v>
      </c>
      <c r="B58" s="200" t="s">
        <v>486</v>
      </c>
      <c r="C58" s="160" t="s">
        <v>2224</v>
      </c>
      <c r="D58" s="30" t="s">
        <v>475</v>
      </c>
      <c r="E58" s="33">
        <v>100001</v>
      </c>
      <c r="F58" s="200">
        <v>10000</v>
      </c>
      <c r="G58" s="30" t="s">
        <v>475</v>
      </c>
      <c r="H58" s="33">
        <v>100001</v>
      </c>
      <c r="I58" s="200">
        <v>50000</v>
      </c>
      <c r="J58" s="30"/>
      <c r="K58" s="33" t="s">
        <v>545</v>
      </c>
      <c r="L58" s="200" t="s">
        <v>545</v>
      </c>
      <c r="M58" s="30"/>
      <c r="N58" s="33" t="s">
        <v>545</v>
      </c>
      <c r="O58" s="200" t="s">
        <v>545</v>
      </c>
      <c r="P58" s="30"/>
      <c r="Q58" s="33" t="s">
        <v>545</v>
      </c>
      <c r="R58" s="200" t="s">
        <v>545</v>
      </c>
    </row>
    <row r="59" spans="1:18">
      <c r="A59" s="29">
        <v>47800051</v>
      </c>
      <c r="B59" s="200" t="s">
        <v>488</v>
      </c>
      <c r="C59" s="161" t="s">
        <v>2225</v>
      </c>
      <c r="D59" s="30" t="s">
        <v>475</v>
      </c>
      <c r="E59" s="33">
        <v>100001</v>
      </c>
      <c r="F59" s="200">
        <v>10000</v>
      </c>
      <c r="G59" s="30" t="s">
        <v>475</v>
      </c>
      <c r="H59" s="33">
        <v>100001</v>
      </c>
      <c r="I59" s="200">
        <v>250000</v>
      </c>
      <c r="J59" s="30"/>
      <c r="K59" s="33" t="s">
        <v>545</v>
      </c>
      <c r="L59" s="200" t="s">
        <v>545</v>
      </c>
      <c r="M59" s="30"/>
      <c r="N59" s="33" t="s">
        <v>545</v>
      </c>
      <c r="O59" s="200" t="s">
        <v>545</v>
      </c>
      <c r="P59" s="30"/>
      <c r="Q59" s="33" t="s">
        <v>545</v>
      </c>
      <c r="R59" s="200" t="s">
        <v>545</v>
      </c>
    </row>
    <row r="60" spans="1:18">
      <c r="A60" s="29">
        <v>47800052</v>
      </c>
      <c r="B60" s="200" t="s">
        <v>490</v>
      </c>
      <c r="C60" s="162" t="s">
        <v>2226</v>
      </c>
      <c r="D60" s="30" t="s">
        <v>475</v>
      </c>
      <c r="E60" s="33">
        <v>100001</v>
      </c>
      <c r="F60" s="200">
        <v>10000</v>
      </c>
      <c r="G60" s="30" t="s">
        <v>475</v>
      </c>
      <c r="H60" s="33">
        <v>100001</v>
      </c>
      <c r="I60" s="200">
        <v>50000</v>
      </c>
      <c r="J60" s="30"/>
      <c r="K60" s="33" t="s">
        <v>545</v>
      </c>
      <c r="L60" s="200" t="s">
        <v>545</v>
      </c>
      <c r="M60" s="30"/>
      <c r="N60" s="33" t="s">
        <v>545</v>
      </c>
      <c r="O60" s="200" t="s">
        <v>545</v>
      </c>
      <c r="P60" s="30"/>
      <c r="Q60" s="33" t="s">
        <v>545</v>
      </c>
      <c r="R60" s="200" t="s">
        <v>545</v>
      </c>
    </row>
    <row r="61" spans="1:18">
      <c r="A61" s="29">
        <v>47800053</v>
      </c>
      <c r="B61" s="200" t="s">
        <v>641</v>
      </c>
      <c r="C61" s="163" t="s">
        <v>2227</v>
      </c>
      <c r="D61" s="30" t="s">
        <v>475</v>
      </c>
      <c r="E61" s="33">
        <v>100001</v>
      </c>
      <c r="F61" s="200">
        <v>10000</v>
      </c>
      <c r="G61" s="30" t="s">
        <v>475</v>
      </c>
      <c r="H61" s="33">
        <v>100001</v>
      </c>
      <c r="I61" s="200">
        <v>50000</v>
      </c>
      <c r="J61" s="30"/>
      <c r="K61" s="33" t="s">
        <v>545</v>
      </c>
      <c r="L61" s="200" t="s">
        <v>545</v>
      </c>
      <c r="M61" s="30"/>
      <c r="N61" s="33" t="s">
        <v>545</v>
      </c>
      <c r="O61" s="200" t="s">
        <v>545</v>
      </c>
      <c r="P61" s="30"/>
      <c r="Q61" s="33" t="s">
        <v>545</v>
      </c>
      <c r="R61" s="200" t="s">
        <v>545</v>
      </c>
    </row>
    <row r="62" spans="1:18">
      <c r="A62" s="29">
        <v>47800054</v>
      </c>
      <c r="B62" s="200" t="s">
        <v>655</v>
      </c>
      <c r="C62" s="164" t="s">
        <v>2228</v>
      </c>
      <c r="D62" s="30" t="s">
        <v>475</v>
      </c>
      <c r="E62" s="33">
        <v>100001</v>
      </c>
      <c r="F62" s="200">
        <v>10000</v>
      </c>
      <c r="G62" s="30" t="s">
        <v>475</v>
      </c>
      <c r="H62" s="33">
        <v>100001</v>
      </c>
      <c r="I62" s="200">
        <v>50000</v>
      </c>
      <c r="J62" s="30"/>
      <c r="K62" s="33" t="s">
        <v>545</v>
      </c>
      <c r="L62" s="200" t="s">
        <v>545</v>
      </c>
      <c r="M62" s="30"/>
      <c r="N62" s="33" t="s">
        <v>545</v>
      </c>
      <c r="O62" s="200" t="s">
        <v>545</v>
      </c>
      <c r="P62" s="30"/>
      <c r="Q62" s="33" t="s">
        <v>545</v>
      </c>
      <c r="R62" s="200" t="s">
        <v>545</v>
      </c>
    </row>
    <row r="63" spans="1:18">
      <c r="A63" s="29">
        <v>47800055</v>
      </c>
      <c r="B63" s="200" t="s">
        <v>659</v>
      </c>
      <c r="C63" s="165" t="s">
        <v>2229</v>
      </c>
      <c r="D63" s="30" t="s">
        <v>475</v>
      </c>
      <c r="E63" s="33">
        <v>100001</v>
      </c>
      <c r="F63" s="200">
        <v>10000</v>
      </c>
      <c r="G63" s="30" t="s">
        <v>475</v>
      </c>
      <c r="H63" s="33">
        <v>100001</v>
      </c>
      <c r="I63" s="200">
        <v>250000</v>
      </c>
      <c r="J63" s="30"/>
      <c r="K63" s="33" t="s">
        <v>545</v>
      </c>
      <c r="L63" s="200" t="s">
        <v>545</v>
      </c>
      <c r="M63" s="30"/>
      <c r="N63" s="33" t="s">
        <v>545</v>
      </c>
      <c r="O63" s="200" t="s">
        <v>545</v>
      </c>
      <c r="P63" s="30"/>
      <c r="Q63" s="33" t="s">
        <v>545</v>
      </c>
      <c r="R63" s="200" t="s">
        <v>545</v>
      </c>
    </row>
    <row r="64" spans="1:18">
      <c r="A64" s="29">
        <v>47800056</v>
      </c>
      <c r="B64" s="200" t="s">
        <v>661</v>
      </c>
      <c r="C64" s="166" t="s">
        <v>2230</v>
      </c>
      <c r="D64" s="30" t="s">
        <v>475</v>
      </c>
      <c r="E64" s="33">
        <v>100001</v>
      </c>
      <c r="F64" s="200">
        <v>10000</v>
      </c>
      <c r="G64" s="30" t="s">
        <v>475</v>
      </c>
      <c r="H64" s="33">
        <v>100001</v>
      </c>
      <c r="I64" s="200">
        <v>50000</v>
      </c>
      <c r="J64" s="30"/>
      <c r="K64" s="33" t="s">
        <v>545</v>
      </c>
      <c r="L64" s="200" t="s">
        <v>545</v>
      </c>
      <c r="M64" s="30"/>
      <c r="N64" s="33" t="s">
        <v>545</v>
      </c>
      <c r="O64" s="200" t="s">
        <v>545</v>
      </c>
      <c r="P64" s="30"/>
      <c r="Q64" s="33" t="s">
        <v>545</v>
      </c>
      <c r="R64" s="200" t="s">
        <v>545</v>
      </c>
    </row>
    <row r="65" spans="1:18">
      <c r="A65" s="29">
        <v>47800057</v>
      </c>
      <c r="B65" s="200" t="s">
        <v>665</v>
      </c>
      <c r="C65" s="167" t="s">
        <v>2231</v>
      </c>
      <c r="D65" s="30" t="s">
        <v>475</v>
      </c>
      <c r="E65" s="33">
        <v>100001</v>
      </c>
      <c r="F65" s="200">
        <v>10000</v>
      </c>
      <c r="G65" s="30" t="s">
        <v>475</v>
      </c>
      <c r="H65" s="33">
        <v>100001</v>
      </c>
      <c r="I65" s="200">
        <v>50000</v>
      </c>
      <c r="J65" s="30"/>
      <c r="K65" s="33" t="s">
        <v>545</v>
      </c>
      <c r="L65" s="200" t="s">
        <v>545</v>
      </c>
      <c r="M65" s="30"/>
      <c r="N65" s="33" t="s">
        <v>545</v>
      </c>
      <c r="O65" s="200" t="s">
        <v>545</v>
      </c>
      <c r="P65" s="30"/>
      <c r="Q65" s="33" t="s">
        <v>545</v>
      </c>
      <c r="R65" s="200" t="s">
        <v>545</v>
      </c>
    </row>
    <row r="66" spans="1:18">
      <c r="A66" s="29">
        <v>47800058</v>
      </c>
      <c r="B66" s="200" t="s">
        <v>667</v>
      </c>
      <c r="C66" s="168" t="s">
        <v>2232</v>
      </c>
      <c r="D66" s="30" t="s">
        <v>475</v>
      </c>
      <c r="E66" s="33">
        <v>100001</v>
      </c>
      <c r="F66" s="200">
        <v>10000</v>
      </c>
      <c r="G66" s="30" t="s">
        <v>475</v>
      </c>
      <c r="H66" s="33">
        <v>100001</v>
      </c>
      <c r="I66" s="200">
        <v>250000</v>
      </c>
      <c r="J66" s="30"/>
      <c r="K66" s="33" t="s">
        <v>545</v>
      </c>
      <c r="L66" s="200" t="s">
        <v>545</v>
      </c>
      <c r="M66" s="30"/>
      <c r="N66" s="33" t="s">
        <v>545</v>
      </c>
      <c r="O66" s="200" t="s">
        <v>545</v>
      </c>
      <c r="P66" s="30"/>
      <c r="Q66" s="33" t="s">
        <v>545</v>
      </c>
      <c r="R66" s="200" t="s">
        <v>545</v>
      </c>
    </row>
    <row r="67" spans="1:18">
      <c r="A67" s="29">
        <v>47800059</v>
      </c>
      <c r="B67" s="200" t="s">
        <v>671</v>
      </c>
      <c r="C67" s="169" t="s">
        <v>2233</v>
      </c>
      <c r="D67" s="30" t="s">
        <v>475</v>
      </c>
      <c r="E67" s="33">
        <v>100001</v>
      </c>
      <c r="F67" s="200">
        <v>10000</v>
      </c>
      <c r="G67" s="30" t="s">
        <v>475</v>
      </c>
      <c r="H67" s="33">
        <v>100001</v>
      </c>
      <c r="I67" s="200">
        <v>50000</v>
      </c>
      <c r="J67" s="30"/>
      <c r="K67" s="33" t="s">
        <v>545</v>
      </c>
      <c r="L67" s="200" t="s">
        <v>545</v>
      </c>
      <c r="M67" s="30"/>
      <c r="N67" s="33" t="s">
        <v>545</v>
      </c>
      <c r="O67" s="200" t="s">
        <v>545</v>
      </c>
      <c r="P67" s="30"/>
      <c r="Q67" s="33" t="s">
        <v>545</v>
      </c>
      <c r="R67" s="200" t="s">
        <v>545</v>
      </c>
    </row>
    <row r="68" spans="1:18">
      <c r="A68" s="29">
        <v>47800060</v>
      </c>
      <c r="B68" s="200" t="s">
        <v>673</v>
      </c>
      <c r="C68" s="170" t="s">
        <v>2234</v>
      </c>
      <c r="D68" s="30" t="s">
        <v>475</v>
      </c>
      <c r="E68" s="33">
        <v>100001</v>
      </c>
      <c r="F68" s="200">
        <v>10000</v>
      </c>
      <c r="G68" s="30" t="s">
        <v>475</v>
      </c>
      <c r="H68" s="33">
        <v>100001</v>
      </c>
      <c r="I68" s="200">
        <v>50000</v>
      </c>
      <c r="J68" s="30"/>
      <c r="K68" s="33" t="s">
        <v>545</v>
      </c>
      <c r="L68" s="200" t="s">
        <v>545</v>
      </c>
      <c r="M68" s="30"/>
      <c r="N68" s="33" t="s">
        <v>545</v>
      </c>
      <c r="O68" s="200" t="s">
        <v>545</v>
      </c>
      <c r="P68" s="30"/>
      <c r="Q68" s="33" t="s">
        <v>545</v>
      </c>
      <c r="R68" s="200" t="s">
        <v>545</v>
      </c>
    </row>
    <row r="69" spans="1:18">
      <c r="A69" s="29">
        <v>47800061</v>
      </c>
      <c r="B69" s="200" t="s">
        <v>677</v>
      </c>
      <c r="C69" s="171" t="s">
        <v>2235</v>
      </c>
      <c r="D69" s="30" t="s">
        <v>475</v>
      </c>
      <c r="E69" s="33">
        <v>100001</v>
      </c>
      <c r="F69" s="200">
        <v>10000</v>
      </c>
      <c r="G69" s="30" t="s">
        <v>475</v>
      </c>
      <c r="H69" s="33">
        <v>100001</v>
      </c>
      <c r="I69" s="200">
        <v>50000</v>
      </c>
      <c r="J69" s="30"/>
      <c r="K69" s="33" t="s">
        <v>545</v>
      </c>
      <c r="L69" s="200" t="s">
        <v>545</v>
      </c>
      <c r="M69" s="30"/>
      <c r="N69" s="33" t="s">
        <v>545</v>
      </c>
      <c r="O69" s="200" t="s">
        <v>545</v>
      </c>
      <c r="P69" s="30"/>
      <c r="Q69" s="33" t="s">
        <v>545</v>
      </c>
      <c r="R69" s="200" t="s">
        <v>545</v>
      </c>
    </row>
    <row r="70" spans="1:18">
      <c r="A70" s="29">
        <v>47800062</v>
      </c>
      <c r="B70" s="200" t="s">
        <v>679</v>
      </c>
      <c r="C70" s="172" t="s">
        <v>2236</v>
      </c>
      <c r="D70" s="30" t="s">
        <v>475</v>
      </c>
      <c r="E70" s="33">
        <v>100001</v>
      </c>
      <c r="F70" s="200">
        <v>10000</v>
      </c>
      <c r="G70" s="30" t="s">
        <v>475</v>
      </c>
      <c r="H70" s="33">
        <v>100001</v>
      </c>
      <c r="I70" s="200">
        <v>50000</v>
      </c>
      <c r="J70" s="30"/>
      <c r="K70" s="33" t="s">
        <v>545</v>
      </c>
      <c r="L70" s="200" t="s">
        <v>545</v>
      </c>
      <c r="M70" s="30"/>
      <c r="N70" s="33" t="s">
        <v>545</v>
      </c>
      <c r="O70" s="200" t="s">
        <v>545</v>
      </c>
      <c r="P70" s="30"/>
      <c r="Q70" s="33" t="s">
        <v>545</v>
      </c>
      <c r="R70" s="200" t="s">
        <v>545</v>
      </c>
    </row>
    <row r="71" spans="1:18">
      <c r="A71" s="29">
        <v>47800063</v>
      </c>
      <c r="B71" s="200" t="s">
        <v>683</v>
      </c>
      <c r="C71" s="173" t="s">
        <v>2237</v>
      </c>
      <c r="D71" s="30" t="s">
        <v>475</v>
      </c>
      <c r="E71" s="33">
        <v>100001</v>
      </c>
      <c r="F71" s="200">
        <v>10000</v>
      </c>
      <c r="G71" s="30" t="s">
        <v>475</v>
      </c>
      <c r="H71" s="33">
        <v>100001</v>
      </c>
      <c r="I71" s="200">
        <v>50000</v>
      </c>
      <c r="J71" s="30"/>
      <c r="K71" s="33" t="s">
        <v>545</v>
      </c>
      <c r="L71" s="200" t="s">
        <v>545</v>
      </c>
      <c r="M71" s="30"/>
      <c r="N71" s="33" t="s">
        <v>545</v>
      </c>
      <c r="O71" s="200" t="s">
        <v>545</v>
      </c>
      <c r="P71" s="30"/>
      <c r="Q71" s="33" t="s">
        <v>545</v>
      </c>
      <c r="R71" s="200" t="s">
        <v>545</v>
      </c>
    </row>
    <row r="72" spans="1:18">
      <c r="A72" s="29">
        <v>47800064</v>
      </c>
      <c r="B72" s="200" t="s">
        <v>685</v>
      </c>
      <c r="C72" s="174" t="s">
        <v>2238</v>
      </c>
      <c r="D72" s="30" t="s">
        <v>475</v>
      </c>
      <c r="E72" s="33">
        <v>100001</v>
      </c>
      <c r="F72" s="200">
        <v>10000</v>
      </c>
      <c r="G72" s="30" t="s">
        <v>475</v>
      </c>
      <c r="H72" s="33">
        <v>100001</v>
      </c>
      <c r="I72" s="200">
        <v>250000</v>
      </c>
      <c r="J72" s="30"/>
      <c r="K72" s="33" t="s">
        <v>545</v>
      </c>
      <c r="L72" s="200" t="s">
        <v>545</v>
      </c>
      <c r="M72" s="30"/>
      <c r="N72" s="33" t="s">
        <v>545</v>
      </c>
      <c r="O72" s="200" t="s">
        <v>545</v>
      </c>
      <c r="P72" s="30"/>
      <c r="Q72" s="33" t="s">
        <v>545</v>
      </c>
      <c r="R72" s="200" t="s">
        <v>545</v>
      </c>
    </row>
    <row r="73" spans="1:18">
      <c r="A73" s="29">
        <v>47800065</v>
      </c>
      <c r="B73" s="200" t="s">
        <v>689</v>
      </c>
      <c r="C73" s="175" t="s">
        <v>2239</v>
      </c>
      <c r="D73" s="30" t="s">
        <v>475</v>
      </c>
      <c r="E73" s="33">
        <v>100001</v>
      </c>
      <c r="F73" s="200">
        <v>10000</v>
      </c>
      <c r="G73" s="30" t="s">
        <v>475</v>
      </c>
      <c r="H73" s="33">
        <v>100001</v>
      </c>
      <c r="I73" s="200">
        <v>250000</v>
      </c>
      <c r="J73" s="30"/>
      <c r="K73" s="33" t="s">
        <v>545</v>
      </c>
      <c r="L73" s="200" t="s">
        <v>545</v>
      </c>
      <c r="M73" s="30"/>
      <c r="N73" s="33" t="s">
        <v>545</v>
      </c>
      <c r="O73" s="200" t="s">
        <v>545</v>
      </c>
      <c r="P73" s="30"/>
      <c r="Q73" s="33" t="s">
        <v>545</v>
      </c>
      <c r="R73" s="200" t="s">
        <v>545</v>
      </c>
    </row>
    <row r="74" spans="1:18">
      <c r="A74" s="29">
        <v>47800066</v>
      </c>
      <c r="B74" s="200" t="s">
        <v>691</v>
      </c>
      <c r="C74" s="176" t="s">
        <v>2240</v>
      </c>
      <c r="D74" s="30" t="s">
        <v>475</v>
      </c>
      <c r="E74" s="33">
        <v>100001</v>
      </c>
      <c r="F74" s="200">
        <v>10000</v>
      </c>
      <c r="G74" s="30" t="s">
        <v>475</v>
      </c>
      <c r="H74" s="33">
        <v>100001</v>
      </c>
      <c r="I74" s="200">
        <v>250000</v>
      </c>
      <c r="J74" s="30"/>
      <c r="K74" s="33" t="s">
        <v>545</v>
      </c>
      <c r="L74" s="200" t="s">
        <v>545</v>
      </c>
      <c r="M74" s="30"/>
      <c r="N74" s="33" t="s">
        <v>545</v>
      </c>
      <c r="O74" s="200" t="s">
        <v>545</v>
      </c>
      <c r="P74" s="30"/>
      <c r="Q74" s="33" t="s">
        <v>545</v>
      </c>
      <c r="R74" s="200" t="s">
        <v>545</v>
      </c>
    </row>
    <row r="75" spans="1:18">
      <c r="A75" s="29">
        <v>47800067</v>
      </c>
      <c r="B75" s="200" t="s">
        <v>693</v>
      </c>
      <c r="C75" s="177" t="s">
        <v>2241</v>
      </c>
      <c r="D75" s="30" t="s">
        <v>475</v>
      </c>
      <c r="E75" s="33">
        <v>100001</v>
      </c>
      <c r="F75" s="200">
        <v>10000</v>
      </c>
      <c r="G75" s="30" t="s">
        <v>475</v>
      </c>
      <c r="H75" s="33">
        <v>100001</v>
      </c>
      <c r="I75" s="200">
        <v>50000</v>
      </c>
      <c r="J75" s="30"/>
      <c r="K75" s="33" t="s">
        <v>545</v>
      </c>
      <c r="L75" s="200" t="s">
        <v>545</v>
      </c>
      <c r="M75" s="30"/>
      <c r="N75" s="33" t="s">
        <v>545</v>
      </c>
      <c r="O75" s="200" t="s">
        <v>545</v>
      </c>
      <c r="P75" s="30"/>
      <c r="Q75" s="33" t="s">
        <v>545</v>
      </c>
      <c r="R75" s="200" t="s">
        <v>545</v>
      </c>
    </row>
    <row r="76" spans="1:18">
      <c r="A76" s="29">
        <v>47800068</v>
      </c>
      <c r="B76" s="200" t="s">
        <v>697</v>
      </c>
      <c r="C76" s="178" t="s">
        <v>2242</v>
      </c>
      <c r="D76" s="30" t="s">
        <v>475</v>
      </c>
      <c r="E76" s="33">
        <v>100001</v>
      </c>
      <c r="F76" s="200">
        <v>10000</v>
      </c>
      <c r="G76" s="30" t="s">
        <v>475</v>
      </c>
      <c r="H76" s="33">
        <v>100001</v>
      </c>
      <c r="I76" s="200">
        <v>250000</v>
      </c>
      <c r="J76" s="30"/>
      <c r="K76" s="33" t="s">
        <v>545</v>
      </c>
      <c r="L76" s="200" t="s">
        <v>545</v>
      </c>
      <c r="M76" s="30"/>
      <c r="N76" s="33" t="s">
        <v>545</v>
      </c>
      <c r="O76" s="200" t="s">
        <v>545</v>
      </c>
      <c r="P76" s="30"/>
      <c r="Q76" s="33" t="s">
        <v>545</v>
      </c>
      <c r="R76" s="200" t="s">
        <v>545</v>
      </c>
    </row>
    <row r="77" spans="1:18">
      <c r="A77" s="29">
        <v>47800069</v>
      </c>
      <c r="B77" s="200" t="s">
        <v>701</v>
      </c>
      <c r="C77" s="179" t="s">
        <v>2243</v>
      </c>
      <c r="D77" s="30" t="s">
        <v>475</v>
      </c>
      <c r="E77" s="33">
        <v>100001</v>
      </c>
      <c r="F77" s="200">
        <v>10000</v>
      </c>
      <c r="G77" s="30" t="s">
        <v>475</v>
      </c>
      <c r="H77" s="33">
        <v>100001</v>
      </c>
      <c r="I77" s="200">
        <v>50000</v>
      </c>
      <c r="J77" s="30"/>
      <c r="K77" s="33" t="s">
        <v>545</v>
      </c>
      <c r="L77" s="200" t="s">
        <v>545</v>
      </c>
      <c r="M77" s="30"/>
      <c r="N77" s="33" t="s">
        <v>545</v>
      </c>
      <c r="O77" s="200" t="s">
        <v>545</v>
      </c>
      <c r="P77" s="30"/>
      <c r="Q77" s="33" t="s">
        <v>545</v>
      </c>
      <c r="R77" s="200" t="s">
        <v>545</v>
      </c>
    </row>
    <row r="78" spans="1:18">
      <c r="A78" s="29">
        <v>47800070</v>
      </c>
      <c r="B78" s="200" t="s">
        <v>703</v>
      </c>
      <c r="C78" s="180" t="s">
        <v>2244</v>
      </c>
      <c r="D78" s="30" t="s">
        <v>475</v>
      </c>
      <c r="E78" s="33">
        <v>100001</v>
      </c>
      <c r="F78" s="200">
        <v>10000</v>
      </c>
      <c r="G78" s="30" t="s">
        <v>475</v>
      </c>
      <c r="H78" s="33">
        <v>100001</v>
      </c>
      <c r="I78" s="200">
        <v>50000</v>
      </c>
      <c r="J78" s="30"/>
      <c r="K78" s="33" t="s">
        <v>545</v>
      </c>
      <c r="L78" s="200" t="s">
        <v>545</v>
      </c>
      <c r="M78" s="30"/>
      <c r="N78" s="33" t="s">
        <v>545</v>
      </c>
      <c r="O78" s="200" t="s">
        <v>545</v>
      </c>
      <c r="P78" s="30"/>
      <c r="Q78" s="33" t="s">
        <v>545</v>
      </c>
      <c r="R78" s="200" t="s">
        <v>545</v>
      </c>
    </row>
    <row r="79" spans="1:18">
      <c r="A79" s="29">
        <v>47800071</v>
      </c>
      <c r="B79" s="200" t="s">
        <v>705</v>
      </c>
      <c r="C79" s="181" t="s">
        <v>2245</v>
      </c>
      <c r="D79" s="30" t="s">
        <v>475</v>
      </c>
      <c r="E79" s="33">
        <v>100001</v>
      </c>
      <c r="F79" s="200">
        <v>10000</v>
      </c>
      <c r="G79" s="30" t="s">
        <v>475</v>
      </c>
      <c r="H79" s="33">
        <v>100001</v>
      </c>
      <c r="I79" s="200">
        <v>50000</v>
      </c>
      <c r="J79" s="30"/>
      <c r="K79" s="33" t="s">
        <v>545</v>
      </c>
      <c r="L79" s="200" t="s">
        <v>545</v>
      </c>
      <c r="M79" s="30"/>
      <c r="N79" s="33" t="s">
        <v>545</v>
      </c>
      <c r="O79" s="200" t="s">
        <v>545</v>
      </c>
      <c r="P79" s="30"/>
      <c r="Q79" s="33" t="s">
        <v>545</v>
      </c>
      <c r="R79" s="200" t="s">
        <v>545</v>
      </c>
    </row>
    <row r="80" spans="1:18">
      <c r="A80" s="29">
        <v>47800072</v>
      </c>
      <c r="B80" s="200" t="s">
        <v>709</v>
      </c>
      <c r="C80" s="182" t="s">
        <v>2246</v>
      </c>
      <c r="D80" s="30" t="s">
        <v>475</v>
      </c>
      <c r="E80" s="33">
        <v>100001</v>
      </c>
      <c r="F80" s="200">
        <v>10000</v>
      </c>
      <c r="G80" s="30" t="s">
        <v>475</v>
      </c>
      <c r="H80" s="33">
        <v>100001</v>
      </c>
      <c r="I80" s="200">
        <v>1300000</v>
      </c>
      <c r="J80" s="30"/>
      <c r="K80" s="33" t="s">
        <v>545</v>
      </c>
      <c r="L80" s="200" t="s">
        <v>545</v>
      </c>
      <c r="M80" s="30"/>
      <c r="N80" s="33" t="s">
        <v>545</v>
      </c>
      <c r="O80" s="200" t="s">
        <v>545</v>
      </c>
      <c r="P80" s="30"/>
      <c r="Q80" s="33" t="s">
        <v>545</v>
      </c>
      <c r="R80" s="200" t="s">
        <v>545</v>
      </c>
    </row>
    <row r="81" spans="1:18">
      <c r="A81" s="29">
        <v>47800073</v>
      </c>
      <c r="B81" s="200" t="s">
        <v>2265</v>
      </c>
      <c r="C81" s="184" t="s">
        <v>2247</v>
      </c>
      <c r="D81" s="30" t="s">
        <v>475</v>
      </c>
      <c r="E81" s="33">
        <v>100001</v>
      </c>
      <c r="F81" s="200">
        <v>10000</v>
      </c>
      <c r="G81" s="30" t="s">
        <v>475</v>
      </c>
      <c r="H81" s="33">
        <v>100001</v>
      </c>
      <c r="I81" s="200">
        <v>250000</v>
      </c>
      <c r="J81" s="30"/>
      <c r="K81" s="33" t="s">
        <v>545</v>
      </c>
      <c r="L81" s="200" t="s">
        <v>545</v>
      </c>
      <c r="M81" s="30"/>
      <c r="N81" s="33" t="s">
        <v>545</v>
      </c>
      <c r="O81" s="200" t="s">
        <v>545</v>
      </c>
      <c r="P81" s="30"/>
      <c r="Q81" s="33" t="s">
        <v>545</v>
      </c>
      <c r="R81" s="200" t="s">
        <v>545</v>
      </c>
    </row>
    <row r="82" spans="1:18">
      <c r="A82" s="29">
        <v>47800074</v>
      </c>
      <c r="B82" s="200" t="s">
        <v>2266</v>
      </c>
      <c r="C82" s="183" t="s">
        <v>2248</v>
      </c>
      <c r="D82" s="30" t="s">
        <v>475</v>
      </c>
      <c r="E82" s="33">
        <v>100001</v>
      </c>
      <c r="F82" s="200">
        <v>10000</v>
      </c>
      <c r="G82" s="30" t="s">
        <v>475</v>
      </c>
      <c r="H82" s="33">
        <v>100001</v>
      </c>
      <c r="I82" s="200">
        <v>50000</v>
      </c>
      <c r="J82" s="30"/>
      <c r="K82" s="33" t="s">
        <v>545</v>
      </c>
      <c r="L82" s="200" t="s">
        <v>545</v>
      </c>
      <c r="M82" s="30"/>
      <c r="N82" s="33" t="s">
        <v>545</v>
      </c>
      <c r="O82" s="200" t="s">
        <v>545</v>
      </c>
      <c r="P82" s="30"/>
      <c r="Q82" s="33" t="s">
        <v>545</v>
      </c>
      <c r="R82" s="200" t="s">
        <v>545</v>
      </c>
    </row>
    <row r="83" spans="1:18">
      <c r="A83" s="29">
        <v>47800075</v>
      </c>
      <c r="B83" s="200" t="s">
        <v>2267</v>
      </c>
      <c r="C83" s="185" t="s">
        <v>2249</v>
      </c>
      <c r="D83" s="30" t="s">
        <v>475</v>
      </c>
      <c r="E83" s="33">
        <v>100001</v>
      </c>
      <c r="F83" s="200">
        <v>10000</v>
      </c>
      <c r="G83" s="30" t="s">
        <v>475</v>
      </c>
      <c r="H83" s="33">
        <v>100001</v>
      </c>
      <c r="I83" s="200">
        <v>50000</v>
      </c>
      <c r="J83" s="30"/>
      <c r="K83" s="33" t="s">
        <v>545</v>
      </c>
      <c r="L83" s="200" t="s">
        <v>545</v>
      </c>
      <c r="M83" s="30"/>
      <c r="N83" s="33" t="s">
        <v>545</v>
      </c>
      <c r="O83" s="200" t="s">
        <v>545</v>
      </c>
      <c r="P83" s="30"/>
      <c r="Q83" s="33" t="s">
        <v>545</v>
      </c>
      <c r="R83" s="200" t="s">
        <v>545</v>
      </c>
    </row>
    <row r="84" spans="1:18">
      <c r="A84" s="29">
        <v>47800076</v>
      </c>
      <c r="B84" s="200" t="s">
        <v>2269</v>
      </c>
      <c r="C84" s="186" t="s">
        <v>2250</v>
      </c>
      <c r="D84" s="30" t="s">
        <v>475</v>
      </c>
      <c r="E84" s="33">
        <v>100001</v>
      </c>
      <c r="F84" s="200">
        <v>10000</v>
      </c>
      <c r="G84" s="30" t="s">
        <v>475</v>
      </c>
      <c r="H84" s="33">
        <v>100001</v>
      </c>
      <c r="I84" s="200">
        <v>250000</v>
      </c>
      <c r="J84" s="30"/>
      <c r="K84" s="33" t="s">
        <v>545</v>
      </c>
      <c r="L84" s="200" t="s">
        <v>545</v>
      </c>
      <c r="M84" s="30"/>
      <c r="N84" s="33" t="s">
        <v>545</v>
      </c>
      <c r="O84" s="200" t="s">
        <v>545</v>
      </c>
      <c r="P84" s="30"/>
      <c r="Q84" s="33" t="s">
        <v>545</v>
      </c>
      <c r="R84" s="200" t="s">
        <v>545</v>
      </c>
    </row>
    <row r="85" spans="1:18">
      <c r="A85" s="29">
        <v>47800077</v>
      </c>
      <c r="B85" s="200" t="s">
        <v>2271</v>
      </c>
      <c r="C85" s="187" t="s">
        <v>2251</v>
      </c>
      <c r="D85" s="30" t="s">
        <v>475</v>
      </c>
      <c r="E85" s="33">
        <v>100001</v>
      </c>
      <c r="F85" s="200">
        <v>10000</v>
      </c>
      <c r="G85" s="30" t="s">
        <v>475</v>
      </c>
      <c r="H85" s="33">
        <v>100001</v>
      </c>
      <c r="I85" s="200">
        <v>50000</v>
      </c>
      <c r="J85" s="30"/>
      <c r="K85" s="33" t="s">
        <v>545</v>
      </c>
      <c r="L85" s="200" t="s">
        <v>545</v>
      </c>
      <c r="M85" s="30"/>
      <c r="N85" s="33" t="s">
        <v>545</v>
      </c>
      <c r="O85" s="200" t="s">
        <v>545</v>
      </c>
      <c r="P85" s="30"/>
      <c r="Q85" s="33" t="s">
        <v>545</v>
      </c>
      <c r="R85" s="200" t="s">
        <v>545</v>
      </c>
    </row>
    <row r="86" spans="1:18">
      <c r="A86" s="29">
        <v>47800078</v>
      </c>
      <c r="B86" s="200" t="s">
        <v>2272</v>
      </c>
      <c r="C86" s="188" t="s">
        <v>2252</v>
      </c>
      <c r="D86" s="30" t="s">
        <v>475</v>
      </c>
      <c r="E86" s="33">
        <v>100001</v>
      </c>
      <c r="F86" s="200">
        <v>10000</v>
      </c>
      <c r="G86" s="30" t="s">
        <v>475</v>
      </c>
      <c r="H86" s="33">
        <v>100001</v>
      </c>
      <c r="I86" s="200">
        <v>250000</v>
      </c>
      <c r="J86" s="30"/>
      <c r="K86" s="33" t="s">
        <v>545</v>
      </c>
      <c r="L86" s="200" t="s">
        <v>545</v>
      </c>
      <c r="M86" s="30"/>
      <c r="N86" s="33" t="s">
        <v>545</v>
      </c>
      <c r="O86" s="200" t="s">
        <v>545</v>
      </c>
      <c r="P86" s="30"/>
      <c r="Q86" s="33" t="s">
        <v>545</v>
      </c>
      <c r="R86" s="200" t="s">
        <v>545</v>
      </c>
    </row>
    <row r="87" spans="1:18">
      <c r="A87" s="29">
        <v>47800079</v>
      </c>
      <c r="B87" s="200" t="s">
        <v>2273</v>
      </c>
      <c r="C87" s="189" t="s">
        <v>2253</v>
      </c>
      <c r="D87" s="30" t="s">
        <v>475</v>
      </c>
      <c r="E87" s="33">
        <v>100001</v>
      </c>
      <c r="F87" s="200">
        <v>10000</v>
      </c>
      <c r="G87" s="30" t="s">
        <v>475</v>
      </c>
      <c r="H87" s="33">
        <v>100001</v>
      </c>
      <c r="I87" s="200">
        <v>250000</v>
      </c>
      <c r="J87" s="30"/>
      <c r="K87" s="33" t="s">
        <v>545</v>
      </c>
      <c r="L87" s="200" t="s">
        <v>545</v>
      </c>
      <c r="M87" s="30"/>
      <c r="N87" s="33" t="s">
        <v>545</v>
      </c>
      <c r="O87" s="200" t="s">
        <v>545</v>
      </c>
      <c r="P87" s="30"/>
      <c r="Q87" s="33" t="s">
        <v>545</v>
      </c>
      <c r="R87" s="200" t="s">
        <v>545</v>
      </c>
    </row>
    <row r="88" spans="1:18">
      <c r="A88" s="29">
        <v>47800080</v>
      </c>
      <c r="B88" s="200" t="s">
        <v>2275</v>
      </c>
      <c r="C88" s="190" t="s">
        <v>2254</v>
      </c>
      <c r="D88" s="30" t="s">
        <v>475</v>
      </c>
      <c r="E88" s="33">
        <v>100001</v>
      </c>
      <c r="F88" s="200">
        <v>10000</v>
      </c>
      <c r="G88" s="30" t="s">
        <v>475</v>
      </c>
      <c r="H88" s="33">
        <v>100001</v>
      </c>
      <c r="I88" s="200">
        <v>50000</v>
      </c>
      <c r="J88" s="30"/>
      <c r="K88" s="33" t="s">
        <v>545</v>
      </c>
      <c r="L88" s="200" t="s">
        <v>545</v>
      </c>
      <c r="M88" s="30"/>
      <c r="N88" s="33" t="s">
        <v>545</v>
      </c>
      <c r="O88" s="200" t="s">
        <v>545</v>
      </c>
      <c r="P88" s="30"/>
      <c r="Q88" s="33" t="s">
        <v>545</v>
      </c>
      <c r="R88" s="200" t="s">
        <v>545</v>
      </c>
    </row>
    <row r="89" spans="1:18">
      <c r="A89" s="29">
        <v>47800081</v>
      </c>
      <c r="B89" s="200" t="s">
        <v>2277</v>
      </c>
      <c r="C89" s="191" t="s">
        <v>2255</v>
      </c>
      <c r="D89" s="30" t="s">
        <v>475</v>
      </c>
      <c r="E89" s="33">
        <v>100001</v>
      </c>
      <c r="F89" s="200">
        <v>10000</v>
      </c>
      <c r="G89" s="30" t="s">
        <v>475</v>
      </c>
      <c r="H89" s="33">
        <v>100001</v>
      </c>
      <c r="I89" s="200">
        <v>1300000</v>
      </c>
      <c r="J89" s="30"/>
      <c r="K89" s="33" t="s">
        <v>545</v>
      </c>
      <c r="L89" s="200" t="s">
        <v>545</v>
      </c>
      <c r="M89" s="30"/>
      <c r="N89" s="33" t="s">
        <v>545</v>
      </c>
      <c r="O89" s="200" t="s">
        <v>545</v>
      </c>
      <c r="P89" s="30"/>
      <c r="Q89" s="33" t="s">
        <v>545</v>
      </c>
      <c r="R89" s="200" t="s">
        <v>545</v>
      </c>
    </row>
    <row r="90" spans="1:18">
      <c r="A90" s="29">
        <v>47800082</v>
      </c>
      <c r="B90" s="200" t="s">
        <v>2278</v>
      </c>
      <c r="C90" s="192" t="s">
        <v>2256</v>
      </c>
      <c r="D90" s="30" t="s">
        <v>475</v>
      </c>
      <c r="E90" s="33">
        <v>100001</v>
      </c>
      <c r="F90" s="200">
        <v>10000</v>
      </c>
      <c r="G90" s="30" t="s">
        <v>475</v>
      </c>
      <c r="H90" s="33">
        <v>100001</v>
      </c>
      <c r="I90" s="200">
        <v>250000</v>
      </c>
      <c r="J90" s="30"/>
      <c r="K90" s="33" t="s">
        <v>545</v>
      </c>
      <c r="L90" s="200" t="s">
        <v>545</v>
      </c>
      <c r="M90" s="30"/>
      <c r="N90" s="33" t="s">
        <v>545</v>
      </c>
      <c r="O90" s="200" t="s">
        <v>545</v>
      </c>
      <c r="P90" s="30"/>
      <c r="Q90" s="33" t="s">
        <v>545</v>
      </c>
      <c r="R90" s="200" t="s">
        <v>545</v>
      </c>
    </row>
    <row r="91" spans="1:18">
      <c r="A91" s="29">
        <v>47800083</v>
      </c>
      <c r="B91" s="200" t="s">
        <v>2279</v>
      </c>
      <c r="C91" s="193" t="s">
        <v>2257</v>
      </c>
      <c r="D91" s="30" t="s">
        <v>475</v>
      </c>
      <c r="E91" s="33">
        <v>100001</v>
      </c>
      <c r="F91" s="200">
        <v>10000</v>
      </c>
      <c r="G91" s="30" t="s">
        <v>475</v>
      </c>
      <c r="H91" s="33">
        <v>100001</v>
      </c>
      <c r="I91" s="200">
        <v>50000</v>
      </c>
      <c r="J91" s="30"/>
      <c r="K91" s="33" t="s">
        <v>545</v>
      </c>
      <c r="L91" s="200" t="s">
        <v>545</v>
      </c>
      <c r="M91" s="30"/>
      <c r="N91" s="33" t="s">
        <v>545</v>
      </c>
      <c r="O91" s="200" t="s">
        <v>545</v>
      </c>
      <c r="P91" s="30"/>
      <c r="Q91" s="33" t="s">
        <v>545</v>
      </c>
      <c r="R91" s="200" t="s">
        <v>545</v>
      </c>
    </row>
    <row r="92" spans="1:18">
      <c r="A92" s="29">
        <v>47800084</v>
      </c>
      <c r="B92" s="200" t="s">
        <v>2281</v>
      </c>
      <c r="C92" s="194" t="s">
        <v>2258</v>
      </c>
      <c r="D92" s="30" t="s">
        <v>475</v>
      </c>
      <c r="E92" s="33">
        <v>100001</v>
      </c>
      <c r="F92" s="200">
        <v>10000</v>
      </c>
      <c r="G92" s="30" t="s">
        <v>475</v>
      </c>
      <c r="H92" s="33">
        <v>100001</v>
      </c>
      <c r="I92" s="200">
        <v>50000</v>
      </c>
      <c r="J92" s="30"/>
      <c r="K92" s="33" t="s">
        <v>545</v>
      </c>
      <c r="L92" s="200" t="s">
        <v>545</v>
      </c>
      <c r="M92" s="30"/>
      <c r="N92" s="33" t="s">
        <v>545</v>
      </c>
      <c r="O92" s="200" t="s">
        <v>545</v>
      </c>
      <c r="P92" s="30"/>
      <c r="Q92" s="33" t="s">
        <v>545</v>
      </c>
      <c r="R92" s="200" t="s">
        <v>545</v>
      </c>
    </row>
    <row r="93" spans="1:18">
      <c r="A93" s="29">
        <v>47800085</v>
      </c>
      <c r="B93" s="200" t="s">
        <v>2283</v>
      </c>
      <c r="C93" s="195" t="s">
        <v>2259</v>
      </c>
      <c r="D93" s="30" t="s">
        <v>475</v>
      </c>
      <c r="E93" s="33">
        <v>100001</v>
      </c>
      <c r="F93" s="200">
        <v>10000</v>
      </c>
      <c r="G93" s="30" t="s">
        <v>475</v>
      </c>
      <c r="H93" s="33">
        <v>100001</v>
      </c>
      <c r="I93" s="200">
        <v>250000</v>
      </c>
      <c r="J93" s="30"/>
      <c r="K93" s="33" t="s">
        <v>545</v>
      </c>
      <c r="L93" s="200" t="s">
        <v>545</v>
      </c>
      <c r="M93" s="30"/>
      <c r="N93" s="33" t="s">
        <v>545</v>
      </c>
      <c r="O93" s="200" t="s">
        <v>545</v>
      </c>
      <c r="P93" s="30"/>
      <c r="Q93" s="33" t="s">
        <v>545</v>
      </c>
      <c r="R93" s="200" t="s">
        <v>545</v>
      </c>
    </row>
    <row r="94" spans="1:18">
      <c r="A94" s="29">
        <v>47800086</v>
      </c>
      <c r="B94" s="200" t="s">
        <v>2284</v>
      </c>
      <c r="C94" s="196" t="s">
        <v>2260</v>
      </c>
      <c r="D94" s="30" t="s">
        <v>475</v>
      </c>
      <c r="E94" s="33">
        <v>100001</v>
      </c>
      <c r="F94" s="200">
        <v>10000</v>
      </c>
      <c r="G94" s="30" t="s">
        <v>475</v>
      </c>
      <c r="H94" s="33">
        <v>100001</v>
      </c>
      <c r="I94" s="200">
        <v>50000</v>
      </c>
      <c r="J94" s="30"/>
      <c r="K94" s="33" t="s">
        <v>545</v>
      </c>
      <c r="L94" s="200" t="s">
        <v>545</v>
      </c>
      <c r="M94" s="30"/>
      <c r="N94" s="33" t="s">
        <v>545</v>
      </c>
      <c r="O94" s="200" t="s">
        <v>545</v>
      </c>
      <c r="P94" s="30"/>
      <c r="Q94" s="33" t="s">
        <v>545</v>
      </c>
      <c r="R94" s="200" t="s">
        <v>545</v>
      </c>
    </row>
    <row r="95" spans="1:18">
      <c r="A95" s="29">
        <v>47800087</v>
      </c>
      <c r="B95" s="200" t="s">
        <v>2285</v>
      </c>
      <c r="C95" s="197" t="s">
        <v>2261</v>
      </c>
      <c r="D95" s="30" t="s">
        <v>475</v>
      </c>
      <c r="E95" s="33">
        <v>100001</v>
      </c>
      <c r="F95" s="200">
        <v>10000</v>
      </c>
      <c r="G95" s="30" t="s">
        <v>475</v>
      </c>
      <c r="H95" s="33">
        <v>100001</v>
      </c>
      <c r="I95" s="200">
        <v>250000</v>
      </c>
      <c r="J95" s="30"/>
      <c r="K95" s="33" t="s">
        <v>545</v>
      </c>
      <c r="L95" s="200" t="s">
        <v>545</v>
      </c>
      <c r="M95" s="30"/>
      <c r="N95" s="33" t="s">
        <v>545</v>
      </c>
      <c r="O95" s="200" t="s">
        <v>545</v>
      </c>
      <c r="P95" s="30"/>
      <c r="Q95" s="33" t="s">
        <v>545</v>
      </c>
      <c r="R95" s="200" t="s">
        <v>545</v>
      </c>
    </row>
    <row r="96" spans="1:18">
      <c r="A96" s="29">
        <v>47800088</v>
      </c>
      <c r="B96" s="200" t="s">
        <v>2287</v>
      </c>
      <c r="C96" s="198" t="s">
        <v>2262</v>
      </c>
      <c r="D96" s="30" t="s">
        <v>475</v>
      </c>
      <c r="E96" s="33">
        <v>100001</v>
      </c>
      <c r="F96" s="200">
        <v>10000</v>
      </c>
      <c r="G96" s="30" t="s">
        <v>475</v>
      </c>
      <c r="H96" s="33">
        <v>100001</v>
      </c>
      <c r="I96" s="200">
        <v>250000</v>
      </c>
      <c r="J96" s="30"/>
      <c r="K96" s="33" t="s">
        <v>545</v>
      </c>
      <c r="L96" s="200" t="s">
        <v>545</v>
      </c>
      <c r="M96" s="30"/>
      <c r="N96" s="33" t="s">
        <v>545</v>
      </c>
      <c r="O96" s="200" t="s">
        <v>545</v>
      </c>
      <c r="P96" s="30"/>
      <c r="Q96" s="33" t="s">
        <v>545</v>
      </c>
      <c r="R96" s="200" t="s">
        <v>545</v>
      </c>
    </row>
    <row r="97" spans="1:19">
      <c r="A97" s="29">
        <v>47800089</v>
      </c>
      <c r="B97" s="200" t="s">
        <v>2289</v>
      </c>
      <c r="C97" s="199" t="s">
        <v>2263</v>
      </c>
      <c r="D97" s="30" t="s">
        <v>475</v>
      </c>
      <c r="E97" s="33">
        <v>100001</v>
      </c>
      <c r="F97" s="200">
        <v>10000</v>
      </c>
      <c r="G97" s="30" t="s">
        <v>475</v>
      </c>
      <c r="H97" s="33">
        <v>100001</v>
      </c>
      <c r="I97" s="200">
        <v>50000</v>
      </c>
      <c r="J97" s="30"/>
      <c r="K97" s="33" t="s">
        <v>545</v>
      </c>
      <c r="L97" s="200" t="s">
        <v>545</v>
      </c>
      <c r="M97" s="30"/>
      <c r="N97" s="33" t="s">
        <v>545</v>
      </c>
      <c r="O97" s="200" t="s">
        <v>545</v>
      </c>
      <c r="P97" s="30"/>
      <c r="Q97" s="33" t="s">
        <v>545</v>
      </c>
      <c r="R97" s="200" t="s">
        <v>545</v>
      </c>
    </row>
    <row r="98" spans="1:19">
      <c r="A98" s="29">
        <v>47800090</v>
      </c>
      <c r="B98" s="200" t="s">
        <v>2290</v>
      </c>
      <c r="C98" s="35" t="s">
        <v>630</v>
      </c>
      <c r="D98" s="30" t="s">
        <v>475</v>
      </c>
      <c r="E98" s="33">
        <v>100001</v>
      </c>
      <c r="F98" s="200">
        <v>10000</v>
      </c>
      <c r="G98" s="30" t="s">
        <v>475</v>
      </c>
      <c r="H98" s="33">
        <v>100001</v>
      </c>
      <c r="I98" s="200">
        <v>250000</v>
      </c>
      <c r="J98" s="30"/>
      <c r="K98" s="33" t="s">
        <v>545</v>
      </c>
      <c r="L98" s="200" t="s">
        <v>545</v>
      </c>
      <c r="M98" s="30"/>
      <c r="N98" s="33" t="s">
        <v>545</v>
      </c>
      <c r="O98" s="200" t="s">
        <v>545</v>
      </c>
      <c r="P98" s="30"/>
      <c r="Q98" s="33" t="s">
        <v>545</v>
      </c>
      <c r="R98" s="200" t="s">
        <v>545</v>
      </c>
    </row>
    <row r="99" spans="1:19">
      <c r="A99" s="31"/>
      <c r="B99" s="32"/>
      <c r="C99" s="32"/>
      <c r="D99" s="32"/>
      <c r="E99" s="32"/>
      <c r="F99" s="32"/>
      <c r="G99" s="32"/>
      <c r="H99" s="32"/>
      <c r="I99" s="32"/>
      <c r="J99" s="32"/>
      <c r="K99" s="32"/>
      <c r="L99" s="32"/>
      <c r="M99" s="32"/>
      <c r="N99" s="32"/>
      <c r="O99" s="32"/>
      <c r="P99" s="32"/>
      <c r="Q99" s="32"/>
      <c r="R99" s="32"/>
      <c r="S99" s="27" t="s">
        <v>8</v>
      </c>
    </row>
  </sheetData>
  <phoneticPr fontId="5" type="noConversion"/>
  <pageMargins left="0.7" right="0.7" top="0.75" bottom="0.75" header="0.3" footer="0.3"/>
  <pageSetup paperSize="9" orientation="portrait" verticalDpi="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S99"/>
  <sheetViews>
    <sheetView zoomScale="85" zoomScaleNormal="85" workbookViewId="0">
      <pane ySplit="7" topLeftCell="A55" activePane="bottomLeft" state="frozen"/>
      <selection activeCell="A12" sqref="A12"/>
      <selection pane="bottomLeft" activeCell="A2" sqref="A2"/>
    </sheetView>
  </sheetViews>
  <sheetFormatPr defaultColWidth="9.140625" defaultRowHeight="13.5"/>
  <cols>
    <col min="1" max="1" width="24.28515625" style="27" bestFit="1" customWidth="1"/>
    <col min="2" max="2" width="28.140625" style="27" bestFit="1" customWidth="1"/>
    <col min="3" max="4" width="20" style="27" bestFit="1" customWidth="1"/>
    <col min="5" max="6" width="20" style="27" customWidth="1"/>
    <col min="7" max="7" width="20" style="27" bestFit="1" customWidth="1"/>
    <col min="8" max="19" width="20" style="27" customWidth="1"/>
    <col min="20" max="20" width="31.42578125" style="27" customWidth="1"/>
    <col min="21" max="21" width="11" style="27" bestFit="1" customWidth="1"/>
    <col min="22" max="22" width="9.140625" style="27"/>
    <col min="23" max="23" width="24.7109375" style="27" customWidth="1"/>
    <col min="24" max="24" width="22.5703125" style="27" customWidth="1"/>
    <col min="25" max="16384" width="9.140625" style="27"/>
  </cols>
  <sheetData>
    <row r="1" spans="1:18">
      <c r="A1" s="6" t="s">
        <v>5</v>
      </c>
      <c r="B1" s="25"/>
      <c r="C1" s="26" t="s">
        <v>552</v>
      </c>
      <c r="D1" s="25"/>
      <c r="E1" s="26" t="s">
        <v>471</v>
      </c>
      <c r="F1" s="26" t="s">
        <v>472</v>
      </c>
      <c r="G1" s="25"/>
      <c r="H1" s="26" t="s">
        <v>473</v>
      </c>
      <c r="I1" s="26" t="s">
        <v>474</v>
      </c>
      <c r="J1" s="25"/>
      <c r="K1" s="26" t="s">
        <v>1249</v>
      </c>
      <c r="L1" s="26" t="s">
        <v>1250</v>
      </c>
      <c r="M1" s="25"/>
      <c r="N1" s="26" t="s">
        <v>1251</v>
      </c>
      <c r="O1" s="26" t="s">
        <v>1252</v>
      </c>
      <c r="P1" s="25"/>
      <c r="Q1" s="26" t="s">
        <v>1253</v>
      </c>
      <c r="R1" s="26" t="s">
        <v>1254</v>
      </c>
    </row>
    <row r="2" spans="1:18">
      <c r="A2" s="6" t="s">
        <v>2383</v>
      </c>
      <c r="B2" s="25"/>
      <c r="C2" s="26" t="s">
        <v>7</v>
      </c>
      <c r="D2" s="25"/>
      <c r="E2" s="26" t="s">
        <v>7</v>
      </c>
      <c r="F2" s="26" t="s">
        <v>7</v>
      </c>
      <c r="G2" s="25"/>
      <c r="H2" s="26" t="s">
        <v>7</v>
      </c>
      <c r="I2" s="26" t="s">
        <v>7</v>
      </c>
      <c r="J2" s="25"/>
      <c r="K2" s="26" t="s">
        <v>7</v>
      </c>
      <c r="L2" s="26" t="s">
        <v>7</v>
      </c>
      <c r="M2" s="25"/>
      <c r="N2" s="26" t="s">
        <v>7</v>
      </c>
      <c r="O2" s="26" t="s">
        <v>7</v>
      </c>
      <c r="P2" s="25"/>
      <c r="Q2" s="26" t="s">
        <v>7</v>
      </c>
      <c r="R2" s="26" t="s">
        <v>7</v>
      </c>
    </row>
    <row r="3" spans="1:18">
      <c r="A3" s="8" t="s">
        <v>1</v>
      </c>
      <c r="B3" s="25"/>
      <c r="C3" s="28" t="s">
        <v>0</v>
      </c>
      <c r="D3" s="25"/>
      <c r="E3" s="28" t="s">
        <v>0</v>
      </c>
      <c r="F3" s="28" t="s">
        <v>0</v>
      </c>
      <c r="G3" s="25"/>
      <c r="H3" s="28" t="s">
        <v>0</v>
      </c>
      <c r="I3" s="28" t="s">
        <v>0</v>
      </c>
      <c r="J3" s="25"/>
      <c r="K3" s="28" t="s">
        <v>0</v>
      </c>
      <c r="L3" s="28" t="s">
        <v>0</v>
      </c>
      <c r="M3" s="25"/>
      <c r="N3" s="28" t="s">
        <v>0</v>
      </c>
      <c r="O3" s="28" t="s">
        <v>0</v>
      </c>
      <c r="P3" s="25"/>
      <c r="Q3" s="28" t="s">
        <v>0</v>
      </c>
      <c r="R3" s="28" t="s">
        <v>0</v>
      </c>
    </row>
    <row r="4" spans="1:18">
      <c r="A4" s="8" t="s">
        <v>2</v>
      </c>
      <c r="B4" s="25"/>
      <c r="C4" s="28" t="s">
        <v>0</v>
      </c>
      <c r="D4" s="25"/>
      <c r="E4" s="28" t="s">
        <v>0</v>
      </c>
      <c r="F4" s="28" t="s">
        <v>0</v>
      </c>
      <c r="G4" s="25"/>
      <c r="H4" s="28" t="s">
        <v>0</v>
      </c>
      <c r="I4" s="28" t="s">
        <v>0</v>
      </c>
      <c r="J4" s="25"/>
      <c r="K4" s="28" t="s">
        <v>0</v>
      </c>
      <c r="L4" s="28" t="s">
        <v>0</v>
      </c>
      <c r="M4" s="25"/>
      <c r="N4" s="28" t="s">
        <v>0</v>
      </c>
      <c r="O4" s="28" t="s">
        <v>0</v>
      </c>
      <c r="P4" s="25"/>
      <c r="Q4" s="28" t="s">
        <v>0</v>
      </c>
      <c r="R4" s="28" t="s">
        <v>0</v>
      </c>
    </row>
    <row r="5" spans="1:18">
      <c r="A5" s="8" t="s">
        <v>3</v>
      </c>
      <c r="B5" s="25"/>
      <c r="C5" s="28" t="s">
        <v>0</v>
      </c>
      <c r="D5" s="25"/>
      <c r="E5" s="28" t="s">
        <v>0</v>
      </c>
      <c r="F5" s="28" t="s">
        <v>0</v>
      </c>
      <c r="G5" s="25"/>
      <c r="H5" s="28" t="s">
        <v>0</v>
      </c>
      <c r="I5" s="28" t="s">
        <v>0</v>
      </c>
      <c r="J5" s="25"/>
      <c r="K5" s="28" t="s">
        <v>0</v>
      </c>
      <c r="L5" s="28" t="s">
        <v>0</v>
      </c>
      <c r="M5" s="25"/>
      <c r="N5" s="28" t="s">
        <v>0</v>
      </c>
      <c r="O5" s="28" t="s">
        <v>0</v>
      </c>
      <c r="P5" s="25"/>
      <c r="Q5" s="28" t="s">
        <v>0</v>
      </c>
      <c r="R5" s="28" t="s">
        <v>0</v>
      </c>
    </row>
    <row r="6" spans="1:18">
      <c r="A6" s="8" t="s">
        <v>4</v>
      </c>
      <c r="B6" s="25"/>
      <c r="C6" s="28" t="s">
        <v>0</v>
      </c>
      <c r="D6" s="25"/>
      <c r="E6" s="28" t="s">
        <v>0</v>
      </c>
      <c r="F6" s="28" t="s">
        <v>0</v>
      </c>
      <c r="G6" s="25"/>
      <c r="H6" s="28" t="s">
        <v>0</v>
      </c>
      <c r="I6" s="28" t="s">
        <v>0</v>
      </c>
      <c r="J6" s="25"/>
      <c r="K6" s="28" t="s">
        <v>0</v>
      </c>
      <c r="L6" s="28" t="s">
        <v>0</v>
      </c>
      <c r="M6" s="25"/>
      <c r="N6" s="28" t="s">
        <v>0</v>
      </c>
      <c r="O6" s="28" t="s">
        <v>0</v>
      </c>
      <c r="P6" s="25"/>
      <c r="Q6" s="28" t="s">
        <v>0</v>
      </c>
      <c r="R6" s="28" t="s">
        <v>0</v>
      </c>
    </row>
    <row r="7" spans="1:18">
      <c r="A7" s="8" t="s">
        <v>10</v>
      </c>
      <c r="B7" s="25"/>
      <c r="C7" s="28" t="s">
        <v>0</v>
      </c>
      <c r="D7" s="25"/>
      <c r="E7" s="28" t="s">
        <v>0</v>
      </c>
      <c r="F7" s="28" t="s">
        <v>0</v>
      </c>
      <c r="G7" s="25"/>
      <c r="H7" s="28" t="s">
        <v>0</v>
      </c>
      <c r="I7" s="28" t="s">
        <v>0</v>
      </c>
      <c r="J7" s="25"/>
      <c r="K7" s="28" t="s">
        <v>0</v>
      </c>
      <c r="L7" s="28" t="s">
        <v>0</v>
      </c>
      <c r="M7" s="25"/>
      <c r="N7" s="28" t="s">
        <v>0</v>
      </c>
      <c r="O7" s="28" t="s">
        <v>0</v>
      </c>
      <c r="P7" s="25"/>
      <c r="Q7" s="28" t="s">
        <v>0</v>
      </c>
      <c r="R7" s="28" t="s">
        <v>0</v>
      </c>
    </row>
    <row r="8" spans="1:18">
      <c r="A8" s="29">
        <v>47900000</v>
      </c>
      <c r="B8" s="200" t="s">
        <v>629</v>
      </c>
      <c r="C8" s="112" t="s">
        <v>2174</v>
      </c>
      <c r="D8" s="30" t="s">
        <v>475</v>
      </c>
      <c r="E8" s="33">
        <v>100001</v>
      </c>
      <c r="F8" s="200">
        <v>10000</v>
      </c>
      <c r="G8" s="30" t="s">
        <v>475</v>
      </c>
      <c r="H8" s="33">
        <v>100001</v>
      </c>
      <c r="I8" s="200">
        <v>250000</v>
      </c>
      <c r="J8" s="30"/>
      <c r="K8" s="33" t="s">
        <v>545</v>
      </c>
      <c r="L8" s="200" t="s">
        <v>545</v>
      </c>
      <c r="M8" s="30"/>
      <c r="N8" s="33" t="s">
        <v>545</v>
      </c>
      <c r="O8" s="200" t="s">
        <v>545</v>
      </c>
      <c r="P8" s="30"/>
      <c r="Q8" s="33" t="s">
        <v>545</v>
      </c>
      <c r="R8" s="200" t="s">
        <v>545</v>
      </c>
    </row>
    <row r="9" spans="1:18">
      <c r="A9" s="29">
        <v>47900001</v>
      </c>
      <c r="B9" s="200" t="s">
        <v>481</v>
      </c>
      <c r="C9" s="113" t="s">
        <v>2175</v>
      </c>
      <c r="D9" s="30" t="s">
        <v>475</v>
      </c>
      <c r="E9" s="33">
        <v>100001</v>
      </c>
      <c r="F9" s="200">
        <v>10000</v>
      </c>
      <c r="G9" s="30" t="s">
        <v>475</v>
      </c>
      <c r="H9" s="33">
        <v>100001</v>
      </c>
      <c r="I9" s="200">
        <v>250000</v>
      </c>
      <c r="J9" s="30"/>
      <c r="K9" s="33" t="s">
        <v>545</v>
      </c>
      <c r="L9" s="200" t="s">
        <v>545</v>
      </c>
      <c r="M9" s="30"/>
      <c r="N9" s="33" t="s">
        <v>545</v>
      </c>
      <c r="O9" s="200" t="s">
        <v>545</v>
      </c>
      <c r="P9" s="30"/>
      <c r="Q9" s="33" t="s">
        <v>545</v>
      </c>
      <c r="R9" s="200" t="s">
        <v>545</v>
      </c>
    </row>
    <row r="10" spans="1:18">
      <c r="A10" s="29">
        <v>47900002</v>
      </c>
      <c r="B10" s="200" t="s">
        <v>482</v>
      </c>
      <c r="C10" s="114" t="s">
        <v>2176</v>
      </c>
      <c r="D10" s="30" t="s">
        <v>475</v>
      </c>
      <c r="E10" s="33">
        <v>100001</v>
      </c>
      <c r="F10" s="200">
        <v>10000</v>
      </c>
      <c r="G10" s="30" t="s">
        <v>475</v>
      </c>
      <c r="H10" s="33">
        <v>100001</v>
      </c>
      <c r="I10" s="200">
        <v>250000</v>
      </c>
      <c r="J10" s="30"/>
      <c r="K10" s="33" t="s">
        <v>545</v>
      </c>
      <c r="L10" s="200" t="s">
        <v>545</v>
      </c>
      <c r="M10" s="30"/>
      <c r="N10" s="33" t="s">
        <v>545</v>
      </c>
      <c r="O10" s="200" t="s">
        <v>545</v>
      </c>
      <c r="P10" s="30"/>
      <c r="Q10" s="33" t="s">
        <v>545</v>
      </c>
      <c r="R10" s="200" t="s">
        <v>545</v>
      </c>
    </row>
    <row r="11" spans="1:18">
      <c r="A11" s="29">
        <v>47900003</v>
      </c>
      <c r="B11" s="200" t="s">
        <v>483</v>
      </c>
      <c r="C11" s="114" t="s">
        <v>2177</v>
      </c>
      <c r="D11" s="30" t="s">
        <v>475</v>
      </c>
      <c r="E11" s="33">
        <v>100001</v>
      </c>
      <c r="F11" s="200">
        <v>10000</v>
      </c>
      <c r="G11" s="30" t="s">
        <v>475</v>
      </c>
      <c r="H11" s="33">
        <v>100001</v>
      </c>
      <c r="I11" s="200">
        <v>250000</v>
      </c>
      <c r="J11" s="30"/>
      <c r="K11" s="33" t="s">
        <v>545</v>
      </c>
      <c r="L11" s="200" t="s">
        <v>545</v>
      </c>
      <c r="M11" s="30"/>
      <c r="N11" s="33" t="s">
        <v>545</v>
      </c>
      <c r="O11" s="200" t="s">
        <v>545</v>
      </c>
      <c r="P11" s="30"/>
      <c r="Q11" s="33" t="s">
        <v>545</v>
      </c>
      <c r="R11" s="200" t="s">
        <v>545</v>
      </c>
    </row>
    <row r="12" spans="1:18">
      <c r="A12" s="29">
        <v>47900004</v>
      </c>
      <c r="B12" s="200" t="s">
        <v>484</v>
      </c>
      <c r="C12" s="115" t="s">
        <v>2178</v>
      </c>
      <c r="D12" s="30" t="s">
        <v>475</v>
      </c>
      <c r="E12" s="33">
        <v>100001</v>
      </c>
      <c r="F12" s="200">
        <v>10000</v>
      </c>
      <c r="G12" s="30" t="s">
        <v>475</v>
      </c>
      <c r="H12" s="33">
        <v>100001</v>
      </c>
      <c r="I12" s="200">
        <v>50000</v>
      </c>
      <c r="J12" s="30"/>
      <c r="K12" s="33" t="s">
        <v>545</v>
      </c>
      <c r="L12" s="200" t="s">
        <v>545</v>
      </c>
      <c r="M12" s="30"/>
      <c r="N12" s="33" t="s">
        <v>545</v>
      </c>
      <c r="O12" s="200" t="s">
        <v>545</v>
      </c>
      <c r="P12" s="30"/>
      <c r="Q12" s="33" t="s">
        <v>545</v>
      </c>
      <c r="R12" s="200" t="s">
        <v>545</v>
      </c>
    </row>
    <row r="13" spans="1:18">
      <c r="A13" s="29">
        <v>47900005</v>
      </c>
      <c r="B13" s="200" t="s">
        <v>485</v>
      </c>
      <c r="C13" s="116" t="s">
        <v>2179</v>
      </c>
      <c r="D13" s="30" t="s">
        <v>475</v>
      </c>
      <c r="E13" s="33">
        <v>100001</v>
      </c>
      <c r="F13" s="200">
        <v>10000</v>
      </c>
      <c r="G13" s="30" t="s">
        <v>475</v>
      </c>
      <c r="H13" s="33">
        <v>100001</v>
      </c>
      <c r="I13" s="200">
        <v>2250000</v>
      </c>
      <c r="J13" s="30"/>
      <c r="K13" s="33" t="s">
        <v>545</v>
      </c>
      <c r="L13" s="200" t="s">
        <v>545</v>
      </c>
      <c r="M13" s="30"/>
      <c r="N13" s="33" t="s">
        <v>545</v>
      </c>
      <c r="O13" s="200" t="s">
        <v>545</v>
      </c>
      <c r="P13" s="30"/>
      <c r="Q13" s="33" t="s">
        <v>545</v>
      </c>
      <c r="R13" s="200" t="s">
        <v>545</v>
      </c>
    </row>
    <row r="14" spans="1:18">
      <c r="A14" s="29">
        <v>47900006</v>
      </c>
      <c r="B14" s="200" t="s">
        <v>486</v>
      </c>
      <c r="C14" s="117" t="s">
        <v>2180</v>
      </c>
      <c r="D14" s="30" t="s">
        <v>475</v>
      </c>
      <c r="E14" s="33">
        <v>100001</v>
      </c>
      <c r="F14" s="200">
        <v>10000</v>
      </c>
      <c r="G14" s="30" t="s">
        <v>475</v>
      </c>
      <c r="H14" s="33">
        <v>100001</v>
      </c>
      <c r="I14" s="200">
        <v>50000</v>
      </c>
      <c r="J14" s="30"/>
      <c r="K14" s="33" t="s">
        <v>545</v>
      </c>
      <c r="L14" s="200" t="s">
        <v>545</v>
      </c>
      <c r="M14" s="30"/>
      <c r="N14" s="33" t="s">
        <v>545</v>
      </c>
      <c r="O14" s="200" t="s">
        <v>545</v>
      </c>
      <c r="P14" s="30"/>
      <c r="Q14" s="33" t="s">
        <v>545</v>
      </c>
      <c r="R14" s="200" t="s">
        <v>545</v>
      </c>
    </row>
    <row r="15" spans="1:18">
      <c r="A15" s="29">
        <v>47900007</v>
      </c>
      <c r="B15" s="200" t="s">
        <v>487</v>
      </c>
      <c r="C15" s="118" t="s">
        <v>2181</v>
      </c>
      <c r="D15" s="30" t="s">
        <v>475</v>
      </c>
      <c r="E15" s="33">
        <v>100001</v>
      </c>
      <c r="F15" s="200">
        <v>10000</v>
      </c>
      <c r="G15" s="30" t="s">
        <v>475</v>
      </c>
      <c r="H15" s="33">
        <v>100001</v>
      </c>
      <c r="I15" s="200">
        <v>250000</v>
      </c>
      <c r="J15" s="30"/>
      <c r="K15" s="33" t="s">
        <v>545</v>
      </c>
      <c r="L15" s="200" t="s">
        <v>545</v>
      </c>
      <c r="M15" s="30"/>
      <c r="N15" s="33" t="s">
        <v>545</v>
      </c>
      <c r="O15" s="200" t="s">
        <v>545</v>
      </c>
      <c r="P15" s="30"/>
      <c r="Q15" s="33" t="s">
        <v>545</v>
      </c>
      <c r="R15" s="200" t="s">
        <v>545</v>
      </c>
    </row>
    <row r="16" spans="1:18">
      <c r="A16" s="29">
        <v>47900008</v>
      </c>
      <c r="B16" s="200" t="s">
        <v>488</v>
      </c>
      <c r="C16" s="119" t="s">
        <v>2182</v>
      </c>
      <c r="D16" s="30" t="s">
        <v>475</v>
      </c>
      <c r="E16" s="33">
        <v>100001</v>
      </c>
      <c r="F16" s="200">
        <v>10000</v>
      </c>
      <c r="G16" s="30" t="s">
        <v>475</v>
      </c>
      <c r="H16" s="33">
        <v>100001</v>
      </c>
      <c r="I16" s="200">
        <v>250000</v>
      </c>
      <c r="J16" s="30"/>
      <c r="K16" s="33" t="s">
        <v>545</v>
      </c>
      <c r="L16" s="200" t="s">
        <v>545</v>
      </c>
      <c r="M16" s="30"/>
      <c r="N16" s="33" t="s">
        <v>545</v>
      </c>
      <c r="O16" s="200" t="s">
        <v>545</v>
      </c>
      <c r="P16" s="30"/>
      <c r="Q16" s="33" t="s">
        <v>545</v>
      </c>
      <c r="R16" s="200" t="s">
        <v>545</v>
      </c>
    </row>
    <row r="17" spans="1:18">
      <c r="A17" s="29">
        <v>47900009</v>
      </c>
      <c r="B17" s="200" t="s">
        <v>489</v>
      </c>
      <c r="C17" s="120" t="s">
        <v>2183</v>
      </c>
      <c r="D17" s="30" t="s">
        <v>475</v>
      </c>
      <c r="E17" s="33">
        <v>100001</v>
      </c>
      <c r="F17" s="200">
        <v>10000</v>
      </c>
      <c r="G17" s="30" t="s">
        <v>475</v>
      </c>
      <c r="H17" s="33">
        <v>100001</v>
      </c>
      <c r="I17" s="200">
        <v>2250000</v>
      </c>
      <c r="J17" s="30"/>
      <c r="K17" s="33" t="s">
        <v>545</v>
      </c>
      <c r="L17" s="200" t="s">
        <v>545</v>
      </c>
      <c r="M17" s="30"/>
      <c r="N17" s="33" t="s">
        <v>545</v>
      </c>
      <c r="O17" s="200" t="s">
        <v>545</v>
      </c>
      <c r="P17" s="30"/>
      <c r="Q17" s="33" t="s">
        <v>545</v>
      </c>
      <c r="R17" s="200" t="s">
        <v>545</v>
      </c>
    </row>
    <row r="18" spans="1:18">
      <c r="A18" s="29">
        <v>47900010</v>
      </c>
      <c r="B18" s="200" t="s">
        <v>490</v>
      </c>
      <c r="C18" s="121" t="s">
        <v>2184</v>
      </c>
      <c r="D18" s="30" t="s">
        <v>475</v>
      </c>
      <c r="E18" s="33">
        <v>100001</v>
      </c>
      <c r="F18" s="200">
        <v>10000</v>
      </c>
      <c r="G18" s="30" t="s">
        <v>475</v>
      </c>
      <c r="H18" s="33">
        <v>100001</v>
      </c>
      <c r="I18" s="200">
        <v>50000</v>
      </c>
      <c r="J18" s="30"/>
      <c r="K18" s="33" t="s">
        <v>545</v>
      </c>
      <c r="L18" s="200" t="s">
        <v>545</v>
      </c>
      <c r="M18" s="30"/>
      <c r="N18" s="33" t="s">
        <v>545</v>
      </c>
      <c r="O18" s="200" t="s">
        <v>545</v>
      </c>
      <c r="P18" s="30"/>
      <c r="Q18" s="33" t="s">
        <v>545</v>
      </c>
      <c r="R18" s="200" t="s">
        <v>545</v>
      </c>
    </row>
    <row r="19" spans="1:18">
      <c r="A19" s="29">
        <v>47900011</v>
      </c>
      <c r="B19" s="200" t="s">
        <v>641</v>
      </c>
      <c r="C19" s="122" t="s">
        <v>2185</v>
      </c>
      <c r="D19" s="30" t="s">
        <v>475</v>
      </c>
      <c r="E19" s="33">
        <v>100001</v>
      </c>
      <c r="F19" s="200">
        <v>10000</v>
      </c>
      <c r="G19" s="30" t="s">
        <v>475</v>
      </c>
      <c r="H19" s="33">
        <v>100001</v>
      </c>
      <c r="I19" s="200">
        <v>50000</v>
      </c>
      <c r="J19" s="30"/>
      <c r="K19" s="33" t="s">
        <v>545</v>
      </c>
      <c r="L19" s="200" t="s">
        <v>545</v>
      </c>
      <c r="M19" s="30"/>
      <c r="N19" s="33" t="s">
        <v>545</v>
      </c>
      <c r="O19" s="200" t="s">
        <v>545</v>
      </c>
      <c r="P19" s="30"/>
      <c r="Q19" s="33" t="s">
        <v>545</v>
      </c>
      <c r="R19" s="200" t="s">
        <v>545</v>
      </c>
    </row>
    <row r="20" spans="1:18">
      <c r="A20" s="29">
        <v>47900012</v>
      </c>
      <c r="B20" s="200" t="s">
        <v>643</v>
      </c>
      <c r="C20" s="123" t="s">
        <v>2186</v>
      </c>
      <c r="D20" s="30" t="s">
        <v>475</v>
      </c>
      <c r="E20" s="33">
        <v>100001</v>
      </c>
      <c r="F20" s="200">
        <v>10000</v>
      </c>
      <c r="G20" s="30" t="s">
        <v>475</v>
      </c>
      <c r="H20" s="33">
        <v>100001</v>
      </c>
      <c r="I20" s="200">
        <v>50000</v>
      </c>
      <c r="J20" s="30"/>
      <c r="K20" s="33" t="s">
        <v>545</v>
      </c>
      <c r="L20" s="200" t="s">
        <v>545</v>
      </c>
      <c r="M20" s="30"/>
      <c r="N20" s="33" t="s">
        <v>545</v>
      </c>
      <c r="O20" s="200" t="s">
        <v>545</v>
      </c>
      <c r="P20" s="30"/>
      <c r="Q20" s="33" t="s">
        <v>545</v>
      </c>
      <c r="R20" s="200" t="s">
        <v>545</v>
      </c>
    </row>
    <row r="21" spans="1:18">
      <c r="A21" s="29">
        <v>47900013</v>
      </c>
      <c r="B21" s="200" t="s">
        <v>645</v>
      </c>
      <c r="C21" s="124" t="s">
        <v>2187</v>
      </c>
      <c r="D21" s="30" t="s">
        <v>475</v>
      </c>
      <c r="E21" s="33">
        <v>100001</v>
      </c>
      <c r="F21" s="200">
        <v>10000</v>
      </c>
      <c r="G21" s="30" t="s">
        <v>475</v>
      </c>
      <c r="H21" s="33">
        <v>100001</v>
      </c>
      <c r="I21" s="200">
        <v>250000</v>
      </c>
      <c r="J21" s="30"/>
      <c r="K21" s="33" t="s">
        <v>545</v>
      </c>
      <c r="L21" s="200" t="s">
        <v>545</v>
      </c>
      <c r="M21" s="30"/>
      <c r="N21" s="33" t="s">
        <v>545</v>
      </c>
      <c r="O21" s="200" t="s">
        <v>545</v>
      </c>
      <c r="P21" s="30"/>
      <c r="Q21" s="33" t="s">
        <v>545</v>
      </c>
      <c r="R21" s="200" t="s">
        <v>545</v>
      </c>
    </row>
    <row r="22" spans="1:18">
      <c r="A22" s="29">
        <v>47900014</v>
      </c>
      <c r="B22" s="200" t="s">
        <v>647</v>
      </c>
      <c r="C22" s="125" t="s">
        <v>2188</v>
      </c>
      <c r="D22" s="30" t="s">
        <v>475</v>
      </c>
      <c r="E22" s="33">
        <v>100001</v>
      </c>
      <c r="F22" s="200">
        <v>10000</v>
      </c>
      <c r="G22" s="30" t="s">
        <v>475</v>
      </c>
      <c r="H22" s="33">
        <v>100001</v>
      </c>
      <c r="I22" s="200">
        <v>50000</v>
      </c>
      <c r="J22" s="30"/>
      <c r="K22" s="33" t="s">
        <v>545</v>
      </c>
      <c r="L22" s="200" t="s">
        <v>545</v>
      </c>
      <c r="M22" s="30"/>
      <c r="N22" s="33" t="s">
        <v>545</v>
      </c>
      <c r="O22" s="200" t="s">
        <v>545</v>
      </c>
      <c r="P22" s="30"/>
      <c r="Q22" s="33" t="s">
        <v>545</v>
      </c>
      <c r="R22" s="200" t="s">
        <v>545</v>
      </c>
    </row>
    <row r="23" spans="1:18">
      <c r="A23" s="29">
        <v>47900015</v>
      </c>
      <c r="B23" s="200" t="s">
        <v>649</v>
      </c>
      <c r="C23" s="126" t="s">
        <v>2189</v>
      </c>
      <c r="D23" s="30" t="s">
        <v>475</v>
      </c>
      <c r="E23" s="33">
        <v>100001</v>
      </c>
      <c r="F23" s="200">
        <v>10000</v>
      </c>
      <c r="G23" s="30" t="s">
        <v>475</v>
      </c>
      <c r="H23" s="33">
        <v>100001</v>
      </c>
      <c r="I23" s="200">
        <v>2250000</v>
      </c>
      <c r="J23" s="30"/>
      <c r="K23" s="33" t="s">
        <v>545</v>
      </c>
      <c r="L23" s="200" t="s">
        <v>545</v>
      </c>
      <c r="M23" s="30"/>
      <c r="N23" s="33" t="s">
        <v>545</v>
      </c>
      <c r="O23" s="200" t="s">
        <v>545</v>
      </c>
      <c r="P23" s="30"/>
      <c r="Q23" s="33" t="s">
        <v>545</v>
      </c>
      <c r="R23" s="200" t="s">
        <v>545</v>
      </c>
    </row>
    <row r="24" spans="1:18">
      <c r="A24" s="29">
        <v>47900016</v>
      </c>
      <c r="B24" s="200" t="s">
        <v>651</v>
      </c>
      <c r="C24" s="127" t="s">
        <v>2190</v>
      </c>
      <c r="D24" s="30" t="s">
        <v>475</v>
      </c>
      <c r="E24" s="33">
        <v>100001</v>
      </c>
      <c r="F24" s="200">
        <v>10000</v>
      </c>
      <c r="G24" s="30" t="s">
        <v>475</v>
      </c>
      <c r="H24" s="33">
        <v>100001</v>
      </c>
      <c r="I24" s="200">
        <v>250000</v>
      </c>
      <c r="J24" s="30"/>
      <c r="K24" s="33" t="s">
        <v>545</v>
      </c>
      <c r="L24" s="200" t="s">
        <v>545</v>
      </c>
      <c r="M24" s="30"/>
      <c r="N24" s="33" t="s">
        <v>545</v>
      </c>
      <c r="O24" s="200" t="s">
        <v>545</v>
      </c>
      <c r="P24" s="30"/>
      <c r="Q24" s="33" t="s">
        <v>545</v>
      </c>
      <c r="R24" s="200" t="s">
        <v>545</v>
      </c>
    </row>
    <row r="25" spans="1:18">
      <c r="A25" s="29">
        <v>47900017</v>
      </c>
      <c r="B25" s="200" t="s">
        <v>653</v>
      </c>
      <c r="C25" s="127" t="s">
        <v>2191</v>
      </c>
      <c r="D25" s="30" t="s">
        <v>475</v>
      </c>
      <c r="E25" s="33">
        <v>100001</v>
      </c>
      <c r="F25" s="200">
        <v>10000</v>
      </c>
      <c r="G25" s="30" t="s">
        <v>475</v>
      </c>
      <c r="H25" s="33">
        <v>100001</v>
      </c>
      <c r="I25" s="200">
        <v>50000</v>
      </c>
      <c r="J25" s="30"/>
      <c r="K25" s="33" t="s">
        <v>545</v>
      </c>
      <c r="L25" s="200" t="s">
        <v>545</v>
      </c>
      <c r="M25" s="30"/>
      <c r="N25" s="33" t="s">
        <v>545</v>
      </c>
      <c r="O25" s="200" t="s">
        <v>545</v>
      </c>
      <c r="P25" s="30"/>
      <c r="Q25" s="33" t="s">
        <v>545</v>
      </c>
      <c r="R25" s="200" t="s">
        <v>545</v>
      </c>
    </row>
    <row r="26" spans="1:18">
      <c r="A26" s="29">
        <v>47900018</v>
      </c>
      <c r="B26" s="200" t="s">
        <v>655</v>
      </c>
      <c r="C26" s="128" t="s">
        <v>2192</v>
      </c>
      <c r="D26" s="30" t="s">
        <v>475</v>
      </c>
      <c r="E26" s="33">
        <v>100001</v>
      </c>
      <c r="F26" s="200">
        <v>10000</v>
      </c>
      <c r="G26" s="30" t="s">
        <v>475</v>
      </c>
      <c r="H26" s="33">
        <v>100001</v>
      </c>
      <c r="I26" s="200">
        <v>50000</v>
      </c>
      <c r="J26" s="30"/>
      <c r="K26" s="33" t="s">
        <v>545</v>
      </c>
      <c r="L26" s="200" t="s">
        <v>545</v>
      </c>
      <c r="M26" s="30"/>
      <c r="N26" s="33" t="s">
        <v>545</v>
      </c>
      <c r="O26" s="200" t="s">
        <v>545</v>
      </c>
      <c r="P26" s="30"/>
      <c r="Q26" s="33" t="s">
        <v>545</v>
      </c>
      <c r="R26" s="200" t="s">
        <v>545</v>
      </c>
    </row>
    <row r="27" spans="1:18">
      <c r="A27" s="29">
        <v>47900019</v>
      </c>
      <c r="B27" s="200" t="s">
        <v>657</v>
      </c>
      <c r="C27" s="129" t="s">
        <v>2193</v>
      </c>
      <c r="D27" s="30" t="s">
        <v>475</v>
      </c>
      <c r="E27" s="33">
        <v>100001</v>
      </c>
      <c r="F27" s="200">
        <v>10000</v>
      </c>
      <c r="G27" s="30" t="s">
        <v>475</v>
      </c>
      <c r="H27" s="33">
        <v>100001</v>
      </c>
      <c r="I27" s="200">
        <v>250000</v>
      </c>
      <c r="J27" s="30"/>
      <c r="K27" s="33" t="s">
        <v>545</v>
      </c>
      <c r="L27" s="200" t="s">
        <v>545</v>
      </c>
      <c r="M27" s="30"/>
      <c r="N27" s="33" t="s">
        <v>545</v>
      </c>
      <c r="O27" s="200" t="s">
        <v>545</v>
      </c>
      <c r="P27" s="30"/>
      <c r="Q27" s="33" t="s">
        <v>545</v>
      </c>
      <c r="R27" s="200" t="s">
        <v>545</v>
      </c>
    </row>
    <row r="28" spans="1:18">
      <c r="A28" s="29">
        <v>47900020</v>
      </c>
      <c r="B28" s="200" t="s">
        <v>659</v>
      </c>
      <c r="C28" s="130" t="s">
        <v>2194</v>
      </c>
      <c r="D28" s="30" t="s">
        <v>475</v>
      </c>
      <c r="E28" s="33">
        <v>100001</v>
      </c>
      <c r="F28" s="200">
        <v>10000</v>
      </c>
      <c r="G28" s="30" t="s">
        <v>475</v>
      </c>
      <c r="H28" s="33">
        <v>100001</v>
      </c>
      <c r="I28" s="200">
        <v>50000</v>
      </c>
      <c r="J28" s="30"/>
      <c r="K28" s="33" t="s">
        <v>545</v>
      </c>
      <c r="L28" s="200" t="s">
        <v>545</v>
      </c>
      <c r="M28" s="30"/>
      <c r="N28" s="33" t="s">
        <v>545</v>
      </c>
      <c r="O28" s="200" t="s">
        <v>545</v>
      </c>
      <c r="P28" s="30"/>
      <c r="Q28" s="33" t="s">
        <v>545</v>
      </c>
      <c r="R28" s="200" t="s">
        <v>545</v>
      </c>
    </row>
    <row r="29" spans="1:18">
      <c r="A29" s="29">
        <v>47900021</v>
      </c>
      <c r="B29" s="200" t="s">
        <v>661</v>
      </c>
      <c r="C29" s="131" t="s">
        <v>2195</v>
      </c>
      <c r="D29" s="30" t="s">
        <v>475</v>
      </c>
      <c r="E29" s="33">
        <v>100001</v>
      </c>
      <c r="F29" s="200">
        <v>10000</v>
      </c>
      <c r="G29" s="30" t="s">
        <v>475</v>
      </c>
      <c r="H29" s="33">
        <v>100001</v>
      </c>
      <c r="I29" s="200">
        <v>50000</v>
      </c>
      <c r="J29" s="30"/>
      <c r="K29" s="33" t="s">
        <v>545</v>
      </c>
      <c r="L29" s="200" t="s">
        <v>545</v>
      </c>
      <c r="M29" s="30"/>
      <c r="N29" s="33" t="s">
        <v>545</v>
      </c>
      <c r="O29" s="200" t="s">
        <v>545</v>
      </c>
      <c r="P29" s="30"/>
      <c r="Q29" s="33" t="s">
        <v>545</v>
      </c>
      <c r="R29" s="200" t="s">
        <v>545</v>
      </c>
    </row>
    <row r="30" spans="1:18">
      <c r="A30" s="29">
        <v>47900022</v>
      </c>
      <c r="B30" s="200" t="s">
        <v>663</v>
      </c>
      <c r="C30" s="132" t="s">
        <v>2196</v>
      </c>
      <c r="D30" s="30" t="s">
        <v>475</v>
      </c>
      <c r="E30" s="33">
        <v>100001</v>
      </c>
      <c r="F30" s="200">
        <v>10000</v>
      </c>
      <c r="G30" s="30" t="s">
        <v>475</v>
      </c>
      <c r="H30" s="33">
        <v>100001</v>
      </c>
      <c r="I30" s="200">
        <v>50000</v>
      </c>
      <c r="J30" s="30"/>
      <c r="K30" s="33" t="s">
        <v>545</v>
      </c>
      <c r="L30" s="200" t="s">
        <v>545</v>
      </c>
      <c r="M30" s="30"/>
      <c r="N30" s="33" t="s">
        <v>545</v>
      </c>
      <c r="O30" s="200" t="s">
        <v>545</v>
      </c>
      <c r="P30" s="30"/>
      <c r="Q30" s="33" t="s">
        <v>545</v>
      </c>
      <c r="R30" s="200" t="s">
        <v>545</v>
      </c>
    </row>
    <row r="31" spans="1:18">
      <c r="A31" s="29">
        <v>47900023</v>
      </c>
      <c r="B31" s="200" t="s">
        <v>665</v>
      </c>
      <c r="C31" s="133" t="s">
        <v>2197</v>
      </c>
      <c r="D31" s="30" t="s">
        <v>475</v>
      </c>
      <c r="E31" s="33">
        <v>100001</v>
      </c>
      <c r="F31" s="200">
        <v>10000</v>
      </c>
      <c r="G31" s="30" t="s">
        <v>475</v>
      </c>
      <c r="H31" s="33">
        <v>100001</v>
      </c>
      <c r="I31" s="200">
        <v>250000</v>
      </c>
      <c r="J31" s="30"/>
      <c r="K31" s="33" t="s">
        <v>545</v>
      </c>
      <c r="L31" s="200" t="s">
        <v>545</v>
      </c>
      <c r="M31" s="30"/>
      <c r="N31" s="33" t="s">
        <v>545</v>
      </c>
      <c r="O31" s="200" t="s">
        <v>545</v>
      </c>
      <c r="P31" s="30"/>
      <c r="Q31" s="33" t="s">
        <v>545</v>
      </c>
      <c r="R31" s="200" t="s">
        <v>545</v>
      </c>
    </row>
    <row r="32" spans="1:18">
      <c r="A32" s="29">
        <v>47900024</v>
      </c>
      <c r="B32" s="200" t="s">
        <v>667</v>
      </c>
      <c r="C32" s="134" t="s">
        <v>2198</v>
      </c>
      <c r="D32" s="30" t="s">
        <v>475</v>
      </c>
      <c r="E32" s="33">
        <v>100001</v>
      </c>
      <c r="F32" s="200">
        <v>10000</v>
      </c>
      <c r="G32" s="30" t="s">
        <v>475</v>
      </c>
      <c r="H32" s="33">
        <v>100001</v>
      </c>
      <c r="I32" s="200">
        <v>50000</v>
      </c>
      <c r="J32" s="30"/>
      <c r="K32" s="33" t="s">
        <v>545</v>
      </c>
      <c r="L32" s="200" t="s">
        <v>545</v>
      </c>
      <c r="M32" s="30"/>
      <c r="N32" s="33" t="s">
        <v>545</v>
      </c>
      <c r="O32" s="200" t="s">
        <v>545</v>
      </c>
      <c r="P32" s="30"/>
      <c r="Q32" s="33" t="s">
        <v>545</v>
      </c>
      <c r="R32" s="200" t="s">
        <v>545</v>
      </c>
    </row>
    <row r="33" spans="1:18">
      <c r="A33" s="29">
        <v>47900025</v>
      </c>
      <c r="B33" s="200" t="s">
        <v>669</v>
      </c>
      <c r="C33" s="135" t="s">
        <v>2199</v>
      </c>
      <c r="D33" s="30" t="s">
        <v>475</v>
      </c>
      <c r="E33" s="33">
        <v>100001</v>
      </c>
      <c r="F33" s="200">
        <v>10000</v>
      </c>
      <c r="G33" s="30" t="s">
        <v>475</v>
      </c>
      <c r="H33" s="33">
        <v>100001</v>
      </c>
      <c r="I33" s="200">
        <v>50000</v>
      </c>
      <c r="J33" s="30"/>
      <c r="K33" s="33" t="s">
        <v>545</v>
      </c>
      <c r="L33" s="200" t="s">
        <v>545</v>
      </c>
      <c r="M33" s="30"/>
      <c r="N33" s="33" t="s">
        <v>545</v>
      </c>
      <c r="O33" s="200" t="s">
        <v>545</v>
      </c>
      <c r="P33" s="30"/>
      <c r="Q33" s="33" t="s">
        <v>545</v>
      </c>
      <c r="R33" s="200" t="s">
        <v>545</v>
      </c>
    </row>
    <row r="34" spans="1:18">
      <c r="A34" s="29">
        <v>47900026</v>
      </c>
      <c r="B34" s="200" t="s">
        <v>671</v>
      </c>
      <c r="C34" s="136" t="s">
        <v>2200</v>
      </c>
      <c r="D34" s="30" t="s">
        <v>475</v>
      </c>
      <c r="E34" s="33">
        <v>100001</v>
      </c>
      <c r="F34" s="200">
        <v>10000</v>
      </c>
      <c r="G34" s="30" t="s">
        <v>475</v>
      </c>
      <c r="H34" s="33">
        <v>100001</v>
      </c>
      <c r="I34" s="200">
        <v>250000</v>
      </c>
      <c r="J34" s="30"/>
      <c r="K34" s="33" t="s">
        <v>545</v>
      </c>
      <c r="L34" s="200" t="s">
        <v>545</v>
      </c>
      <c r="M34" s="30"/>
      <c r="N34" s="33" t="s">
        <v>545</v>
      </c>
      <c r="O34" s="200" t="s">
        <v>545</v>
      </c>
      <c r="P34" s="30"/>
      <c r="Q34" s="33" t="s">
        <v>545</v>
      </c>
      <c r="R34" s="200" t="s">
        <v>545</v>
      </c>
    </row>
    <row r="35" spans="1:18">
      <c r="A35" s="29">
        <v>47900027</v>
      </c>
      <c r="B35" s="200" t="s">
        <v>673</v>
      </c>
      <c r="C35" s="137" t="s">
        <v>2201</v>
      </c>
      <c r="D35" s="30" t="s">
        <v>475</v>
      </c>
      <c r="E35" s="33">
        <v>100001</v>
      </c>
      <c r="F35" s="200">
        <v>10000</v>
      </c>
      <c r="G35" s="30" t="s">
        <v>475</v>
      </c>
      <c r="H35" s="33">
        <v>100001</v>
      </c>
      <c r="I35" s="200">
        <v>2250000</v>
      </c>
      <c r="J35" s="30"/>
      <c r="K35" s="33" t="s">
        <v>545</v>
      </c>
      <c r="L35" s="200" t="s">
        <v>545</v>
      </c>
      <c r="M35" s="30"/>
      <c r="N35" s="33" t="s">
        <v>545</v>
      </c>
      <c r="O35" s="200" t="s">
        <v>545</v>
      </c>
      <c r="P35" s="30"/>
      <c r="Q35" s="33" t="s">
        <v>545</v>
      </c>
      <c r="R35" s="200" t="s">
        <v>545</v>
      </c>
    </row>
    <row r="36" spans="1:18">
      <c r="A36" s="29">
        <v>47900028</v>
      </c>
      <c r="B36" s="200" t="s">
        <v>675</v>
      </c>
      <c r="C36" s="138" t="s">
        <v>2202</v>
      </c>
      <c r="D36" s="30" t="s">
        <v>475</v>
      </c>
      <c r="E36" s="33">
        <v>100001</v>
      </c>
      <c r="F36" s="200">
        <v>10000</v>
      </c>
      <c r="G36" s="30" t="s">
        <v>475</v>
      </c>
      <c r="H36" s="33">
        <v>100001</v>
      </c>
      <c r="I36" s="200">
        <v>50000</v>
      </c>
      <c r="J36" s="30"/>
      <c r="K36" s="33" t="s">
        <v>545</v>
      </c>
      <c r="L36" s="200" t="s">
        <v>545</v>
      </c>
      <c r="M36" s="30"/>
      <c r="N36" s="33" t="s">
        <v>545</v>
      </c>
      <c r="O36" s="200" t="s">
        <v>545</v>
      </c>
      <c r="P36" s="30"/>
      <c r="Q36" s="33" t="s">
        <v>545</v>
      </c>
      <c r="R36" s="200" t="s">
        <v>545</v>
      </c>
    </row>
    <row r="37" spans="1:18">
      <c r="A37" s="29">
        <v>47900029</v>
      </c>
      <c r="B37" s="200" t="s">
        <v>677</v>
      </c>
      <c r="C37" s="139" t="s">
        <v>2203</v>
      </c>
      <c r="D37" s="30" t="s">
        <v>475</v>
      </c>
      <c r="E37" s="33">
        <v>100001</v>
      </c>
      <c r="F37" s="200">
        <v>10000</v>
      </c>
      <c r="G37" s="30" t="s">
        <v>475</v>
      </c>
      <c r="H37" s="33">
        <v>100001</v>
      </c>
      <c r="I37" s="200">
        <v>250000</v>
      </c>
      <c r="J37" s="30"/>
      <c r="K37" s="33" t="s">
        <v>545</v>
      </c>
      <c r="L37" s="200" t="s">
        <v>545</v>
      </c>
      <c r="M37" s="30"/>
      <c r="N37" s="33" t="s">
        <v>545</v>
      </c>
      <c r="O37" s="200" t="s">
        <v>545</v>
      </c>
      <c r="P37" s="30"/>
      <c r="Q37" s="33" t="s">
        <v>545</v>
      </c>
      <c r="R37" s="200" t="s">
        <v>545</v>
      </c>
    </row>
    <row r="38" spans="1:18">
      <c r="A38" s="29">
        <v>47900030</v>
      </c>
      <c r="B38" s="200" t="s">
        <v>679</v>
      </c>
      <c r="C38" s="140" t="s">
        <v>2204</v>
      </c>
      <c r="D38" s="30" t="s">
        <v>475</v>
      </c>
      <c r="E38" s="33">
        <v>100001</v>
      </c>
      <c r="F38" s="200">
        <v>10000</v>
      </c>
      <c r="G38" s="30" t="s">
        <v>475</v>
      </c>
      <c r="H38" s="33">
        <v>100001</v>
      </c>
      <c r="I38" s="200">
        <v>50000</v>
      </c>
      <c r="J38" s="30"/>
      <c r="K38" s="33" t="s">
        <v>545</v>
      </c>
      <c r="L38" s="200" t="s">
        <v>545</v>
      </c>
      <c r="M38" s="30"/>
      <c r="N38" s="33" t="s">
        <v>545</v>
      </c>
      <c r="O38" s="200" t="s">
        <v>545</v>
      </c>
      <c r="P38" s="30"/>
      <c r="Q38" s="33" t="s">
        <v>545</v>
      </c>
      <c r="R38" s="200" t="s">
        <v>545</v>
      </c>
    </row>
    <row r="39" spans="1:18">
      <c r="A39" s="29">
        <v>47900031</v>
      </c>
      <c r="B39" s="200" t="s">
        <v>681</v>
      </c>
      <c r="C39" s="141" t="s">
        <v>2205</v>
      </c>
      <c r="D39" s="30" t="s">
        <v>475</v>
      </c>
      <c r="E39" s="33">
        <v>100001</v>
      </c>
      <c r="F39" s="200">
        <v>10000</v>
      </c>
      <c r="G39" s="30" t="s">
        <v>475</v>
      </c>
      <c r="H39" s="33">
        <v>100001</v>
      </c>
      <c r="I39" s="200">
        <v>250000</v>
      </c>
      <c r="J39" s="30"/>
      <c r="K39" s="33" t="s">
        <v>545</v>
      </c>
      <c r="L39" s="200" t="s">
        <v>545</v>
      </c>
      <c r="M39" s="30"/>
      <c r="N39" s="33" t="s">
        <v>545</v>
      </c>
      <c r="O39" s="200" t="s">
        <v>545</v>
      </c>
      <c r="P39" s="30"/>
      <c r="Q39" s="33" t="s">
        <v>545</v>
      </c>
      <c r="R39" s="200" t="s">
        <v>545</v>
      </c>
    </row>
    <row r="40" spans="1:18">
      <c r="A40" s="29">
        <v>47900032</v>
      </c>
      <c r="B40" s="200" t="s">
        <v>683</v>
      </c>
      <c r="C40" s="142" t="s">
        <v>2206</v>
      </c>
      <c r="D40" s="30" t="s">
        <v>475</v>
      </c>
      <c r="E40" s="33">
        <v>100001</v>
      </c>
      <c r="F40" s="200">
        <v>10000</v>
      </c>
      <c r="G40" s="30" t="s">
        <v>475</v>
      </c>
      <c r="H40" s="33">
        <v>100001</v>
      </c>
      <c r="I40" s="200">
        <v>2250000</v>
      </c>
      <c r="J40" s="30"/>
      <c r="K40" s="33" t="s">
        <v>545</v>
      </c>
      <c r="L40" s="200" t="s">
        <v>545</v>
      </c>
      <c r="M40" s="30"/>
      <c r="N40" s="33" t="s">
        <v>545</v>
      </c>
      <c r="O40" s="200" t="s">
        <v>545</v>
      </c>
      <c r="P40" s="30"/>
      <c r="Q40" s="33" t="s">
        <v>545</v>
      </c>
      <c r="R40" s="200" t="s">
        <v>545</v>
      </c>
    </row>
    <row r="41" spans="1:18">
      <c r="A41" s="29">
        <v>47900033</v>
      </c>
      <c r="B41" s="200" t="s">
        <v>685</v>
      </c>
      <c r="C41" s="143" t="s">
        <v>2207</v>
      </c>
      <c r="D41" s="30" t="s">
        <v>475</v>
      </c>
      <c r="E41" s="33">
        <v>100001</v>
      </c>
      <c r="F41" s="200">
        <v>10000</v>
      </c>
      <c r="G41" s="30" t="s">
        <v>475</v>
      </c>
      <c r="H41" s="33">
        <v>100001</v>
      </c>
      <c r="I41" s="200">
        <v>250000</v>
      </c>
      <c r="J41" s="30"/>
      <c r="K41" s="33" t="s">
        <v>545</v>
      </c>
      <c r="L41" s="200" t="s">
        <v>545</v>
      </c>
      <c r="M41" s="30"/>
      <c r="N41" s="33" t="s">
        <v>545</v>
      </c>
      <c r="O41" s="200" t="s">
        <v>545</v>
      </c>
      <c r="P41" s="30"/>
      <c r="Q41" s="33" t="s">
        <v>545</v>
      </c>
      <c r="R41" s="200" t="s">
        <v>545</v>
      </c>
    </row>
    <row r="42" spans="1:18">
      <c r="A42" s="29">
        <v>47900034</v>
      </c>
      <c r="B42" s="200" t="s">
        <v>687</v>
      </c>
      <c r="C42" s="144" t="s">
        <v>2208</v>
      </c>
      <c r="D42" s="30" t="s">
        <v>475</v>
      </c>
      <c r="E42" s="33">
        <v>100001</v>
      </c>
      <c r="F42" s="200">
        <v>10000</v>
      </c>
      <c r="G42" s="30" t="s">
        <v>475</v>
      </c>
      <c r="H42" s="33">
        <v>100001</v>
      </c>
      <c r="I42" s="200">
        <v>50000</v>
      </c>
      <c r="J42" s="30"/>
      <c r="K42" s="33" t="s">
        <v>545</v>
      </c>
      <c r="L42" s="200" t="s">
        <v>545</v>
      </c>
      <c r="M42" s="30"/>
      <c r="N42" s="33" t="s">
        <v>545</v>
      </c>
      <c r="O42" s="200" t="s">
        <v>545</v>
      </c>
      <c r="P42" s="30"/>
      <c r="Q42" s="33" t="s">
        <v>545</v>
      </c>
      <c r="R42" s="200" t="s">
        <v>545</v>
      </c>
    </row>
    <row r="43" spans="1:18">
      <c r="A43" s="29">
        <v>47900035</v>
      </c>
      <c r="B43" s="200" t="s">
        <v>689</v>
      </c>
      <c r="C43" s="145" t="s">
        <v>2209</v>
      </c>
      <c r="D43" s="30" t="s">
        <v>475</v>
      </c>
      <c r="E43" s="33">
        <v>100001</v>
      </c>
      <c r="F43" s="200">
        <v>10000</v>
      </c>
      <c r="G43" s="30" t="s">
        <v>475</v>
      </c>
      <c r="H43" s="33">
        <v>100001</v>
      </c>
      <c r="I43" s="200">
        <v>50000</v>
      </c>
      <c r="J43" s="30"/>
      <c r="K43" s="33" t="s">
        <v>545</v>
      </c>
      <c r="L43" s="200" t="s">
        <v>545</v>
      </c>
      <c r="M43" s="30"/>
      <c r="N43" s="33" t="s">
        <v>545</v>
      </c>
      <c r="O43" s="200" t="s">
        <v>545</v>
      </c>
      <c r="P43" s="30"/>
      <c r="Q43" s="33" t="s">
        <v>545</v>
      </c>
      <c r="R43" s="200" t="s">
        <v>545</v>
      </c>
    </row>
    <row r="44" spans="1:18">
      <c r="A44" s="29">
        <v>47900036</v>
      </c>
      <c r="B44" s="200" t="s">
        <v>691</v>
      </c>
      <c r="C44" s="146" t="s">
        <v>2210</v>
      </c>
      <c r="D44" s="30" t="s">
        <v>475</v>
      </c>
      <c r="E44" s="33">
        <v>100001</v>
      </c>
      <c r="F44" s="200">
        <v>10000</v>
      </c>
      <c r="G44" s="30" t="s">
        <v>475</v>
      </c>
      <c r="H44" s="33">
        <v>100001</v>
      </c>
      <c r="I44" s="200">
        <v>50000</v>
      </c>
      <c r="J44" s="30"/>
      <c r="K44" s="33" t="s">
        <v>545</v>
      </c>
      <c r="L44" s="200" t="s">
        <v>545</v>
      </c>
      <c r="M44" s="30"/>
      <c r="N44" s="33" t="s">
        <v>545</v>
      </c>
      <c r="O44" s="200" t="s">
        <v>545</v>
      </c>
      <c r="P44" s="30"/>
      <c r="Q44" s="33" t="s">
        <v>545</v>
      </c>
      <c r="R44" s="200" t="s">
        <v>545</v>
      </c>
    </row>
    <row r="45" spans="1:18">
      <c r="A45" s="29">
        <v>47900037</v>
      </c>
      <c r="B45" s="200" t="s">
        <v>693</v>
      </c>
      <c r="C45" s="147" t="s">
        <v>2211</v>
      </c>
      <c r="D45" s="30" t="s">
        <v>475</v>
      </c>
      <c r="E45" s="33">
        <v>100001</v>
      </c>
      <c r="F45" s="200">
        <v>10000</v>
      </c>
      <c r="G45" s="30" t="s">
        <v>475</v>
      </c>
      <c r="H45" s="33">
        <v>100001</v>
      </c>
      <c r="I45" s="200">
        <v>250000</v>
      </c>
      <c r="J45" s="30"/>
      <c r="K45" s="33" t="s">
        <v>545</v>
      </c>
      <c r="L45" s="200" t="s">
        <v>545</v>
      </c>
      <c r="M45" s="30"/>
      <c r="N45" s="33" t="s">
        <v>545</v>
      </c>
      <c r="O45" s="200" t="s">
        <v>545</v>
      </c>
      <c r="P45" s="30"/>
      <c r="Q45" s="33" t="s">
        <v>545</v>
      </c>
      <c r="R45" s="200" t="s">
        <v>545</v>
      </c>
    </row>
    <row r="46" spans="1:18">
      <c r="A46" s="29">
        <v>47900038</v>
      </c>
      <c r="B46" s="200" t="s">
        <v>695</v>
      </c>
      <c r="C46" s="148" t="s">
        <v>2212</v>
      </c>
      <c r="D46" s="30" t="s">
        <v>475</v>
      </c>
      <c r="E46" s="33">
        <v>100001</v>
      </c>
      <c r="F46" s="200">
        <v>10000</v>
      </c>
      <c r="G46" s="30" t="s">
        <v>475</v>
      </c>
      <c r="H46" s="33">
        <v>100001</v>
      </c>
      <c r="I46" s="200">
        <v>50000</v>
      </c>
      <c r="J46" s="30"/>
      <c r="K46" s="33" t="s">
        <v>545</v>
      </c>
      <c r="L46" s="200" t="s">
        <v>545</v>
      </c>
      <c r="M46" s="30"/>
      <c r="N46" s="33" t="s">
        <v>545</v>
      </c>
      <c r="O46" s="200" t="s">
        <v>545</v>
      </c>
      <c r="P46" s="30"/>
      <c r="Q46" s="33" t="s">
        <v>545</v>
      </c>
      <c r="R46" s="200" t="s">
        <v>545</v>
      </c>
    </row>
    <row r="47" spans="1:18">
      <c r="A47" s="29">
        <v>47900039</v>
      </c>
      <c r="B47" s="200" t="s">
        <v>697</v>
      </c>
      <c r="C47" s="149" t="s">
        <v>2213</v>
      </c>
      <c r="D47" s="30" t="s">
        <v>475</v>
      </c>
      <c r="E47" s="33">
        <v>100001</v>
      </c>
      <c r="F47" s="200">
        <v>10000</v>
      </c>
      <c r="G47" s="30" t="s">
        <v>475</v>
      </c>
      <c r="H47" s="33">
        <v>100001</v>
      </c>
      <c r="I47" s="200">
        <v>50000</v>
      </c>
      <c r="J47" s="30"/>
      <c r="K47" s="33" t="s">
        <v>545</v>
      </c>
      <c r="L47" s="200" t="s">
        <v>545</v>
      </c>
      <c r="M47" s="30"/>
      <c r="N47" s="33" t="s">
        <v>545</v>
      </c>
      <c r="O47" s="200" t="s">
        <v>545</v>
      </c>
      <c r="P47" s="30"/>
      <c r="Q47" s="33" t="s">
        <v>545</v>
      </c>
      <c r="R47" s="200" t="s">
        <v>545</v>
      </c>
    </row>
    <row r="48" spans="1:18">
      <c r="A48" s="29">
        <v>47900040</v>
      </c>
      <c r="B48" s="200" t="s">
        <v>699</v>
      </c>
      <c r="C48" s="150" t="s">
        <v>2214</v>
      </c>
      <c r="D48" s="30" t="s">
        <v>475</v>
      </c>
      <c r="E48" s="33">
        <v>100001</v>
      </c>
      <c r="F48" s="200">
        <v>10000</v>
      </c>
      <c r="G48" s="30" t="s">
        <v>475</v>
      </c>
      <c r="H48" s="33">
        <v>100001</v>
      </c>
      <c r="I48" s="200">
        <v>50000</v>
      </c>
      <c r="J48" s="30"/>
      <c r="K48" s="33" t="s">
        <v>545</v>
      </c>
      <c r="L48" s="200" t="s">
        <v>545</v>
      </c>
      <c r="M48" s="30"/>
      <c r="N48" s="33" t="s">
        <v>545</v>
      </c>
      <c r="O48" s="200" t="s">
        <v>545</v>
      </c>
      <c r="P48" s="30"/>
      <c r="Q48" s="33" t="s">
        <v>545</v>
      </c>
      <c r="R48" s="200" t="s">
        <v>545</v>
      </c>
    </row>
    <row r="49" spans="1:18">
      <c r="A49" s="29">
        <v>47900041</v>
      </c>
      <c r="B49" s="200" t="s">
        <v>701</v>
      </c>
      <c r="C49" s="151" t="s">
        <v>2215</v>
      </c>
      <c r="D49" s="30" t="s">
        <v>475</v>
      </c>
      <c r="E49" s="33">
        <v>100001</v>
      </c>
      <c r="F49" s="200">
        <v>10000</v>
      </c>
      <c r="G49" s="30" t="s">
        <v>475</v>
      </c>
      <c r="H49" s="33">
        <v>100001</v>
      </c>
      <c r="I49" s="200">
        <v>250000</v>
      </c>
      <c r="J49" s="30"/>
      <c r="K49" s="33" t="s">
        <v>545</v>
      </c>
      <c r="L49" s="200" t="s">
        <v>545</v>
      </c>
      <c r="M49" s="30"/>
      <c r="N49" s="33" t="s">
        <v>545</v>
      </c>
      <c r="O49" s="200" t="s">
        <v>545</v>
      </c>
      <c r="P49" s="30"/>
      <c r="Q49" s="33" t="s">
        <v>545</v>
      </c>
      <c r="R49" s="200" t="s">
        <v>545</v>
      </c>
    </row>
    <row r="50" spans="1:18">
      <c r="A50" s="29">
        <v>47900042</v>
      </c>
      <c r="B50" s="200" t="s">
        <v>703</v>
      </c>
      <c r="C50" s="152" t="s">
        <v>2216</v>
      </c>
      <c r="D50" s="30" t="s">
        <v>475</v>
      </c>
      <c r="E50" s="33">
        <v>100001</v>
      </c>
      <c r="F50" s="200">
        <v>10000</v>
      </c>
      <c r="G50" s="30" t="s">
        <v>475</v>
      </c>
      <c r="H50" s="33">
        <v>100001</v>
      </c>
      <c r="I50" s="200">
        <v>50000</v>
      </c>
      <c r="J50" s="30"/>
      <c r="K50" s="33" t="s">
        <v>545</v>
      </c>
      <c r="L50" s="200" t="s">
        <v>545</v>
      </c>
      <c r="M50" s="30"/>
      <c r="N50" s="33" t="s">
        <v>545</v>
      </c>
      <c r="O50" s="200" t="s">
        <v>545</v>
      </c>
      <c r="P50" s="30"/>
      <c r="Q50" s="33" t="s">
        <v>545</v>
      </c>
      <c r="R50" s="200" t="s">
        <v>545</v>
      </c>
    </row>
    <row r="51" spans="1:18">
      <c r="A51" s="29">
        <v>47900043</v>
      </c>
      <c r="B51" s="200" t="s">
        <v>705</v>
      </c>
      <c r="C51" s="153" t="s">
        <v>2217</v>
      </c>
      <c r="D51" s="30" t="s">
        <v>475</v>
      </c>
      <c r="E51" s="33">
        <v>100001</v>
      </c>
      <c r="F51" s="200">
        <v>10000</v>
      </c>
      <c r="G51" s="30" t="s">
        <v>475</v>
      </c>
      <c r="H51" s="33">
        <v>100001</v>
      </c>
      <c r="I51" s="200">
        <v>50000</v>
      </c>
      <c r="J51" s="30"/>
      <c r="K51" s="33" t="s">
        <v>545</v>
      </c>
      <c r="L51" s="200" t="s">
        <v>545</v>
      </c>
      <c r="M51" s="30"/>
      <c r="N51" s="33" t="s">
        <v>545</v>
      </c>
      <c r="O51" s="200" t="s">
        <v>545</v>
      </c>
      <c r="P51" s="30"/>
      <c r="Q51" s="33" t="s">
        <v>545</v>
      </c>
      <c r="R51" s="200" t="s">
        <v>545</v>
      </c>
    </row>
    <row r="52" spans="1:18">
      <c r="A52" s="29">
        <v>47900044</v>
      </c>
      <c r="B52" s="200" t="s">
        <v>707</v>
      </c>
      <c r="C52" s="154" t="s">
        <v>2218</v>
      </c>
      <c r="D52" s="30" t="s">
        <v>475</v>
      </c>
      <c r="E52" s="33">
        <v>100001</v>
      </c>
      <c r="F52" s="200">
        <v>10000</v>
      </c>
      <c r="G52" s="30" t="s">
        <v>475</v>
      </c>
      <c r="H52" s="33">
        <v>100001</v>
      </c>
      <c r="I52" s="200">
        <v>250000</v>
      </c>
      <c r="J52" s="30"/>
      <c r="K52" s="33" t="s">
        <v>545</v>
      </c>
      <c r="L52" s="200" t="s">
        <v>545</v>
      </c>
      <c r="M52" s="30"/>
      <c r="N52" s="33" t="s">
        <v>545</v>
      </c>
      <c r="O52" s="200" t="s">
        <v>545</v>
      </c>
      <c r="P52" s="30"/>
      <c r="Q52" s="33" t="s">
        <v>545</v>
      </c>
      <c r="R52" s="200" t="s">
        <v>545</v>
      </c>
    </row>
    <row r="53" spans="1:18">
      <c r="A53" s="29">
        <v>47900045</v>
      </c>
      <c r="B53" s="200" t="s">
        <v>709</v>
      </c>
      <c r="C53" s="155" t="s">
        <v>2219</v>
      </c>
      <c r="D53" s="30" t="s">
        <v>475</v>
      </c>
      <c r="E53" s="33">
        <v>100001</v>
      </c>
      <c r="F53" s="200">
        <v>10000</v>
      </c>
      <c r="G53" s="30" t="s">
        <v>475</v>
      </c>
      <c r="H53" s="33">
        <v>100001</v>
      </c>
      <c r="I53" s="200">
        <v>2250000</v>
      </c>
      <c r="J53" s="30"/>
      <c r="K53" s="33" t="s">
        <v>545</v>
      </c>
      <c r="L53" s="200" t="s">
        <v>545</v>
      </c>
      <c r="M53" s="30"/>
      <c r="N53" s="33" t="s">
        <v>545</v>
      </c>
      <c r="O53" s="200" t="s">
        <v>545</v>
      </c>
      <c r="P53" s="30"/>
      <c r="Q53" s="33" t="s">
        <v>545</v>
      </c>
      <c r="R53" s="200" t="s">
        <v>545</v>
      </c>
    </row>
    <row r="54" spans="1:18">
      <c r="A54" s="29">
        <v>47900046</v>
      </c>
      <c r="B54" s="200" t="s">
        <v>716</v>
      </c>
      <c r="C54" s="156" t="s">
        <v>2220</v>
      </c>
      <c r="D54" s="30" t="s">
        <v>475</v>
      </c>
      <c r="E54" s="33">
        <v>100001</v>
      </c>
      <c r="F54" s="200">
        <v>10000</v>
      </c>
      <c r="G54" s="30" t="s">
        <v>475</v>
      </c>
      <c r="H54" s="33">
        <v>100001</v>
      </c>
      <c r="I54" s="200">
        <v>250000</v>
      </c>
      <c r="J54" s="30"/>
      <c r="K54" s="33" t="s">
        <v>545</v>
      </c>
      <c r="L54" s="200" t="s">
        <v>545</v>
      </c>
      <c r="M54" s="30"/>
      <c r="N54" s="33" t="s">
        <v>545</v>
      </c>
      <c r="O54" s="200" t="s">
        <v>545</v>
      </c>
      <c r="P54" s="30"/>
      <c r="Q54" s="33" t="s">
        <v>545</v>
      </c>
      <c r="R54" s="200" t="s">
        <v>545</v>
      </c>
    </row>
    <row r="55" spans="1:18">
      <c r="A55" s="29">
        <v>47900047</v>
      </c>
      <c r="B55" s="200" t="s">
        <v>482</v>
      </c>
      <c r="C55" s="157" t="s">
        <v>2221</v>
      </c>
      <c r="D55" s="30" t="s">
        <v>475</v>
      </c>
      <c r="E55" s="33">
        <v>100001</v>
      </c>
      <c r="F55" s="200">
        <v>10000</v>
      </c>
      <c r="G55" s="30" t="s">
        <v>475</v>
      </c>
      <c r="H55" s="33">
        <v>100001</v>
      </c>
      <c r="I55" s="200">
        <v>1300000</v>
      </c>
      <c r="J55" s="30"/>
      <c r="K55" s="33" t="s">
        <v>545</v>
      </c>
      <c r="L55" s="200" t="s">
        <v>545</v>
      </c>
      <c r="M55" s="30"/>
      <c r="N55" s="33" t="s">
        <v>545</v>
      </c>
      <c r="O55" s="200" t="s">
        <v>545</v>
      </c>
      <c r="P55" s="30"/>
      <c r="Q55" s="33" t="s">
        <v>545</v>
      </c>
      <c r="R55" s="200" t="s">
        <v>545</v>
      </c>
    </row>
    <row r="56" spans="1:18">
      <c r="A56" s="29">
        <v>47900048</v>
      </c>
      <c r="B56" s="200" t="s">
        <v>484</v>
      </c>
      <c r="C56" s="158" t="s">
        <v>2222</v>
      </c>
      <c r="D56" s="30" t="s">
        <v>475</v>
      </c>
      <c r="E56" s="33">
        <v>100001</v>
      </c>
      <c r="F56" s="200">
        <v>10000</v>
      </c>
      <c r="G56" s="30" t="s">
        <v>475</v>
      </c>
      <c r="H56" s="33">
        <v>100001</v>
      </c>
      <c r="I56" s="200">
        <v>250000</v>
      </c>
      <c r="J56" s="30"/>
      <c r="K56" s="33" t="s">
        <v>545</v>
      </c>
      <c r="L56" s="200" t="s">
        <v>545</v>
      </c>
      <c r="M56" s="30"/>
      <c r="N56" s="33" t="s">
        <v>545</v>
      </c>
      <c r="O56" s="200" t="s">
        <v>545</v>
      </c>
      <c r="P56" s="30"/>
      <c r="Q56" s="33" t="s">
        <v>545</v>
      </c>
      <c r="R56" s="200" t="s">
        <v>545</v>
      </c>
    </row>
    <row r="57" spans="1:18">
      <c r="A57" s="29">
        <v>47900049</v>
      </c>
      <c r="B57" s="200" t="s">
        <v>485</v>
      </c>
      <c r="C57" s="159" t="s">
        <v>2223</v>
      </c>
      <c r="D57" s="30" t="s">
        <v>475</v>
      </c>
      <c r="E57" s="33">
        <v>100001</v>
      </c>
      <c r="F57" s="200">
        <v>10000</v>
      </c>
      <c r="G57" s="30" t="s">
        <v>475</v>
      </c>
      <c r="H57" s="33">
        <v>100001</v>
      </c>
      <c r="I57" s="200">
        <v>50000</v>
      </c>
      <c r="J57" s="30"/>
      <c r="K57" s="33" t="s">
        <v>545</v>
      </c>
      <c r="L57" s="200" t="s">
        <v>545</v>
      </c>
      <c r="M57" s="30"/>
      <c r="N57" s="33" t="s">
        <v>545</v>
      </c>
      <c r="O57" s="200" t="s">
        <v>545</v>
      </c>
      <c r="P57" s="30"/>
      <c r="Q57" s="33" t="s">
        <v>545</v>
      </c>
      <c r="R57" s="200" t="s">
        <v>545</v>
      </c>
    </row>
    <row r="58" spans="1:18">
      <c r="A58" s="29">
        <v>47900050</v>
      </c>
      <c r="B58" s="200" t="s">
        <v>486</v>
      </c>
      <c r="C58" s="160" t="s">
        <v>2224</v>
      </c>
      <c r="D58" s="30" t="s">
        <v>475</v>
      </c>
      <c r="E58" s="33">
        <v>100001</v>
      </c>
      <c r="F58" s="200">
        <v>10000</v>
      </c>
      <c r="G58" s="30" t="s">
        <v>475</v>
      </c>
      <c r="H58" s="33">
        <v>100001</v>
      </c>
      <c r="I58" s="200">
        <v>50000</v>
      </c>
      <c r="J58" s="30"/>
      <c r="K58" s="33" t="s">
        <v>545</v>
      </c>
      <c r="L58" s="200" t="s">
        <v>545</v>
      </c>
      <c r="M58" s="30"/>
      <c r="N58" s="33" t="s">
        <v>545</v>
      </c>
      <c r="O58" s="200" t="s">
        <v>545</v>
      </c>
      <c r="P58" s="30"/>
      <c r="Q58" s="33" t="s">
        <v>545</v>
      </c>
      <c r="R58" s="200" t="s">
        <v>545</v>
      </c>
    </row>
    <row r="59" spans="1:18">
      <c r="A59" s="29">
        <v>47900051</v>
      </c>
      <c r="B59" s="200" t="s">
        <v>488</v>
      </c>
      <c r="C59" s="161" t="s">
        <v>2225</v>
      </c>
      <c r="D59" s="30" t="s">
        <v>475</v>
      </c>
      <c r="E59" s="33">
        <v>100001</v>
      </c>
      <c r="F59" s="200">
        <v>10000</v>
      </c>
      <c r="G59" s="30" t="s">
        <v>475</v>
      </c>
      <c r="H59" s="33">
        <v>100001</v>
      </c>
      <c r="I59" s="200">
        <v>250000</v>
      </c>
      <c r="J59" s="30"/>
      <c r="K59" s="33" t="s">
        <v>545</v>
      </c>
      <c r="L59" s="200" t="s">
        <v>545</v>
      </c>
      <c r="M59" s="30"/>
      <c r="N59" s="33" t="s">
        <v>545</v>
      </c>
      <c r="O59" s="200" t="s">
        <v>545</v>
      </c>
      <c r="P59" s="30"/>
      <c r="Q59" s="33" t="s">
        <v>545</v>
      </c>
      <c r="R59" s="200" t="s">
        <v>545</v>
      </c>
    </row>
    <row r="60" spans="1:18">
      <c r="A60" s="29">
        <v>47900052</v>
      </c>
      <c r="B60" s="200" t="s">
        <v>490</v>
      </c>
      <c r="C60" s="162" t="s">
        <v>2226</v>
      </c>
      <c r="D60" s="30" t="s">
        <v>475</v>
      </c>
      <c r="E60" s="33">
        <v>100001</v>
      </c>
      <c r="F60" s="200">
        <v>10000</v>
      </c>
      <c r="G60" s="30" t="s">
        <v>475</v>
      </c>
      <c r="H60" s="33">
        <v>100001</v>
      </c>
      <c r="I60" s="200">
        <v>50000</v>
      </c>
      <c r="J60" s="30"/>
      <c r="K60" s="33" t="s">
        <v>545</v>
      </c>
      <c r="L60" s="200" t="s">
        <v>545</v>
      </c>
      <c r="M60" s="30"/>
      <c r="N60" s="33" t="s">
        <v>545</v>
      </c>
      <c r="O60" s="200" t="s">
        <v>545</v>
      </c>
      <c r="P60" s="30"/>
      <c r="Q60" s="33" t="s">
        <v>545</v>
      </c>
      <c r="R60" s="200" t="s">
        <v>545</v>
      </c>
    </row>
    <row r="61" spans="1:18">
      <c r="A61" s="29">
        <v>47900053</v>
      </c>
      <c r="B61" s="200" t="s">
        <v>641</v>
      </c>
      <c r="C61" s="163" t="s">
        <v>2227</v>
      </c>
      <c r="D61" s="30" t="s">
        <v>475</v>
      </c>
      <c r="E61" s="33">
        <v>100001</v>
      </c>
      <c r="F61" s="200">
        <v>10000</v>
      </c>
      <c r="G61" s="30" t="s">
        <v>475</v>
      </c>
      <c r="H61" s="33">
        <v>100001</v>
      </c>
      <c r="I61" s="200">
        <v>50000</v>
      </c>
      <c r="J61" s="30"/>
      <c r="K61" s="33" t="s">
        <v>545</v>
      </c>
      <c r="L61" s="200" t="s">
        <v>545</v>
      </c>
      <c r="M61" s="30"/>
      <c r="N61" s="33" t="s">
        <v>545</v>
      </c>
      <c r="O61" s="200" t="s">
        <v>545</v>
      </c>
      <c r="P61" s="30"/>
      <c r="Q61" s="33" t="s">
        <v>545</v>
      </c>
      <c r="R61" s="200" t="s">
        <v>545</v>
      </c>
    </row>
    <row r="62" spans="1:18">
      <c r="A62" s="29">
        <v>47900054</v>
      </c>
      <c r="B62" s="200" t="s">
        <v>655</v>
      </c>
      <c r="C62" s="164" t="s">
        <v>2228</v>
      </c>
      <c r="D62" s="30" t="s">
        <v>475</v>
      </c>
      <c r="E62" s="33">
        <v>100001</v>
      </c>
      <c r="F62" s="200">
        <v>10000</v>
      </c>
      <c r="G62" s="30" t="s">
        <v>475</v>
      </c>
      <c r="H62" s="33">
        <v>100001</v>
      </c>
      <c r="I62" s="200">
        <v>50000</v>
      </c>
      <c r="J62" s="30"/>
      <c r="K62" s="33" t="s">
        <v>545</v>
      </c>
      <c r="L62" s="200" t="s">
        <v>545</v>
      </c>
      <c r="M62" s="30"/>
      <c r="N62" s="33" t="s">
        <v>545</v>
      </c>
      <c r="O62" s="200" t="s">
        <v>545</v>
      </c>
      <c r="P62" s="30"/>
      <c r="Q62" s="33" t="s">
        <v>545</v>
      </c>
      <c r="R62" s="200" t="s">
        <v>545</v>
      </c>
    </row>
    <row r="63" spans="1:18">
      <c r="A63" s="29">
        <v>47900055</v>
      </c>
      <c r="B63" s="200" t="s">
        <v>659</v>
      </c>
      <c r="C63" s="165" t="s">
        <v>2229</v>
      </c>
      <c r="D63" s="30" t="s">
        <v>475</v>
      </c>
      <c r="E63" s="33">
        <v>100001</v>
      </c>
      <c r="F63" s="200">
        <v>10000</v>
      </c>
      <c r="G63" s="30" t="s">
        <v>475</v>
      </c>
      <c r="H63" s="33">
        <v>100001</v>
      </c>
      <c r="I63" s="200">
        <v>250000</v>
      </c>
      <c r="J63" s="30"/>
      <c r="K63" s="33" t="s">
        <v>545</v>
      </c>
      <c r="L63" s="200" t="s">
        <v>545</v>
      </c>
      <c r="M63" s="30"/>
      <c r="N63" s="33" t="s">
        <v>545</v>
      </c>
      <c r="O63" s="200" t="s">
        <v>545</v>
      </c>
      <c r="P63" s="30"/>
      <c r="Q63" s="33" t="s">
        <v>545</v>
      </c>
      <c r="R63" s="200" t="s">
        <v>545</v>
      </c>
    </row>
    <row r="64" spans="1:18">
      <c r="A64" s="29">
        <v>47900056</v>
      </c>
      <c r="B64" s="200" t="s">
        <v>661</v>
      </c>
      <c r="C64" s="166" t="s">
        <v>2230</v>
      </c>
      <c r="D64" s="30" t="s">
        <v>475</v>
      </c>
      <c r="E64" s="33">
        <v>100001</v>
      </c>
      <c r="F64" s="200">
        <v>10000</v>
      </c>
      <c r="G64" s="30" t="s">
        <v>475</v>
      </c>
      <c r="H64" s="33">
        <v>100001</v>
      </c>
      <c r="I64" s="200">
        <v>50000</v>
      </c>
      <c r="J64" s="30"/>
      <c r="K64" s="33" t="s">
        <v>545</v>
      </c>
      <c r="L64" s="200" t="s">
        <v>545</v>
      </c>
      <c r="M64" s="30"/>
      <c r="N64" s="33" t="s">
        <v>545</v>
      </c>
      <c r="O64" s="200" t="s">
        <v>545</v>
      </c>
      <c r="P64" s="30"/>
      <c r="Q64" s="33" t="s">
        <v>545</v>
      </c>
      <c r="R64" s="200" t="s">
        <v>545</v>
      </c>
    </row>
    <row r="65" spans="1:18">
      <c r="A65" s="29">
        <v>47900057</v>
      </c>
      <c r="B65" s="200" t="s">
        <v>665</v>
      </c>
      <c r="C65" s="167" t="s">
        <v>2231</v>
      </c>
      <c r="D65" s="30" t="s">
        <v>475</v>
      </c>
      <c r="E65" s="33">
        <v>100001</v>
      </c>
      <c r="F65" s="200">
        <v>10000</v>
      </c>
      <c r="G65" s="30" t="s">
        <v>475</v>
      </c>
      <c r="H65" s="33">
        <v>100001</v>
      </c>
      <c r="I65" s="200">
        <v>50000</v>
      </c>
      <c r="J65" s="30"/>
      <c r="K65" s="33" t="s">
        <v>545</v>
      </c>
      <c r="L65" s="200" t="s">
        <v>545</v>
      </c>
      <c r="M65" s="30"/>
      <c r="N65" s="33" t="s">
        <v>545</v>
      </c>
      <c r="O65" s="200" t="s">
        <v>545</v>
      </c>
      <c r="P65" s="30"/>
      <c r="Q65" s="33" t="s">
        <v>545</v>
      </c>
      <c r="R65" s="200" t="s">
        <v>545</v>
      </c>
    </row>
    <row r="66" spans="1:18">
      <c r="A66" s="29">
        <v>47900058</v>
      </c>
      <c r="B66" s="200" t="s">
        <v>667</v>
      </c>
      <c r="C66" s="168" t="s">
        <v>2232</v>
      </c>
      <c r="D66" s="30" t="s">
        <v>475</v>
      </c>
      <c r="E66" s="33">
        <v>100001</v>
      </c>
      <c r="F66" s="200">
        <v>10000</v>
      </c>
      <c r="G66" s="30" t="s">
        <v>475</v>
      </c>
      <c r="H66" s="33">
        <v>100001</v>
      </c>
      <c r="I66" s="200">
        <v>250000</v>
      </c>
      <c r="J66" s="30"/>
      <c r="K66" s="33" t="s">
        <v>545</v>
      </c>
      <c r="L66" s="200" t="s">
        <v>545</v>
      </c>
      <c r="M66" s="30"/>
      <c r="N66" s="33" t="s">
        <v>545</v>
      </c>
      <c r="O66" s="200" t="s">
        <v>545</v>
      </c>
      <c r="P66" s="30"/>
      <c r="Q66" s="33" t="s">
        <v>545</v>
      </c>
      <c r="R66" s="200" t="s">
        <v>545</v>
      </c>
    </row>
    <row r="67" spans="1:18">
      <c r="A67" s="29">
        <v>47900059</v>
      </c>
      <c r="B67" s="200" t="s">
        <v>671</v>
      </c>
      <c r="C67" s="169" t="s">
        <v>2233</v>
      </c>
      <c r="D67" s="30" t="s">
        <v>475</v>
      </c>
      <c r="E67" s="33">
        <v>100001</v>
      </c>
      <c r="F67" s="200">
        <v>10000</v>
      </c>
      <c r="G67" s="30" t="s">
        <v>475</v>
      </c>
      <c r="H67" s="33">
        <v>100001</v>
      </c>
      <c r="I67" s="200">
        <v>50000</v>
      </c>
      <c r="J67" s="30"/>
      <c r="K67" s="33" t="s">
        <v>545</v>
      </c>
      <c r="L67" s="200" t="s">
        <v>545</v>
      </c>
      <c r="M67" s="30"/>
      <c r="N67" s="33" t="s">
        <v>545</v>
      </c>
      <c r="O67" s="200" t="s">
        <v>545</v>
      </c>
      <c r="P67" s="30"/>
      <c r="Q67" s="33" t="s">
        <v>545</v>
      </c>
      <c r="R67" s="200" t="s">
        <v>545</v>
      </c>
    </row>
    <row r="68" spans="1:18">
      <c r="A68" s="29">
        <v>47900060</v>
      </c>
      <c r="B68" s="200" t="s">
        <v>673</v>
      </c>
      <c r="C68" s="170" t="s">
        <v>2234</v>
      </c>
      <c r="D68" s="30" t="s">
        <v>475</v>
      </c>
      <c r="E68" s="33">
        <v>100001</v>
      </c>
      <c r="F68" s="200">
        <v>10000</v>
      </c>
      <c r="G68" s="30" t="s">
        <v>475</v>
      </c>
      <c r="H68" s="33">
        <v>100001</v>
      </c>
      <c r="I68" s="200">
        <v>50000</v>
      </c>
      <c r="J68" s="30"/>
      <c r="K68" s="33" t="s">
        <v>545</v>
      </c>
      <c r="L68" s="200" t="s">
        <v>545</v>
      </c>
      <c r="M68" s="30"/>
      <c r="N68" s="33" t="s">
        <v>545</v>
      </c>
      <c r="O68" s="200" t="s">
        <v>545</v>
      </c>
      <c r="P68" s="30"/>
      <c r="Q68" s="33" t="s">
        <v>545</v>
      </c>
      <c r="R68" s="200" t="s">
        <v>545</v>
      </c>
    </row>
    <row r="69" spans="1:18">
      <c r="A69" s="29">
        <v>47900061</v>
      </c>
      <c r="B69" s="200" t="s">
        <v>677</v>
      </c>
      <c r="C69" s="171" t="s">
        <v>2235</v>
      </c>
      <c r="D69" s="30" t="s">
        <v>475</v>
      </c>
      <c r="E69" s="33">
        <v>100001</v>
      </c>
      <c r="F69" s="200">
        <v>10000</v>
      </c>
      <c r="G69" s="30" t="s">
        <v>475</v>
      </c>
      <c r="H69" s="33">
        <v>100001</v>
      </c>
      <c r="I69" s="200">
        <v>50000</v>
      </c>
      <c r="J69" s="30"/>
      <c r="K69" s="33" t="s">
        <v>545</v>
      </c>
      <c r="L69" s="200" t="s">
        <v>545</v>
      </c>
      <c r="M69" s="30"/>
      <c r="N69" s="33" t="s">
        <v>545</v>
      </c>
      <c r="O69" s="200" t="s">
        <v>545</v>
      </c>
      <c r="P69" s="30"/>
      <c r="Q69" s="33" t="s">
        <v>545</v>
      </c>
      <c r="R69" s="200" t="s">
        <v>545</v>
      </c>
    </row>
    <row r="70" spans="1:18">
      <c r="A70" s="29">
        <v>47900062</v>
      </c>
      <c r="B70" s="200" t="s">
        <v>679</v>
      </c>
      <c r="C70" s="172" t="s">
        <v>2236</v>
      </c>
      <c r="D70" s="30" t="s">
        <v>475</v>
      </c>
      <c r="E70" s="33">
        <v>100001</v>
      </c>
      <c r="F70" s="200">
        <v>10000</v>
      </c>
      <c r="G70" s="30" t="s">
        <v>475</v>
      </c>
      <c r="H70" s="33">
        <v>100001</v>
      </c>
      <c r="I70" s="200">
        <v>50000</v>
      </c>
      <c r="J70" s="30"/>
      <c r="K70" s="33" t="s">
        <v>545</v>
      </c>
      <c r="L70" s="200" t="s">
        <v>545</v>
      </c>
      <c r="M70" s="30"/>
      <c r="N70" s="33" t="s">
        <v>545</v>
      </c>
      <c r="O70" s="200" t="s">
        <v>545</v>
      </c>
      <c r="P70" s="30"/>
      <c r="Q70" s="33" t="s">
        <v>545</v>
      </c>
      <c r="R70" s="200" t="s">
        <v>545</v>
      </c>
    </row>
    <row r="71" spans="1:18">
      <c r="A71" s="29">
        <v>47900063</v>
      </c>
      <c r="B71" s="200" t="s">
        <v>683</v>
      </c>
      <c r="C71" s="173" t="s">
        <v>2237</v>
      </c>
      <c r="D71" s="30" t="s">
        <v>475</v>
      </c>
      <c r="E71" s="33">
        <v>100001</v>
      </c>
      <c r="F71" s="200">
        <v>10000</v>
      </c>
      <c r="G71" s="30" t="s">
        <v>475</v>
      </c>
      <c r="H71" s="33">
        <v>100001</v>
      </c>
      <c r="I71" s="200">
        <v>50000</v>
      </c>
      <c r="J71" s="30"/>
      <c r="K71" s="33" t="s">
        <v>545</v>
      </c>
      <c r="L71" s="200" t="s">
        <v>545</v>
      </c>
      <c r="M71" s="30"/>
      <c r="N71" s="33" t="s">
        <v>545</v>
      </c>
      <c r="O71" s="200" t="s">
        <v>545</v>
      </c>
      <c r="P71" s="30"/>
      <c r="Q71" s="33" t="s">
        <v>545</v>
      </c>
      <c r="R71" s="200" t="s">
        <v>545</v>
      </c>
    </row>
    <row r="72" spans="1:18">
      <c r="A72" s="29">
        <v>47900064</v>
      </c>
      <c r="B72" s="200" t="s">
        <v>685</v>
      </c>
      <c r="C72" s="174" t="s">
        <v>2238</v>
      </c>
      <c r="D72" s="30" t="s">
        <v>475</v>
      </c>
      <c r="E72" s="33">
        <v>100001</v>
      </c>
      <c r="F72" s="200">
        <v>10000</v>
      </c>
      <c r="G72" s="30" t="s">
        <v>475</v>
      </c>
      <c r="H72" s="33">
        <v>100001</v>
      </c>
      <c r="I72" s="200">
        <v>250000</v>
      </c>
      <c r="J72" s="30"/>
      <c r="K72" s="33" t="s">
        <v>545</v>
      </c>
      <c r="L72" s="200" t="s">
        <v>545</v>
      </c>
      <c r="M72" s="30"/>
      <c r="N72" s="33" t="s">
        <v>545</v>
      </c>
      <c r="O72" s="200" t="s">
        <v>545</v>
      </c>
      <c r="P72" s="30"/>
      <c r="Q72" s="33" t="s">
        <v>545</v>
      </c>
      <c r="R72" s="200" t="s">
        <v>545</v>
      </c>
    </row>
    <row r="73" spans="1:18">
      <c r="A73" s="29">
        <v>47900065</v>
      </c>
      <c r="B73" s="200" t="s">
        <v>689</v>
      </c>
      <c r="C73" s="175" t="s">
        <v>2239</v>
      </c>
      <c r="D73" s="30" t="s">
        <v>475</v>
      </c>
      <c r="E73" s="33">
        <v>100001</v>
      </c>
      <c r="F73" s="200">
        <v>10000</v>
      </c>
      <c r="G73" s="30" t="s">
        <v>475</v>
      </c>
      <c r="H73" s="33">
        <v>100001</v>
      </c>
      <c r="I73" s="200">
        <v>250000</v>
      </c>
      <c r="J73" s="30"/>
      <c r="K73" s="33" t="s">
        <v>545</v>
      </c>
      <c r="L73" s="200" t="s">
        <v>545</v>
      </c>
      <c r="M73" s="30"/>
      <c r="N73" s="33" t="s">
        <v>545</v>
      </c>
      <c r="O73" s="200" t="s">
        <v>545</v>
      </c>
      <c r="P73" s="30"/>
      <c r="Q73" s="33" t="s">
        <v>545</v>
      </c>
      <c r="R73" s="200" t="s">
        <v>545</v>
      </c>
    </row>
    <row r="74" spans="1:18">
      <c r="A74" s="29">
        <v>47900066</v>
      </c>
      <c r="B74" s="200" t="s">
        <v>691</v>
      </c>
      <c r="C74" s="176" t="s">
        <v>2240</v>
      </c>
      <c r="D74" s="30" t="s">
        <v>475</v>
      </c>
      <c r="E74" s="33">
        <v>100001</v>
      </c>
      <c r="F74" s="200">
        <v>10000</v>
      </c>
      <c r="G74" s="30" t="s">
        <v>475</v>
      </c>
      <c r="H74" s="33">
        <v>100001</v>
      </c>
      <c r="I74" s="200">
        <v>250000</v>
      </c>
      <c r="J74" s="30"/>
      <c r="K74" s="33" t="s">
        <v>545</v>
      </c>
      <c r="L74" s="200" t="s">
        <v>545</v>
      </c>
      <c r="M74" s="30"/>
      <c r="N74" s="33" t="s">
        <v>545</v>
      </c>
      <c r="O74" s="200" t="s">
        <v>545</v>
      </c>
      <c r="P74" s="30"/>
      <c r="Q74" s="33" t="s">
        <v>545</v>
      </c>
      <c r="R74" s="200" t="s">
        <v>545</v>
      </c>
    </row>
    <row r="75" spans="1:18">
      <c r="A75" s="29">
        <v>47900067</v>
      </c>
      <c r="B75" s="200" t="s">
        <v>693</v>
      </c>
      <c r="C75" s="177" t="s">
        <v>2241</v>
      </c>
      <c r="D75" s="30" t="s">
        <v>475</v>
      </c>
      <c r="E75" s="33">
        <v>100001</v>
      </c>
      <c r="F75" s="200">
        <v>10000</v>
      </c>
      <c r="G75" s="30" t="s">
        <v>475</v>
      </c>
      <c r="H75" s="33">
        <v>100001</v>
      </c>
      <c r="I75" s="200">
        <v>50000</v>
      </c>
      <c r="J75" s="30"/>
      <c r="K75" s="33" t="s">
        <v>545</v>
      </c>
      <c r="L75" s="200" t="s">
        <v>545</v>
      </c>
      <c r="M75" s="30"/>
      <c r="N75" s="33" t="s">
        <v>545</v>
      </c>
      <c r="O75" s="200" t="s">
        <v>545</v>
      </c>
      <c r="P75" s="30"/>
      <c r="Q75" s="33" t="s">
        <v>545</v>
      </c>
      <c r="R75" s="200" t="s">
        <v>545</v>
      </c>
    </row>
    <row r="76" spans="1:18">
      <c r="A76" s="29">
        <v>47900068</v>
      </c>
      <c r="B76" s="200" t="s">
        <v>697</v>
      </c>
      <c r="C76" s="178" t="s">
        <v>2242</v>
      </c>
      <c r="D76" s="30" t="s">
        <v>475</v>
      </c>
      <c r="E76" s="33">
        <v>100001</v>
      </c>
      <c r="F76" s="200">
        <v>10000</v>
      </c>
      <c r="G76" s="30" t="s">
        <v>475</v>
      </c>
      <c r="H76" s="33">
        <v>100001</v>
      </c>
      <c r="I76" s="200">
        <v>250000</v>
      </c>
      <c r="J76" s="30"/>
      <c r="K76" s="33" t="s">
        <v>545</v>
      </c>
      <c r="L76" s="200" t="s">
        <v>545</v>
      </c>
      <c r="M76" s="30"/>
      <c r="N76" s="33" t="s">
        <v>545</v>
      </c>
      <c r="O76" s="200" t="s">
        <v>545</v>
      </c>
      <c r="P76" s="30"/>
      <c r="Q76" s="33" t="s">
        <v>545</v>
      </c>
      <c r="R76" s="200" t="s">
        <v>545</v>
      </c>
    </row>
    <row r="77" spans="1:18">
      <c r="A77" s="29">
        <v>47900069</v>
      </c>
      <c r="B77" s="200" t="s">
        <v>701</v>
      </c>
      <c r="C77" s="179" t="s">
        <v>2243</v>
      </c>
      <c r="D77" s="30" t="s">
        <v>475</v>
      </c>
      <c r="E77" s="33">
        <v>100001</v>
      </c>
      <c r="F77" s="200">
        <v>10000</v>
      </c>
      <c r="G77" s="30" t="s">
        <v>475</v>
      </c>
      <c r="H77" s="33">
        <v>100001</v>
      </c>
      <c r="I77" s="200">
        <v>50000</v>
      </c>
      <c r="J77" s="30"/>
      <c r="K77" s="33" t="s">
        <v>545</v>
      </c>
      <c r="L77" s="200" t="s">
        <v>545</v>
      </c>
      <c r="M77" s="30"/>
      <c r="N77" s="33" t="s">
        <v>545</v>
      </c>
      <c r="O77" s="200" t="s">
        <v>545</v>
      </c>
      <c r="P77" s="30"/>
      <c r="Q77" s="33" t="s">
        <v>545</v>
      </c>
      <c r="R77" s="200" t="s">
        <v>545</v>
      </c>
    </row>
    <row r="78" spans="1:18">
      <c r="A78" s="29">
        <v>47900070</v>
      </c>
      <c r="B78" s="200" t="s">
        <v>703</v>
      </c>
      <c r="C78" s="180" t="s">
        <v>2244</v>
      </c>
      <c r="D78" s="30" t="s">
        <v>475</v>
      </c>
      <c r="E78" s="33">
        <v>100001</v>
      </c>
      <c r="F78" s="200">
        <v>10000</v>
      </c>
      <c r="G78" s="30" t="s">
        <v>475</v>
      </c>
      <c r="H78" s="33">
        <v>100001</v>
      </c>
      <c r="I78" s="200">
        <v>50000</v>
      </c>
      <c r="J78" s="30"/>
      <c r="K78" s="33" t="s">
        <v>545</v>
      </c>
      <c r="L78" s="200" t="s">
        <v>545</v>
      </c>
      <c r="M78" s="30"/>
      <c r="N78" s="33" t="s">
        <v>545</v>
      </c>
      <c r="O78" s="200" t="s">
        <v>545</v>
      </c>
      <c r="P78" s="30"/>
      <c r="Q78" s="33" t="s">
        <v>545</v>
      </c>
      <c r="R78" s="200" t="s">
        <v>545</v>
      </c>
    </row>
    <row r="79" spans="1:18">
      <c r="A79" s="29">
        <v>47900071</v>
      </c>
      <c r="B79" s="200" t="s">
        <v>705</v>
      </c>
      <c r="C79" s="181" t="s">
        <v>2245</v>
      </c>
      <c r="D79" s="30" t="s">
        <v>475</v>
      </c>
      <c r="E79" s="33">
        <v>100001</v>
      </c>
      <c r="F79" s="200">
        <v>10000</v>
      </c>
      <c r="G79" s="30" t="s">
        <v>475</v>
      </c>
      <c r="H79" s="33">
        <v>100001</v>
      </c>
      <c r="I79" s="200">
        <v>50000</v>
      </c>
      <c r="J79" s="30"/>
      <c r="K79" s="33" t="s">
        <v>545</v>
      </c>
      <c r="L79" s="200" t="s">
        <v>545</v>
      </c>
      <c r="M79" s="30"/>
      <c r="N79" s="33" t="s">
        <v>545</v>
      </c>
      <c r="O79" s="200" t="s">
        <v>545</v>
      </c>
      <c r="P79" s="30"/>
      <c r="Q79" s="33" t="s">
        <v>545</v>
      </c>
      <c r="R79" s="200" t="s">
        <v>545</v>
      </c>
    </row>
    <row r="80" spans="1:18">
      <c r="A80" s="29">
        <v>47900072</v>
      </c>
      <c r="B80" s="200" t="s">
        <v>709</v>
      </c>
      <c r="C80" s="182" t="s">
        <v>2246</v>
      </c>
      <c r="D80" s="30" t="s">
        <v>475</v>
      </c>
      <c r="E80" s="33">
        <v>100001</v>
      </c>
      <c r="F80" s="200">
        <v>10000</v>
      </c>
      <c r="G80" s="30" t="s">
        <v>475</v>
      </c>
      <c r="H80" s="33">
        <v>100001</v>
      </c>
      <c r="I80" s="200">
        <v>1300000</v>
      </c>
      <c r="J80" s="30"/>
      <c r="K80" s="33" t="s">
        <v>545</v>
      </c>
      <c r="L80" s="200" t="s">
        <v>545</v>
      </c>
      <c r="M80" s="30"/>
      <c r="N80" s="33" t="s">
        <v>545</v>
      </c>
      <c r="O80" s="200" t="s">
        <v>545</v>
      </c>
      <c r="P80" s="30"/>
      <c r="Q80" s="33" t="s">
        <v>545</v>
      </c>
      <c r="R80" s="200" t="s">
        <v>545</v>
      </c>
    </row>
    <row r="81" spans="1:18">
      <c r="A81" s="29">
        <v>47900073</v>
      </c>
      <c r="B81" s="200" t="s">
        <v>2265</v>
      </c>
      <c r="C81" s="184" t="s">
        <v>2247</v>
      </c>
      <c r="D81" s="30" t="s">
        <v>475</v>
      </c>
      <c r="E81" s="33">
        <v>100001</v>
      </c>
      <c r="F81" s="200">
        <v>10000</v>
      </c>
      <c r="G81" s="30" t="s">
        <v>475</v>
      </c>
      <c r="H81" s="33">
        <v>100001</v>
      </c>
      <c r="I81" s="200">
        <v>250000</v>
      </c>
      <c r="J81" s="30"/>
      <c r="K81" s="33" t="s">
        <v>545</v>
      </c>
      <c r="L81" s="200" t="s">
        <v>545</v>
      </c>
      <c r="M81" s="30"/>
      <c r="N81" s="33" t="s">
        <v>545</v>
      </c>
      <c r="O81" s="200" t="s">
        <v>545</v>
      </c>
      <c r="P81" s="30"/>
      <c r="Q81" s="33" t="s">
        <v>545</v>
      </c>
      <c r="R81" s="200" t="s">
        <v>545</v>
      </c>
    </row>
    <row r="82" spans="1:18">
      <c r="A82" s="29">
        <v>47900074</v>
      </c>
      <c r="B82" s="200" t="s">
        <v>2266</v>
      </c>
      <c r="C82" s="183" t="s">
        <v>2248</v>
      </c>
      <c r="D82" s="30" t="s">
        <v>475</v>
      </c>
      <c r="E82" s="33">
        <v>100001</v>
      </c>
      <c r="F82" s="200">
        <v>10000</v>
      </c>
      <c r="G82" s="30" t="s">
        <v>475</v>
      </c>
      <c r="H82" s="33">
        <v>100001</v>
      </c>
      <c r="I82" s="200">
        <v>50000</v>
      </c>
      <c r="J82" s="30"/>
      <c r="K82" s="33" t="s">
        <v>545</v>
      </c>
      <c r="L82" s="200" t="s">
        <v>545</v>
      </c>
      <c r="M82" s="30"/>
      <c r="N82" s="33" t="s">
        <v>545</v>
      </c>
      <c r="O82" s="200" t="s">
        <v>545</v>
      </c>
      <c r="P82" s="30"/>
      <c r="Q82" s="33" t="s">
        <v>545</v>
      </c>
      <c r="R82" s="200" t="s">
        <v>545</v>
      </c>
    </row>
    <row r="83" spans="1:18">
      <c r="A83" s="29">
        <v>47900075</v>
      </c>
      <c r="B83" s="200" t="s">
        <v>2267</v>
      </c>
      <c r="C83" s="185" t="s">
        <v>2249</v>
      </c>
      <c r="D83" s="30" t="s">
        <v>475</v>
      </c>
      <c r="E83" s="33">
        <v>100001</v>
      </c>
      <c r="F83" s="200">
        <v>10000</v>
      </c>
      <c r="G83" s="30" t="s">
        <v>475</v>
      </c>
      <c r="H83" s="33">
        <v>100001</v>
      </c>
      <c r="I83" s="200">
        <v>50000</v>
      </c>
      <c r="J83" s="30"/>
      <c r="K83" s="33" t="s">
        <v>545</v>
      </c>
      <c r="L83" s="200" t="s">
        <v>545</v>
      </c>
      <c r="M83" s="30"/>
      <c r="N83" s="33" t="s">
        <v>545</v>
      </c>
      <c r="O83" s="200" t="s">
        <v>545</v>
      </c>
      <c r="P83" s="30"/>
      <c r="Q83" s="33" t="s">
        <v>545</v>
      </c>
      <c r="R83" s="200" t="s">
        <v>545</v>
      </c>
    </row>
    <row r="84" spans="1:18">
      <c r="A84" s="29">
        <v>47900076</v>
      </c>
      <c r="B84" s="200" t="s">
        <v>2269</v>
      </c>
      <c r="C84" s="186" t="s">
        <v>2250</v>
      </c>
      <c r="D84" s="30" t="s">
        <v>475</v>
      </c>
      <c r="E84" s="33">
        <v>100001</v>
      </c>
      <c r="F84" s="200">
        <v>10000</v>
      </c>
      <c r="G84" s="30" t="s">
        <v>475</v>
      </c>
      <c r="H84" s="33">
        <v>100001</v>
      </c>
      <c r="I84" s="200">
        <v>250000</v>
      </c>
      <c r="J84" s="30"/>
      <c r="K84" s="33" t="s">
        <v>545</v>
      </c>
      <c r="L84" s="200" t="s">
        <v>545</v>
      </c>
      <c r="M84" s="30"/>
      <c r="N84" s="33" t="s">
        <v>545</v>
      </c>
      <c r="O84" s="200" t="s">
        <v>545</v>
      </c>
      <c r="P84" s="30"/>
      <c r="Q84" s="33" t="s">
        <v>545</v>
      </c>
      <c r="R84" s="200" t="s">
        <v>545</v>
      </c>
    </row>
    <row r="85" spans="1:18">
      <c r="A85" s="29">
        <v>47900077</v>
      </c>
      <c r="B85" s="200" t="s">
        <v>2271</v>
      </c>
      <c r="C85" s="187" t="s">
        <v>2251</v>
      </c>
      <c r="D85" s="30" t="s">
        <v>475</v>
      </c>
      <c r="E85" s="33">
        <v>100001</v>
      </c>
      <c r="F85" s="200">
        <v>10000</v>
      </c>
      <c r="G85" s="30" t="s">
        <v>475</v>
      </c>
      <c r="H85" s="33">
        <v>100001</v>
      </c>
      <c r="I85" s="200">
        <v>50000</v>
      </c>
      <c r="J85" s="30"/>
      <c r="K85" s="33" t="s">
        <v>545</v>
      </c>
      <c r="L85" s="200" t="s">
        <v>545</v>
      </c>
      <c r="M85" s="30"/>
      <c r="N85" s="33" t="s">
        <v>545</v>
      </c>
      <c r="O85" s="200" t="s">
        <v>545</v>
      </c>
      <c r="P85" s="30"/>
      <c r="Q85" s="33" t="s">
        <v>545</v>
      </c>
      <c r="R85" s="200" t="s">
        <v>545</v>
      </c>
    </row>
    <row r="86" spans="1:18">
      <c r="A86" s="29">
        <v>47900078</v>
      </c>
      <c r="B86" s="200" t="s">
        <v>2272</v>
      </c>
      <c r="C86" s="188" t="s">
        <v>2252</v>
      </c>
      <c r="D86" s="30" t="s">
        <v>475</v>
      </c>
      <c r="E86" s="33">
        <v>100001</v>
      </c>
      <c r="F86" s="200">
        <v>10000</v>
      </c>
      <c r="G86" s="30" t="s">
        <v>475</v>
      </c>
      <c r="H86" s="33">
        <v>100001</v>
      </c>
      <c r="I86" s="200">
        <v>250000</v>
      </c>
      <c r="J86" s="30"/>
      <c r="K86" s="33" t="s">
        <v>545</v>
      </c>
      <c r="L86" s="200" t="s">
        <v>545</v>
      </c>
      <c r="M86" s="30"/>
      <c r="N86" s="33" t="s">
        <v>545</v>
      </c>
      <c r="O86" s="200" t="s">
        <v>545</v>
      </c>
      <c r="P86" s="30"/>
      <c r="Q86" s="33" t="s">
        <v>545</v>
      </c>
      <c r="R86" s="200" t="s">
        <v>545</v>
      </c>
    </row>
    <row r="87" spans="1:18">
      <c r="A87" s="29">
        <v>47900079</v>
      </c>
      <c r="B87" s="200" t="s">
        <v>2273</v>
      </c>
      <c r="C87" s="189" t="s">
        <v>2253</v>
      </c>
      <c r="D87" s="30" t="s">
        <v>475</v>
      </c>
      <c r="E87" s="33">
        <v>100001</v>
      </c>
      <c r="F87" s="200">
        <v>10000</v>
      </c>
      <c r="G87" s="30" t="s">
        <v>475</v>
      </c>
      <c r="H87" s="33">
        <v>100001</v>
      </c>
      <c r="I87" s="200">
        <v>250000</v>
      </c>
      <c r="J87" s="30"/>
      <c r="K87" s="33" t="s">
        <v>545</v>
      </c>
      <c r="L87" s="200" t="s">
        <v>545</v>
      </c>
      <c r="M87" s="30"/>
      <c r="N87" s="33" t="s">
        <v>545</v>
      </c>
      <c r="O87" s="200" t="s">
        <v>545</v>
      </c>
      <c r="P87" s="30"/>
      <c r="Q87" s="33" t="s">
        <v>545</v>
      </c>
      <c r="R87" s="200" t="s">
        <v>545</v>
      </c>
    </row>
    <row r="88" spans="1:18">
      <c r="A88" s="29">
        <v>47900080</v>
      </c>
      <c r="B88" s="200" t="s">
        <v>2275</v>
      </c>
      <c r="C88" s="190" t="s">
        <v>2254</v>
      </c>
      <c r="D88" s="30" t="s">
        <v>475</v>
      </c>
      <c r="E88" s="33">
        <v>100001</v>
      </c>
      <c r="F88" s="200">
        <v>10000</v>
      </c>
      <c r="G88" s="30" t="s">
        <v>475</v>
      </c>
      <c r="H88" s="33">
        <v>100001</v>
      </c>
      <c r="I88" s="200">
        <v>50000</v>
      </c>
      <c r="J88" s="30"/>
      <c r="K88" s="33" t="s">
        <v>545</v>
      </c>
      <c r="L88" s="200" t="s">
        <v>545</v>
      </c>
      <c r="M88" s="30"/>
      <c r="N88" s="33" t="s">
        <v>545</v>
      </c>
      <c r="O88" s="200" t="s">
        <v>545</v>
      </c>
      <c r="P88" s="30"/>
      <c r="Q88" s="33" t="s">
        <v>545</v>
      </c>
      <c r="R88" s="200" t="s">
        <v>545</v>
      </c>
    </row>
    <row r="89" spans="1:18">
      <c r="A89" s="29">
        <v>47900081</v>
      </c>
      <c r="B89" s="200" t="s">
        <v>2277</v>
      </c>
      <c r="C89" s="191" t="s">
        <v>2255</v>
      </c>
      <c r="D89" s="30" t="s">
        <v>475</v>
      </c>
      <c r="E89" s="33">
        <v>100001</v>
      </c>
      <c r="F89" s="200">
        <v>10000</v>
      </c>
      <c r="G89" s="30" t="s">
        <v>475</v>
      </c>
      <c r="H89" s="33">
        <v>100001</v>
      </c>
      <c r="I89" s="200">
        <v>1300000</v>
      </c>
      <c r="J89" s="30"/>
      <c r="K89" s="33" t="s">
        <v>545</v>
      </c>
      <c r="L89" s="200" t="s">
        <v>545</v>
      </c>
      <c r="M89" s="30"/>
      <c r="N89" s="33" t="s">
        <v>545</v>
      </c>
      <c r="O89" s="200" t="s">
        <v>545</v>
      </c>
      <c r="P89" s="30"/>
      <c r="Q89" s="33" t="s">
        <v>545</v>
      </c>
      <c r="R89" s="200" t="s">
        <v>545</v>
      </c>
    </row>
    <row r="90" spans="1:18">
      <c r="A90" s="29">
        <v>47900082</v>
      </c>
      <c r="B90" s="200" t="s">
        <v>2278</v>
      </c>
      <c r="C90" s="192" t="s">
        <v>2256</v>
      </c>
      <c r="D90" s="30" t="s">
        <v>475</v>
      </c>
      <c r="E90" s="33">
        <v>100001</v>
      </c>
      <c r="F90" s="200">
        <v>10000</v>
      </c>
      <c r="G90" s="30" t="s">
        <v>475</v>
      </c>
      <c r="H90" s="33">
        <v>100001</v>
      </c>
      <c r="I90" s="200">
        <v>250000</v>
      </c>
      <c r="J90" s="30"/>
      <c r="K90" s="33" t="s">
        <v>545</v>
      </c>
      <c r="L90" s="200" t="s">
        <v>545</v>
      </c>
      <c r="M90" s="30"/>
      <c r="N90" s="33" t="s">
        <v>545</v>
      </c>
      <c r="O90" s="200" t="s">
        <v>545</v>
      </c>
      <c r="P90" s="30"/>
      <c r="Q90" s="33" t="s">
        <v>545</v>
      </c>
      <c r="R90" s="200" t="s">
        <v>545</v>
      </c>
    </row>
    <row r="91" spans="1:18">
      <c r="A91" s="29">
        <v>47900083</v>
      </c>
      <c r="B91" s="200" t="s">
        <v>2279</v>
      </c>
      <c r="C91" s="193" t="s">
        <v>2257</v>
      </c>
      <c r="D91" s="30" t="s">
        <v>475</v>
      </c>
      <c r="E91" s="33">
        <v>100001</v>
      </c>
      <c r="F91" s="200">
        <v>10000</v>
      </c>
      <c r="G91" s="30" t="s">
        <v>475</v>
      </c>
      <c r="H91" s="33">
        <v>100001</v>
      </c>
      <c r="I91" s="200">
        <v>50000</v>
      </c>
      <c r="J91" s="30"/>
      <c r="K91" s="33" t="s">
        <v>545</v>
      </c>
      <c r="L91" s="200" t="s">
        <v>545</v>
      </c>
      <c r="M91" s="30"/>
      <c r="N91" s="33" t="s">
        <v>545</v>
      </c>
      <c r="O91" s="200" t="s">
        <v>545</v>
      </c>
      <c r="P91" s="30"/>
      <c r="Q91" s="33" t="s">
        <v>545</v>
      </c>
      <c r="R91" s="200" t="s">
        <v>545</v>
      </c>
    </row>
    <row r="92" spans="1:18">
      <c r="A92" s="29">
        <v>47900084</v>
      </c>
      <c r="B92" s="200" t="s">
        <v>2281</v>
      </c>
      <c r="C92" s="194" t="s">
        <v>2258</v>
      </c>
      <c r="D92" s="30" t="s">
        <v>475</v>
      </c>
      <c r="E92" s="33">
        <v>100001</v>
      </c>
      <c r="F92" s="200">
        <v>10000</v>
      </c>
      <c r="G92" s="30" t="s">
        <v>475</v>
      </c>
      <c r="H92" s="33">
        <v>100001</v>
      </c>
      <c r="I92" s="200">
        <v>50000</v>
      </c>
      <c r="J92" s="30"/>
      <c r="K92" s="33" t="s">
        <v>545</v>
      </c>
      <c r="L92" s="200" t="s">
        <v>545</v>
      </c>
      <c r="M92" s="30"/>
      <c r="N92" s="33" t="s">
        <v>545</v>
      </c>
      <c r="O92" s="200" t="s">
        <v>545</v>
      </c>
      <c r="P92" s="30"/>
      <c r="Q92" s="33" t="s">
        <v>545</v>
      </c>
      <c r="R92" s="200" t="s">
        <v>545</v>
      </c>
    </row>
    <row r="93" spans="1:18">
      <c r="A93" s="29">
        <v>47900085</v>
      </c>
      <c r="B93" s="200" t="s">
        <v>2283</v>
      </c>
      <c r="C93" s="195" t="s">
        <v>2259</v>
      </c>
      <c r="D93" s="30" t="s">
        <v>475</v>
      </c>
      <c r="E93" s="33">
        <v>100001</v>
      </c>
      <c r="F93" s="200">
        <v>10000</v>
      </c>
      <c r="G93" s="30" t="s">
        <v>475</v>
      </c>
      <c r="H93" s="33">
        <v>100001</v>
      </c>
      <c r="I93" s="200">
        <v>250000</v>
      </c>
      <c r="J93" s="30"/>
      <c r="K93" s="33" t="s">
        <v>545</v>
      </c>
      <c r="L93" s="200" t="s">
        <v>545</v>
      </c>
      <c r="M93" s="30"/>
      <c r="N93" s="33" t="s">
        <v>545</v>
      </c>
      <c r="O93" s="200" t="s">
        <v>545</v>
      </c>
      <c r="P93" s="30"/>
      <c r="Q93" s="33" t="s">
        <v>545</v>
      </c>
      <c r="R93" s="200" t="s">
        <v>545</v>
      </c>
    </row>
    <row r="94" spans="1:18">
      <c r="A94" s="29">
        <v>47900086</v>
      </c>
      <c r="B94" s="200" t="s">
        <v>2284</v>
      </c>
      <c r="C94" s="196" t="s">
        <v>2260</v>
      </c>
      <c r="D94" s="30" t="s">
        <v>475</v>
      </c>
      <c r="E94" s="33">
        <v>100001</v>
      </c>
      <c r="F94" s="200">
        <v>10000</v>
      </c>
      <c r="G94" s="30" t="s">
        <v>475</v>
      </c>
      <c r="H94" s="33">
        <v>100001</v>
      </c>
      <c r="I94" s="200">
        <v>50000</v>
      </c>
      <c r="J94" s="30"/>
      <c r="K94" s="33" t="s">
        <v>545</v>
      </c>
      <c r="L94" s="200" t="s">
        <v>545</v>
      </c>
      <c r="M94" s="30"/>
      <c r="N94" s="33" t="s">
        <v>545</v>
      </c>
      <c r="O94" s="200" t="s">
        <v>545</v>
      </c>
      <c r="P94" s="30"/>
      <c r="Q94" s="33" t="s">
        <v>545</v>
      </c>
      <c r="R94" s="200" t="s">
        <v>545</v>
      </c>
    </row>
    <row r="95" spans="1:18">
      <c r="A95" s="29">
        <v>47900087</v>
      </c>
      <c r="B95" s="200" t="s">
        <v>2285</v>
      </c>
      <c r="C95" s="197" t="s">
        <v>2261</v>
      </c>
      <c r="D95" s="30" t="s">
        <v>475</v>
      </c>
      <c r="E95" s="33">
        <v>100001</v>
      </c>
      <c r="F95" s="200">
        <v>10000</v>
      </c>
      <c r="G95" s="30" t="s">
        <v>475</v>
      </c>
      <c r="H95" s="33">
        <v>100001</v>
      </c>
      <c r="I95" s="200">
        <v>250000</v>
      </c>
      <c r="J95" s="30"/>
      <c r="K95" s="33" t="s">
        <v>545</v>
      </c>
      <c r="L95" s="200" t="s">
        <v>545</v>
      </c>
      <c r="M95" s="30"/>
      <c r="N95" s="33" t="s">
        <v>545</v>
      </c>
      <c r="O95" s="200" t="s">
        <v>545</v>
      </c>
      <c r="P95" s="30"/>
      <c r="Q95" s="33" t="s">
        <v>545</v>
      </c>
      <c r="R95" s="200" t="s">
        <v>545</v>
      </c>
    </row>
    <row r="96" spans="1:18">
      <c r="A96" s="29">
        <v>47900088</v>
      </c>
      <c r="B96" s="200" t="s">
        <v>2287</v>
      </c>
      <c r="C96" s="198" t="s">
        <v>2262</v>
      </c>
      <c r="D96" s="30" t="s">
        <v>475</v>
      </c>
      <c r="E96" s="33">
        <v>100001</v>
      </c>
      <c r="F96" s="200">
        <v>10000</v>
      </c>
      <c r="G96" s="30" t="s">
        <v>475</v>
      </c>
      <c r="H96" s="33">
        <v>100001</v>
      </c>
      <c r="I96" s="200">
        <v>250000</v>
      </c>
      <c r="J96" s="30"/>
      <c r="K96" s="33" t="s">
        <v>545</v>
      </c>
      <c r="L96" s="200" t="s">
        <v>545</v>
      </c>
      <c r="M96" s="30"/>
      <c r="N96" s="33" t="s">
        <v>545</v>
      </c>
      <c r="O96" s="200" t="s">
        <v>545</v>
      </c>
      <c r="P96" s="30"/>
      <c r="Q96" s="33" t="s">
        <v>545</v>
      </c>
      <c r="R96" s="200" t="s">
        <v>545</v>
      </c>
    </row>
    <row r="97" spans="1:19">
      <c r="A97" s="29">
        <v>47900089</v>
      </c>
      <c r="B97" s="200" t="s">
        <v>2289</v>
      </c>
      <c r="C97" s="199" t="s">
        <v>2263</v>
      </c>
      <c r="D97" s="30" t="s">
        <v>475</v>
      </c>
      <c r="E97" s="33">
        <v>100001</v>
      </c>
      <c r="F97" s="200">
        <v>10000</v>
      </c>
      <c r="G97" s="30" t="s">
        <v>475</v>
      </c>
      <c r="H97" s="33">
        <v>100001</v>
      </c>
      <c r="I97" s="200">
        <v>50000</v>
      </c>
      <c r="J97" s="30"/>
      <c r="K97" s="33" t="s">
        <v>545</v>
      </c>
      <c r="L97" s="200" t="s">
        <v>545</v>
      </c>
      <c r="M97" s="30"/>
      <c r="N97" s="33" t="s">
        <v>545</v>
      </c>
      <c r="O97" s="200" t="s">
        <v>545</v>
      </c>
      <c r="P97" s="30"/>
      <c r="Q97" s="33" t="s">
        <v>545</v>
      </c>
      <c r="R97" s="200" t="s">
        <v>545</v>
      </c>
    </row>
    <row r="98" spans="1:19">
      <c r="A98" s="29">
        <v>47900090</v>
      </c>
      <c r="B98" s="200" t="s">
        <v>2290</v>
      </c>
      <c r="C98" s="35" t="s">
        <v>630</v>
      </c>
      <c r="D98" s="30" t="s">
        <v>475</v>
      </c>
      <c r="E98" s="33">
        <v>100001</v>
      </c>
      <c r="F98" s="200">
        <v>10000</v>
      </c>
      <c r="G98" s="30" t="s">
        <v>475</v>
      </c>
      <c r="H98" s="33">
        <v>100001</v>
      </c>
      <c r="I98" s="200">
        <v>250000</v>
      </c>
      <c r="J98" s="30"/>
      <c r="K98" s="33" t="s">
        <v>545</v>
      </c>
      <c r="L98" s="200" t="s">
        <v>545</v>
      </c>
      <c r="M98" s="30"/>
      <c r="N98" s="33" t="s">
        <v>545</v>
      </c>
      <c r="O98" s="200" t="s">
        <v>545</v>
      </c>
      <c r="P98" s="30"/>
      <c r="Q98" s="33" t="s">
        <v>545</v>
      </c>
      <c r="R98" s="200" t="s">
        <v>545</v>
      </c>
    </row>
    <row r="99" spans="1:19">
      <c r="A99" s="31"/>
      <c r="B99" s="32"/>
      <c r="C99" s="32"/>
      <c r="D99" s="32"/>
      <c r="E99" s="32"/>
      <c r="F99" s="32"/>
      <c r="G99" s="32"/>
      <c r="H99" s="32"/>
      <c r="I99" s="32"/>
      <c r="J99" s="32"/>
      <c r="K99" s="32"/>
      <c r="L99" s="32"/>
      <c r="M99" s="32"/>
      <c r="N99" s="32"/>
      <c r="O99" s="32"/>
      <c r="P99" s="32"/>
      <c r="Q99" s="32"/>
      <c r="R99" s="32"/>
      <c r="S99" s="27" t="s">
        <v>8</v>
      </c>
    </row>
  </sheetData>
  <phoneticPr fontId="5" type="noConversion"/>
  <pageMargins left="0.7" right="0.7" top="0.75" bottom="0.75" header="0.3" footer="0.3"/>
  <pageSetup paperSize="9" orientation="portrait" verticalDpi="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8">
    <tabColor rgb="FFFFFF00"/>
  </sheetPr>
  <dimension ref="B1:M28"/>
  <sheetViews>
    <sheetView workbookViewId="0">
      <selection activeCell="B8" sqref="B8"/>
    </sheetView>
  </sheetViews>
  <sheetFormatPr defaultColWidth="9.140625" defaultRowHeight="13.5"/>
  <cols>
    <col min="1" max="1" width="2.42578125" style="16" customWidth="1"/>
    <col min="2" max="2" width="22.42578125" style="16" customWidth="1"/>
    <col min="3" max="3" width="4.42578125" style="16" bestFit="1" customWidth="1"/>
    <col min="4" max="4" width="2.42578125" style="16" customWidth="1"/>
    <col min="5" max="5" width="22.42578125" style="16" customWidth="1"/>
    <col min="6" max="6" width="4.7109375" style="16" bestFit="1" customWidth="1"/>
    <col min="7" max="7" width="9.140625" style="16"/>
    <col min="8" max="8" width="19.5703125" style="16" customWidth="1"/>
    <col min="9" max="9" width="4.42578125" style="16" bestFit="1" customWidth="1"/>
    <col min="10" max="10" width="15.140625" style="16" customWidth="1"/>
    <col min="11" max="11" width="19.5703125" style="16" customWidth="1"/>
    <col min="12" max="12" width="4.42578125" style="16" bestFit="1" customWidth="1"/>
    <col min="13" max="13" width="15.140625" style="16" customWidth="1"/>
    <col min="14" max="16384" width="9.140625" style="16"/>
  </cols>
  <sheetData>
    <row r="1" spans="2:13">
      <c r="B1" s="14" t="s">
        <v>11</v>
      </c>
      <c r="C1" s="14" t="s">
        <v>9</v>
      </c>
      <c r="E1" s="14" t="s">
        <v>249</v>
      </c>
      <c r="F1" s="14" t="s">
        <v>250</v>
      </c>
      <c r="H1" s="14" t="s">
        <v>42</v>
      </c>
      <c r="I1" s="14" t="s">
        <v>9</v>
      </c>
      <c r="K1" s="14" t="s">
        <v>2003</v>
      </c>
      <c r="L1" s="14" t="s">
        <v>9</v>
      </c>
    </row>
    <row r="2" spans="2:13">
      <c r="B2" s="15" t="s">
        <v>15</v>
      </c>
      <c r="C2" s="15">
        <v>1</v>
      </c>
      <c r="E2" s="15" t="s">
        <v>251</v>
      </c>
      <c r="F2" s="15">
        <v>1</v>
      </c>
      <c r="H2" s="15" t="s">
        <v>43</v>
      </c>
      <c r="I2" s="15">
        <v>1</v>
      </c>
      <c r="J2" s="16" t="s">
        <v>46</v>
      </c>
      <c r="K2" s="15" t="s">
        <v>2005</v>
      </c>
      <c r="L2" s="15">
        <v>1</v>
      </c>
      <c r="M2" s="16" t="s">
        <v>2010</v>
      </c>
    </row>
    <row r="3" spans="2:13">
      <c r="B3" s="15" t="s">
        <v>16</v>
      </c>
      <c r="C3" s="15">
        <v>2</v>
      </c>
      <c r="E3" s="15" t="s">
        <v>252</v>
      </c>
      <c r="F3" s="15">
        <v>2</v>
      </c>
      <c r="H3" s="15" t="s">
        <v>44</v>
      </c>
      <c r="I3" s="15">
        <v>2</v>
      </c>
      <c r="J3" s="16" t="s">
        <v>47</v>
      </c>
      <c r="K3" s="15" t="s">
        <v>2008</v>
      </c>
      <c r="L3" s="15">
        <v>2</v>
      </c>
      <c r="M3" s="16" t="s">
        <v>2011</v>
      </c>
    </row>
    <row r="4" spans="2:13">
      <c r="B4" s="15" t="s">
        <v>17</v>
      </c>
      <c r="C4" s="15">
        <v>3</v>
      </c>
      <c r="E4" s="15" t="s">
        <v>253</v>
      </c>
      <c r="F4" s="15">
        <v>3</v>
      </c>
      <c r="H4" s="15" t="s">
        <v>45</v>
      </c>
      <c r="I4" s="15">
        <v>3</v>
      </c>
      <c r="J4" s="16" t="s">
        <v>48</v>
      </c>
      <c r="K4" s="15" t="s">
        <v>2009</v>
      </c>
      <c r="L4" s="15">
        <v>3</v>
      </c>
      <c r="M4" s="16" t="s">
        <v>2012</v>
      </c>
    </row>
    <row r="5" spans="2:13">
      <c r="B5" s="15" t="s">
        <v>2687</v>
      </c>
      <c r="C5" s="15">
        <v>4</v>
      </c>
      <c r="E5" s="15" t="s">
        <v>23</v>
      </c>
      <c r="F5" s="15">
        <v>4</v>
      </c>
    </row>
    <row r="6" spans="2:13">
      <c r="E6" s="15" t="s">
        <v>254</v>
      </c>
      <c r="F6" s="15">
        <v>5</v>
      </c>
    </row>
    <row r="7" spans="2:13">
      <c r="E7" s="15" t="s">
        <v>264</v>
      </c>
      <c r="F7" s="15">
        <v>6</v>
      </c>
      <c r="G7" s="16" t="s">
        <v>265</v>
      </c>
    </row>
    <row r="8" spans="2:13">
      <c r="E8" s="15" t="s">
        <v>3422</v>
      </c>
      <c r="F8" s="15">
        <v>7</v>
      </c>
      <c r="G8" s="16" t="s">
        <v>3423</v>
      </c>
    </row>
    <row r="9" spans="2:13">
      <c r="E9" s="20" t="s">
        <v>203</v>
      </c>
      <c r="F9" s="20">
        <v>51</v>
      </c>
      <c r="G9" s="16" t="s">
        <v>255</v>
      </c>
    </row>
    <row r="10" spans="2:13">
      <c r="E10" s="20" t="s">
        <v>256</v>
      </c>
      <c r="F10" s="20">
        <v>52</v>
      </c>
    </row>
    <row r="11" spans="2:13">
      <c r="E11" s="20" t="s">
        <v>257</v>
      </c>
      <c r="F11" s="20">
        <v>53</v>
      </c>
    </row>
    <row r="12" spans="2:13">
      <c r="E12" s="20" t="s">
        <v>258</v>
      </c>
      <c r="F12" s="20">
        <v>54</v>
      </c>
    </row>
    <row r="13" spans="2:13">
      <c r="E13" s="20" t="s">
        <v>204</v>
      </c>
      <c r="F13" s="20">
        <v>55</v>
      </c>
    </row>
    <row r="14" spans="2:13">
      <c r="E14" s="17" t="s">
        <v>259</v>
      </c>
      <c r="F14" s="17">
        <v>91</v>
      </c>
      <c r="G14" s="16" t="s">
        <v>260</v>
      </c>
    </row>
    <row r="15" spans="2:13">
      <c r="E15" s="17" t="s">
        <v>261</v>
      </c>
      <c r="F15" s="17">
        <v>92</v>
      </c>
    </row>
    <row r="16" spans="2:13">
      <c r="E16" s="17" t="s">
        <v>36</v>
      </c>
      <c r="F16" s="17">
        <v>93</v>
      </c>
    </row>
    <row r="17" spans="5:6">
      <c r="E17" s="17" t="s">
        <v>262</v>
      </c>
      <c r="F17" s="17">
        <v>94</v>
      </c>
    </row>
    <row r="18" spans="5:6">
      <c r="E18" s="17" t="s">
        <v>263</v>
      </c>
      <c r="F18" s="17">
        <v>95</v>
      </c>
    </row>
    <row r="19" spans="5:6">
      <c r="E19" s="17" t="s">
        <v>741</v>
      </c>
      <c r="F19" s="17">
        <v>96</v>
      </c>
    </row>
    <row r="20" spans="5:6">
      <c r="E20" s="17" t="s">
        <v>742</v>
      </c>
      <c r="F20" s="17">
        <v>97</v>
      </c>
    </row>
    <row r="21" spans="5:6">
      <c r="E21" s="17" t="s">
        <v>743</v>
      </c>
      <c r="F21" s="17">
        <v>98</v>
      </c>
    </row>
    <row r="22" spans="5:6">
      <c r="E22" s="17" t="s">
        <v>744</v>
      </c>
      <c r="F22" s="17">
        <v>99</v>
      </c>
    </row>
    <row r="23" spans="5:6">
      <c r="E23" s="17" t="s">
        <v>745</v>
      </c>
      <c r="F23" s="17">
        <v>100</v>
      </c>
    </row>
    <row r="24" spans="5:6">
      <c r="E24" s="17" t="s">
        <v>746</v>
      </c>
      <c r="F24" s="17">
        <v>101</v>
      </c>
    </row>
    <row r="25" spans="5:6">
      <c r="E25" s="17" t="s">
        <v>747</v>
      </c>
      <c r="F25" s="17">
        <v>102</v>
      </c>
    </row>
    <row r="26" spans="5:6">
      <c r="E26" s="17" t="s">
        <v>748</v>
      </c>
      <c r="F26" s="17">
        <v>103</v>
      </c>
    </row>
    <row r="27" spans="5:6">
      <c r="E27" s="17" t="s">
        <v>749</v>
      </c>
      <c r="F27" s="17">
        <v>104</v>
      </c>
    </row>
    <row r="28" spans="5:6">
      <c r="E28" s="17" t="s">
        <v>750</v>
      </c>
      <c r="F28" s="17">
        <v>105</v>
      </c>
    </row>
  </sheetData>
  <phoneticPr fontId="5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14</vt:i4>
      </vt:variant>
      <vt:variant>
        <vt:lpstr>이름 지정된 범위</vt:lpstr>
      </vt:variant>
      <vt:variant>
        <vt:i4>14</vt:i4>
      </vt:variant>
    </vt:vector>
  </HeadingPairs>
  <TitlesOfParts>
    <vt:vector size="28" baseType="lpstr">
      <vt:lpstr>ShipBodyShape</vt:lpstr>
      <vt:lpstr>ShipPartShape</vt:lpstr>
      <vt:lpstr>ShipFxShape</vt:lpstr>
      <vt:lpstr>SailPattern</vt:lpstr>
      <vt:lpstr>SailCrest</vt:lpstr>
      <vt:lpstr>SailCrest_BCCN</vt:lpstr>
      <vt:lpstr>SailPatternColor</vt:lpstr>
      <vt:lpstr>ShipBodyFirstColor</vt:lpstr>
      <vt:lpstr>ShipBodySecondColor</vt:lpstr>
      <vt:lpstr>ShipWakeFX</vt:lpstr>
      <vt:lpstr>ShipFigureheadColor</vt:lpstr>
      <vt:lpstr>ShipAnchorColor</vt:lpstr>
      <vt:lpstr>ShipRamColor</vt:lpstr>
      <vt:lpstr>ShipShapeEnum</vt:lpstr>
      <vt:lpstr>SailCrest</vt:lpstr>
      <vt:lpstr>SailCrest_BCCN</vt:lpstr>
      <vt:lpstr>SailPattern</vt:lpstr>
      <vt:lpstr>SailPatternColor</vt:lpstr>
      <vt:lpstr>ShipAnchorColor</vt:lpstr>
      <vt:lpstr>ShipBodyFirstColor</vt:lpstr>
      <vt:lpstr>ShipBodySecondColor</vt:lpstr>
      <vt:lpstr>ShipBodyShape</vt:lpstr>
      <vt:lpstr>ShipFigureheadColor</vt:lpstr>
      <vt:lpstr>ShipFxShape</vt:lpstr>
      <vt:lpstr>ShipFxShape!ShipPartShape</vt:lpstr>
      <vt:lpstr>ShipPartShape</vt:lpstr>
      <vt:lpstr>ShipRamColor</vt:lpstr>
      <vt:lpstr>ShipWakeFX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Back</dc:creator>
  <cp:lastModifiedBy>zipwind</cp:lastModifiedBy>
  <cp:lastPrinted>2021-08-31T05:42:40Z</cp:lastPrinted>
  <dcterms:created xsi:type="dcterms:W3CDTF">2015-06-29T10:25:24Z</dcterms:created>
  <dcterms:modified xsi:type="dcterms:W3CDTF">2026-04-06T08:22:14Z</dcterms:modified>
</cp:coreProperties>
</file>