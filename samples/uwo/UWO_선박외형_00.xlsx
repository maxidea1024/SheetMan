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uwo\game\cms\xls\"/>
    </mc:Choice>
  </mc:AlternateContent>
  <xr:revisionPtr revIDLastSave="0" documentId="8_{4B44B342-A576-4846-B783-8C2E4E88153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ipBodyShape" sheetId="17" r:id="rId1"/>
    <sheet name="ShipPartShape" sheetId="24" r:id="rId2"/>
    <sheet name="SailCrest" sheetId="35" r:id="rId3"/>
    <sheet name="SailPattern" sheetId="36" r:id="rId4"/>
    <sheet name="SailPatternColor" sheetId="37" r:id="rId5"/>
    <sheet name="ShipBodyFirstColor" sheetId="38" r:id="rId6"/>
    <sheet name="ShipBodySecondColor" sheetId="39" r:id="rId7"/>
    <sheet name="ShipShapeEnum" sheetId="31" r:id="rId8"/>
  </sheets>
  <definedNames>
    <definedName name="_xlnm._FilterDatabase" localSheetId="1" hidden="1">ShipPartShape!$A$8:$AD$269</definedName>
    <definedName name="SailCrest">SailCrest!$A$1:$N$114</definedName>
    <definedName name="SailPattern">SailPattern!$A$1:$T$74</definedName>
    <definedName name="SailPatternColor">SailPatternColor!$A$1:$M$59</definedName>
    <definedName name="ShipBodyFirstColor">ShipBodyFirstColor!$A$1:$L$49</definedName>
    <definedName name="ShipBodySecondColor">ShipBodySecondColor!$A$1:$L$49</definedName>
    <definedName name="ShipBodyShape">ShipBodyShape!$A$1:$AR$115</definedName>
    <definedName name="ShipPartShape">ShipPartShape!$A$1:$X$268</definedName>
  </definedNames>
  <calcPr calcId="181029"/>
</workbook>
</file>

<file path=xl/calcChain.xml><?xml version="1.0" encoding="utf-8"?>
<calcChain xmlns="http://schemas.openxmlformats.org/spreadsheetml/2006/main">
  <c r="AC94" i="17" l="1"/>
  <c r="AC95" i="17"/>
  <c r="AC96" i="17"/>
  <c r="AC97" i="17"/>
  <c r="AC98" i="17"/>
  <c r="AC99" i="17"/>
  <c r="AC100" i="17"/>
  <c r="AC101" i="17"/>
  <c r="AC102" i="17"/>
  <c r="AC103" i="17"/>
  <c r="AC104" i="17"/>
  <c r="AC105" i="17"/>
  <c r="AC106" i="17"/>
  <c r="AC107" i="17"/>
  <c r="AC108" i="17"/>
  <c r="AC109" i="17"/>
  <c r="AC110" i="17"/>
  <c r="AC111" i="17"/>
  <c r="AC112" i="17"/>
  <c r="AC113" i="17"/>
  <c r="AC114" i="17"/>
  <c r="AC70" i="17"/>
  <c r="AC71" i="17"/>
  <c r="AC72" i="17"/>
  <c r="AC73" i="17"/>
  <c r="AC74" i="17"/>
  <c r="AC75" i="17"/>
  <c r="AC76" i="17"/>
  <c r="AC77" i="17"/>
  <c r="AC78" i="17"/>
  <c r="AC79" i="17"/>
  <c r="AC80" i="17"/>
  <c r="AC81" i="17"/>
  <c r="AC82" i="17"/>
  <c r="AC83" i="17"/>
  <c r="AC84" i="17"/>
  <c r="AC85" i="17"/>
  <c r="AC86" i="17"/>
  <c r="AC87" i="17"/>
  <c r="AC88" i="17"/>
  <c r="AC89" i="17"/>
  <c r="AC90" i="17"/>
  <c r="AC91" i="17"/>
  <c r="AC92" i="17"/>
  <c r="AC93" i="17"/>
  <c r="N155" i="24"/>
  <c r="G155" i="24"/>
  <c r="D155" i="24"/>
  <c r="N154" i="24"/>
  <c r="G154" i="24"/>
  <c r="D154" i="24"/>
  <c r="N153" i="24"/>
  <c r="G153" i="24"/>
  <c r="D153" i="24"/>
  <c r="N152" i="24"/>
  <c r="G152" i="24"/>
  <c r="D152" i="24"/>
  <c r="N151" i="24"/>
  <c r="G151" i="24"/>
  <c r="D151" i="24"/>
  <c r="N150" i="24"/>
  <c r="G150" i="24"/>
  <c r="D150" i="24"/>
  <c r="N149" i="24"/>
  <c r="G149" i="24"/>
  <c r="D149" i="24"/>
  <c r="N148" i="24"/>
  <c r="G148" i="24"/>
  <c r="D148" i="24"/>
  <c r="N147" i="24"/>
  <c r="G147" i="24"/>
  <c r="D147" i="24"/>
  <c r="N146" i="24"/>
  <c r="G146" i="24"/>
  <c r="D146" i="24"/>
  <c r="N145" i="24"/>
  <c r="G145" i="24"/>
  <c r="D145" i="24"/>
  <c r="N144" i="24"/>
  <c r="G144" i="24"/>
  <c r="D144" i="24"/>
  <c r="N143" i="24"/>
  <c r="G143" i="24"/>
  <c r="D143" i="24"/>
  <c r="N142" i="24"/>
  <c r="G142" i="24"/>
  <c r="D142" i="24"/>
  <c r="N141" i="24"/>
  <c r="G141" i="24"/>
  <c r="D141" i="24"/>
  <c r="N140" i="24"/>
  <c r="G140" i="24"/>
  <c r="D140" i="24"/>
  <c r="N139" i="24"/>
  <c r="G139" i="24"/>
  <c r="D139" i="24"/>
  <c r="N138" i="24"/>
  <c r="G138" i="24"/>
  <c r="D138" i="24"/>
  <c r="N137" i="24"/>
  <c r="G137" i="24"/>
  <c r="D137" i="24"/>
  <c r="N136" i="24"/>
  <c r="G136" i="24"/>
  <c r="D136" i="24"/>
  <c r="N135" i="24"/>
  <c r="G135" i="24"/>
  <c r="D135" i="24"/>
  <c r="N134" i="24"/>
  <c r="G134" i="24"/>
  <c r="D134" i="24"/>
  <c r="N133" i="24"/>
  <c r="G133" i="24"/>
  <c r="D133" i="24"/>
  <c r="N132" i="24"/>
  <c r="G132" i="24"/>
  <c r="D132" i="24"/>
  <c r="N131" i="24"/>
  <c r="G131" i="24"/>
  <c r="D131" i="24"/>
  <c r="N130" i="24"/>
  <c r="G130" i="24"/>
  <c r="D130" i="24"/>
  <c r="N129" i="24"/>
  <c r="G129" i="24"/>
  <c r="D129" i="24"/>
  <c r="N128" i="24"/>
  <c r="G128" i="24"/>
  <c r="D128" i="24"/>
  <c r="N127" i="24"/>
  <c r="G127" i="24"/>
  <c r="D127" i="24"/>
  <c r="N126" i="24"/>
  <c r="G126" i="24"/>
  <c r="D126" i="24"/>
  <c r="N125" i="24"/>
  <c r="G125" i="24"/>
  <c r="D125" i="24"/>
  <c r="N124" i="24"/>
  <c r="G124" i="24"/>
  <c r="D124" i="24"/>
  <c r="N123" i="24"/>
  <c r="G123" i="24"/>
  <c r="D123" i="24"/>
  <c r="N122" i="24"/>
  <c r="G122" i="24"/>
  <c r="D122" i="24"/>
  <c r="N121" i="24"/>
  <c r="G121" i="24"/>
  <c r="D121" i="24"/>
  <c r="N120" i="24"/>
  <c r="G120" i="24"/>
  <c r="D120" i="24"/>
  <c r="D156" i="24"/>
  <c r="G156" i="24"/>
  <c r="N156" i="24"/>
  <c r="A157" i="24"/>
  <c r="D157" i="24"/>
  <c r="N157" i="24"/>
  <c r="A158" i="24"/>
  <c r="D158" i="24"/>
  <c r="G158" i="24"/>
  <c r="N158" i="24"/>
  <c r="A159" i="24"/>
  <c r="D159" i="24"/>
  <c r="G159" i="24"/>
  <c r="N159" i="24"/>
  <c r="A160" i="24"/>
  <c r="A161" i="24" s="1"/>
  <c r="A162" i="24" s="1"/>
  <c r="A163" i="24" s="1"/>
  <c r="A164" i="24" s="1"/>
  <c r="A165" i="24" s="1"/>
  <c r="A166" i="24" s="1"/>
  <c r="A167" i="24" s="1"/>
  <c r="A168" i="24" s="1"/>
  <c r="A169" i="24" s="1"/>
  <c r="A170" i="24" s="1"/>
  <c r="A171" i="24" s="1"/>
  <c r="A172" i="24" s="1"/>
  <c r="A173" i="24" s="1"/>
  <c r="A174" i="24" s="1"/>
  <c r="A175" i="24" s="1"/>
  <c r="A176" i="24" s="1"/>
  <c r="A177" i="24" s="1"/>
  <c r="A178" i="24" s="1"/>
  <c r="A179" i="24" s="1"/>
  <c r="A180" i="24" s="1"/>
  <c r="A181" i="24" s="1"/>
  <c r="A182" i="24" s="1"/>
  <c r="A183" i="24" s="1"/>
  <c r="A184" i="24" s="1"/>
  <c r="A185" i="24" s="1"/>
  <c r="A186" i="24" s="1"/>
  <c r="A187" i="24" s="1"/>
  <c r="A188" i="24" s="1"/>
  <c r="A189" i="24" s="1"/>
  <c r="A190" i="24" s="1"/>
  <c r="A191" i="24" s="1"/>
  <c r="D160" i="24"/>
  <c r="G160" i="24"/>
  <c r="N160" i="24"/>
  <c r="D161" i="24"/>
  <c r="G161" i="24"/>
  <c r="N161" i="24"/>
  <c r="D162" i="24"/>
  <c r="G162" i="24"/>
  <c r="N162" i="24"/>
  <c r="D163" i="24"/>
  <c r="G163" i="24"/>
  <c r="N163" i="24"/>
  <c r="D164" i="24"/>
  <c r="G164" i="24"/>
  <c r="N164" i="24"/>
  <c r="D165" i="24"/>
  <c r="G165" i="24"/>
  <c r="N165" i="24"/>
  <c r="D166" i="24"/>
  <c r="G166" i="24"/>
  <c r="N166" i="24"/>
  <c r="D167" i="24"/>
  <c r="G167" i="24"/>
  <c r="N167" i="24"/>
  <c r="D168" i="24"/>
  <c r="G168" i="24"/>
  <c r="N168" i="24"/>
  <c r="D169" i="24"/>
  <c r="G169" i="24"/>
  <c r="N169" i="24"/>
  <c r="D170" i="24"/>
  <c r="G170" i="24"/>
  <c r="N170" i="24"/>
  <c r="D171" i="24"/>
  <c r="G171" i="24"/>
  <c r="N171" i="24"/>
  <c r="D172" i="24"/>
  <c r="G172" i="24"/>
  <c r="N172" i="24"/>
  <c r="D173" i="24"/>
  <c r="G173" i="24"/>
  <c r="N173" i="24"/>
  <c r="D174" i="24"/>
  <c r="G174" i="24"/>
  <c r="N174" i="24"/>
  <c r="D175" i="24"/>
  <c r="G175" i="24"/>
  <c r="N175" i="24"/>
  <c r="D176" i="24"/>
  <c r="G176" i="24"/>
  <c r="N176" i="24"/>
  <c r="D177" i="24"/>
  <c r="G177" i="24"/>
  <c r="N177" i="24"/>
  <c r="D178" i="24"/>
  <c r="G178" i="24"/>
  <c r="N178" i="24"/>
  <c r="D179" i="24"/>
  <c r="G179" i="24"/>
  <c r="N179" i="24"/>
  <c r="D180" i="24"/>
  <c r="G180" i="24"/>
  <c r="N180" i="24"/>
  <c r="D181" i="24"/>
  <c r="G181" i="24"/>
  <c r="N181" i="24"/>
  <c r="D182" i="24"/>
  <c r="G182" i="24"/>
  <c r="N182" i="24"/>
  <c r="D183" i="24"/>
  <c r="G183" i="24"/>
  <c r="N183" i="24"/>
  <c r="D184" i="24"/>
  <c r="G184" i="24"/>
  <c r="N184" i="24"/>
  <c r="D185" i="24"/>
  <c r="G185" i="24"/>
  <c r="N185" i="24"/>
  <c r="D186" i="24"/>
  <c r="G186" i="24"/>
  <c r="N186" i="24"/>
  <c r="D187" i="24"/>
  <c r="G187" i="24"/>
  <c r="N187" i="24"/>
  <c r="D188" i="24"/>
  <c r="G188" i="24"/>
  <c r="N188" i="24"/>
  <c r="D189" i="24"/>
  <c r="G189" i="24"/>
  <c r="N189" i="24"/>
  <c r="D190" i="24"/>
  <c r="G190" i="24"/>
  <c r="N190" i="24"/>
  <c r="D191" i="24"/>
  <c r="G191" i="24"/>
  <c r="N191" i="24"/>
  <c r="A114" i="17" l="1"/>
  <c r="I114" i="17"/>
  <c r="K114" i="17"/>
  <c r="M114" i="17"/>
  <c r="Q114" i="17"/>
  <c r="S114" i="17"/>
  <c r="U114" i="17"/>
  <c r="W114" i="17"/>
  <c r="Y114" i="17"/>
  <c r="AA114" i="17"/>
  <c r="N101" i="24"/>
  <c r="G101" i="24"/>
  <c r="D101" i="24"/>
  <c r="I113" i="17" l="1"/>
  <c r="K113" i="17"/>
  <c r="M113" i="17"/>
  <c r="O113" i="17"/>
  <c r="Q113" i="17"/>
  <c r="S113" i="17"/>
  <c r="U113" i="17"/>
  <c r="W113" i="17"/>
  <c r="Y113" i="17"/>
  <c r="AA113" i="17"/>
  <c r="A113" i="17"/>
  <c r="N244" i="24"/>
  <c r="G244" i="24"/>
  <c r="D244" i="24"/>
  <c r="A244" i="24"/>
  <c r="N100" i="24"/>
  <c r="G100" i="24"/>
  <c r="D100" i="24"/>
  <c r="I111" i="17" l="1"/>
  <c r="M111" i="17"/>
  <c r="U111" i="17"/>
  <c r="W111" i="17"/>
  <c r="Y111" i="17"/>
  <c r="AA111" i="17"/>
  <c r="I112" i="17"/>
  <c r="Q112" i="17"/>
  <c r="S112" i="17"/>
  <c r="U112" i="17"/>
  <c r="W112" i="17"/>
  <c r="Y112" i="17"/>
  <c r="AA112" i="17"/>
  <c r="A111" i="17"/>
  <c r="A112" i="17"/>
  <c r="N243" i="24"/>
  <c r="G243" i="24"/>
  <c r="D243" i="24"/>
  <c r="N98" i="24"/>
  <c r="N99" i="24"/>
  <c r="G98" i="24"/>
  <c r="G99" i="24"/>
  <c r="D98" i="24"/>
  <c r="D99" i="24"/>
  <c r="I109" i="17" l="1"/>
  <c r="K109" i="17"/>
  <c r="O109" i="17"/>
  <c r="Q109" i="17"/>
  <c r="S109" i="17"/>
  <c r="U109" i="17"/>
  <c r="W109" i="17"/>
  <c r="Y109" i="17"/>
  <c r="AA109" i="17"/>
  <c r="I110" i="17"/>
  <c r="M110" i="17"/>
  <c r="O110" i="17"/>
  <c r="Q110" i="17"/>
  <c r="S110" i="17"/>
  <c r="U110" i="17"/>
  <c r="AA110" i="17"/>
  <c r="A109" i="17"/>
  <c r="A110" i="17" s="1"/>
  <c r="N241" i="24"/>
  <c r="N242" i="24"/>
  <c r="G241" i="24"/>
  <c r="G242" i="24"/>
  <c r="D241" i="24"/>
  <c r="D242" i="24"/>
  <c r="N96" i="24"/>
  <c r="N97" i="24"/>
  <c r="G96" i="24"/>
  <c r="G97" i="24"/>
  <c r="D96" i="24"/>
  <c r="D97" i="24"/>
  <c r="I107" i="17" l="1"/>
  <c r="K107" i="17"/>
  <c r="O107" i="17"/>
  <c r="Q107" i="17"/>
  <c r="S107" i="17"/>
  <c r="U107" i="17"/>
  <c r="W107" i="17"/>
  <c r="Y107" i="17"/>
  <c r="AA107" i="17"/>
  <c r="I108" i="17"/>
  <c r="K108" i="17"/>
  <c r="O108" i="17"/>
  <c r="Q108" i="17"/>
  <c r="S108" i="17"/>
  <c r="U108" i="17"/>
  <c r="A107" i="17"/>
  <c r="A108" i="17"/>
  <c r="N239" i="24"/>
  <c r="N240" i="24"/>
  <c r="G239" i="24"/>
  <c r="G240" i="24"/>
  <c r="D239" i="24"/>
  <c r="D240" i="24"/>
  <c r="N94" i="24"/>
  <c r="N95" i="24"/>
  <c r="G94" i="24"/>
  <c r="G95" i="24"/>
  <c r="D95" i="24"/>
  <c r="D94" i="24"/>
  <c r="I104" i="17" l="1"/>
  <c r="K104" i="17"/>
  <c r="M104" i="17"/>
  <c r="O104" i="17"/>
  <c r="Q104" i="17"/>
  <c r="S104" i="17"/>
  <c r="U104" i="17"/>
  <c r="W104" i="17"/>
  <c r="Y104" i="17"/>
  <c r="AA104" i="17"/>
  <c r="I105" i="17"/>
  <c r="K105" i="17"/>
  <c r="M105" i="17"/>
  <c r="O105" i="17"/>
  <c r="Q105" i="17"/>
  <c r="W105" i="17"/>
  <c r="Y105" i="17"/>
  <c r="AA105" i="17"/>
  <c r="I106" i="17"/>
  <c r="K106" i="17"/>
  <c r="M106" i="17"/>
  <c r="O106" i="17"/>
  <c r="Q106" i="17"/>
  <c r="Y106" i="17"/>
  <c r="AA106" i="17"/>
  <c r="A104" i="17"/>
  <c r="A105" i="17"/>
  <c r="A106" i="17" s="1"/>
  <c r="D92" i="24"/>
  <c r="G92" i="24"/>
  <c r="N92" i="24"/>
  <c r="D93" i="24"/>
  <c r="G93" i="24"/>
  <c r="N93" i="24"/>
  <c r="N91" i="24"/>
  <c r="G91" i="24"/>
  <c r="D91" i="24"/>
  <c r="Q92" i="17" l="1"/>
  <c r="Q93" i="17"/>
  <c r="Q94" i="17"/>
  <c r="Q95" i="17"/>
  <c r="Q96" i="17"/>
  <c r="Q97" i="17"/>
  <c r="Q98" i="17"/>
  <c r="Q99" i="17"/>
  <c r="Q100" i="17"/>
  <c r="Q101" i="17"/>
  <c r="Q102" i="17"/>
  <c r="Q103" i="17"/>
  <c r="AA102" i="17" l="1"/>
  <c r="AA103" i="17"/>
  <c r="Y102" i="17"/>
  <c r="Y103" i="17"/>
  <c r="W103" i="17"/>
  <c r="S102" i="17"/>
  <c r="O102" i="17"/>
  <c r="O103" i="17"/>
  <c r="M102" i="17"/>
  <c r="M103" i="17"/>
  <c r="K102" i="17"/>
  <c r="K103" i="17"/>
  <c r="I102" i="17"/>
  <c r="I103" i="17"/>
  <c r="A103" i="17"/>
  <c r="A102" i="17"/>
  <c r="N90" i="24"/>
  <c r="G90" i="24"/>
  <c r="D90" i="24"/>
  <c r="N89" i="24"/>
  <c r="G89" i="24"/>
  <c r="D89" i="24"/>
  <c r="I101" i="17" l="1"/>
  <c r="K101" i="17"/>
  <c r="M101" i="17"/>
  <c r="O101" i="17"/>
  <c r="Y101" i="17"/>
  <c r="AA101" i="17"/>
  <c r="A101" i="17"/>
  <c r="N88" i="24"/>
  <c r="G88" i="24"/>
  <c r="D88" i="24"/>
  <c r="AA100" i="17" l="1"/>
  <c r="Y100" i="17"/>
  <c r="S100" i="17"/>
  <c r="O100" i="17"/>
  <c r="M100" i="17"/>
  <c r="K100" i="17"/>
  <c r="I100" i="17"/>
  <c r="A93" i="17"/>
  <c r="A94" i="17" s="1"/>
  <c r="A95" i="17" s="1"/>
  <c r="A96" i="17" s="1"/>
  <c r="A97" i="17" s="1"/>
  <c r="A98" i="17" s="1"/>
  <c r="A99" i="17" s="1"/>
  <c r="A100" i="17" s="1"/>
  <c r="N87" i="24"/>
  <c r="G87" i="24"/>
  <c r="D87" i="24"/>
  <c r="I99" i="17" l="1"/>
  <c r="AA99" i="17"/>
  <c r="D86" i="24"/>
  <c r="G86" i="24"/>
  <c r="N86" i="24"/>
  <c r="N192" i="24" l="1"/>
  <c r="N193" i="24"/>
  <c r="N194" i="24"/>
  <c r="N195" i="24"/>
  <c r="N196" i="24"/>
  <c r="N197" i="24"/>
  <c r="N198" i="24"/>
  <c r="N199" i="24"/>
  <c r="N200" i="24"/>
  <c r="N201" i="24"/>
  <c r="N202" i="24"/>
  <c r="N203" i="24"/>
  <c r="N204" i="24"/>
  <c r="N205" i="24"/>
  <c r="N206" i="24"/>
  <c r="N207" i="24"/>
  <c r="N208" i="24"/>
  <c r="G192" i="24"/>
  <c r="G193" i="24"/>
  <c r="G194" i="24"/>
  <c r="G195" i="24"/>
  <c r="G196" i="24"/>
  <c r="G197" i="24"/>
  <c r="G198" i="24"/>
  <c r="G199" i="24"/>
  <c r="G200" i="24"/>
  <c r="G201" i="24"/>
  <c r="G202" i="24"/>
  <c r="G203" i="24"/>
  <c r="G204" i="24"/>
  <c r="G205" i="24"/>
  <c r="G206" i="24"/>
  <c r="G207" i="24"/>
  <c r="G208" i="24"/>
  <c r="D192" i="24"/>
  <c r="D193" i="24"/>
  <c r="D194" i="24"/>
  <c r="D195" i="24"/>
  <c r="D196" i="24"/>
  <c r="D197" i="24"/>
  <c r="D198" i="24"/>
  <c r="D199" i="24"/>
  <c r="D200" i="24"/>
  <c r="D201" i="24"/>
  <c r="D202" i="24"/>
  <c r="D203" i="24"/>
  <c r="D204" i="24"/>
  <c r="D205" i="24"/>
  <c r="D206" i="24"/>
  <c r="D207" i="24"/>
  <c r="D208" i="24"/>
  <c r="N108" i="24" l="1"/>
  <c r="N109" i="24"/>
  <c r="N110" i="24"/>
  <c r="N111" i="24"/>
  <c r="N112" i="24"/>
  <c r="N113" i="24"/>
  <c r="N114" i="24"/>
  <c r="N115" i="24"/>
  <c r="N116" i="24"/>
  <c r="N117" i="24"/>
  <c r="N118" i="24"/>
  <c r="N119" i="24"/>
  <c r="G108" i="24"/>
  <c r="G109" i="24"/>
  <c r="G110" i="24"/>
  <c r="G111" i="24"/>
  <c r="G112" i="24"/>
  <c r="G113" i="24"/>
  <c r="G114" i="24"/>
  <c r="G115" i="24"/>
  <c r="G116" i="24"/>
  <c r="G117" i="24"/>
  <c r="G118" i="24"/>
  <c r="G119" i="24"/>
  <c r="D108" i="24"/>
  <c r="D109" i="24"/>
  <c r="D110" i="24"/>
  <c r="D111" i="24"/>
  <c r="D112" i="24"/>
  <c r="D113" i="24"/>
  <c r="D114" i="24"/>
  <c r="D115" i="24"/>
  <c r="D116" i="24"/>
  <c r="D117" i="24"/>
  <c r="D118" i="24"/>
  <c r="D119" i="24"/>
  <c r="G216" i="24" l="1"/>
  <c r="G217" i="24"/>
  <c r="G218" i="24"/>
  <c r="G219" i="24"/>
  <c r="G220" i="24"/>
  <c r="G221" i="24"/>
  <c r="G222" i="24"/>
  <c r="G223" i="24"/>
  <c r="G224" i="24"/>
  <c r="G225" i="24"/>
  <c r="G226" i="24"/>
  <c r="G227" i="24"/>
  <c r="G228" i="24"/>
  <c r="G229" i="24"/>
  <c r="G230" i="24"/>
  <c r="G231" i="24"/>
  <c r="N216" i="24"/>
  <c r="N217" i="24"/>
  <c r="N218" i="24"/>
  <c r="N219" i="24"/>
  <c r="N220" i="24"/>
  <c r="N221" i="24"/>
  <c r="N222" i="24"/>
  <c r="N223" i="24"/>
  <c r="N224" i="24"/>
  <c r="N225" i="24"/>
  <c r="N226" i="24"/>
  <c r="N227" i="24"/>
  <c r="N228" i="24"/>
  <c r="N229" i="24"/>
  <c r="N230" i="24"/>
  <c r="N231" i="24"/>
  <c r="D216" i="24"/>
  <c r="D217" i="24"/>
  <c r="D218" i="24"/>
  <c r="D219" i="24"/>
  <c r="D220" i="24"/>
  <c r="D221" i="24"/>
  <c r="D222" i="24"/>
  <c r="D223" i="24"/>
  <c r="D224" i="24"/>
  <c r="D225" i="24"/>
  <c r="D226" i="24"/>
  <c r="D227" i="24"/>
  <c r="D228" i="24"/>
  <c r="D229" i="24"/>
  <c r="D230" i="24"/>
  <c r="D231" i="24"/>
  <c r="A266" i="24" l="1"/>
  <c r="A267" i="24" s="1"/>
  <c r="A247" i="24"/>
  <c r="A233" i="24"/>
  <c r="A234" i="24" s="1"/>
  <c r="A235" i="24" s="1"/>
  <c r="A236" i="24" s="1"/>
  <c r="A237" i="24" s="1"/>
  <c r="A238" i="24" s="1"/>
  <c r="A239" i="24" s="1"/>
  <c r="A211" i="24"/>
  <c r="A212" i="24" s="1"/>
  <c r="A213" i="24" s="1"/>
  <c r="A214" i="24" s="1"/>
  <c r="A215" i="24" s="1"/>
  <c r="A216" i="24" s="1"/>
  <c r="A217" i="24" s="1"/>
  <c r="A218" i="24" s="1"/>
  <c r="A219" i="24" s="1"/>
  <c r="A103" i="24"/>
  <c r="A104" i="24" s="1"/>
  <c r="A105" i="24" s="1"/>
  <c r="A106" i="24" s="1"/>
  <c r="A107" i="24" s="1"/>
  <c r="A108" i="24" s="1"/>
  <c r="A11" i="24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A45" i="24" s="1"/>
  <c r="A46" i="24" s="1"/>
  <c r="A47" i="24" s="1"/>
  <c r="A48" i="24" s="1"/>
  <c r="A49" i="24" s="1"/>
  <c r="A50" i="24" s="1"/>
  <c r="A51" i="24" s="1"/>
  <c r="A52" i="24" s="1"/>
  <c r="A53" i="24" s="1"/>
  <c r="A54" i="24" s="1"/>
  <c r="A55" i="24" s="1"/>
  <c r="A56" i="24" s="1"/>
  <c r="A57" i="24" s="1"/>
  <c r="A58" i="24" s="1"/>
  <c r="A59" i="24" s="1"/>
  <c r="A60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1" i="24" s="1"/>
  <c r="A72" i="24" s="1"/>
  <c r="A73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A86" i="24" s="1"/>
  <c r="D235" i="24"/>
  <c r="G235" i="24"/>
  <c r="N235" i="24"/>
  <c r="A192" i="24" l="1"/>
  <c r="A193" i="24" s="1"/>
  <c r="A194" i="24" s="1"/>
  <c r="A195" i="24" s="1"/>
  <c r="A196" i="24" s="1"/>
  <c r="A197" i="24" s="1"/>
  <c r="A198" i="24" s="1"/>
  <c r="A199" i="24" s="1"/>
  <c r="A200" i="24" s="1"/>
  <c r="A201" i="24" s="1"/>
  <c r="A202" i="24" s="1"/>
  <c r="A203" i="24" s="1"/>
  <c r="A204" i="24" s="1"/>
  <c r="A205" i="24" s="1"/>
  <c r="A206" i="24" s="1"/>
  <c r="A207" i="24" s="1"/>
  <c r="A208" i="24" s="1"/>
  <c r="M112" i="17"/>
  <c r="Q111" i="17"/>
  <c r="A220" i="24"/>
  <c r="A221" i="24" s="1"/>
  <c r="A222" i="24" s="1"/>
  <c r="A223" i="24" s="1"/>
  <c r="A224" i="24" s="1"/>
  <c r="A225" i="24" s="1"/>
  <c r="A226" i="24" s="1"/>
  <c r="A227" i="24" s="1"/>
  <c r="A228" i="24" s="1"/>
  <c r="O112" i="17"/>
  <c r="S111" i="17"/>
  <c r="A248" i="24"/>
  <c r="U106" i="17" s="1"/>
  <c r="S106" i="17"/>
  <c r="S101" i="17"/>
  <c r="A240" i="24"/>
  <c r="M107" i="17"/>
  <c r="G99" i="17"/>
  <c r="A87" i="24"/>
  <c r="A109" i="24"/>
  <c r="A110" i="24" s="1"/>
  <c r="M99" i="17"/>
  <c r="O99" i="17"/>
  <c r="A229" i="24"/>
  <c r="A230" i="24" s="1"/>
  <c r="A231" i="24" s="1"/>
  <c r="K99" i="17"/>
  <c r="A249" i="24"/>
  <c r="W108" i="17" s="1"/>
  <c r="S99" i="17"/>
  <c r="G98" i="17"/>
  <c r="O98" i="17"/>
  <c r="S98" i="17"/>
  <c r="U98" i="17"/>
  <c r="D85" i="24"/>
  <c r="G85" i="24"/>
  <c r="N85" i="24"/>
  <c r="A111" i="24" l="1"/>
  <c r="A112" i="24" s="1"/>
  <c r="O111" i="17"/>
  <c r="K112" i="17"/>
  <c r="M108" i="17"/>
  <c r="A241" i="24"/>
  <c r="G100" i="17"/>
  <c r="A88" i="24"/>
  <c r="A250" i="24"/>
  <c r="U99" i="17"/>
  <c r="O97" i="17"/>
  <c r="S97" i="17"/>
  <c r="Y97" i="17"/>
  <c r="AA97" i="17"/>
  <c r="G97" i="17"/>
  <c r="D84" i="24"/>
  <c r="G84" i="24"/>
  <c r="N84" i="24"/>
  <c r="A113" i="24" l="1"/>
  <c r="A114" i="24" s="1"/>
  <c r="A115" i="24" s="1"/>
  <c r="A116" i="24" s="1"/>
  <c r="A117" i="24" s="1"/>
  <c r="A118" i="24" s="1"/>
  <c r="A119" i="24" s="1"/>
  <c r="A120" i="24" s="1"/>
  <c r="A121" i="24" s="1"/>
  <c r="A122" i="24" s="1"/>
  <c r="A123" i="24" s="1"/>
  <c r="A124" i="24" s="1"/>
  <c r="A125" i="24" s="1"/>
  <c r="A126" i="24" s="1"/>
  <c r="A127" i="24" s="1"/>
  <c r="A128" i="24" s="1"/>
  <c r="A129" i="24" s="1"/>
  <c r="A130" i="24" s="1"/>
  <c r="A131" i="24" s="1"/>
  <c r="A132" i="24" s="1"/>
  <c r="A133" i="24" s="1"/>
  <c r="A134" i="24" s="1"/>
  <c r="A135" i="24" s="1"/>
  <c r="A136" i="24" s="1"/>
  <c r="A137" i="24" s="1"/>
  <c r="A138" i="24" s="1"/>
  <c r="A139" i="24" s="1"/>
  <c r="A140" i="24" s="1"/>
  <c r="A141" i="24" s="1"/>
  <c r="A142" i="24" s="1"/>
  <c r="A143" i="24" s="1"/>
  <c r="A144" i="24" s="1"/>
  <c r="A145" i="24" s="1"/>
  <c r="A146" i="24" s="1"/>
  <c r="A147" i="24" s="1"/>
  <c r="A148" i="24" s="1"/>
  <c r="A149" i="24" s="1"/>
  <c r="A150" i="24" s="1"/>
  <c r="A151" i="24" s="1"/>
  <c r="A152" i="24" s="1"/>
  <c r="A153" i="24" s="1"/>
  <c r="A154" i="24" s="1"/>
  <c r="A155" i="24" s="1"/>
  <c r="O114" i="17"/>
  <c r="W110" i="17"/>
  <c r="Y108" i="17"/>
  <c r="S105" i="17"/>
  <c r="U101" i="17"/>
  <c r="U100" i="17"/>
  <c r="A242" i="24"/>
  <c r="M109" i="17"/>
  <c r="G101" i="17"/>
  <c r="A89" i="24"/>
  <c r="A251" i="24"/>
  <c r="W98" i="17"/>
  <c r="T9" i="36"/>
  <c r="R9" i="36"/>
  <c r="P9" i="36"/>
  <c r="K110" i="17" l="1"/>
  <c r="A243" i="24"/>
  <c r="K111" i="17" s="1"/>
  <c r="Y110" i="17"/>
  <c r="AA108" i="17"/>
  <c r="U102" i="17"/>
  <c r="A90" i="24"/>
  <c r="G102" i="17"/>
  <c r="A252" i="24"/>
  <c r="Y96" i="17" s="1"/>
  <c r="Y98" i="17"/>
  <c r="U97" i="17"/>
  <c r="G96" i="17"/>
  <c r="O96" i="17"/>
  <c r="S96" i="17"/>
  <c r="U96" i="17"/>
  <c r="W96" i="17"/>
  <c r="AA96" i="17"/>
  <c r="D83" i="24"/>
  <c r="G83" i="24"/>
  <c r="N83" i="24"/>
  <c r="U105" i="17" l="1"/>
  <c r="W101" i="17"/>
  <c r="W100" i="17"/>
  <c r="G103" i="17"/>
  <c r="A91" i="24"/>
  <c r="A253" i="24"/>
  <c r="W99" i="17"/>
  <c r="W97" i="17"/>
  <c r="G95" i="17"/>
  <c r="O95" i="17"/>
  <c r="S95" i="17"/>
  <c r="U95" i="17"/>
  <c r="W95" i="17"/>
  <c r="Y95" i="17"/>
  <c r="AA95" i="17"/>
  <c r="D82" i="24"/>
  <c r="G82" i="24"/>
  <c r="N82" i="24"/>
  <c r="G104" i="17" l="1"/>
  <c r="A92" i="24"/>
  <c r="A254" i="24"/>
  <c r="AA98" i="17"/>
  <c r="G94" i="17"/>
  <c r="S94" i="17"/>
  <c r="U94" i="17"/>
  <c r="W94" i="17"/>
  <c r="Y94" i="17"/>
  <c r="AA94" i="17"/>
  <c r="N75" i="24"/>
  <c r="N76" i="24"/>
  <c r="N77" i="24"/>
  <c r="N78" i="24"/>
  <c r="N79" i="24"/>
  <c r="N238" i="24"/>
  <c r="N246" i="24"/>
  <c r="N247" i="24"/>
  <c r="N248" i="24"/>
  <c r="N249" i="24"/>
  <c r="N250" i="24"/>
  <c r="N251" i="24"/>
  <c r="N252" i="24"/>
  <c r="N253" i="24"/>
  <c r="N254" i="24"/>
  <c r="N255" i="24"/>
  <c r="N256" i="24"/>
  <c r="N257" i="24"/>
  <c r="N258" i="24"/>
  <c r="N259" i="24"/>
  <c r="N260" i="24"/>
  <c r="N261" i="24"/>
  <c r="N262" i="24"/>
  <c r="N263" i="24"/>
  <c r="N264" i="24"/>
  <c r="N80" i="24"/>
  <c r="N81" i="24"/>
  <c r="G80" i="24"/>
  <c r="G81" i="24"/>
  <c r="D80" i="24"/>
  <c r="D81" i="24"/>
  <c r="AA68" i="17"/>
  <c r="AA69" i="17"/>
  <c r="AA70" i="17"/>
  <c r="AA71" i="17"/>
  <c r="AA72" i="17"/>
  <c r="AA73" i="17"/>
  <c r="AA74" i="17"/>
  <c r="AA75" i="17"/>
  <c r="AA76" i="17"/>
  <c r="AA77" i="17"/>
  <c r="AA78" i="17"/>
  <c r="AA79" i="17"/>
  <c r="AA80" i="17"/>
  <c r="AA81" i="17"/>
  <c r="AA82" i="17"/>
  <c r="AA83" i="17"/>
  <c r="AA84" i="17"/>
  <c r="AA85" i="17"/>
  <c r="AA86" i="17"/>
  <c r="AA87" i="17"/>
  <c r="AA88" i="17"/>
  <c r="AA89" i="17"/>
  <c r="AA90" i="17"/>
  <c r="AA91" i="17"/>
  <c r="AA92" i="17"/>
  <c r="Y69" i="17"/>
  <c r="Y70" i="17"/>
  <c r="Y71" i="17"/>
  <c r="Y72" i="17"/>
  <c r="Y73" i="17"/>
  <c r="Y74" i="17"/>
  <c r="Y75" i="17"/>
  <c r="Y76" i="17"/>
  <c r="Y77" i="17"/>
  <c r="Y78" i="17"/>
  <c r="Y79" i="17"/>
  <c r="Y80" i="17"/>
  <c r="Y81" i="17"/>
  <c r="Y82" i="17"/>
  <c r="Y83" i="17"/>
  <c r="Y84" i="17"/>
  <c r="Y85" i="17"/>
  <c r="Y86" i="17"/>
  <c r="Y87" i="17"/>
  <c r="Y88" i="17"/>
  <c r="Y89" i="17"/>
  <c r="Y90" i="17"/>
  <c r="Y91" i="17"/>
  <c r="Y92" i="17"/>
  <c r="Y93" i="17"/>
  <c r="W69" i="17"/>
  <c r="W70" i="17"/>
  <c r="W71" i="17"/>
  <c r="W72" i="17"/>
  <c r="W73" i="17"/>
  <c r="W74" i="17"/>
  <c r="W75" i="17"/>
  <c r="W76" i="17"/>
  <c r="W77" i="17"/>
  <c r="W78" i="17"/>
  <c r="W79" i="17"/>
  <c r="W80" i="17"/>
  <c r="W81" i="17"/>
  <c r="W82" i="17"/>
  <c r="W83" i="17"/>
  <c r="W84" i="17"/>
  <c r="W85" i="17"/>
  <c r="W86" i="17"/>
  <c r="W87" i="17"/>
  <c r="W88" i="17"/>
  <c r="W89" i="17"/>
  <c r="W90" i="17"/>
  <c r="W91" i="17"/>
  <c r="W92" i="17"/>
  <c r="W93" i="17"/>
  <c r="U93" i="17"/>
  <c r="S93" i="17"/>
  <c r="O93" i="17"/>
  <c r="G93" i="17"/>
  <c r="A255" i="24" l="1"/>
  <c r="S103" i="17"/>
  <c r="A93" i="24"/>
  <c r="G105" i="17"/>
  <c r="A256" i="24"/>
  <c r="A257" i="24" s="1"/>
  <c r="A258" i="24" s="1"/>
  <c r="A259" i="24" s="1"/>
  <c r="A260" i="24" s="1"/>
  <c r="A261" i="24" s="1"/>
  <c r="A262" i="24" s="1"/>
  <c r="A263" i="24" s="1"/>
  <c r="A264" i="24" s="1"/>
  <c r="Y99" i="17"/>
  <c r="U91" i="17"/>
  <c r="U92" i="17"/>
  <c r="S90" i="17"/>
  <c r="S91" i="17"/>
  <c r="S92" i="17"/>
  <c r="W106" i="17" l="1"/>
  <c r="W102" i="17"/>
  <c r="U103" i="17"/>
  <c r="AA93" i="17"/>
  <c r="G106" i="17"/>
  <c r="A94" i="24"/>
  <c r="Y63" i="17"/>
  <c r="W63" i="17"/>
  <c r="U63" i="17"/>
  <c r="S63" i="17"/>
  <c r="AG91" i="17"/>
  <c r="AG90" i="17"/>
  <c r="AG89" i="17"/>
  <c r="AG88" i="17"/>
  <c r="AG87" i="17"/>
  <c r="AG86" i="17"/>
  <c r="AG85" i="17"/>
  <c r="AG84" i="17"/>
  <c r="AG83" i="17"/>
  <c r="AG82" i="17"/>
  <c r="AG81" i="17"/>
  <c r="AG80" i="17"/>
  <c r="AG79" i="17"/>
  <c r="AG78" i="17"/>
  <c r="AG77" i="17"/>
  <c r="AG76" i="17"/>
  <c r="AG75" i="17"/>
  <c r="AG74" i="17"/>
  <c r="AG73" i="17"/>
  <c r="AG72" i="17"/>
  <c r="AG71" i="17"/>
  <c r="AG70" i="17"/>
  <c r="AG69" i="17"/>
  <c r="AG68" i="17"/>
  <c r="AG67" i="17"/>
  <c r="AG66" i="17"/>
  <c r="AG65" i="17"/>
  <c r="AG64" i="17"/>
  <c r="AG63" i="17"/>
  <c r="AG62" i="17"/>
  <c r="AG61" i="17"/>
  <c r="AG60" i="17"/>
  <c r="AG59" i="17"/>
  <c r="AG58" i="17"/>
  <c r="AG57" i="17"/>
  <c r="AG56" i="17"/>
  <c r="AG55" i="17"/>
  <c r="AG54" i="17"/>
  <c r="AG53" i="17"/>
  <c r="AG52" i="17"/>
  <c r="AG51" i="17"/>
  <c r="AG50" i="17"/>
  <c r="AG49" i="17"/>
  <c r="AG48" i="17"/>
  <c r="AG47" i="17"/>
  <c r="AG46" i="17"/>
  <c r="AG45" i="17"/>
  <c r="AG44" i="17"/>
  <c r="AG43" i="17"/>
  <c r="AG42" i="17"/>
  <c r="AG41" i="17"/>
  <c r="AG40" i="17"/>
  <c r="AG39" i="17"/>
  <c r="AG38" i="17"/>
  <c r="AG37" i="17"/>
  <c r="AG36" i="17"/>
  <c r="AG35" i="17"/>
  <c r="AG34" i="17"/>
  <c r="AG33" i="17"/>
  <c r="AG32" i="17"/>
  <c r="AG31" i="17"/>
  <c r="AG30" i="17"/>
  <c r="AG29" i="17"/>
  <c r="AG28" i="17"/>
  <c r="AG27" i="17"/>
  <c r="AG26" i="17"/>
  <c r="AG25" i="17"/>
  <c r="AG24" i="17"/>
  <c r="AG23" i="17"/>
  <c r="AG22" i="17"/>
  <c r="AG21" i="17"/>
  <c r="AG20" i="17"/>
  <c r="AG19" i="17"/>
  <c r="AG18" i="17"/>
  <c r="AG17" i="17"/>
  <c r="AG16" i="17"/>
  <c r="AG15" i="17"/>
  <c r="AG14" i="17"/>
  <c r="AG13" i="17"/>
  <c r="AG12" i="17"/>
  <c r="AG11" i="17"/>
  <c r="AG10" i="17"/>
  <c r="AE91" i="17"/>
  <c r="AE90" i="17"/>
  <c r="AE89" i="17"/>
  <c r="AE88" i="17"/>
  <c r="AE87" i="17"/>
  <c r="AE86" i="17"/>
  <c r="AE85" i="17"/>
  <c r="AE84" i="17"/>
  <c r="AE83" i="17"/>
  <c r="AE82" i="17"/>
  <c r="AE81" i="17"/>
  <c r="AE80" i="17"/>
  <c r="AE79" i="17"/>
  <c r="AE78" i="17"/>
  <c r="AE77" i="17"/>
  <c r="AE76" i="17"/>
  <c r="AE75" i="17"/>
  <c r="AE74" i="17"/>
  <c r="AE73" i="17"/>
  <c r="AE72" i="17"/>
  <c r="AE71" i="17"/>
  <c r="AE70" i="17"/>
  <c r="AE69" i="17"/>
  <c r="AE68" i="17"/>
  <c r="AE67" i="17"/>
  <c r="AE66" i="17"/>
  <c r="AE65" i="17"/>
  <c r="AE64" i="17"/>
  <c r="AE63" i="17"/>
  <c r="AE62" i="17"/>
  <c r="AE61" i="17"/>
  <c r="AE60" i="17"/>
  <c r="AE59" i="17"/>
  <c r="AE58" i="17"/>
  <c r="AE57" i="17"/>
  <c r="AE56" i="17"/>
  <c r="AE55" i="17"/>
  <c r="AE54" i="17"/>
  <c r="AE53" i="17"/>
  <c r="AE52" i="17"/>
  <c r="AE51" i="17"/>
  <c r="AE50" i="17"/>
  <c r="AE49" i="17"/>
  <c r="AE48" i="17"/>
  <c r="AE47" i="17"/>
  <c r="AE46" i="17"/>
  <c r="AE45" i="17"/>
  <c r="AE44" i="17"/>
  <c r="AE43" i="17"/>
  <c r="AE42" i="17"/>
  <c r="AE41" i="17"/>
  <c r="AE40" i="17"/>
  <c r="AE39" i="17"/>
  <c r="AE38" i="17"/>
  <c r="AE37" i="17"/>
  <c r="AE36" i="17"/>
  <c r="AE35" i="17"/>
  <c r="AE34" i="17"/>
  <c r="AE33" i="17"/>
  <c r="AE32" i="17"/>
  <c r="AE31" i="17"/>
  <c r="AE30" i="17"/>
  <c r="AE29" i="17"/>
  <c r="AE28" i="17"/>
  <c r="AE27" i="17"/>
  <c r="AE26" i="17"/>
  <c r="AE25" i="17"/>
  <c r="AE24" i="17"/>
  <c r="AE23" i="17"/>
  <c r="AE22" i="17"/>
  <c r="AE21" i="17"/>
  <c r="AE20" i="17"/>
  <c r="AE19" i="17"/>
  <c r="AE18" i="17"/>
  <c r="AE17" i="17"/>
  <c r="AE16" i="17"/>
  <c r="AE15" i="17"/>
  <c r="AE14" i="17"/>
  <c r="AE13" i="17"/>
  <c r="AE12" i="17"/>
  <c r="AE11" i="17"/>
  <c r="AE10" i="17"/>
  <c r="AC69" i="17"/>
  <c r="AC68" i="17"/>
  <c r="AC67" i="17"/>
  <c r="AC66" i="17"/>
  <c r="AC65" i="17"/>
  <c r="AC64" i="17"/>
  <c r="AC63" i="17"/>
  <c r="AC62" i="17"/>
  <c r="AC61" i="17"/>
  <c r="AC60" i="17"/>
  <c r="AC59" i="17"/>
  <c r="AC58" i="17"/>
  <c r="AC57" i="17"/>
  <c r="AC56" i="17"/>
  <c r="AC55" i="17"/>
  <c r="AC54" i="17"/>
  <c r="AC53" i="17"/>
  <c r="AC52" i="17"/>
  <c r="AC51" i="17"/>
  <c r="AC50" i="17"/>
  <c r="AC49" i="17"/>
  <c r="AC48" i="17"/>
  <c r="AC47" i="17"/>
  <c r="AC46" i="17"/>
  <c r="AC45" i="17"/>
  <c r="AC44" i="17"/>
  <c r="AC43" i="17"/>
  <c r="AC42" i="17"/>
  <c r="AC41" i="17"/>
  <c r="AC40" i="17"/>
  <c r="AC39" i="17"/>
  <c r="AC38" i="17"/>
  <c r="AC37" i="17"/>
  <c r="AC36" i="17"/>
  <c r="AC35" i="17"/>
  <c r="AC34" i="17"/>
  <c r="AC33" i="17"/>
  <c r="AC32" i="17"/>
  <c r="AC31" i="17"/>
  <c r="AC30" i="17"/>
  <c r="AC29" i="17"/>
  <c r="AC28" i="17"/>
  <c r="AC27" i="17"/>
  <c r="AC26" i="17"/>
  <c r="AC25" i="17"/>
  <c r="AC24" i="17"/>
  <c r="AC23" i="17"/>
  <c r="AC22" i="17"/>
  <c r="AC21" i="17"/>
  <c r="AC20" i="17"/>
  <c r="AC19" i="17"/>
  <c r="AC18" i="17"/>
  <c r="AC17" i="17"/>
  <c r="AC16" i="17"/>
  <c r="AC15" i="17"/>
  <c r="AC14" i="17"/>
  <c r="AC13" i="17"/>
  <c r="AC12" i="17"/>
  <c r="AC11" i="17"/>
  <c r="AC10" i="17"/>
  <c r="AA67" i="17"/>
  <c r="AA66" i="17"/>
  <c r="AA65" i="17"/>
  <c r="AA64" i="17"/>
  <c r="AA63" i="17"/>
  <c r="AA62" i="17"/>
  <c r="AA61" i="17"/>
  <c r="AA60" i="17"/>
  <c r="AA59" i="17"/>
  <c r="AA58" i="17"/>
  <c r="AA57" i="17"/>
  <c r="AA56" i="17"/>
  <c r="AA55" i="17"/>
  <c r="AA54" i="17"/>
  <c r="AA53" i="17"/>
  <c r="AA52" i="17"/>
  <c r="AA51" i="17"/>
  <c r="AA50" i="17"/>
  <c r="AA49" i="17"/>
  <c r="AA48" i="17"/>
  <c r="AA47" i="17"/>
  <c r="AA46" i="17"/>
  <c r="AA45" i="17"/>
  <c r="AA44" i="17"/>
  <c r="AA43" i="17"/>
  <c r="AA42" i="17"/>
  <c r="AA41" i="17"/>
  <c r="AA40" i="17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25" i="17"/>
  <c r="AA24" i="17"/>
  <c r="AA23" i="17"/>
  <c r="AA22" i="17"/>
  <c r="AA21" i="17"/>
  <c r="AA20" i="17"/>
  <c r="AA19" i="17"/>
  <c r="AA18" i="17"/>
  <c r="AA17" i="17"/>
  <c r="AA16" i="17"/>
  <c r="AA15" i="17"/>
  <c r="AA14" i="17"/>
  <c r="AA13" i="17"/>
  <c r="AA12" i="17"/>
  <c r="AA11" i="17"/>
  <c r="AA10" i="17"/>
  <c r="Y68" i="17"/>
  <c r="Y67" i="17"/>
  <c r="Y66" i="17"/>
  <c r="Y65" i="17"/>
  <c r="Y64" i="17"/>
  <c r="Y62" i="17"/>
  <c r="Y61" i="17"/>
  <c r="Y60" i="17"/>
  <c r="Y59" i="17"/>
  <c r="Y58" i="17"/>
  <c r="Y57" i="17"/>
  <c r="Y56" i="17"/>
  <c r="Y55" i="17"/>
  <c r="Y54" i="17"/>
  <c r="Y53" i="17"/>
  <c r="Y52" i="17"/>
  <c r="Y51" i="17"/>
  <c r="Y50" i="17"/>
  <c r="Y49" i="17"/>
  <c r="Y48" i="17"/>
  <c r="Y47" i="17"/>
  <c r="Y46" i="17"/>
  <c r="Y45" i="17"/>
  <c r="Y44" i="17"/>
  <c r="Y43" i="17"/>
  <c r="Y42" i="17"/>
  <c r="Y41" i="17"/>
  <c r="Y40" i="17"/>
  <c r="Y39" i="17"/>
  <c r="Y38" i="17"/>
  <c r="Y37" i="17"/>
  <c r="Y36" i="17"/>
  <c r="Y35" i="17"/>
  <c r="Y34" i="17"/>
  <c r="Y33" i="17"/>
  <c r="Y32" i="17"/>
  <c r="Y31" i="17"/>
  <c r="Y30" i="17"/>
  <c r="Y29" i="17"/>
  <c r="Y28" i="17"/>
  <c r="Y27" i="17"/>
  <c r="Y26" i="17"/>
  <c r="Y25" i="17"/>
  <c r="Y24" i="17"/>
  <c r="Y23" i="17"/>
  <c r="Y22" i="17"/>
  <c r="Y21" i="17"/>
  <c r="Y20" i="17"/>
  <c r="Y19" i="17"/>
  <c r="Y18" i="17"/>
  <c r="Y17" i="17"/>
  <c r="Y16" i="17"/>
  <c r="Y15" i="17"/>
  <c r="Y14" i="17"/>
  <c r="Y13" i="17"/>
  <c r="Y12" i="17"/>
  <c r="Y11" i="17"/>
  <c r="Y10" i="17"/>
  <c r="W68" i="17"/>
  <c r="W67" i="17"/>
  <c r="W66" i="17"/>
  <c r="W65" i="17"/>
  <c r="W64" i="17"/>
  <c r="W62" i="17"/>
  <c r="W61" i="17"/>
  <c r="W60" i="17"/>
  <c r="W59" i="17"/>
  <c r="W58" i="17"/>
  <c r="W57" i="17"/>
  <c r="W56" i="17"/>
  <c r="W55" i="17"/>
  <c r="W54" i="17"/>
  <c r="W53" i="17"/>
  <c r="W52" i="17"/>
  <c r="W51" i="17"/>
  <c r="W50" i="17"/>
  <c r="W49" i="17"/>
  <c r="W48" i="17"/>
  <c r="W47" i="17"/>
  <c r="W46" i="17"/>
  <c r="W45" i="17"/>
  <c r="W44" i="17"/>
  <c r="W43" i="17"/>
  <c r="W42" i="17"/>
  <c r="W41" i="17"/>
  <c r="W40" i="17"/>
  <c r="W39" i="17"/>
  <c r="W38" i="17"/>
  <c r="W37" i="17"/>
  <c r="W36" i="17"/>
  <c r="W35" i="17"/>
  <c r="W34" i="17"/>
  <c r="W33" i="17"/>
  <c r="W32" i="17"/>
  <c r="W31" i="17"/>
  <c r="W30" i="17"/>
  <c r="W29" i="17"/>
  <c r="W28" i="17"/>
  <c r="W27" i="17"/>
  <c r="W26" i="17"/>
  <c r="W25" i="17"/>
  <c r="W24" i="17"/>
  <c r="W23" i="17"/>
  <c r="W22" i="17"/>
  <c r="W21" i="17"/>
  <c r="W20" i="17"/>
  <c r="W19" i="17"/>
  <c r="W18" i="17"/>
  <c r="W17" i="17"/>
  <c r="W16" i="17"/>
  <c r="W15" i="17"/>
  <c r="W14" i="17"/>
  <c r="W13" i="17"/>
  <c r="W12" i="17"/>
  <c r="W11" i="17"/>
  <c r="W10" i="17"/>
  <c r="U90" i="17"/>
  <c r="U89" i="17"/>
  <c r="U88" i="17"/>
  <c r="U87" i="17"/>
  <c r="U86" i="17"/>
  <c r="U85" i="17"/>
  <c r="U84" i="17"/>
  <c r="U83" i="17"/>
  <c r="U82" i="17"/>
  <c r="U81" i="17"/>
  <c r="U80" i="17"/>
  <c r="U79" i="17"/>
  <c r="U78" i="17"/>
  <c r="U77" i="17"/>
  <c r="U76" i="17"/>
  <c r="U75" i="17"/>
  <c r="U74" i="17"/>
  <c r="U73" i="17"/>
  <c r="U72" i="17"/>
  <c r="U71" i="17"/>
  <c r="U70" i="17"/>
  <c r="U69" i="17"/>
  <c r="U68" i="17"/>
  <c r="U67" i="17"/>
  <c r="U66" i="17"/>
  <c r="U65" i="17"/>
  <c r="U64" i="17"/>
  <c r="U62" i="17"/>
  <c r="U61" i="17"/>
  <c r="U60" i="17"/>
  <c r="U59" i="17"/>
  <c r="U58" i="17"/>
  <c r="U57" i="17"/>
  <c r="U56" i="17"/>
  <c r="U55" i="17"/>
  <c r="U54" i="17"/>
  <c r="U53" i="17"/>
  <c r="U52" i="17"/>
  <c r="U51" i="17"/>
  <c r="U50" i="17"/>
  <c r="U49" i="17"/>
  <c r="U48" i="17"/>
  <c r="U47" i="17"/>
  <c r="U46" i="17"/>
  <c r="U45" i="17"/>
  <c r="U44" i="17"/>
  <c r="U43" i="17"/>
  <c r="U42" i="17"/>
  <c r="U41" i="17"/>
  <c r="U40" i="17"/>
  <c r="U39" i="17"/>
  <c r="U38" i="17"/>
  <c r="U37" i="17"/>
  <c r="U36" i="17"/>
  <c r="U35" i="17"/>
  <c r="U34" i="17"/>
  <c r="U33" i="17"/>
  <c r="U32" i="17"/>
  <c r="U31" i="17"/>
  <c r="U30" i="17"/>
  <c r="U29" i="17"/>
  <c r="U28" i="17"/>
  <c r="U27" i="17"/>
  <c r="U26" i="17"/>
  <c r="U25" i="17"/>
  <c r="U24" i="17"/>
  <c r="U23" i="17"/>
  <c r="U22" i="17"/>
  <c r="U21" i="17"/>
  <c r="U20" i="17"/>
  <c r="U19" i="17"/>
  <c r="U18" i="17"/>
  <c r="U17" i="17"/>
  <c r="U16" i="17"/>
  <c r="U15" i="17"/>
  <c r="U14" i="17"/>
  <c r="U13" i="17"/>
  <c r="U12" i="17"/>
  <c r="U11" i="17"/>
  <c r="U10" i="17"/>
  <c r="S89" i="17"/>
  <c r="S88" i="17"/>
  <c r="S87" i="17"/>
  <c r="S86" i="17"/>
  <c r="S85" i="17"/>
  <c r="S84" i="17"/>
  <c r="S83" i="17"/>
  <c r="S82" i="17"/>
  <c r="S81" i="17"/>
  <c r="S80" i="17"/>
  <c r="S79" i="17"/>
  <c r="S78" i="17"/>
  <c r="S77" i="17"/>
  <c r="S76" i="17"/>
  <c r="S75" i="17"/>
  <c r="S74" i="17"/>
  <c r="S73" i="17"/>
  <c r="S72" i="17"/>
  <c r="S71" i="17"/>
  <c r="S70" i="17"/>
  <c r="S69" i="17"/>
  <c r="S68" i="17"/>
  <c r="S67" i="17"/>
  <c r="S66" i="17"/>
  <c r="S65" i="17"/>
  <c r="S64" i="17"/>
  <c r="S62" i="17"/>
  <c r="S61" i="17"/>
  <c r="S60" i="17"/>
  <c r="S59" i="17"/>
  <c r="S58" i="17"/>
  <c r="S57" i="17"/>
  <c r="S56" i="17"/>
  <c r="S55" i="17"/>
  <c r="S54" i="17"/>
  <c r="S53" i="17"/>
  <c r="S52" i="17"/>
  <c r="S51" i="17"/>
  <c r="S50" i="17"/>
  <c r="S49" i="17"/>
  <c r="S48" i="17"/>
  <c r="S47" i="17"/>
  <c r="S46" i="17"/>
  <c r="S45" i="17"/>
  <c r="S44" i="17"/>
  <c r="S43" i="17"/>
  <c r="S42" i="17"/>
  <c r="S41" i="17"/>
  <c r="S40" i="17"/>
  <c r="S39" i="17"/>
  <c r="S38" i="17"/>
  <c r="S37" i="17"/>
  <c r="S36" i="17"/>
  <c r="S35" i="17"/>
  <c r="S34" i="17"/>
  <c r="S33" i="17"/>
  <c r="S32" i="17"/>
  <c r="S31" i="17"/>
  <c r="S30" i="17"/>
  <c r="S29" i="17"/>
  <c r="S28" i="17"/>
  <c r="S27" i="17"/>
  <c r="S26" i="17"/>
  <c r="S25" i="17"/>
  <c r="S24" i="17"/>
  <c r="S23" i="17"/>
  <c r="S22" i="17"/>
  <c r="S21" i="17"/>
  <c r="S20" i="17"/>
  <c r="S19" i="17"/>
  <c r="S18" i="17"/>
  <c r="S17" i="17"/>
  <c r="S16" i="17"/>
  <c r="S15" i="17"/>
  <c r="S14" i="17"/>
  <c r="S13" i="17"/>
  <c r="S12" i="17"/>
  <c r="S11" i="17"/>
  <c r="S10" i="17"/>
  <c r="A95" i="24" l="1"/>
  <c r="G107" i="17"/>
  <c r="D247" i="24"/>
  <c r="D248" i="24"/>
  <c r="D249" i="24"/>
  <c r="D250" i="24"/>
  <c r="D251" i="24"/>
  <c r="D252" i="24"/>
  <c r="D253" i="24"/>
  <c r="D254" i="24"/>
  <c r="D255" i="24"/>
  <c r="D256" i="24"/>
  <c r="D257" i="24"/>
  <c r="D258" i="24"/>
  <c r="D259" i="24"/>
  <c r="D260" i="24"/>
  <c r="D261" i="24"/>
  <c r="D262" i="24"/>
  <c r="D263" i="24"/>
  <c r="D264" i="24"/>
  <c r="G246" i="24"/>
  <c r="G247" i="24"/>
  <c r="G248" i="24"/>
  <c r="G249" i="24"/>
  <c r="G250" i="24"/>
  <c r="G251" i="24"/>
  <c r="G252" i="24"/>
  <c r="G253" i="24"/>
  <c r="G254" i="24"/>
  <c r="G255" i="24"/>
  <c r="G256" i="24"/>
  <c r="G257" i="24"/>
  <c r="G258" i="24"/>
  <c r="G259" i="24"/>
  <c r="G260" i="24"/>
  <c r="G261" i="24"/>
  <c r="G262" i="24"/>
  <c r="G263" i="24"/>
  <c r="G264" i="24"/>
  <c r="D246" i="24"/>
  <c r="G108" i="17" l="1"/>
  <c r="A96" i="24"/>
  <c r="K92" i="17"/>
  <c r="G92" i="17"/>
  <c r="G238" i="24"/>
  <c r="D238" i="24"/>
  <c r="G79" i="24"/>
  <c r="D79" i="24"/>
  <c r="A97" i="24" l="1"/>
  <c r="G109" i="17"/>
  <c r="N215" i="24"/>
  <c r="N72" i="24"/>
  <c r="N73" i="24"/>
  <c r="N74" i="24"/>
  <c r="G215" i="24"/>
  <c r="G72" i="24"/>
  <c r="G73" i="24"/>
  <c r="G74" i="24"/>
  <c r="G75" i="24"/>
  <c r="G76" i="24"/>
  <c r="G77" i="24"/>
  <c r="G78" i="24"/>
  <c r="D72" i="24"/>
  <c r="D73" i="24"/>
  <c r="D74" i="24"/>
  <c r="D75" i="24"/>
  <c r="D76" i="24"/>
  <c r="D77" i="24"/>
  <c r="D78" i="24"/>
  <c r="T73" i="36"/>
  <c r="T72" i="36"/>
  <c r="T71" i="36"/>
  <c r="T70" i="36"/>
  <c r="T69" i="36"/>
  <c r="T68" i="36"/>
  <c r="T67" i="36"/>
  <c r="T66" i="36"/>
  <c r="R66" i="36"/>
  <c r="R67" i="36"/>
  <c r="R68" i="36"/>
  <c r="R69" i="36"/>
  <c r="R70" i="36"/>
  <c r="R71" i="36"/>
  <c r="R72" i="36"/>
  <c r="R73" i="36"/>
  <c r="P66" i="36"/>
  <c r="P67" i="36"/>
  <c r="P68" i="36"/>
  <c r="P69" i="36"/>
  <c r="P70" i="36"/>
  <c r="P71" i="36"/>
  <c r="P72" i="36"/>
  <c r="P73" i="36"/>
  <c r="G110" i="17" l="1"/>
  <c r="A98" i="24"/>
  <c r="T65" i="36"/>
  <c r="T64" i="36"/>
  <c r="T63" i="36"/>
  <c r="T62" i="36"/>
  <c r="T61" i="36"/>
  <c r="T60" i="36"/>
  <c r="T59" i="36"/>
  <c r="T58" i="36"/>
  <c r="T57" i="36"/>
  <c r="T56" i="36"/>
  <c r="T55" i="36"/>
  <c r="T54" i="36"/>
  <c r="T53" i="36"/>
  <c r="T52" i="36"/>
  <c r="T51" i="36"/>
  <c r="T50" i="36"/>
  <c r="T49" i="36"/>
  <c r="T48" i="36"/>
  <c r="T47" i="36"/>
  <c r="T46" i="36"/>
  <c r="T45" i="36"/>
  <c r="T44" i="36"/>
  <c r="T43" i="36"/>
  <c r="T42" i="36"/>
  <c r="T41" i="36"/>
  <c r="T40" i="36"/>
  <c r="T39" i="36"/>
  <c r="T38" i="36"/>
  <c r="T37" i="36"/>
  <c r="T36" i="36"/>
  <c r="T35" i="36"/>
  <c r="T34" i="36"/>
  <c r="T33" i="36"/>
  <c r="T32" i="36"/>
  <c r="T31" i="36"/>
  <c r="T30" i="36"/>
  <c r="T29" i="36"/>
  <c r="T28" i="36"/>
  <c r="T27" i="36"/>
  <c r="T26" i="36"/>
  <c r="T25" i="36"/>
  <c r="T24" i="36"/>
  <c r="T23" i="36"/>
  <c r="T22" i="36"/>
  <c r="T21" i="36"/>
  <c r="T20" i="36"/>
  <c r="T19" i="36"/>
  <c r="T18" i="36"/>
  <c r="T17" i="36"/>
  <c r="T16" i="36"/>
  <c r="T15" i="36"/>
  <c r="T14" i="36"/>
  <c r="T13" i="36"/>
  <c r="T12" i="36"/>
  <c r="T11" i="36"/>
  <c r="T10" i="36"/>
  <c r="R65" i="36"/>
  <c r="R64" i="36"/>
  <c r="R63" i="36"/>
  <c r="R62" i="36"/>
  <c r="R61" i="36"/>
  <c r="R60" i="36"/>
  <c r="R59" i="36"/>
  <c r="R58" i="36"/>
  <c r="R57" i="36"/>
  <c r="R56" i="36"/>
  <c r="R55" i="36"/>
  <c r="R54" i="36"/>
  <c r="R53" i="36"/>
  <c r="R52" i="36"/>
  <c r="R51" i="36"/>
  <c r="R50" i="36"/>
  <c r="R49" i="36"/>
  <c r="R48" i="36"/>
  <c r="R47" i="36"/>
  <c r="R46" i="36"/>
  <c r="R45" i="36"/>
  <c r="R44" i="36"/>
  <c r="R43" i="36"/>
  <c r="R42" i="36"/>
  <c r="R41" i="36"/>
  <c r="R40" i="36"/>
  <c r="R39" i="36"/>
  <c r="R38" i="36"/>
  <c r="R37" i="36"/>
  <c r="R36" i="36"/>
  <c r="R35" i="36"/>
  <c r="R34" i="36"/>
  <c r="R33" i="36"/>
  <c r="R32" i="36"/>
  <c r="R31" i="36"/>
  <c r="R30" i="36"/>
  <c r="R29" i="36"/>
  <c r="R28" i="36"/>
  <c r="R27" i="36"/>
  <c r="R26" i="36"/>
  <c r="R25" i="36"/>
  <c r="R24" i="36"/>
  <c r="R23" i="36"/>
  <c r="R22" i="36"/>
  <c r="R21" i="36"/>
  <c r="R20" i="36"/>
  <c r="R19" i="36"/>
  <c r="R18" i="36"/>
  <c r="R17" i="36"/>
  <c r="R16" i="36"/>
  <c r="R15" i="36"/>
  <c r="R14" i="36"/>
  <c r="R13" i="36"/>
  <c r="R12" i="36"/>
  <c r="R11" i="36"/>
  <c r="R10" i="36"/>
  <c r="P65" i="36"/>
  <c r="P64" i="36"/>
  <c r="P63" i="36"/>
  <c r="P62" i="36"/>
  <c r="P61" i="36"/>
  <c r="P60" i="36"/>
  <c r="P59" i="36"/>
  <c r="P58" i="36"/>
  <c r="P57" i="36"/>
  <c r="P56" i="36"/>
  <c r="P55" i="36"/>
  <c r="P54" i="36"/>
  <c r="P53" i="36"/>
  <c r="P52" i="36"/>
  <c r="P51" i="36"/>
  <c r="P50" i="36"/>
  <c r="P49" i="36"/>
  <c r="P48" i="36"/>
  <c r="P47" i="36"/>
  <c r="P46" i="36"/>
  <c r="P45" i="36"/>
  <c r="P44" i="36"/>
  <c r="P43" i="36"/>
  <c r="P42" i="36"/>
  <c r="P41" i="36"/>
  <c r="P40" i="36"/>
  <c r="P39" i="36"/>
  <c r="P38" i="36"/>
  <c r="P37" i="36"/>
  <c r="P36" i="36"/>
  <c r="P35" i="36"/>
  <c r="P34" i="36"/>
  <c r="P33" i="36"/>
  <c r="P32" i="36"/>
  <c r="P31" i="36"/>
  <c r="P30" i="36"/>
  <c r="P29" i="36"/>
  <c r="P28" i="36"/>
  <c r="P27" i="36"/>
  <c r="P26" i="36"/>
  <c r="P25" i="36"/>
  <c r="P24" i="36"/>
  <c r="P23" i="36"/>
  <c r="P22" i="36"/>
  <c r="P21" i="36"/>
  <c r="P20" i="36"/>
  <c r="P19" i="36"/>
  <c r="P18" i="36"/>
  <c r="P17" i="36"/>
  <c r="P16" i="36"/>
  <c r="P15" i="36"/>
  <c r="P14" i="36"/>
  <c r="P13" i="36"/>
  <c r="P12" i="36"/>
  <c r="P11" i="36"/>
  <c r="P10" i="36"/>
  <c r="A99" i="24" l="1"/>
  <c r="G111" i="17"/>
  <c r="N212" i="24"/>
  <c r="N213" i="24"/>
  <c r="N214" i="24"/>
  <c r="G104" i="24"/>
  <c r="G105" i="24"/>
  <c r="G106" i="24"/>
  <c r="G107" i="24"/>
  <c r="G212" i="24"/>
  <c r="G213" i="24"/>
  <c r="G214" i="24"/>
  <c r="D212" i="24"/>
  <c r="D213" i="24"/>
  <c r="D214" i="24"/>
  <c r="D215" i="24"/>
  <c r="G112" i="17" l="1"/>
  <c r="A100" i="24"/>
  <c r="N67" i="24"/>
  <c r="D67" i="24"/>
  <c r="O72" i="17"/>
  <c r="G113" i="17" l="1"/>
  <c r="A101" i="24"/>
  <c r="G114" i="17" s="1"/>
  <c r="N106" i="24"/>
  <c r="N107" i="24"/>
  <c r="D106" i="24"/>
  <c r="D107" i="24"/>
  <c r="N105" i="24" l="1"/>
  <c r="D105" i="24"/>
  <c r="N104" i="24"/>
  <c r="D104" i="24"/>
  <c r="N71" i="24" l="1"/>
  <c r="G71" i="24"/>
  <c r="D71" i="24"/>
  <c r="N70" i="24"/>
  <c r="D70" i="24"/>
  <c r="N69" i="24"/>
  <c r="D69" i="24"/>
  <c r="N68" i="24"/>
  <c r="D68" i="24"/>
  <c r="N66" i="24"/>
  <c r="G66" i="24"/>
  <c r="D66" i="24"/>
  <c r="Q76" i="17" l="1"/>
  <c r="Q75" i="17"/>
  <c r="O75" i="17"/>
  <c r="Q74" i="17"/>
  <c r="Q73" i="17"/>
  <c r="Q72" i="17"/>
  <c r="Q70" i="17"/>
  <c r="O70" i="17"/>
  <c r="Q69" i="17" l="1"/>
  <c r="O61" i="17"/>
  <c r="O62" i="17"/>
  <c r="O63" i="17"/>
  <c r="O64" i="17"/>
  <c r="O65" i="17"/>
  <c r="O66" i="17"/>
  <c r="O67" i="17"/>
  <c r="O68" i="17"/>
  <c r="O69" i="17"/>
  <c r="M62" i="17"/>
  <c r="M63" i="17"/>
  <c r="M64" i="17"/>
  <c r="M65" i="17"/>
  <c r="M66" i="17"/>
  <c r="M67" i="17"/>
  <c r="M68" i="17"/>
  <c r="K62" i="17"/>
  <c r="K63" i="17"/>
  <c r="K64" i="17"/>
  <c r="K65" i="17"/>
  <c r="N65" i="24"/>
  <c r="G65" i="24"/>
  <c r="D65" i="24"/>
  <c r="N267" i="24" l="1"/>
  <c r="N48" i="24"/>
  <c r="N49" i="24"/>
  <c r="N50" i="24"/>
  <c r="N51" i="24"/>
  <c r="N210" i="24"/>
  <c r="N52" i="24"/>
  <c r="N53" i="24"/>
  <c r="N54" i="24"/>
  <c r="N55" i="24"/>
  <c r="N211" i="24"/>
  <c r="N232" i="24"/>
  <c r="N102" i="24"/>
  <c r="N56" i="24"/>
  <c r="N233" i="24"/>
  <c r="N57" i="24"/>
  <c r="N234" i="24"/>
  <c r="N58" i="24"/>
  <c r="N59" i="24"/>
  <c r="N60" i="24"/>
  <c r="N61" i="24"/>
  <c r="N62" i="24"/>
  <c r="N63" i="24"/>
  <c r="N236" i="24"/>
  <c r="N64" i="24"/>
  <c r="N237" i="24"/>
  <c r="D267" i="24"/>
  <c r="D48" i="24"/>
  <c r="D49" i="24"/>
  <c r="D50" i="24"/>
  <c r="D51" i="24"/>
  <c r="D210" i="24"/>
  <c r="D52" i="24"/>
  <c r="D53" i="24"/>
  <c r="D54" i="24"/>
  <c r="D55" i="24"/>
  <c r="D211" i="24"/>
  <c r="D232" i="24"/>
  <c r="D102" i="24"/>
  <c r="D56" i="24"/>
  <c r="D233" i="24"/>
  <c r="D57" i="24"/>
  <c r="D234" i="24"/>
  <c r="D58" i="24"/>
  <c r="D59" i="24"/>
  <c r="D60" i="24"/>
  <c r="D61" i="24"/>
  <c r="D62" i="24"/>
  <c r="D63" i="24"/>
  <c r="D236" i="24"/>
  <c r="D64" i="24"/>
  <c r="D237" i="24"/>
  <c r="G56" i="24"/>
  <c r="G233" i="24"/>
  <c r="G57" i="24"/>
  <c r="G234" i="24"/>
  <c r="G58" i="24"/>
  <c r="G59" i="24"/>
  <c r="G60" i="24"/>
  <c r="G61" i="24"/>
  <c r="G62" i="24"/>
  <c r="G63" i="24"/>
  <c r="G236" i="24"/>
  <c r="G64" i="24"/>
  <c r="G237" i="24"/>
  <c r="Q68" i="17" l="1"/>
  <c r="Q67" i="17" l="1"/>
  <c r="Q66" i="17" l="1"/>
  <c r="Q65" i="17" l="1"/>
  <c r="Q64" i="17" l="1"/>
  <c r="Q63" i="17" l="1"/>
  <c r="Q62" i="17" l="1"/>
  <c r="Q61" i="17" l="1"/>
  <c r="M61" i="17"/>
  <c r="Q60" i="17" l="1"/>
  <c r="O60" i="17"/>
  <c r="M60" i="17"/>
  <c r="G102" i="24" l="1"/>
  <c r="Q59" i="17" l="1"/>
  <c r="O59" i="17"/>
  <c r="M59" i="17"/>
  <c r="Q58" i="17" l="1"/>
  <c r="O58" i="17"/>
  <c r="M58" i="17"/>
  <c r="M57" i="17" l="1"/>
  <c r="O57" i="17"/>
  <c r="Q57" i="17"/>
  <c r="Q56" i="17" l="1"/>
  <c r="O56" i="17"/>
  <c r="M56" i="17"/>
  <c r="Q55" i="17" l="1"/>
  <c r="O55" i="17"/>
  <c r="M55" i="17"/>
  <c r="M54" i="17" l="1"/>
  <c r="M53" i="17"/>
  <c r="M52" i="17"/>
  <c r="M51" i="17"/>
  <c r="M50" i="17"/>
  <c r="K50" i="17"/>
  <c r="Q54" i="17" l="1"/>
  <c r="O54" i="17"/>
  <c r="O53" i="17" l="1"/>
  <c r="Q53" i="17"/>
  <c r="O52" i="17"/>
  <c r="Q52" i="17"/>
  <c r="Q50" i="17" l="1"/>
  <c r="O50" i="17"/>
  <c r="Q51" i="17" l="1"/>
  <c r="Q49" i="17"/>
  <c r="O51" i="17"/>
  <c r="O49" i="17"/>
  <c r="M49" i="17"/>
  <c r="K49" i="17"/>
  <c r="Q48" i="17" l="1"/>
  <c r="G267" i="24" l="1"/>
  <c r="N245" i="24" l="1"/>
  <c r="G245" i="24"/>
  <c r="D245" i="24"/>
  <c r="N47" i="24"/>
  <c r="G47" i="24"/>
  <c r="D47" i="24"/>
  <c r="N266" i="24"/>
  <c r="G266" i="24"/>
  <c r="D266" i="24"/>
  <c r="Q47" i="17"/>
  <c r="Q46" i="17" l="1"/>
  <c r="O46" i="17"/>
  <c r="Q45" i="17"/>
  <c r="O45" i="17"/>
  <c r="Q44" i="17"/>
  <c r="O44" i="17"/>
  <c r="Q43" i="17"/>
  <c r="O43" i="17"/>
  <c r="Q42" i="17"/>
  <c r="O42" i="17"/>
  <c r="M42" i="17"/>
  <c r="Q41" i="17"/>
  <c r="O41" i="17"/>
  <c r="M41" i="17"/>
  <c r="K41" i="17"/>
  <c r="Q40" i="17"/>
  <c r="O40" i="17"/>
  <c r="Q39" i="17"/>
  <c r="O39" i="17"/>
  <c r="Q38" i="17"/>
  <c r="O38" i="17"/>
  <c r="Q37" i="17"/>
  <c r="O37" i="17"/>
  <c r="Q36" i="17"/>
  <c r="O36" i="17"/>
  <c r="M36" i="17"/>
  <c r="Q35" i="17"/>
  <c r="O35" i="17"/>
  <c r="M35" i="17"/>
  <c r="K35" i="17"/>
  <c r="Q34" i="17"/>
  <c r="O34" i="17"/>
  <c r="Q33" i="17"/>
  <c r="O33" i="17"/>
  <c r="Q32" i="17"/>
  <c r="O32" i="17"/>
  <c r="Q31" i="17"/>
  <c r="O31" i="17"/>
  <c r="Q30" i="17"/>
  <c r="O30" i="17"/>
  <c r="M30" i="17"/>
  <c r="Q29" i="17"/>
  <c r="O29" i="17"/>
  <c r="M29" i="17"/>
  <c r="K29" i="17"/>
  <c r="Q28" i="17"/>
  <c r="O28" i="17"/>
  <c r="Q27" i="17"/>
  <c r="O27" i="17"/>
  <c r="Q26" i="17"/>
  <c r="O26" i="17"/>
  <c r="Q25" i="17"/>
  <c r="O25" i="17"/>
  <c r="Q24" i="17"/>
  <c r="O24" i="17"/>
  <c r="M24" i="17"/>
  <c r="Q23" i="17"/>
  <c r="O23" i="17"/>
  <c r="M23" i="17"/>
  <c r="K23" i="17"/>
  <c r="Q22" i="17"/>
  <c r="O22" i="17"/>
  <c r="Q21" i="17"/>
  <c r="O21" i="17"/>
  <c r="Q20" i="17"/>
  <c r="Q19" i="17"/>
  <c r="O19" i="17"/>
  <c r="Q18" i="17"/>
  <c r="O18" i="17"/>
  <c r="M18" i="17"/>
  <c r="Q17" i="17"/>
  <c r="O17" i="17"/>
  <c r="M17" i="17"/>
  <c r="K17" i="17"/>
  <c r="N46" i="24"/>
  <c r="G46" i="24"/>
  <c r="D46" i="24"/>
  <c r="N45" i="24"/>
  <c r="G45" i="24"/>
  <c r="D45" i="24"/>
  <c r="N44" i="24"/>
  <c r="G44" i="24"/>
  <c r="D44" i="24"/>
  <c r="N43" i="24"/>
  <c r="G43" i="24"/>
  <c r="D43" i="24"/>
  <c r="N42" i="24"/>
  <c r="G42" i="24"/>
  <c r="D42" i="24"/>
  <c r="N41" i="24"/>
  <c r="G41" i="24"/>
  <c r="D41" i="24"/>
  <c r="N40" i="24"/>
  <c r="G40" i="24"/>
  <c r="D40" i="24"/>
  <c r="N39" i="24"/>
  <c r="G39" i="24"/>
  <c r="D39" i="24"/>
  <c r="N38" i="24"/>
  <c r="G38" i="24"/>
  <c r="D38" i="24"/>
  <c r="G23" i="24"/>
  <c r="N37" i="24"/>
  <c r="G37" i="24"/>
  <c r="D37" i="24"/>
  <c r="N36" i="24"/>
  <c r="G36" i="24"/>
  <c r="D36" i="24"/>
  <c r="N35" i="24"/>
  <c r="G35" i="24"/>
  <c r="D35" i="24"/>
  <c r="N34" i="24"/>
  <c r="G34" i="24"/>
  <c r="D34" i="24"/>
  <c r="N33" i="24"/>
  <c r="G33" i="24"/>
  <c r="D33" i="24"/>
  <c r="N32" i="24"/>
  <c r="G32" i="24"/>
  <c r="D32" i="24"/>
  <c r="N31" i="24"/>
  <c r="G31" i="24"/>
  <c r="D31" i="24"/>
  <c r="N30" i="24"/>
  <c r="G30" i="24"/>
  <c r="D30" i="24"/>
  <c r="N29" i="24"/>
  <c r="G29" i="24"/>
  <c r="D29" i="24"/>
  <c r="N28" i="24"/>
  <c r="G28" i="24"/>
  <c r="D28" i="24"/>
  <c r="N27" i="24"/>
  <c r="G27" i="24"/>
  <c r="D27" i="24"/>
  <c r="N26" i="24"/>
  <c r="G26" i="24"/>
  <c r="D26" i="24"/>
  <c r="N25" i="24"/>
  <c r="G25" i="24"/>
  <c r="D25" i="24"/>
  <c r="N24" i="24"/>
  <c r="G24" i="24"/>
  <c r="D24" i="24"/>
  <c r="N22" i="24"/>
  <c r="G22" i="24"/>
  <c r="D22" i="24"/>
  <c r="N23" i="24"/>
  <c r="D23" i="24"/>
  <c r="N21" i="24"/>
  <c r="G21" i="24"/>
  <c r="D21" i="24"/>
  <c r="N20" i="24"/>
  <c r="G20" i="24"/>
  <c r="D20" i="24"/>
  <c r="N19" i="24"/>
  <c r="G19" i="24"/>
  <c r="D19" i="24"/>
  <c r="N18" i="24"/>
  <c r="G18" i="24"/>
  <c r="D18" i="24"/>
  <c r="N17" i="24"/>
  <c r="G17" i="24"/>
  <c r="D17" i="24"/>
  <c r="N16" i="24" l="1"/>
  <c r="G16" i="24"/>
  <c r="K10" i="17"/>
  <c r="Q16" i="17" l="1"/>
  <c r="Q15" i="17"/>
  <c r="O15" i="17"/>
  <c r="N265" i="24"/>
  <c r="N209" i="24"/>
  <c r="N103" i="24"/>
  <c r="G265" i="24"/>
  <c r="G209" i="24"/>
  <c r="G103" i="24"/>
  <c r="G11" i="24"/>
  <c r="G12" i="24"/>
  <c r="G13" i="24"/>
  <c r="G14" i="24"/>
  <c r="G15" i="24"/>
  <c r="D265" i="24"/>
  <c r="D209" i="24"/>
  <c r="D103" i="24"/>
  <c r="D16" i="24"/>
  <c r="D15" i="24"/>
  <c r="D14" i="24"/>
  <c r="D13" i="24"/>
  <c r="D12" i="24"/>
  <c r="D11" i="24"/>
  <c r="N12" i="24"/>
  <c r="I43" i="17" l="1"/>
  <c r="I37" i="17"/>
  <c r="I31" i="17"/>
  <c r="I19" i="17"/>
  <c r="I25" i="17"/>
  <c r="N15" i="24"/>
  <c r="N14" i="24"/>
  <c r="N13" i="24"/>
  <c r="N11" i="24"/>
  <c r="N10" i="24"/>
  <c r="G10" i="24"/>
  <c r="D10" i="24"/>
  <c r="Q14" i="17"/>
  <c r="Q13" i="17"/>
  <c r="Q12" i="17"/>
  <c r="Q11" i="17"/>
  <c r="Q10" i="17"/>
  <c r="O14" i="17"/>
  <c r="O13" i="17"/>
  <c r="O12" i="17"/>
  <c r="O11" i="17"/>
  <c r="O10" i="17"/>
  <c r="M11" i="17"/>
  <c r="M10" i="17"/>
  <c r="G12" i="17"/>
  <c r="G11" i="17"/>
  <c r="G10" i="17"/>
  <c r="A11" i="17"/>
  <c r="A12" i="17" s="1"/>
  <c r="A13" i="17" l="1"/>
  <c r="G15" i="17"/>
  <c r="G14" i="17"/>
  <c r="G13" i="17"/>
  <c r="K97" i="17" l="1"/>
  <c r="K98" i="17"/>
  <c r="K94" i="17"/>
  <c r="K96" i="17"/>
  <c r="K95" i="17"/>
  <c r="M92" i="17"/>
  <c r="K93" i="17"/>
  <c r="O76" i="17"/>
  <c r="O80" i="17"/>
  <c r="O86" i="17"/>
  <c r="O82" i="17"/>
  <c r="O88" i="17"/>
  <c r="O84" i="17"/>
  <c r="O90" i="17"/>
  <c r="O81" i="17"/>
  <c r="O87" i="17"/>
  <c r="O79" i="17"/>
  <c r="O85" i="17"/>
  <c r="O91" i="17"/>
  <c r="O78" i="17"/>
  <c r="O77" i="17"/>
  <c r="O83" i="17"/>
  <c r="O89" i="17"/>
  <c r="A14" i="17"/>
  <c r="K73" i="17"/>
  <c r="M71" i="17"/>
  <c r="M70" i="17"/>
  <c r="K52" i="17"/>
  <c r="K58" i="17"/>
  <c r="K53" i="17"/>
  <c r="K55" i="17"/>
  <c r="K54" i="17"/>
  <c r="K56" i="17"/>
  <c r="K57" i="17"/>
  <c r="K69" i="17"/>
  <c r="K51" i="17"/>
  <c r="M48" i="17"/>
  <c r="M47" i="17"/>
  <c r="K40" i="17"/>
  <c r="K34" i="17"/>
  <c r="K27" i="17"/>
  <c r="K20" i="17"/>
  <c r="K46" i="17"/>
  <c r="K39" i="17"/>
  <c r="K26" i="17"/>
  <c r="K45" i="17"/>
  <c r="K38" i="17"/>
  <c r="K32" i="17"/>
  <c r="M19" i="17"/>
  <c r="K44" i="17"/>
  <c r="M31" i="17"/>
  <c r="M25" i="17"/>
  <c r="I24" i="17"/>
  <c r="K33" i="17"/>
  <c r="M37" i="17"/>
  <c r="I18" i="17"/>
  <c r="I30" i="17"/>
  <c r="K22" i="17"/>
  <c r="I42" i="17"/>
  <c r="I36" i="17"/>
  <c r="K21" i="17"/>
  <c r="M43" i="17"/>
  <c r="K28" i="17"/>
  <c r="G16" i="17"/>
  <c r="I97" i="17" l="1"/>
  <c r="I98" i="17"/>
  <c r="I94" i="17"/>
  <c r="I96" i="17"/>
  <c r="I95" i="17"/>
  <c r="I92" i="17"/>
  <c r="I93" i="17"/>
  <c r="I80" i="17"/>
  <c r="I86" i="17"/>
  <c r="I81" i="17"/>
  <c r="I87" i="17"/>
  <c r="I82" i="17"/>
  <c r="I88" i="17"/>
  <c r="I83" i="17"/>
  <c r="I78" i="17"/>
  <c r="I90" i="17"/>
  <c r="I79" i="17"/>
  <c r="I91" i="17"/>
  <c r="I89" i="17"/>
  <c r="I85" i="17"/>
  <c r="I77" i="17"/>
  <c r="I84" i="17"/>
  <c r="A15" i="17"/>
  <c r="I74" i="17"/>
  <c r="I73" i="17"/>
  <c r="I72" i="17"/>
  <c r="I76" i="17"/>
  <c r="I75" i="17"/>
  <c r="I51" i="17"/>
  <c r="I57" i="17"/>
  <c r="I63" i="17"/>
  <c r="I69" i="17"/>
  <c r="I52" i="17"/>
  <c r="I58" i="17"/>
  <c r="I64" i="17"/>
  <c r="I53" i="17"/>
  <c r="I59" i="17"/>
  <c r="I65" i="17"/>
  <c r="I60" i="17"/>
  <c r="I66" i="17"/>
  <c r="I55" i="17"/>
  <c r="I61" i="17"/>
  <c r="I67" i="17"/>
  <c r="I54" i="17"/>
  <c r="I56" i="17"/>
  <c r="I62" i="17"/>
  <c r="I68" i="17"/>
  <c r="I50" i="17"/>
  <c r="I49" i="17"/>
  <c r="K42" i="17"/>
  <c r="K36" i="17"/>
  <c r="M28" i="17"/>
  <c r="M21" i="17"/>
  <c r="M45" i="17"/>
  <c r="M34" i="17"/>
  <c r="M20" i="17"/>
  <c r="M39" i="17"/>
  <c r="I17" i="17"/>
  <c r="K24" i="17"/>
  <c r="M26" i="17"/>
  <c r="M38" i="17"/>
  <c r="M32" i="17"/>
  <c r="I29" i="17"/>
  <c r="K18" i="17"/>
  <c r="I35" i="17"/>
  <c r="I41" i="17"/>
  <c r="K30" i="17"/>
  <c r="M22" i="17"/>
  <c r="M46" i="17"/>
  <c r="M40" i="17"/>
  <c r="M27" i="17"/>
  <c r="M44" i="17"/>
  <c r="M33" i="17"/>
  <c r="I23" i="17"/>
  <c r="I12" i="17"/>
  <c r="I16" i="17"/>
  <c r="I10" i="17"/>
  <c r="A16" i="17" l="1"/>
  <c r="G50" i="17"/>
  <c r="G49" i="17"/>
  <c r="G17" i="17"/>
  <c r="A17" i="17" l="1"/>
  <c r="G18" i="17"/>
  <c r="M16" i="17"/>
  <c r="K15" i="17"/>
  <c r="K14" i="17"/>
  <c r="I11" i="17"/>
  <c r="K13" i="17"/>
  <c r="M12" i="17"/>
  <c r="A18" i="17" l="1"/>
  <c r="G19" i="17"/>
  <c r="G81" i="17"/>
  <c r="M15" i="17"/>
  <c r="O16" i="17"/>
  <c r="M14" i="17"/>
  <c r="M13" i="17"/>
  <c r="K11" i="17"/>
  <c r="A19" i="17" l="1"/>
  <c r="G20" i="17"/>
  <c r="G82" i="17"/>
  <c r="A20" i="17" l="1"/>
  <c r="G21" i="17"/>
  <c r="A21" i="17" l="1"/>
  <c r="A22" i="17" s="1"/>
  <c r="G22" i="17"/>
  <c r="G83" i="17"/>
  <c r="G51" i="17" l="1"/>
  <c r="G84" i="17"/>
  <c r="A23" i="17"/>
  <c r="A24" i="17" s="1"/>
  <c r="G23" i="17"/>
  <c r="A25" i="17" l="1"/>
  <c r="G24" i="17"/>
  <c r="A26" i="17" l="1"/>
  <c r="G25" i="17"/>
  <c r="A27" i="17" l="1"/>
  <c r="G26" i="17"/>
  <c r="A28" i="17" l="1"/>
  <c r="G27" i="17"/>
  <c r="A29" i="17" l="1"/>
  <c r="G28" i="17"/>
  <c r="A30" i="17" l="1"/>
  <c r="G29" i="17"/>
  <c r="A31" i="17" l="1"/>
  <c r="G30" i="17"/>
  <c r="A32" i="17" l="1"/>
  <c r="A33" i="17" s="1"/>
  <c r="G31" i="17"/>
  <c r="A34" i="17" l="1"/>
  <c r="G32" i="17"/>
  <c r="A35" i="17" l="1"/>
  <c r="G33" i="17"/>
  <c r="A36" i="17" l="1"/>
  <c r="A37" i="17" s="1"/>
  <c r="G34" i="17"/>
  <c r="A38" i="17" l="1"/>
  <c r="A39" i="17" s="1"/>
  <c r="A40" i="17" s="1"/>
  <c r="A41" i="17" s="1"/>
  <c r="G35" i="17"/>
  <c r="A42" i="17" l="1"/>
  <c r="A43" i="17" s="1"/>
  <c r="A44" i="17" s="1"/>
  <c r="A45" i="17" s="1"/>
  <c r="G36" i="17"/>
  <c r="A46" i="17" l="1"/>
  <c r="A47" i="17" s="1"/>
  <c r="A48" i="17" s="1"/>
  <c r="G37" i="17"/>
  <c r="A49" i="17" l="1"/>
  <c r="G38" i="17"/>
  <c r="A50" i="17" l="1"/>
  <c r="A51" i="17" s="1"/>
  <c r="A52" i="17" s="1"/>
  <c r="G39" i="17"/>
  <c r="A53" i="17" l="1"/>
  <c r="G40" i="17"/>
  <c r="A54" i="17" l="1"/>
  <c r="G41" i="17"/>
  <c r="A55" i="17" l="1"/>
  <c r="G42" i="17"/>
  <c r="A56" i="17" l="1"/>
  <c r="G43" i="17"/>
  <c r="A57" i="17" l="1"/>
  <c r="G44" i="17"/>
  <c r="A58" i="17" l="1"/>
  <c r="G45" i="17"/>
  <c r="A59" i="17" l="1"/>
  <c r="G46" i="17"/>
  <c r="G85" i="17" l="1"/>
  <c r="G86" i="17"/>
  <c r="A60" i="17"/>
  <c r="G48" i="17"/>
  <c r="I70" i="17"/>
  <c r="G47" i="17"/>
  <c r="A61" i="17" l="1"/>
  <c r="O94" i="17"/>
  <c r="I47" i="17"/>
  <c r="A62" i="17" l="1"/>
  <c r="K71" i="17"/>
  <c r="K70" i="17"/>
  <c r="K47" i="17"/>
  <c r="K48" i="17"/>
  <c r="A63" i="17" l="1"/>
  <c r="I48" i="17"/>
  <c r="I71" i="17"/>
  <c r="A64" i="17" l="1"/>
  <c r="G52" i="17"/>
  <c r="A65" i="17" l="1"/>
  <c r="G53" i="17"/>
  <c r="A66" i="17" l="1"/>
  <c r="G54" i="17"/>
  <c r="A67" i="17" l="1"/>
  <c r="G55" i="17"/>
  <c r="I22" i="17"/>
  <c r="K25" i="17"/>
  <c r="I28" i="17"/>
  <c r="I27" i="17"/>
  <c r="K31" i="17"/>
  <c r="I21" i="17"/>
  <c r="I32" i="17"/>
  <c r="I20" i="17"/>
  <c r="I34" i="17"/>
  <c r="I33" i="17"/>
  <c r="I26" i="17"/>
  <c r="K19" i="17"/>
  <c r="G87" i="17" l="1"/>
  <c r="G88" i="17"/>
  <c r="A68" i="17"/>
  <c r="G56" i="17"/>
  <c r="I46" i="17"/>
  <c r="I44" i="17"/>
  <c r="I38" i="17"/>
  <c r="K43" i="17"/>
  <c r="K37" i="17"/>
  <c r="I45" i="17"/>
  <c r="I40" i="17"/>
  <c r="I39" i="17"/>
  <c r="O48" i="17"/>
  <c r="G77" i="17" l="1"/>
  <c r="G78" i="17"/>
  <c r="A69" i="17"/>
  <c r="A70" i="17" s="1"/>
  <c r="A71" i="17" s="1"/>
  <c r="G57" i="17"/>
  <c r="K16" i="17"/>
  <c r="I13" i="17"/>
  <c r="I14" i="17"/>
  <c r="K12" i="17"/>
  <c r="I15" i="17"/>
  <c r="G79" i="17" l="1"/>
  <c r="G80" i="17"/>
  <c r="A72" i="17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G58" i="17"/>
  <c r="O47" i="17"/>
  <c r="G59" i="17" l="1"/>
  <c r="O20" i="17"/>
  <c r="M69" i="17" l="1"/>
  <c r="K75" i="17" l="1"/>
  <c r="K74" i="17"/>
  <c r="K59" i="17"/>
  <c r="G60" i="17" l="1"/>
  <c r="K60" i="17" l="1"/>
  <c r="G61" i="17" l="1"/>
  <c r="K61" i="17" l="1"/>
  <c r="G62" i="17" l="1"/>
  <c r="G63" i="17" l="1"/>
  <c r="G91" i="17" l="1"/>
  <c r="G90" i="17"/>
  <c r="G89" i="17"/>
  <c r="G64" i="17"/>
  <c r="G65" i="17" l="1"/>
  <c r="G66" i="17" l="1"/>
  <c r="K66" i="17" l="1"/>
  <c r="G67" i="17" l="1"/>
  <c r="K67" i="17" l="1"/>
  <c r="G68" i="17" l="1"/>
  <c r="M77" i="17" l="1"/>
  <c r="K68" i="17"/>
  <c r="M73" i="17" l="1"/>
  <c r="M78" i="17" l="1"/>
  <c r="G70" i="17"/>
  <c r="M81" i="17" l="1"/>
  <c r="M80" i="17"/>
  <c r="K72" i="17"/>
  <c r="M79" i="17"/>
  <c r="M75" i="17"/>
  <c r="M74" i="17"/>
  <c r="M82" i="17" l="1"/>
  <c r="M83" i="17" l="1"/>
  <c r="M84" i="17" l="1"/>
  <c r="K76" i="17"/>
  <c r="M86" i="17" l="1"/>
  <c r="M87" i="17" l="1"/>
  <c r="M88" i="17" l="1"/>
  <c r="M85" i="17" l="1"/>
  <c r="M89" i="17" l="1"/>
  <c r="M90" i="17" l="1"/>
  <c r="O71" i="17"/>
  <c r="M91" i="17" l="1"/>
  <c r="G69" i="17" l="1"/>
  <c r="G71" i="17" l="1"/>
  <c r="G72" i="17" l="1"/>
  <c r="G73" i="17" l="1"/>
  <c r="G74" i="17" l="1"/>
  <c r="G75" i="17" l="1"/>
  <c r="G76" i="17" l="1"/>
  <c r="Q71" i="17" l="1"/>
  <c r="M76" i="17" l="1"/>
  <c r="K80" i="17" l="1"/>
  <c r="K82" i="17"/>
  <c r="K88" i="17"/>
  <c r="M72" i="17"/>
  <c r="K86" i="17"/>
  <c r="K90" i="17"/>
  <c r="K84" i="17"/>
  <c r="K78" i="17"/>
  <c r="K89" i="17" l="1"/>
  <c r="O73" i="17"/>
  <c r="O74" i="17"/>
  <c r="K83" i="17"/>
  <c r="K85" i="17"/>
  <c r="K81" i="17"/>
  <c r="K87" i="17"/>
  <c r="K91" i="17"/>
  <c r="K77" i="17"/>
  <c r="K79" i="17"/>
  <c r="O92" i="17" l="1"/>
  <c r="M96" i="17"/>
  <c r="Q77" i="17"/>
  <c r="Q89" i="17"/>
  <c r="Q85" i="17"/>
  <c r="Q81" i="17"/>
  <c r="M93" i="17" l="1"/>
  <c r="M98" i="17"/>
  <c r="M94" i="17"/>
  <c r="Q78" i="17"/>
  <c r="Q90" i="17"/>
  <c r="Q82" i="17"/>
  <c r="Q86" i="17"/>
  <c r="Q83" i="17" l="1"/>
  <c r="Q91" i="17"/>
  <c r="Q79" i="17"/>
  <c r="Q87" i="17"/>
  <c r="M95" i="17" l="1"/>
  <c r="M97" i="17"/>
  <c r="Q88" i="17"/>
  <c r="Q84" i="17"/>
  <c r="Q80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E1" authorId="0" shapeId="0" xr:uid="{00000000-0006-0000-0000-000001000000}">
      <text>
        <r>
          <rPr>
            <b/>
            <sz val="12"/>
            <color indexed="81"/>
            <rFont val="돋움"/>
            <family val="3"/>
            <charset val="129"/>
          </rPr>
          <t>메시의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밀도
부력에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관련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값</t>
        </r>
        <r>
          <rPr>
            <b/>
            <sz val="12"/>
            <color indexed="81"/>
            <rFont val="Tahoma"/>
            <family val="2"/>
          </rPr>
          <t xml:space="preserve">.
</t>
        </r>
        <r>
          <rPr>
            <b/>
            <sz val="12"/>
            <color indexed="81"/>
            <rFont val="돋움"/>
            <family val="3"/>
            <charset val="129"/>
          </rPr>
          <t>값이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작을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수록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물에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뜬다</t>
        </r>
        <r>
          <rPr>
            <b/>
            <sz val="12"/>
            <color indexed="81"/>
            <rFont val="Tahoma"/>
            <family val="2"/>
          </rPr>
          <t xml:space="preserve">.
</t>
        </r>
      </text>
    </comment>
    <comment ref="F1" authorId="0" shapeId="0" xr:uid="{00000000-0006-0000-0000-000002000000}">
      <text>
        <r>
          <rPr>
            <b/>
            <sz val="12"/>
            <color indexed="81"/>
            <rFont val="돋움"/>
            <family val="3"/>
            <charset val="129"/>
          </rPr>
          <t>부력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테스트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포인트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반경
이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값이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작을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수록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부력이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파도의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높낮이에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더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빠르게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반응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하여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물체를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가볍게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보이게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한다</t>
        </r>
        <r>
          <rPr>
            <b/>
            <sz val="12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<sst xmlns="http://schemas.openxmlformats.org/spreadsheetml/2006/main" count="9862" uniqueCount="1960">
  <si>
    <t>-</t>
    <phoneticPr fontId="5" type="noConversion"/>
  </si>
  <si>
    <t>:required</t>
    <phoneticPr fontId="5" type="noConversion"/>
  </si>
  <si>
    <t>:min</t>
    <phoneticPr fontId="5" type="noConversion"/>
  </si>
  <si>
    <t>:max</t>
    <phoneticPr fontId="5" type="noConversion"/>
  </si>
  <si>
    <t>:enum</t>
    <phoneticPr fontId="5" type="noConversion"/>
  </si>
  <si>
    <t>id</t>
    <phoneticPr fontId="5" type="noConversion"/>
  </si>
  <si>
    <t>string</t>
    <phoneticPr fontId="5" type="noConversion"/>
  </si>
  <si>
    <t>number</t>
    <phoneticPr fontId="5" type="noConversion"/>
  </si>
  <si>
    <t>마지막 라인</t>
  </si>
  <si>
    <t>no.</t>
    <phoneticPr fontId="5" type="noConversion"/>
  </si>
  <si>
    <t>:links</t>
    <phoneticPr fontId="5" type="noConversion"/>
  </si>
  <si>
    <t>assetType</t>
  </si>
  <si>
    <t>socket</t>
    <phoneticPr fontId="5" type="noConversion"/>
  </si>
  <si>
    <t>-</t>
    <phoneticPr fontId="5" type="noConversion"/>
  </si>
  <si>
    <t>assetType</t>
    <phoneticPr fontId="5" type="noConversion"/>
  </si>
  <si>
    <t>SkeletalMesh</t>
    <phoneticPr fontId="5" type="noConversion"/>
  </si>
  <si>
    <t>StaticMesh</t>
    <phoneticPr fontId="5" type="noConversion"/>
  </si>
  <si>
    <t>InstancedStaticMesh</t>
    <phoneticPr fontId="5" type="noConversion"/>
  </si>
  <si>
    <t>SK_Ship_Caravel_Sail</t>
  </si>
  <si>
    <t>SM_Ship_Light01</t>
  </si>
  <si>
    <t>meshName</t>
    <phoneticPr fontId="5" type="noConversion"/>
  </si>
  <si>
    <t>assetName</t>
    <phoneticPr fontId="5" type="noConversion"/>
  </si>
  <si>
    <t>partType</t>
    <phoneticPr fontId="5" type="noConversion"/>
  </si>
  <si>
    <t>Artillery</t>
    <phoneticPr fontId="5" type="noConversion"/>
  </si>
  <si>
    <t>-</t>
    <phoneticPr fontId="5" type="noConversion"/>
  </si>
  <si>
    <t>number</t>
    <phoneticPr fontId="5" type="noConversion"/>
  </si>
  <si>
    <t>number</t>
    <phoneticPr fontId="5" type="noConversion"/>
  </si>
  <si>
    <t>materials[0]["index"]</t>
    <phoneticPr fontId="5" type="noConversion"/>
  </si>
  <si>
    <t>materials[0]["name"]</t>
    <phoneticPr fontId="5" type="noConversion"/>
  </si>
  <si>
    <t>string</t>
    <phoneticPr fontId="5" type="noConversion"/>
  </si>
  <si>
    <t>materials[1]["index"]</t>
    <phoneticPr fontId="5" type="noConversion"/>
  </si>
  <si>
    <t>materials[1]["name"]</t>
    <phoneticPr fontId="5" type="noConversion"/>
  </si>
  <si>
    <t>materials[2]["index"]</t>
    <phoneticPr fontId="5" type="noConversion"/>
  </si>
  <si>
    <t>materials[2]["name"]</t>
    <phoneticPr fontId="5" type="noConversion"/>
  </si>
  <si>
    <t>materials[3]["index"]</t>
    <phoneticPr fontId="5" type="noConversion"/>
  </si>
  <si>
    <t>materials[3]["name"]</t>
    <phoneticPr fontId="5" type="noConversion"/>
  </si>
  <si>
    <t>Deco_3</t>
    <phoneticPr fontId="5" type="noConversion"/>
  </si>
  <si>
    <t>소켓 이름을 지정하지 않으면 partType 에 의해 디폴트 소켓을 사용함</t>
    <phoneticPr fontId="5" type="noConversion"/>
  </si>
  <si>
    <t>number</t>
    <phoneticPr fontId="5" type="noConversion"/>
  </si>
  <si>
    <t>detailMode</t>
    <phoneticPr fontId="5" type="noConversion"/>
  </si>
  <si>
    <t>number</t>
    <phoneticPr fontId="5" type="noConversion"/>
  </si>
  <si>
    <t>디테일 모드를 지정하지 않으면 partType 에 의해 디폴트를 사용함</t>
    <phoneticPr fontId="5" type="noConversion"/>
  </si>
  <si>
    <t>detailModeType</t>
    <phoneticPr fontId="5" type="noConversion"/>
  </si>
  <si>
    <t>Low</t>
    <phoneticPr fontId="5" type="noConversion"/>
  </si>
  <si>
    <t>Medium</t>
    <phoneticPr fontId="5" type="noConversion"/>
  </si>
  <si>
    <t>High</t>
    <phoneticPr fontId="5" type="noConversion"/>
  </si>
  <si>
    <t>언제나 표시</t>
    <phoneticPr fontId="5" type="noConversion"/>
  </si>
  <si>
    <t>중간 품질에서만</t>
    <phoneticPr fontId="5" type="noConversion"/>
  </si>
  <si>
    <t>고급 품질에서만</t>
    <phoneticPr fontId="5" type="noConversion"/>
  </si>
  <si>
    <t>슬롯에 정의되어 있지 않은 장식들을 여기서 붙일 수 있음</t>
    <phoneticPr fontId="5" type="noConversion"/>
  </si>
  <si>
    <t>key:45000000~45999999</t>
    <phoneticPr fontId="5" type="noConversion"/>
  </si>
  <si>
    <t>"ShipPartShape"</t>
    <phoneticPr fontId="5" type="noConversion"/>
  </si>
  <si>
    <t>참조용 이름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</si>
  <si>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</si>
  <si>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</si>
  <si>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</si>
  <si>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</si>
  <si>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</si>
  <si>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</si>
  <si>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</si>
  <si>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</si>
  <si>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SkeletalMesh</t>
  </si>
  <si>
    <t>Sail</t>
  </si>
  <si>
    <t>Head</t>
  </si>
  <si>
    <t>Artillery</t>
  </si>
  <si>
    <t>StaticMesh</t>
  </si>
  <si>
    <t>InstancedStaticMesh</t>
  </si>
  <si>
    <t>key:46000000~46999999</t>
    <phoneticPr fontId="5" type="noConversion"/>
  </si>
  <si>
    <t>캐러벨흰색돛</t>
  </si>
  <si>
    <t>캐러벨흰색돛</t>
    <phoneticPr fontId="5" type="noConversion"/>
  </si>
  <si>
    <t>대포_기본</t>
  </si>
  <si>
    <t>램프_기본</t>
  </si>
  <si>
    <t>캐러벨무적함대돛</t>
  </si>
  <si>
    <t>캐러벨적색돛</t>
  </si>
  <si>
    <t>캐러벨적흑돛</t>
  </si>
  <si>
    <t>캐러벨적흑돛</t>
    <phoneticPr fontId="5" type="noConversion"/>
  </si>
  <si>
    <t>캐러벨적색돛</t>
    <phoneticPr fontId="5" type="noConversion"/>
  </si>
  <si>
    <t>캐러벨유령선돛</t>
  </si>
  <si>
    <t>캐러벨유령선돛</t>
    <phoneticPr fontId="5" type="noConversion"/>
  </si>
  <si>
    <t>캐러벨적백돛</t>
  </si>
  <si>
    <t>캐러벨적백돛</t>
    <phoneticPr fontId="5" type="noConversion"/>
  </si>
  <si>
    <t>캐러벨적흑돛_해골</t>
  </si>
  <si>
    <t>캐러벨적흑돛_해골</t>
    <phoneticPr fontId="5" type="noConversion"/>
  </si>
  <si>
    <t>SK_Ship_Caravel_Sail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</si>
  <si>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</si>
  <si>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</si>
  <si>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</si>
  <si>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</si>
  <si>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Low</t>
  </si>
  <si>
    <t>M_Ship_Sail_BlackDamaged_Inst</t>
  </si>
  <si>
    <t>M_Ship_Sail02_Inst</t>
  </si>
  <si>
    <t>M_Ship_Sail_BlackRed_Inst</t>
  </si>
  <si>
    <t>M_Ship_Sail_Armada_Emblem_Inst</t>
  </si>
  <si>
    <t>캐러벨무적함대돛</t>
    <phoneticPr fontId="5" type="noConversion"/>
  </si>
  <si>
    <t>램프_기본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</si>
  <si>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</si>
  <si>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</si>
  <si>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</si>
  <si>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SM_Ship_Artillery</t>
  </si>
  <si>
    <t>-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</si>
  <si>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</si>
  <si>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</si>
  <si>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</si>
  <si>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</si>
  <si>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</si>
  <si>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</si>
  <si>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충각_기본</t>
    <phoneticPr fontId="5" type="noConversion"/>
  </si>
  <si>
    <t>M_Ship_Sail02_Inst</t>
    <phoneticPr fontId="5" type="noConversion"/>
  </si>
  <si>
    <t>M_Ship_Sail_BlackRed_Inst</t>
    <phoneticPr fontId="5" type="noConversion"/>
  </si>
  <si>
    <t>M_Ship_Sail_BlackRed_SKull_Inst</t>
    <phoneticPr fontId="5" type="noConversion"/>
  </si>
  <si>
    <t>M_Ship_Sail_Triagle_SKull_Inst</t>
  </si>
  <si>
    <t>M_Ship_Sail_Triagle_Armada_Inst</t>
  </si>
  <si>
    <t>Ram</t>
  </si>
  <si>
    <t>대포_기본</t>
    <phoneticPr fontId="5" type="noConversion"/>
  </si>
  <si>
    <t>SK_Ship_Barca_TriangleSail</t>
  </si>
  <si>
    <t>-</t>
    <phoneticPr fontId="5" type="noConversion"/>
  </si>
  <si>
    <t>-</t>
    <phoneticPr fontId="5" type="noConversion"/>
  </si>
  <si>
    <t>M_Ship_Sail_Inst</t>
  </si>
  <si>
    <t>-</t>
    <phoneticPr fontId="5" type="noConversion"/>
  </si>
  <si>
    <t>M_Ship_Sail_BlackRed_SKull_Inst</t>
  </si>
  <si>
    <t>-</t>
    <phoneticPr fontId="5" type="noConversion"/>
  </si>
  <si>
    <t>-</t>
    <phoneticPr fontId="5" type="noConversion"/>
  </si>
  <si>
    <t>-</t>
    <phoneticPr fontId="5" type="noConversion"/>
  </si>
  <si>
    <t>SK_Ship_Barca_SquareSail</t>
  </si>
  <si>
    <t>M_Ship_Sail_Triagle_SKull_Inst</t>
    <phoneticPr fontId="5" type="noConversion"/>
  </si>
  <si>
    <t>High</t>
  </si>
  <si>
    <t>SK_Ship_HansaCog_Sail</t>
  </si>
  <si>
    <t>한자코그흰색돛</t>
  </si>
  <si>
    <t>한자코그흰색돛</t>
    <phoneticPr fontId="5" type="noConversion"/>
  </si>
  <si>
    <t>한자코그적색돛</t>
  </si>
  <si>
    <t>한자코그적색돛</t>
    <phoneticPr fontId="5" type="noConversion"/>
  </si>
  <si>
    <t>한자코그유령선돛</t>
  </si>
  <si>
    <t>한자코그유령선돛</t>
    <phoneticPr fontId="5" type="noConversion"/>
  </si>
  <si>
    <t>한자코그적백돛</t>
  </si>
  <si>
    <t>한자코그적백돛</t>
    <phoneticPr fontId="5" type="noConversion"/>
  </si>
  <si>
    <t>한자코그적흑돛</t>
  </si>
  <si>
    <t>한자코그적흑돛</t>
    <phoneticPr fontId="5" type="noConversion"/>
  </si>
  <si>
    <t>한자코그적흑돛_해골</t>
  </si>
  <si>
    <t>한자코그적흑돛_해골</t>
    <phoneticPr fontId="5" type="noConversion"/>
  </si>
  <si>
    <t>SK_Ship_CogLetina_Sail</t>
  </si>
  <si>
    <t>코그레티나흰색돛</t>
  </si>
  <si>
    <t>코그레티나흰색돛</t>
    <phoneticPr fontId="5" type="noConversion"/>
  </si>
  <si>
    <t>코그레티나적색돛</t>
  </si>
  <si>
    <t>코그레티나적색돛</t>
    <phoneticPr fontId="5" type="noConversion"/>
  </si>
  <si>
    <t>코그레티나유령선돛</t>
  </si>
  <si>
    <t>코그레티나유령선돛</t>
    <phoneticPr fontId="5" type="noConversion"/>
  </si>
  <si>
    <t>코그레티나적백돛</t>
  </si>
  <si>
    <t>코그레티나적백돛</t>
    <phoneticPr fontId="5" type="noConversion"/>
  </si>
  <si>
    <t>코그레티나적흑돛</t>
  </si>
  <si>
    <t>코그레티나적흑돛</t>
    <phoneticPr fontId="5" type="noConversion"/>
  </si>
  <si>
    <t>코그레티나적흑돛_해골</t>
  </si>
  <si>
    <t>코그레티나적흑돛_해골</t>
    <phoneticPr fontId="5" type="noConversion"/>
  </si>
  <si>
    <t>SK_Ship_CogRedonda_Sail</t>
  </si>
  <si>
    <t>코그레돈다흰색돛</t>
  </si>
  <si>
    <t>코그레돈다흰색돛</t>
    <phoneticPr fontId="5" type="noConversion"/>
  </si>
  <si>
    <t>코그레돈다적색돛</t>
  </si>
  <si>
    <t>코그레돈다적색돛</t>
    <phoneticPr fontId="5" type="noConversion"/>
  </si>
  <si>
    <t>코그레돈다유령선돛</t>
  </si>
  <si>
    <t>코그레돈다유령선돛</t>
    <phoneticPr fontId="5" type="noConversion"/>
  </si>
  <si>
    <t>코그레돈다적백돛</t>
  </si>
  <si>
    <t>코그레돈다적백돛</t>
    <phoneticPr fontId="5" type="noConversion"/>
  </si>
  <si>
    <t>코그레돈다적흑돛</t>
  </si>
  <si>
    <t>코그레돈다적흑돛</t>
    <phoneticPr fontId="5" type="noConversion"/>
  </si>
  <si>
    <t>코그레돈다적흑돛_해골</t>
  </si>
  <si>
    <t>코그레돈다적흑돛_해골</t>
    <phoneticPr fontId="5" type="noConversion"/>
  </si>
  <si>
    <t>SM_Ship_NavalRam_01</t>
    <phoneticPr fontId="5" type="noConversion"/>
  </si>
  <si>
    <t>한자코그_해적1</t>
    <phoneticPr fontId="5" type="noConversion"/>
  </si>
  <si>
    <t>M_Ship_Sail_BlackRed_SKull_Inst</t>
    <phoneticPr fontId="5" type="noConversion"/>
  </si>
  <si>
    <t>중 캐러벨</t>
    <phoneticPr fontId="5" type="noConversion"/>
  </si>
  <si>
    <t>한자 코그</t>
    <phoneticPr fontId="5" type="noConversion"/>
  </si>
  <si>
    <t>코그 라티나</t>
    <phoneticPr fontId="5" type="noConversion"/>
  </si>
  <si>
    <t>코그 라티나2</t>
    <phoneticPr fontId="5" type="noConversion"/>
  </si>
  <si>
    <t>코그 라티나3</t>
    <phoneticPr fontId="5" type="noConversion"/>
  </si>
  <si>
    <t>한자 코그_적선</t>
    <phoneticPr fontId="5" type="noConversion"/>
  </si>
  <si>
    <t>한자 코그_유령선</t>
    <phoneticPr fontId="5" type="noConversion"/>
  </si>
  <si>
    <t>한자 코그2</t>
    <phoneticPr fontId="5" type="noConversion"/>
  </si>
  <si>
    <t>한자 코그3</t>
    <phoneticPr fontId="5" type="noConversion"/>
  </si>
  <si>
    <t>중 캐러벨_해적1</t>
    <phoneticPr fontId="5" type="noConversion"/>
  </si>
  <si>
    <t>코그 라티나_적선</t>
    <phoneticPr fontId="5" type="noConversion"/>
  </si>
  <si>
    <t>코그 라티나_유령선</t>
    <phoneticPr fontId="5" type="noConversion"/>
  </si>
  <si>
    <t>코그 라티나_해적1</t>
    <phoneticPr fontId="5" type="noConversion"/>
  </si>
  <si>
    <t>코그 레돈다</t>
    <phoneticPr fontId="5" type="noConversion"/>
  </si>
  <si>
    <t>코그 레돈다_해적1</t>
    <phoneticPr fontId="5" type="noConversion"/>
  </si>
  <si>
    <t>중 캐러벨_적선</t>
  </si>
  <si>
    <t>중 캐러벨_유령선</t>
  </si>
  <si>
    <t>중 캐러벨2</t>
  </si>
  <si>
    <t>중 캐러벨3</t>
  </si>
  <si>
    <t>중 캐러벨_스페인</t>
  </si>
  <si>
    <t>코그 레돈다_적선</t>
  </si>
  <si>
    <t>코그 레돈다_유령선</t>
  </si>
  <si>
    <t>코그 레돈다2</t>
  </si>
  <si>
    <t>코그 레돈다3</t>
  </si>
  <si>
    <t>대형갤리온돛</t>
  </si>
  <si>
    <t>대형갤리온돛</t>
    <phoneticPr fontId="5" type="noConversion"/>
  </si>
  <si>
    <t>구명보트</t>
  </si>
  <si>
    <t>구명보트</t>
    <phoneticPr fontId="5" type="noConversion"/>
  </si>
  <si>
    <t>Deco_1</t>
  </si>
  <si>
    <t>SK_Ship_LargeGalleon_Sail</t>
    <phoneticPr fontId="5" type="noConversion"/>
  </si>
  <si>
    <t>SM_Ship_LargeGalleon_Light</t>
    <phoneticPr fontId="5" type="noConversion"/>
  </si>
  <si>
    <t>M_Ship_LargeGalleon_Sail_Inst</t>
    <phoneticPr fontId="5" type="noConversion"/>
  </si>
  <si>
    <t>M_Ship_LifeBoat_Inst</t>
    <phoneticPr fontId="5" type="noConversion"/>
  </si>
  <si>
    <t>M_Ship_FigureHead_Eagle_Inst</t>
    <phoneticPr fontId="5" type="noConversion"/>
  </si>
  <si>
    <t>M_Ship_NavalRam_Inst</t>
    <phoneticPr fontId="5" type="noConversion"/>
  </si>
  <si>
    <t>M_Ship_Artillery_Inst</t>
    <phoneticPr fontId="5" type="noConversion"/>
  </si>
  <si>
    <t>기본램프_대형갤리온</t>
  </si>
  <si>
    <t>기본램프_대형갤리온</t>
    <phoneticPr fontId="5" type="noConversion"/>
  </si>
  <si>
    <t>SM_Ship_LifeBoat</t>
    <phoneticPr fontId="5" type="noConversion"/>
  </si>
  <si>
    <t>SM_Ship_LargeGalleon_Light02</t>
    <phoneticPr fontId="5" type="noConversion"/>
  </si>
  <si>
    <t>M_Ship_CommonLight01_Inst</t>
  </si>
  <si>
    <t>황금램프_대형갤리온</t>
  </si>
  <si>
    <t>황금램프_대형갤리온</t>
    <phoneticPr fontId="5" type="noConversion"/>
  </si>
  <si>
    <t>대형 갤리온</t>
    <phoneticPr fontId="5" type="noConversion"/>
  </si>
  <si>
    <t>바르카</t>
  </si>
  <si>
    <t>바르카3흰색돛</t>
  </si>
  <si>
    <t>적선바르카_삼각</t>
  </si>
  <si>
    <t>바르카3적색돛</t>
  </si>
  <si>
    <t>유령선바르카_삼각</t>
  </si>
  <si>
    <t>바르카3유령선돛</t>
  </si>
  <si>
    <t>바르카2_삼각</t>
  </si>
  <si>
    <t>바르카3적백돛</t>
  </si>
  <si>
    <t>바르카3_삼각</t>
  </si>
  <si>
    <t>바르카3적흑돛</t>
  </si>
  <si>
    <t>바르카_해적1_삼각</t>
  </si>
  <si>
    <t>바르카3적흑돛_해골</t>
  </si>
  <si>
    <t>바르카_사각</t>
  </si>
  <si>
    <t>바르카4흰색돛</t>
  </si>
  <si>
    <t>바르카_사각_적선</t>
  </si>
  <si>
    <t>바르카4적색돛</t>
  </si>
  <si>
    <t>바르카_사각_유령선</t>
  </si>
  <si>
    <t>바르카4유령선돛</t>
  </si>
  <si>
    <t>바르카_사각2</t>
  </si>
  <si>
    <t>바르카4적백돛</t>
  </si>
  <si>
    <t>바르카_사각3</t>
  </si>
  <si>
    <t>바르카4적흑돛</t>
  </si>
  <si>
    <t>바르카_사각_해적1</t>
  </si>
  <si>
    <t>바르카4적흑돛_해골</t>
  </si>
  <si>
    <t>타렛테_삼각</t>
    <phoneticPr fontId="5" type="noConversion"/>
  </si>
  <si>
    <t>타렛테_사각</t>
    <phoneticPr fontId="5" type="noConversion"/>
  </si>
  <si>
    <t>타렛테</t>
    <phoneticPr fontId="5" type="noConversion"/>
  </si>
  <si>
    <t>대형 갤리온_왕실</t>
    <phoneticPr fontId="5" type="noConversion"/>
  </si>
  <si>
    <t>SK_Ship_Caravel_Body</t>
  </si>
  <si>
    <t>SK_Ship_HansaCog_Body</t>
    <phoneticPr fontId="5" type="noConversion"/>
  </si>
  <si>
    <t>SK_Ship_CogBig_Body</t>
    <phoneticPr fontId="5" type="noConversion"/>
  </si>
  <si>
    <t>SK_Ship_LargeGalleon_Body</t>
    <phoneticPr fontId="5" type="noConversion"/>
  </si>
  <si>
    <t>SK_Ship_Talette_Body</t>
  </si>
  <si>
    <t>SK_Ship_Barca_Body</t>
  </si>
  <si>
    <t>SOCKET_SK_Ship_Body_lifeboat</t>
    <phoneticPr fontId="5" type="noConversion"/>
  </si>
  <si>
    <t>Lamp_1</t>
  </si>
  <si>
    <t>Lamp_1</t>
    <phoneticPr fontId="5" type="noConversion"/>
  </si>
  <si>
    <t>Lamp_5</t>
    <phoneticPr fontId="5" type="noConversion"/>
  </si>
  <si>
    <t>startSocketNum</t>
    <phoneticPr fontId="5" type="noConversion"/>
  </si>
  <si>
    <t>assetType이 InstancedMesh인 경우  대상 소켓 이름의 postfix로 시작 숫자와 종료 숫자를 지정할 수 있음.
디폴트 값은 start:1 end:50</t>
    <phoneticPr fontId="5" type="noConversion"/>
  </si>
  <si>
    <t>lightBpName</t>
    <phoneticPr fontId="5" type="noConversion"/>
  </si>
  <si>
    <t>lightBpOffset</t>
    <phoneticPr fontId="5" type="noConversion"/>
  </si>
  <si>
    <t>[number]</t>
    <phoneticPr fontId="5" type="noConversion"/>
  </si>
  <si>
    <t>string</t>
    <phoneticPr fontId="5" type="noConversion"/>
  </si>
  <si>
    <t>BP_UwoLight_ShipPart</t>
    <phoneticPr fontId="5" type="noConversion"/>
  </si>
  <si>
    <t>endSocketNum</t>
    <phoneticPr fontId="5" type="noConversion"/>
  </si>
  <si>
    <t>0, 0, 40</t>
    <phoneticPr fontId="5" type="noConversion"/>
  </si>
  <si>
    <t>파트에 라이트를 붙여야 할 경우 붙이고자 하는 라이트의 BP 를 여기서 지정함</t>
    <phoneticPr fontId="5" type="noConversion"/>
  </si>
  <si>
    <t>라이트의 오프셋을 지정. (X, Y, Z)</t>
    <phoneticPr fontId="5" type="noConversion"/>
  </si>
  <si>
    <t>SK_Ship_CaravelSmall_Body</t>
    <phoneticPr fontId="5" type="noConversion"/>
  </si>
  <si>
    <t>소형캐러벨라티나돛</t>
  </si>
  <si>
    <t>소형캐러벨라티나돛</t>
    <phoneticPr fontId="5" type="noConversion"/>
  </si>
  <si>
    <t>소형캐러벨레돈다돛</t>
  </si>
  <si>
    <t>소형캐러벨레돈다돛</t>
    <phoneticPr fontId="5" type="noConversion"/>
  </si>
  <si>
    <t>SK_Ship_CaravelRedonda_Sail</t>
  </si>
  <si>
    <t>SK_Ship_CaravelLetina_Sail</t>
  </si>
  <si>
    <t>M_Ship_Sail_Inst</t>
    <phoneticPr fontId="5" type="noConversion"/>
  </si>
  <si>
    <t>캐러벨 라티나</t>
    <phoneticPr fontId="5" type="noConversion"/>
  </si>
  <si>
    <t>캐러벨 레돈다</t>
    <phoneticPr fontId="5" type="noConversion"/>
  </si>
  <si>
    <t>SK_Ship_Sloop_Body</t>
    <phoneticPr fontId="5" type="noConversion"/>
  </si>
  <si>
    <t>슬로프돛</t>
  </si>
  <si>
    <t>슬로프돛</t>
    <phoneticPr fontId="5" type="noConversion"/>
  </si>
  <si>
    <t>SK_Ship_Sloop_Sail</t>
  </si>
  <si>
    <t>슬루프</t>
    <phoneticPr fontId="5" type="noConversion"/>
  </si>
  <si>
    <t>커터돛</t>
  </si>
  <si>
    <t>커터돛</t>
    <phoneticPr fontId="5" type="noConversion"/>
  </si>
  <si>
    <t>SK_Ship_Cutter_Sail</t>
  </si>
  <si>
    <t>M_Ship_Sail_Inst</t>
    <phoneticPr fontId="5" type="noConversion"/>
  </si>
  <si>
    <t>커터</t>
    <phoneticPr fontId="5" type="noConversion"/>
  </si>
  <si>
    <t>SK_Ship_Cutter_Body</t>
  </si>
  <si>
    <t>닻</t>
  </si>
  <si>
    <t>닻</t>
    <phoneticPr fontId="5" type="noConversion"/>
  </si>
  <si>
    <t>Anchor</t>
  </si>
  <si>
    <t>SM_Ship_Anchor_01</t>
    <phoneticPr fontId="5" type="noConversion"/>
  </si>
  <si>
    <t>M_Ship_Anchor01_Inst</t>
  </si>
  <si>
    <t>SK_Ship_Bergantin_Body</t>
  </si>
  <si>
    <t>브리간틴</t>
    <phoneticPr fontId="5" type="noConversion"/>
  </si>
  <si>
    <t>브리간틴돛</t>
  </si>
  <si>
    <t>브리간틴돛</t>
    <phoneticPr fontId="5" type="noConversion"/>
  </si>
  <si>
    <t>SK_Ship_Bergantin_Sail</t>
  </si>
  <si>
    <t>M_Ship_Sail_Inst</t>
    <phoneticPr fontId="5" type="noConversion"/>
  </si>
  <si>
    <t>SK_Ship_Galleon_Body</t>
    <phoneticPr fontId="5" type="noConversion"/>
  </si>
  <si>
    <t>나오</t>
    <phoneticPr fontId="5" type="noConversion"/>
  </si>
  <si>
    <t>SK_Ship_Nao_body</t>
  </si>
  <si>
    <t>나오돛</t>
  </si>
  <si>
    <t>나오돛</t>
    <phoneticPr fontId="5" type="noConversion"/>
  </si>
  <si>
    <t>SK_Ship_Nao_Sail</t>
  </si>
  <si>
    <t>바스</t>
    <phoneticPr fontId="5" type="noConversion"/>
  </si>
  <si>
    <t>SK_Ship_Buss_body</t>
    <phoneticPr fontId="5" type="noConversion"/>
  </si>
  <si>
    <t>SK_Ship_Buss_Sail</t>
    <phoneticPr fontId="5" type="noConversion"/>
  </si>
  <si>
    <t>바스돛</t>
  </si>
  <si>
    <t>바스돛</t>
    <phoneticPr fontId="5" type="noConversion"/>
  </si>
  <si>
    <t>partType</t>
    <phoneticPr fontId="5" type="noConversion"/>
  </si>
  <si>
    <t>no.</t>
    <phoneticPr fontId="5" type="noConversion"/>
  </si>
  <si>
    <t>Sail</t>
    <phoneticPr fontId="5" type="noConversion"/>
  </si>
  <si>
    <t>Head</t>
    <phoneticPr fontId="5" type="noConversion"/>
  </si>
  <si>
    <t>Ram</t>
    <phoneticPr fontId="5" type="noConversion"/>
  </si>
  <si>
    <t>Anchor</t>
    <phoneticPr fontId="5" type="noConversion"/>
  </si>
  <si>
    <t>램프</t>
    <phoneticPr fontId="5" type="noConversion"/>
  </si>
  <si>
    <t>Lamp_2</t>
    <phoneticPr fontId="5" type="noConversion"/>
  </si>
  <si>
    <t>Lamp_3</t>
    <phoneticPr fontId="5" type="noConversion"/>
  </si>
  <si>
    <t>Lamp_4</t>
    <phoneticPr fontId="5" type="noConversion"/>
  </si>
  <si>
    <t>Deco_1</t>
    <phoneticPr fontId="5" type="noConversion"/>
  </si>
  <si>
    <t>단순 장식</t>
    <phoneticPr fontId="5" type="noConversion"/>
  </si>
  <si>
    <t>Deco_2</t>
    <phoneticPr fontId="5" type="noConversion"/>
  </si>
  <si>
    <t>Deco_4</t>
    <phoneticPr fontId="5" type="noConversion"/>
  </si>
  <si>
    <t>Deco_5</t>
    <phoneticPr fontId="5" type="noConversion"/>
  </si>
  <si>
    <t>Paddle</t>
    <phoneticPr fontId="5" type="noConversion"/>
  </si>
  <si>
    <t>노</t>
    <phoneticPr fontId="5" type="noConversion"/>
  </si>
  <si>
    <t>SK_Ship_Osmangalley_Body</t>
    <phoneticPr fontId="5" type="noConversion"/>
  </si>
  <si>
    <t>오스만겔리돛</t>
  </si>
  <si>
    <t>오스만겔리돛</t>
    <phoneticPr fontId="5" type="noConversion"/>
  </si>
  <si>
    <t>SK_Ship_Osmangalley_Sail</t>
  </si>
  <si>
    <t>M_Ship_OsmanGalley_Deck_Inst</t>
    <phoneticPr fontId="5" type="noConversion"/>
  </si>
  <si>
    <t>오스만겔리노</t>
  </si>
  <si>
    <t>오스만겔리노</t>
    <phoneticPr fontId="5" type="noConversion"/>
  </si>
  <si>
    <t>Paddle</t>
  </si>
  <si>
    <t>M_Ship_OsmanGalley_Line_Inst</t>
    <phoneticPr fontId="5" type="noConversion"/>
  </si>
  <si>
    <t>나무충각</t>
    <phoneticPr fontId="5" type="noConversion"/>
  </si>
  <si>
    <t>M_Ship_WoodStut_Parts_Inst</t>
  </si>
  <si>
    <t>SM_Ship_FigureHead_KingMidas</t>
    <phoneticPr fontId="5" type="noConversion"/>
  </si>
  <si>
    <t>StaticMesh</t>
    <phoneticPr fontId="5" type="noConversion"/>
  </si>
  <si>
    <t>M_Ship_FigureHead_KingMidas_Inst</t>
    <phoneticPr fontId="5" type="noConversion"/>
  </si>
  <si>
    <t>SK_Ship_Osmangalley_Paddle</t>
    <phoneticPr fontId="5" type="noConversion"/>
  </si>
  <si>
    <t>판옥선</t>
    <phoneticPr fontId="5" type="noConversion"/>
  </si>
  <si>
    <t>SK_Ship_PanOkSeon_Body</t>
    <phoneticPr fontId="5" type="noConversion"/>
  </si>
  <si>
    <t>판옥선돛</t>
  </si>
  <si>
    <t>판옥선돛</t>
    <phoneticPr fontId="5" type="noConversion"/>
  </si>
  <si>
    <t>SM_Ship_WoodStut</t>
    <phoneticPr fontId="5" type="noConversion"/>
  </si>
  <si>
    <t>SK_Ship_PanOkSeon_Sail</t>
    <phoneticPr fontId="5" type="noConversion"/>
  </si>
  <si>
    <t>판옥선노</t>
  </si>
  <si>
    <t>판옥선노</t>
    <phoneticPr fontId="5" type="noConversion"/>
  </si>
  <si>
    <t>SK_Ship_PanOkSeon_Paddle</t>
  </si>
  <si>
    <t>M_Ship_PanOkSeon_Parts_Inst</t>
    <phoneticPr fontId="5" type="noConversion"/>
  </si>
  <si>
    <t>M_Ship_Oriental_Sail_Inst</t>
    <phoneticPr fontId="5" type="noConversion"/>
  </si>
  <si>
    <t>거북선</t>
    <phoneticPr fontId="5" type="noConversion"/>
  </si>
  <si>
    <t>SK_Ship_TurtleShip_Body</t>
  </si>
  <si>
    <t>거북선돛</t>
    <phoneticPr fontId="5" type="noConversion"/>
  </si>
  <si>
    <t>거북선노</t>
  </si>
  <si>
    <t>거북선노</t>
    <phoneticPr fontId="5" type="noConversion"/>
  </si>
  <si>
    <t>SK_Ship_TurtleShip_Sail</t>
    <phoneticPr fontId="5" type="noConversion"/>
  </si>
  <si>
    <t>SK_Ship_TurtleShip_Paddle</t>
    <phoneticPr fontId="5" type="noConversion"/>
  </si>
  <si>
    <t>M_Ship_TurtleShip_Parts_Inst</t>
    <phoneticPr fontId="5" type="noConversion"/>
  </si>
  <si>
    <t>전열함돛</t>
  </si>
  <si>
    <t>전열함돛</t>
    <phoneticPr fontId="5" type="noConversion"/>
  </si>
  <si>
    <t>SK_Ship_Vaisseau_Sail</t>
    <phoneticPr fontId="5" type="noConversion"/>
  </si>
  <si>
    <t>M_Ship_Vaisseau_Line_Inst</t>
    <phoneticPr fontId="5" type="noConversion"/>
  </si>
  <si>
    <t>전열함</t>
    <phoneticPr fontId="5" type="noConversion"/>
  </si>
  <si>
    <t>SK_Ship_Vaisseau_Body</t>
    <phoneticPr fontId="5" type="noConversion"/>
  </si>
  <si>
    <t>콜벳돛</t>
  </si>
  <si>
    <t>콜벳돛</t>
    <phoneticPr fontId="5" type="noConversion"/>
  </si>
  <si>
    <t>SK_Ship_Corvette_Sail</t>
    <phoneticPr fontId="5" type="noConversion"/>
  </si>
  <si>
    <t>M_Ship_Corvette_Line_Inst</t>
    <phoneticPr fontId="5" type="noConversion"/>
  </si>
  <si>
    <t>SK_Ship_Corvette_Body</t>
    <phoneticPr fontId="5" type="noConversion"/>
  </si>
  <si>
    <t>중형프리킷돛</t>
  </si>
  <si>
    <t>중형프리킷돛</t>
    <phoneticPr fontId="5" type="noConversion"/>
  </si>
  <si>
    <t>Sk_Ship_Frigate_Sail</t>
    <phoneticPr fontId="5" type="noConversion"/>
  </si>
  <si>
    <t>M_Ship_LargeFrigate_Deck_Inst</t>
    <phoneticPr fontId="5" type="noConversion"/>
  </si>
  <si>
    <t>Sk_Ship_Frigate_Body</t>
    <phoneticPr fontId="5" type="noConversion"/>
  </si>
  <si>
    <t>Sk_Ship_LargeFrigate_Sail</t>
  </si>
  <si>
    <t>대형프리킷돛</t>
  </si>
  <si>
    <t>대형프리킷돛</t>
    <phoneticPr fontId="5" type="noConversion"/>
  </si>
  <si>
    <t>M_Ship_LargeFrigate_Deck_Inst</t>
  </si>
  <si>
    <t>Sk_Ship_LargeFrigate_Body</t>
    <phoneticPr fontId="5" type="noConversion"/>
  </si>
  <si>
    <t>갤리돛</t>
  </si>
  <si>
    <t>갤리돛</t>
    <phoneticPr fontId="5" type="noConversion"/>
  </si>
  <si>
    <t>SK_Ship_Galley_Sail</t>
    <phoneticPr fontId="5" type="noConversion"/>
  </si>
  <si>
    <t>M_Ship_Galley_Line_Inst</t>
    <phoneticPr fontId="5" type="noConversion"/>
  </si>
  <si>
    <t>갤리</t>
    <phoneticPr fontId="5" type="noConversion"/>
  </si>
  <si>
    <t>SK_Ship_Galley_Body</t>
    <phoneticPr fontId="5" type="noConversion"/>
  </si>
  <si>
    <t>갤리노</t>
  </si>
  <si>
    <t>갤리노</t>
    <phoneticPr fontId="5" type="noConversion"/>
  </si>
  <si>
    <t>SK_Ship_Galley_Paddle</t>
    <phoneticPr fontId="5" type="noConversion"/>
  </si>
  <si>
    <t>M_Ship_HeavyGalley_Line_Inst</t>
    <phoneticPr fontId="5" type="noConversion"/>
  </si>
  <si>
    <t>경량형갤리돛</t>
  </si>
  <si>
    <t>경량형갤리돛</t>
    <phoneticPr fontId="5" type="noConversion"/>
  </si>
  <si>
    <t>SK_Ship_LightGalley_Sail</t>
    <phoneticPr fontId="5" type="noConversion"/>
  </si>
  <si>
    <t>M_Ship_LightGalley_Line_Inst</t>
  </si>
  <si>
    <t>M_Ship_LightGalley_Line_Inst</t>
    <phoneticPr fontId="5" type="noConversion"/>
  </si>
  <si>
    <t>경량형갤리노</t>
  </si>
  <si>
    <t>경량형갤리노</t>
    <phoneticPr fontId="5" type="noConversion"/>
  </si>
  <si>
    <t>SK_Ship_LightGalley_Paddle</t>
    <phoneticPr fontId="5" type="noConversion"/>
  </si>
  <si>
    <t>SK_Ship_LightGalley_Body</t>
    <phoneticPr fontId="5" type="noConversion"/>
  </si>
  <si>
    <t>중갤리돛</t>
  </si>
  <si>
    <t>중갤리돛</t>
    <phoneticPr fontId="5" type="noConversion"/>
  </si>
  <si>
    <t>중갤리노</t>
  </si>
  <si>
    <t>중갤리노</t>
    <phoneticPr fontId="5" type="noConversion"/>
  </si>
  <si>
    <t>SK_Ship_HeavyGalley_Sail</t>
  </si>
  <si>
    <t>SK_Ship_HeavyGalley_Paddle</t>
  </si>
  <si>
    <t>SK_Ship_HeavyGalley_Body</t>
  </si>
  <si>
    <t>오스만 갤리</t>
    <phoneticPr fontId="5" type="noConversion"/>
  </si>
  <si>
    <t>코르벳</t>
    <phoneticPr fontId="5" type="noConversion"/>
  </si>
  <si>
    <t>프리깃</t>
    <phoneticPr fontId="5" type="noConversion"/>
  </si>
  <si>
    <t>대형 프리깃</t>
    <phoneticPr fontId="5" type="noConversion"/>
  </si>
  <si>
    <t>경량형 갤리</t>
    <phoneticPr fontId="5" type="noConversion"/>
  </si>
  <si>
    <t>중 갤리</t>
    <phoneticPr fontId="5" type="noConversion"/>
  </si>
  <si>
    <t>선박의 실제 이름과 꼭 맞춰주세요</t>
    <phoneticPr fontId="5" type="noConversion"/>
  </si>
  <si>
    <t>충각_기본</t>
  </si>
  <si>
    <t>닻_더미</t>
    <phoneticPr fontId="5" type="noConversion"/>
  </si>
  <si>
    <t>거북선돛</t>
  </si>
  <si>
    <t>M_Ship_WoodStut_Parts_Inst</t>
    <phoneticPr fontId="5" type="noConversion"/>
  </si>
  <si>
    <t>SM_Ship_Liburna_Embolon_Ram</t>
  </si>
  <si>
    <t>리부르나형 쐐기</t>
    <phoneticPr fontId="5" type="noConversion"/>
  </si>
  <si>
    <t>M_Ship_Liburna_Embolon_Inst</t>
    <phoneticPr fontId="5" type="noConversion"/>
  </si>
  <si>
    <t>SM_Ship_Dieres_Embolon</t>
    <phoneticPr fontId="5" type="noConversion"/>
  </si>
  <si>
    <t>이단노선형 쐐기</t>
    <phoneticPr fontId="5" type="noConversion"/>
  </si>
  <si>
    <t>M_Ship_Dieres_Embolon_Ram_Inst</t>
    <phoneticPr fontId="5" type="noConversion"/>
  </si>
  <si>
    <t>SM_Ship_Triremes_Embolon_Ram</t>
    <phoneticPr fontId="5" type="noConversion"/>
  </si>
  <si>
    <t>M_Ship_Triremes_Embolon_Inst</t>
  </si>
  <si>
    <t>드로몬형 충각</t>
    <phoneticPr fontId="5" type="noConversion"/>
  </si>
  <si>
    <t>SM_Ship_Dromon_Ram</t>
    <phoneticPr fontId="5" type="noConversion"/>
  </si>
  <si>
    <t>M_Ship_Dromon_Ram_Inst</t>
    <phoneticPr fontId="5" type="noConversion"/>
  </si>
  <si>
    <t>SM_Ship_TripleLarge_Ram</t>
    <phoneticPr fontId="5" type="noConversion"/>
  </si>
  <si>
    <t>삼단 대형 충각</t>
    <phoneticPr fontId="5" type="noConversion"/>
  </si>
  <si>
    <t>M_Ship_TripleLarge_Ram_Inst</t>
    <phoneticPr fontId="5" type="noConversion"/>
  </si>
  <si>
    <t>SM_Ship_Ice_Ram</t>
    <phoneticPr fontId="5" type="noConversion"/>
  </si>
  <si>
    <t>쇄빙 충각</t>
    <phoneticPr fontId="5" type="noConversion"/>
  </si>
  <si>
    <t>M_Ship_Ice_Ram_Inst</t>
    <phoneticPr fontId="5" type="noConversion"/>
  </si>
  <si>
    <t>세락 파각</t>
    <phoneticPr fontId="5" type="noConversion"/>
  </si>
  <si>
    <t>SM_Ship_Seracs_Breaker_Ram</t>
    <phoneticPr fontId="5" type="noConversion"/>
  </si>
  <si>
    <t>M_Ship_Seracs_Breaker_Inst</t>
    <phoneticPr fontId="5" type="noConversion"/>
  </si>
  <si>
    <t>라우타로의 불</t>
    <phoneticPr fontId="5" type="noConversion"/>
  </si>
  <si>
    <t>SM_Ship_Lautaro_s_Flame_Ram</t>
  </si>
  <si>
    <t>M_Ship_Lautaro_s_Flame_Inst</t>
    <phoneticPr fontId="5" type="noConversion"/>
  </si>
  <si>
    <t>SM_Ship_Rapier_Ram</t>
    <phoneticPr fontId="5" type="noConversion"/>
  </si>
  <si>
    <t>레이피어 충각</t>
    <phoneticPr fontId="5" type="noConversion"/>
  </si>
  <si>
    <t>M_Ship_Rapier_Ram_Inst</t>
    <phoneticPr fontId="5" type="noConversion"/>
  </si>
  <si>
    <t>역날검 충각</t>
    <phoneticPr fontId="5" type="noConversion"/>
  </si>
  <si>
    <t>SM_Ship_Reverse_Blade_Ram</t>
  </si>
  <si>
    <t>M_Ship_Reverse_Blade_Ram_Inst</t>
    <phoneticPr fontId="5" type="noConversion"/>
  </si>
  <si>
    <t>폴암형 충각</t>
    <phoneticPr fontId="5" type="noConversion"/>
  </si>
  <si>
    <t>SM_Ship_Polearm_Ram</t>
    <phoneticPr fontId="5" type="noConversion"/>
  </si>
  <si>
    <t>M_Ship_Polearm_Ram_Inst</t>
  </si>
  <si>
    <t>해신의 창 충각</t>
    <phoneticPr fontId="5" type="noConversion"/>
  </si>
  <si>
    <t>SM_Ship_God_Of_Sea_Spear_Ram</t>
    <phoneticPr fontId="5" type="noConversion"/>
  </si>
  <si>
    <t>M_Ship_God_Of_Sea_Spear_Ram_Inst</t>
  </si>
  <si>
    <t>목제 꺽쇠 충각</t>
    <phoneticPr fontId="5" type="noConversion"/>
  </si>
  <si>
    <t>SM_Ship_Wood_Clamp_Ram</t>
    <phoneticPr fontId="5" type="noConversion"/>
  </si>
  <si>
    <t>M_Ship_Wood_Clamp_Ram_Inst</t>
    <phoneticPr fontId="5" type="noConversion"/>
  </si>
  <si>
    <t>SM_Ship_Half_Moon_Axe_Ram</t>
  </si>
  <si>
    <t>반달도끼 충각</t>
    <phoneticPr fontId="5" type="noConversion"/>
  </si>
  <si>
    <t>M_Ship_Half_Moon_Axe_Ram_Inst</t>
  </si>
  <si>
    <t>철퇴형 충각</t>
    <phoneticPr fontId="5" type="noConversion"/>
  </si>
  <si>
    <t>SM_Ship_Iron_Mace_Ram</t>
    <phoneticPr fontId="5" type="noConversion"/>
  </si>
  <si>
    <t>M_Ship_Iron_Mace_Ram_Inst</t>
  </si>
  <si>
    <t>마카나 충각</t>
    <phoneticPr fontId="5" type="noConversion"/>
  </si>
  <si>
    <t>SM_Ship_Macana_Ram</t>
  </si>
  <si>
    <t>M_Ship_Macana_Ram_Inst</t>
  </si>
  <si>
    <t>우아한 은제 충각</t>
    <phoneticPr fontId="5" type="noConversion"/>
  </si>
  <si>
    <t>SM_Ship_Elegant_Silver_Clamp_Ram</t>
    <phoneticPr fontId="5" type="noConversion"/>
  </si>
  <si>
    <t>M_Ship_Elegant_Silver_Clamp_Ram_Inst</t>
  </si>
  <si>
    <t>초승달형 충각</t>
    <phoneticPr fontId="5" type="noConversion"/>
  </si>
  <si>
    <t>SM_Ship_Crescent_Moon_Ram</t>
  </si>
  <si>
    <t>M_Ship_Crescent_Moon_Ram_Inst</t>
    <phoneticPr fontId="5" type="noConversion"/>
  </si>
  <si>
    <t>헤라클레스의 철권</t>
    <phoneticPr fontId="5" type="noConversion"/>
  </si>
  <si>
    <t>SM_Ship_Heracles_Iron_Fist</t>
    <phoneticPr fontId="5" type="noConversion"/>
  </si>
  <si>
    <t>M_Ship_Heracles_Iron_Fist_Inst</t>
    <phoneticPr fontId="5" type="noConversion"/>
  </si>
  <si>
    <t>별을 찾는 자</t>
    <phoneticPr fontId="5" type="noConversion"/>
  </si>
  <si>
    <t>SM_Ship_StarSeeker_Ram</t>
    <phoneticPr fontId="5" type="noConversion"/>
  </si>
  <si>
    <t>M_Ship_StarSeeker_Inst</t>
    <phoneticPr fontId="5" type="noConversion"/>
  </si>
  <si>
    <t>장팔사모 충각</t>
    <phoneticPr fontId="5" type="noConversion"/>
  </si>
  <si>
    <t>SM_Ship_SnakeSpear_Ram</t>
    <phoneticPr fontId="5" type="noConversion"/>
  </si>
  <si>
    <t>M_Ship_SnakeSpear_Ram_Inst</t>
    <phoneticPr fontId="5" type="noConversion"/>
  </si>
  <si>
    <t>기사의 투구 충각</t>
    <phoneticPr fontId="5" type="noConversion"/>
  </si>
  <si>
    <t>SM_Ship_Helmet_Ram</t>
    <phoneticPr fontId="5" type="noConversion"/>
  </si>
  <si>
    <t>스웨덴제 쇠구슬 충각</t>
    <phoneticPr fontId="5" type="noConversion"/>
  </si>
  <si>
    <t>SM_Ship_Ball_Ram</t>
  </si>
  <si>
    <t>기사의 랜스 충각</t>
    <phoneticPr fontId="5" type="noConversion"/>
  </si>
  <si>
    <t>SM_Ship_Lance_Ram</t>
    <phoneticPr fontId="5" type="noConversion"/>
  </si>
  <si>
    <t>M_Ship_Lance_Ram_Inst</t>
  </si>
  <si>
    <t>집게발 충각</t>
    <phoneticPr fontId="5" type="noConversion"/>
  </si>
  <si>
    <t>SM_Ship_Pincers_Ram</t>
    <phoneticPr fontId="5" type="noConversion"/>
  </si>
  <si>
    <t>M_Ship_Pincers_Ram_Inst</t>
  </si>
  <si>
    <t>M_Ship_Ball_Ram_Inst</t>
    <phoneticPr fontId="5" type="noConversion"/>
  </si>
  <si>
    <t>M_Ship_Helmet_Ram_Inst</t>
    <phoneticPr fontId="5" type="noConversion"/>
  </si>
  <si>
    <t>SM_Ship_Spear_Ram</t>
  </si>
  <si>
    <t>창형 충각</t>
    <phoneticPr fontId="5" type="noConversion"/>
  </si>
  <si>
    <t>M_Ship_Spear_Ram_Inst</t>
    <phoneticPr fontId="5" type="noConversion"/>
  </si>
  <si>
    <t>나무 기둥 쐐기</t>
    <phoneticPr fontId="5" type="noConversion"/>
  </si>
  <si>
    <t>삼단노선형 쐐기</t>
    <phoneticPr fontId="5" type="noConversion"/>
  </si>
  <si>
    <t>정화의보선돛</t>
  </si>
  <si>
    <t>정화의보선돛</t>
    <phoneticPr fontId="5" type="noConversion"/>
  </si>
  <si>
    <t>SK_Ship_Treasure_Sail</t>
    <phoneticPr fontId="5" type="noConversion"/>
  </si>
  <si>
    <t>SK_Ship_Treasure_Body</t>
    <phoneticPr fontId="5" type="noConversion"/>
  </si>
  <si>
    <t>M_Ship_TreasureOriental_Sail_Inst</t>
    <phoneticPr fontId="5" type="noConversion"/>
  </si>
  <si>
    <t>판호_대형 갤리온_왕실</t>
    <phoneticPr fontId="5" type="noConversion"/>
  </si>
  <si>
    <t>판호_아군대형 갤리온</t>
    <phoneticPr fontId="5" type="noConversion"/>
  </si>
  <si>
    <t>판호_적군브리간틴</t>
    <phoneticPr fontId="5" type="noConversion"/>
  </si>
  <si>
    <t>판호_보스오스만 갤리</t>
    <phoneticPr fontId="5" type="noConversion"/>
  </si>
  <si>
    <t>판호_적군오스만 갤리</t>
    <phoneticPr fontId="5" type="noConversion"/>
  </si>
  <si>
    <t>판호_보스전열함</t>
    <phoneticPr fontId="5" type="noConversion"/>
  </si>
  <si>
    <t>판호용_대형갤리온돛</t>
  </si>
  <si>
    <t>판호용_대형갤리온돛</t>
    <phoneticPr fontId="5" type="noConversion"/>
  </si>
  <si>
    <t>M_Ship_triangleSail_Panho</t>
    <phoneticPr fontId="5" type="noConversion"/>
  </si>
  <si>
    <t>판호용_브리간틴돛</t>
  </si>
  <si>
    <t>판호용_브리간틴돛</t>
    <phoneticPr fontId="5" type="noConversion"/>
  </si>
  <si>
    <t>M_Ship_Sail_Panho</t>
    <phoneticPr fontId="5" type="noConversion"/>
  </si>
  <si>
    <t>판호용_오스만겔리돛</t>
  </si>
  <si>
    <t>판호용_오스만겔리돛</t>
    <phoneticPr fontId="5" type="noConversion"/>
  </si>
  <si>
    <t>판호용_보스오스만겔리돛</t>
  </si>
  <si>
    <t>판호용_보스오스만겔리돛</t>
    <phoneticPr fontId="5" type="noConversion"/>
  </si>
  <si>
    <t>M_Ship_triangleSail_Panho2</t>
    <phoneticPr fontId="5" type="noConversion"/>
  </si>
  <si>
    <t>판호_보스전열함돛</t>
  </si>
  <si>
    <t>판호_보스전열함돛</t>
    <phoneticPr fontId="5" type="noConversion"/>
  </si>
  <si>
    <t>세락 파각</t>
  </si>
  <si>
    <t>드로몬형 충각</t>
  </si>
  <si>
    <t>이단노선형 쐐기</t>
  </si>
  <si>
    <t>나무 기둥 쐐기</t>
  </si>
  <si>
    <t>M_Ship_LargeGalleon_Sail_Panho</t>
    <phoneticPr fontId="5" type="noConversion"/>
  </si>
  <si>
    <t>M_Ship_triangleSail_Panho2</t>
  </si>
  <si>
    <t>M_Ship_triangleSail_Panho3</t>
  </si>
  <si>
    <t>0xfffa7a</t>
    <phoneticPr fontId="5" type="noConversion"/>
  </si>
  <si>
    <t>0xf2f2f2</t>
    <phoneticPr fontId="5" type="noConversion"/>
  </si>
  <si>
    <t>0xad8a6c</t>
    <phoneticPr fontId="5" type="noConversion"/>
  </si>
  <si>
    <t>0x82b652</t>
    <phoneticPr fontId="5" type="noConversion"/>
  </si>
  <si>
    <t>0x555555</t>
    <phoneticPr fontId="5" type="noConversion"/>
  </si>
  <si>
    <t>key:47100000~47199999</t>
    <phoneticPr fontId="5" type="noConversion"/>
  </si>
  <si>
    <t>금문장（가을）</t>
  </si>
  <si>
    <t>금문장（겨울）</t>
  </si>
  <si>
    <t>금문장（봄）</t>
  </si>
  <si>
    <t>금문장（여름）</t>
  </si>
  <si>
    <t>대해적</t>
  </si>
  <si>
    <t>은문장(가을)</t>
  </si>
  <si>
    <t>은문장(겨울)</t>
  </si>
  <si>
    <t>은문장(봄)</t>
  </si>
  <si>
    <t>은문장(여름)</t>
  </si>
  <si>
    <t>가네샤</t>
  </si>
  <si>
    <t>가루다</t>
  </si>
  <si>
    <t>Voyage</t>
  </si>
  <si>
    <t>빙고봉고의 문장</t>
  </si>
  <si>
    <t>해적</t>
  </si>
  <si>
    <t>고래</t>
  </si>
  <si>
    <t>그레이트 바이킹</t>
  </si>
  <si>
    <t>그리폰</t>
  </si>
  <si>
    <t xml:space="preserve">Nazca </t>
  </si>
  <si>
    <t>드래곤</t>
  </si>
  <si>
    <t>라의 눈</t>
  </si>
  <si>
    <t>머리가 2개인 독수리</t>
  </si>
  <si>
    <t>메두사</t>
  </si>
  <si>
    <t>모아이</t>
  </si>
  <si>
    <t>사자</t>
  </si>
  <si>
    <t>샐러맨더</t>
  </si>
  <si>
    <t>성마르코 사자 문장</t>
  </si>
  <si>
    <t>소녀</t>
  </si>
  <si>
    <t xml:space="preserve">琥珀魚 </t>
  </si>
  <si>
    <t>야수</t>
  </si>
  <si>
    <t>용</t>
  </si>
  <si>
    <t>용사냥의 문장</t>
  </si>
  <si>
    <t>유니콘</t>
  </si>
  <si>
    <t>유인원</t>
  </si>
  <si>
    <t>제독</t>
  </si>
  <si>
    <t xml:space="preserve">Quetzalcoatl </t>
  </si>
  <si>
    <t>페어리</t>
  </si>
  <si>
    <t>펭귄</t>
  </si>
  <si>
    <t>폭스</t>
  </si>
  <si>
    <t>피닉스</t>
  </si>
  <si>
    <t>해룡</t>
  </si>
  <si>
    <t>호랑이</t>
  </si>
  <si>
    <t>화염방패</t>
  </si>
  <si>
    <t>거미</t>
  </si>
  <si>
    <t>나비</t>
  </si>
  <si>
    <t>크로스소드</t>
  </si>
  <si>
    <t>다이아몬드</t>
  </si>
  <si>
    <t>델핀</t>
  </si>
  <si>
    <t>바다뱀</t>
  </si>
  <si>
    <t>백합</t>
  </si>
  <si>
    <t>성요한 기사단 문장</t>
  </si>
  <si>
    <t>스페이드</t>
  </si>
  <si>
    <t>써클크로스</t>
  </si>
  <si>
    <t>앵커</t>
  </si>
  <si>
    <t>어부</t>
  </si>
  <si>
    <t>일광</t>
  </si>
  <si>
    <t>장미</t>
  </si>
  <si>
    <t>조개</t>
  </si>
  <si>
    <t>캥거루</t>
  </si>
  <si>
    <t>크로스</t>
  </si>
  <si>
    <t>클로버</t>
  </si>
  <si>
    <t>태양</t>
  </si>
  <si>
    <t>트라이덴트</t>
  </si>
  <si>
    <t>페가수스</t>
  </si>
  <si>
    <t>하트</t>
  </si>
  <si>
    <t>헬름</t>
  </si>
  <si>
    <t>호박벌</t>
  </si>
  <si>
    <t>기사 문장</t>
  </si>
  <si>
    <t>네덜란드 문장</t>
  </si>
  <si>
    <t>미들튼 가문의 문장</t>
  </si>
  <si>
    <t>바다 여단 문장</t>
  </si>
  <si>
    <t>발바리아 해적 문장</t>
  </si>
  <si>
    <t>베네치아 문장</t>
  </si>
  <si>
    <t>Viscount of Vernier Crest</t>
  </si>
  <si>
    <t>살미엔트 길드 문장</t>
  </si>
  <si>
    <t>에스파니아 문장</t>
  </si>
  <si>
    <t>여인 문장</t>
  </si>
  <si>
    <t>오스만 투르크 문장</t>
  </si>
  <si>
    <t>장식</t>
  </si>
  <si>
    <t>탈출</t>
  </si>
  <si>
    <t>포르투갈 문장</t>
  </si>
  <si>
    <t>프랑스 문장</t>
  </si>
  <si>
    <t>흑고래 용병함대 문장</t>
    <phoneticPr fontId="5" type="noConversion"/>
  </si>
  <si>
    <t>key:47200000~47299999</t>
    <phoneticPr fontId="5" type="noConversion"/>
  </si>
  <si>
    <t>한줄 무늬 (가로)</t>
    <phoneticPr fontId="5" type="noConversion"/>
  </si>
  <si>
    <t>Sail_Pattern_1</t>
  </si>
  <si>
    <t>한줄 무늬 (세로)</t>
    <phoneticPr fontId="5" type="noConversion"/>
  </si>
  <si>
    <t>Sail_Pattern_2</t>
    <phoneticPr fontId="5" type="noConversion"/>
  </si>
  <si>
    <t>기본 무늬 (사선 1)</t>
    <phoneticPr fontId="5" type="noConversion"/>
  </si>
  <si>
    <t>Sail_Pattern_3</t>
  </si>
  <si>
    <t>기본 무늬 (사선 2)</t>
    <phoneticPr fontId="5" type="noConversion"/>
  </si>
  <si>
    <t>Sail_Pattern_4</t>
  </si>
  <si>
    <t>톱니 무늬 (가로)</t>
    <phoneticPr fontId="5" type="noConversion"/>
  </si>
  <si>
    <t>Sail_Pattern_5</t>
  </si>
  <si>
    <t>톱니 무늬 (세로)</t>
    <phoneticPr fontId="5" type="noConversion"/>
  </si>
  <si>
    <t>Sail_Pattern_6</t>
  </si>
  <si>
    <t>네줄 무늬 (세로)</t>
    <phoneticPr fontId="5" type="noConversion"/>
  </si>
  <si>
    <t>Sail_Pattern_7</t>
  </si>
  <si>
    <t>네줄 무늬 (가로)</t>
    <phoneticPr fontId="5" type="noConversion"/>
  </si>
  <si>
    <t>Sail_Pattern_8</t>
  </si>
  <si>
    <t>물결 무늬 1</t>
    <phoneticPr fontId="5" type="noConversion"/>
  </si>
  <si>
    <t>Sail_Pattern_9</t>
  </si>
  <si>
    <t>물결 무늬 2</t>
    <phoneticPr fontId="5" type="noConversion"/>
  </si>
  <si>
    <t>Sail_Pattern_10</t>
  </si>
  <si>
    <t>세로 스트라이프</t>
  </si>
  <si>
    <t>Sail_Pattern_11</t>
  </si>
  <si>
    <t>가로 스트라이프</t>
  </si>
  <si>
    <t>Sail_Pattern_12</t>
  </si>
  <si>
    <t>세줄 무늬 (사선 1)</t>
    <phoneticPr fontId="5" type="noConversion"/>
  </si>
  <si>
    <t>Sail_Pattern_13</t>
  </si>
  <si>
    <t>세반 무늬 (사선 2)</t>
    <phoneticPr fontId="5" type="noConversion"/>
  </si>
  <si>
    <t>Sail_Pattern_14</t>
  </si>
  <si>
    <t>큰 마름모 무늬</t>
    <phoneticPr fontId="5" type="noConversion"/>
  </si>
  <si>
    <t>Sail_Pattern_15</t>
  </si>
  <si>
    <t>작은 마름모 무늬</t>
    <phoneticPr fontId="5" type="noConversion"/>
  </si>
  <si>
    <t>Sail_Pattern_16</t>
  </si>
  <si>
    <t>V 자 무늬</t>
  </si>
  <si>
    <t>Sail_Pattern_17</t>
  </si>
  <si>
    <t>격자 무늬</t>
  </si>
  <si>
    <t>Sail_Pattern_18</t>
  </si>
  <si>
    <t>풍차 무늬</t>
  </si>
  <si>
    <t>Sail_Pattern_19</t>
  </si>
  <si>
    <t>사각 무늬</t>
  </si>
  <si>
    <t>Sail_Pattern_20</t>
  </si>
  <si>
    <t>큰 방울 무늬</t>
    <phoneticPr fontId="5" type="noConversion"/>
  </si>
  <si>
    <t>Sail_Pattern_21</t>
  </si>
  <si>
    <t>삼각 무늬</t>
  </si>
  <si>
    <t>Sail_Pattern_22</t>
  </si>
  <si>
    <t>계단 무늬</t>
  </si>
  <si>
    <t>Sail_Pattern_23</t>
  </si>
  <si>
    <t>물결 무늬 (세로)</t>
    <phoneticPr fontId="5" type="noConversion"/>
  </si>
  <si>
    <t>Sail_Pattern_24</t>
  </si>
  <si>
    <t>물결 무늬 (가로)</t>
    <phoneticPr fontId="5" type="noConversion"/>
  </si>
  <si>
    <t>Sail_Pattern_25</t>
  </si>
  <si>
    <t>작은 방울 무늬 1</t>
    <phoneticPr fontId="5" type="noConversion"/>
  </si>
  <si>
    <t>Sail_Pattern_26</t>
  </si>
  <si>
    <t>작은 방울 무늬 2</t>
    <phoneticPr fontId="5" type="noConversion"/>
  </si>
  <si>
    <t>Sail_Pattern_27</t>
  </si>
  <si>
    <t>빛 모양 무늬</t>
  </si>
  <si>
    <t>Sail_Pattern_28</t>
  </si>
  <si>
    <t>작은 삼각 무늬</t>
    <phoneticPr fontId="5" type="noConversion"/>
  </si>
  <si>
    <t>Sail_Pattern_29</t>
  </si>
  <si>
    <t>마름모 십자 무늬 1</t>
    <phoneticPr fontId="5" type="noConversion"/>
  </si>
  <si>
    <t>Sail_Pattern_30</t>
  </si>
  <si>
    <t>마름모 십자 무늬 2</t>
    <phoneticPr fontId="5" type="noConversion"/>
  </si>
  <si>
    <t>Sail_Pattern_31</t>
  </si>
  <si>
    <t>벽돌 무늬 1</t>
    <phoneticPr fontId="5" type="noConversion"/>
  </si>
  <si>
    <t>Sail_Pattern_32</t>
  </si>
  <si>
    <t>뱀 무늬</t>
  </si>
  <si>
    <t>Sail_Pattern_33</t>
  </si>
  <si>
    <t>물결 무늬</t>
  </si>
  <si>
    <t>Sail_Pattern_34</t>
  </si>
  <si>
    <t>벽돌 무늬 2</t>
    <phoneticPr fontId="5" type="noConversion"/>
  </si>
  <si>
    <t>Sail_Pattern_35</t>
  </si>
  <si>
    <t>체크 무늬</t>
    <phoneticPr fontId="5" type="noConversion"/>
  </si>
  <si>
    <t>Sail_Pattern_36</t>
  </si>
  <si>
    <t>마름모 체크 무늬</t>
    <phoneticPr fontId="5" type="noConversion"/>
  </si>
  <si>
    <t>Sail_Pattern_37</t>
  </si>
  <si>
    <t>십자 무늬</t>
  </si>
  <si>
    <t>Sail_Pattern_38</t>
  </si>
  <si>
    <t>작은 방울 무늬 3</t>
    <phoneticPr fontId="5" type="noConversion"/>
  </si>
  <si>
    <t>Sail_Pattern_39</t>
  </si>
  <si>
    <t>비늘 무늬</t>
  </si>
  <si>
    <t>Sail_Pattern_40</t>
  </si>
  <si>
    <t>벌집 무늬</t>
    <phoneticPr fontId="5" type="noConversion"/>
  </si>
  <si>
    <t>Sail_Pattern_41</t>
  </si>
  <si>
    <t>마름모 사각 무늬</t>
    <phoneticPr fontId="5" type="noConversion"/>
  </si>
  <si>
    <t>Sail_Pattern_42</t>
  </si>
  <si>
    <t>제비꽃 무늬</t>
  </si>
  <si>
    <t>Sail_Pattern_43</t>
  </si>
  <si>
    <t>혼돈 무늬</t>
  </si>
  <si>
    <t>Sail_Pattern_44</t>
  </si>
  <si>
    <t>작은 십자 무늬</t>
    <phoneticPr fontId="5" type="noConversion"/>
  </si>
  <si>
    <t>Sail_Pattern_45</t>
  </si>
  <si>
    <t>점 무늬 1</t>
    <phoneticPr fontId="5" type="noConversion"/>
  </si>
  <si>
    <t>Sail_Pattern_46</t>
  </si>
  <si>
    <t>이슬람 무늬</t>
    <phoneticPr fontId="5" type="noConversion"/>
  </si>
  <si>
    <t>Sail_Pattern_47</t>
  </si>
  <si>
    <t>얼룩말 무늬</t>
    <phoneticPr fontId="5" type="noConversion"/>
  </si>
  <si>
    <t>Sail_Pattern_48</t>
  </si>
  <si>
    <t>점 무늬 2</t>
    <phoneticPr fontId="5" type="noConversion"/>
  </si>
  <si>
    <t>Sail_Pattern_49</t>
  </si>
  <si>
    <t>별 무늬</t>
    <phoneticPr fontId="5" type="noConversion"/>
  </si>
  <si>
    <t>Sail_Pattern_50</t>
  </si>
  <si>
    <t>특수 무늬 1</t>
    <phoneticPr fontId="5" type="noConversion"/>
  </si>
  <si>
    <t>Sail_Pattern_51</t>
  </si>
  <si>
    <t>특수 무늬 2</t>
    <phoneticPr fontId="5" type="noConversion"/>
  </si>
  <si>
    <t>Sail_Pattern_52</t>
  </si>
  <si>
    <t>특수 무늬 3</t>
    <phoneticPr fontId="5" type="noConversion"/>
  </si>
  <si>
    <t>Sail_Pattern_53</t>
  </si>
  <si>
    <t>특수 무늬 4</t>
    <phoneticPr fontId="5" type="noConversion"/>
  </si>
  <si>
    <t>Sail_Pattern_54</t>
  </si>
  <si>
    <t>특수 무늬 6</t>
    <phoneticPr fontId="5" type="noConversion"/>
  </si>
  <si>
    <t>Sail_Pattern_56</t>
  </si>
  <si>
    <t>특수 무늬 7</t>
    <phoneticPr fontId="5" type="noConversion"/>
  </si>
  <si>
    <t>Sail_Pattern_57</t>
  </si>
  <si>
    <t>cresticon</t>
    <phoneticPr fontId="5" type="noConversion"/>
  </si>
  <si>
    <t>SM_Ship_FigureHead_GodoftheSeas</t>
    <phoneticPr fontId="5" type="noConversion"/>
  </si>
  <si>
    <t>M_Ship_FigureHead_GodoftheSeas_Inst</t>
    <phoneticPr fontId="5" type="noConversion"/>
  </si>
  <si>
    <t>SM_Ship_FigureHead_Manticore</t>
    <phoneticPr fontId="5" type="noConversion"/>
  </si>
  <si>
    <t>M_Ship_FigureHead_Manticore_Inst</t>
    <phoneticPr fontId="5" type="noConversion"/>
  </si>
  <si>
    <t>SM_Ship_FigureHead_Bald_Eagle</t>
  </si>
  <si>
    <t>M_Ship_FigureHead_Bald_Eagle_Inst</t>
    <phoneticPr fontId="5" type="noConversion"/>
  </si>
  <si>
    <t>SM_Ship_FigureHead_Vulture</t>
    <phoneticPr fontId="5" type="noConversion"/>
  </si>
  <si>
    <t>M_Ship_FigureHead_Vulture_Inst</t>
    <phoneticPr fontId="5" type="noConversion"/>
  </si>
  <si>
    <t>M_Ship_triangleSail_Panho4</t>
  </si>
  <si>
    <t>M_Ship_Vaisseau_Parts_Inst</t>
  </si>
  <si>
    <t>SOCKET_SK_Ship_Body_figure_head2</t>
    <phoneticPr fontId="5" type="noConversion"/>
  </si>
  <si>
    <t>SOCKET_SK_Ship_Body_figure_head1</t>
    <phoneticPr fontId="5" type="noConversion"/>
  </si>
  <si>
    <t>판호_아군슬루프</t>
    <phoneticPr fontId="5" type="noConversion"/>
  </si>
  <si>
    <t>판호용_슬로프돛</t>
  </si>
  <si>
    <t>판호용_슬로프돛</t>
    <phoneticPr fontId="5" type="noConversion"/>
  </si>
  <si>
    <t>M_Ship_Sail_Panho2</t>
  </si>
  <si>
    <t>목재닻</t>
    <phoneticPr fontId="5" type="noConversion"/>
  </si>
  <si>
    <t>인어닻</t>
    <phoneticPr fontId="5" type="noConversion"/>
  </si>
  <si>
    <t>사신닻</t>
    <phoneticPr fontId="5" type="noConversion"/>
  </si>
  <si>
    <t>쌍둥이뱀닻</t>
    <phoneticPr fontId="5" type="noConversion"/>
  </si>
  <si>
    <t>SK_Ship_Anchor_Grim_Reaper</t>
    <phoneticPr fontId="5" type="noConversion"/>
  </si>
  <si>
    <t>SK_Ship_Anchor_Mermaid</t>
    <phoneticPr fontId="5" type="noConversion"/>
  </si>
  <si>
    <t>SK_Ship_Anchor_Twin_Snake</t>
    <phoneticPr fontId="5" type="noConversion"/>
  </si>
  <si>
    <t>SK_Ship_Anchor_Wood</t>
    <phoneticPr fontId="5" type="noConversion"/>
  </si>
  <si>
    <t>M_Ship_Wood_Anchor_Inst</t>
    <phoneticPr fontId="5" type="noConversion"/>
  </si>
  <si>
    <t>M_Ship_Twin_Snake_Anchor_Inst</t>
    <phoneticPr fontId="5" type="noConversion"/>
  </si>
  <si>
    <t>M_Ship_Mermaid_Anchor_Inst</t>
    <phoneticPr fontId="5" type="noConversion"/>
  </si>
  <si>
    <t>M_Ship_Grim_Reaper_Anchor_Inst</t>
    <phoneticPr fontId="5" type="noConversion"/>
  </si>
  <si>
    <t>applypointId</t>
    <phoneticPr fontId="5" type="noConversion"/>
  </si>
  <si>
    <t>applypointval</t>
    <phoneticPr fontId="5" type="noConversion"/>
  </si>
  <si>
    <t>unlockpointId</t>
    <phoneticPr fontId="5" type="noConversion"/>
  </si>
  <si>
    <t>unlockpointval</t>
    <phoneticPr fontId="5" type="noConversion"/>
  </si>
  <si>
    <t>두카트</t>
    <phoneticPr fontId="5" type="noConversion"/>
  </si>
  <si>
    <t>defaultcolorId[0]</t>
    <phoneticPr fontId="5" type="noConversion"/>
  </si>
  <si>
    <t>defaultcolorId[1]</t>
    <phoneticPr fontId="5" type="noConversion"/>
  </si>
  <si>
    <t>defaultcolorId[2]</t>
    <phoneticPr fontId="5" type="noConversion"/>
  </si>
  <si>
    <t>"SailPatternColor"</t>
    <phoneticPr fontId="5" type="noConversion"/>
  </si>
  <si>
    <t>key:47300000~47399999</t>
    <phoneticPr fontId="5" type="noConversion"/>
  </si>
  <si>
    <t>컬러 1</t>
    <phoneticPr fontId="5" type="noConversion"/>
  </si>
  <si>
    <t>컬러 2</t>
    <phoneticPr fontId="5" type="noConversion"/>
  </si>
  <si>
    <t>컬러 3</t>
  </si>
  <si>
    <t>컬러 4</t>
  </si>
  <si>
    <t>컬러 5</t>
  </si>
  <si>
    <t>컬러 6</t>
  </si>
  <si>
    <t>컬러 7</t>
  </si>
  <si>
    <t>컬러 8</t>
  </si>
  <si>
    <t>컬러 9</t>
  </si>
  <si>
    <t>컬러 10</t>
  </si>
  <si>
    <t>컬러 11</t>
    <phoneticPr fontId="5" type="noConversion"/>
  </si>
  <si>
    <t>key:47400000~47499999</t>
    <phoneticPr fontId="5" type="noConversion"/>
  </si>
  <si>
    <t>key:47500000~47599999</t>
    <phoneticPr fontId="5" type="noConversion"/>
  </si>
  <si>
    <t>튜토_나오_엑스트라 선박1</t>
  </si>
  <si>
    <t>튜토_나오_엑스트라 선박2</t>
  </si>
  <si>
    <t>튜토_바스_엑스트라 선박1</t>
  </si>
  <si>
    <t>튜토_바스_엑스트라 선박2</t>
  </si>
  <si>
    <t>튜토_바르카_엑스트라 선박1</t>
  </si>
  <si>
    <t>튜토_바르카_엑스트라 선박2</t>
  </si>
  <si>
    <t>튜토_타렛테_엑스트라 선박1</t>
  </si>
  <si>
    <t>튜토_타렛테_엑스트라 선박2</t>
  </si>
  <si>
    <t>튜토_대형 갤리온_엑스트라 선박1</t>
  </si>
  <si>
    <t>튜토_대형 갤리온_엑스트라 선박2</t>
  </si>
  <si>
    <t>튜토_브리간틴_엑스트라 선박1</t>
  </si>
  <si>
    <t>튜토_브리간틴_엑스트라 선박2</t>
  </si>
  <si>
    <t>튜토_대형 프리깃_엑스트라 선박1</t>
  </si>
  <si>
    <t>튜토_프리깃_엑스트라 선박1</t>
  </si>
  <si>
    <t>튜토_프리깃_엑스트라 선박2</t>
  </si>
  <si>
    <t>바르카3적색돛</t>
    <phoneticPr fontId="5" type="noConversion"/>
  </si>
  <si>
    <t>리부르나형 쐐기</t>
  </si>
  <si>
    <t>삼단노선형 쐐기</t>
  </si>
  <si>
    <t>삼단 대형 충각</t>
  </si>
  <si>
    <t>쇄빙 충각</t>
  </si>
  <si>
    <t>레이피어 충각</t>
  </si>
  <si>
    <t>창형 충각</t>
  </si>
  <si>
    <t>역날검 충각</t>
  </si>
  <si>
    <t>목제 꺽쇠 충각</t>
  </si>
  <si>
    <t>colorTint</t>
    <phoneticPr fontId="5" type="noConversion"/>
  </si>
  <si>
    <t>number</t>
    <phoneticPr fontId="5" type="noConversion"/>
  </si>
  <si>
    <t>-</t>
    <phoneticPr fontId="5" type="noConversion"/>
  </si>
  <si>
    <t>color1</t>
    <phoneticPr fontId="5" type="noConversion"/>
  </si>
  <si>
    <t>color2</t>
    <phoneticPr fontId="5" type="noConversion"/>
  </si>
  <si>
    <t>sailPattern</t>
    <phoneticPr fontId="5" type="noConversion"/>
  </si>
  <si>
    <t>sailCrest</t>
    <phoneticPr fontId="5" type="noConversion"/>
  </si>
  <si>
    <t>number</t>
    <phoneticPr fontId="5" type="noConversion"/>
  </si>
  <si>
    <t>number</t>
    <phoneticPr fontId="5" type="noConversion"/>
  </si>
  <si>
    <t>"SailPattern"</t>
    <phoneticPr fontId="5" type="noConversion"/>
  </si>
  <si>
    <t>"SailCrest"</t>
    <phoneticPr fontId="5" type="noConversion"/>
  </si>
  <si>
    <t>patternimage</t>
    <phoneticPr fontId="5" type="noConversion"/>
  </si>
  <si>
    <t>-</t>
    <phoneticPr fontId="5" type="noConversion"/>
  </si>
  <si>
    <t>프롤로그_엑스트라용1</t>
    <phoneticPr fontId="5" type="noConversion"/>
  </si>
  <si>
    <t>프롤로그_엑스트라용2</t>
  </si>
  <si>
    <t>프롤로그_엑스트라용3</t>
  </si>
  <si>
    <t>프롤로그_엑스트라용4</t>
  </si>
  <si>
    <t>프롤로그_엑스트라용5</t>
  </si>
  <si>
    <t>프롤로그_엑스트라용6</t>
  </si>
  <si>
    <t>프롤로그_엑스트라용7</t>
  </si>
  <si>
    <t>프롤로그_엑스트라용8</t>
  </si>
  <si>
    <t>컬러 2</t>
  </si>
  <si>
    <t>프롤로그_나오돛</t>
  </si>
  <si>
    <t>프롤로그_바스돛</t>
  </si>
  <si>
    <t>프롤로그_대형갤리온돛</t>
  </si>
  <si>
    <t>프롤로그_브리간틴돛</t>
  </si>
  <si>
    <t>프롤로그_중형프리킷돛</t>
  </si>
  <si>
    <t>SK_Ship_Buss_Sail</t>
  </si>
  <si>
    <t>SK_Ship_LargeGalleon_Sail</t>
  </si>
  <si>
    <t>Sk_Ship_Frigate_Sail</t>
  </si>
  <si>
    <t>-</t>
  </si>
  <si>
    <t>M_Ship_LargeGalleon_Sail_Inst</t>
  </si>
  <si>
    <t>프롤로그_바르카3돛</t>
    <phoneticPr fontId="5" type="noConversion"/>
  </si>
  <si>
    <t>프롤로그_바르카4돛</t>
    <phoneticPr fontId="5" type="noConversion"/>
  </si>
  <si>
    <t>정화의 보선</t>
    <phoneticPr fontId="5" type="noConversion"/>
  </si>
  <si>
    <t>M_Ship_LargeGalleon_Sail_Inst_Panho</t>
  </si>
  <si>
    <t>unlockitemId</t>
    <phoneticPr fontId="5" type="noConversion"/>
  </si>
  <si>
    <t>unlockitemval</t>
    <phoneticPr fontId="5" type="noConversion"/>
  </si>
  <si>
    <t>color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</si>
  <si>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</si>
  <si>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</si>
  <si>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</si>
  <si>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:asset</t>
    <phoneticPr fontId="5" type="noConversion"/>
  </si>
  <si>
    <t>:asset</t>
    <phoneticPr fontId="5" type="noConversion"/>
  </si>
  <si>
    <t>:asset</t>
    <phoneticPr fontId="5" type="noConversion"/>
  </si>
  <si>
    <t>Sail_Pattern_1</t>
    <phoneticPr fontId="5" type="noConversion"/>
  </si>
  <si>
    <t>:asset</t>
    <phoneticPr fontId="5" type="noConversion"/>
  </si>
  <si>
    <t>:requireedInObject</t>
    <phoneticPr fontId="5" type="noConversion"/>
  </si>
  <si>
    <t>두카트</t>
  </si>
  <si>
    <t>블루잼</t>
  </si>
  <si>
    <t>-</t>
    <phoneticPr fontId="15" type="noConversion"/>
  </si>
  <si>
    <t>아이템</t>
  </si>
  <si>
    <t>SK_Ship_VaisseauBoss_Body</t>
  </si>
  <si>
    <t>SK_Ship_VaisseauBoss_Sail</t>
    <phoneticPr fontId="5" type="noConversion"/>
  </si>
  <si>
    <t>소조선돛</t>
  </si>
  <si>
    <t>소조선돛</t>
    <phoneticPr fontId="5" type="noConversion"/>
  </si>
  <si>
    <t>SK_Ship_Kobaya_Sail</t>
    <phoneticPr fontId="5" type="noConversion"/>
  </si>
  <si>
    <t>M_Ship_Kobaya_WoodLine_Inst</t>
  </si>
  <si>
    <t>소조선노</t>
  </si>
  <si>
    <t>소조선노</t>
    <phoneticPr fontId="5" type="noConversion"/>
  </si>
  <si>
    <t>SK_Ship_Kobaya_Paddle</t>
    <phoneticPr fontId="5" type="noConversion"/>
  </si>
  <si>
    <t>M_Ship_Kobaya_WoodLine_Inst</t>
    <phoneticPr fontId="5" type="noConversion"/>
  </si>
  <si>
    <t>소조선</t>
    <phoneticPr fontId="5" type="noConversion"/>
  </si>
  <si>
    <t>SK_Ship_Kobaya_Body</t>
    <phoneticPr fontId="5" type="noConversion"/>
  </si>
  <si>
    <t>Deco_2</t>
  </si>
  <si>
    <t>SM_Shipparts_Goods_A</t>
    <phoneticPr fontId="5" type="noConversion"/>
  </si>
  <si>
    <t>선박외형장식_A</t>
    <phoneticPr fontId="5" type="noConversion"/>
  </si>
  <si>
    <t>선박외형장식_B</t>
    <phoneticPr fontId="5" type="noConversion"/>
  </si>
  <si>
    <t>선박외형장식_C</t>
    <phoneticPr fontId="5" type="noConversion"/>
  </si>
  <si>
    <t>선박외형장식_D</t>
    <phoneticPr fontId="5" type="noConversion"/>
  </si>
  <si>
    <t>선박외형장식_E</t>
    <phoneticPr fontId="5" type="noConversion"/>
  </si>
  <si>
    <t>선박외형장식_F</t>
    <phoneticPr fontId="5" type="noConversion"/>
  </si>
  <si>
    <t>선박외형장식_G</t>
    <phoneticPr fontId="5" type="noConversion"/>
  </si>
  <si>
    <t>선박외형장식_H</t>
    <phoneticPr fontId="5" type="noConversion"/>
  </si>
  <si>
    <t>선박외형장식_I</t>
    <phoneticPr fontId="5" type="noConversion"/>
  </si>
  <si>
    <t>선박외형장식_J</t>
    <phoneticPr fontId="5" type="noConversion"/>
  </si>
  <si>
    <t>선박외형장식_K</t>
    <phoneticPr fontId="5" type="noConversion"/>
  </si>
  <si>
    <t>선박외형장식_아시아_A</t>
    <phoneticPr fontId="5" type="noConversion"/>
  </si>
  <si>
    <t>선박외형장식_아시아_B</t>
    <phoneticPr fontId="5" type="noConversion"/>
  </si>
  <si>
    <t>선박외형장식_아시아_C</t>
    <phoneticPr fontId="5" type="noConversion"/>
  </si>
  <si>
    <t>선박외형장식_아시아_D</t>
    <phoneticPr fontId="5" type="noConversion"/>
  </si>
  <si>
    <t>선박외형장식_아시아_E</t>
    <phoneticPr fontId="5" type="noConversion"/>
  </si>
  <si>
    <t>선박외형장식_아시아_F</t>
    <phoneticPr fontId="5" type="noConversion"/>
  </si>
  <si>
    <t>선박외형장식_아시아_G</t>
    <phoneticPr fontId="5" type="noConversion"/>
  </si>
  <si>
    <t>선박외형장식_아시아_H</t>
    <phoneticPr fontId="5" type="noConversion"/>
  </si>
  <si>
    <t>SM_Shipparts_Goods_B</t>
    <phoneticPr fontId="5" type="noConversion"/>
  </si>
  <si>
    <t>SM_Shipparts_Goods_C</t>
    <phoneticPr fontId="5" type="noConversion"/>
  </si>
  <si>
    <t>SM_Shipparts_Goods_D</t>
    <phoneticPr fontId="5" type="noConversion"/>
  </si>
  <si>
    <t>SM_Shipparts_Goods_E</t>
    <phoneticPr fontId="5" type="noConversion"/>
  </si>
  <si>
    <t>SM_Shipparts_Goods_F</t>
    <phoneticPr fontId="5" type="noConversion"/>
  </si>
  <si>
    <t>SM_Shipparts_Goods_G</t>
    <phoneticPr fontId="5" type="noConversion"/>
  </si>
  <si>
    <t>SM_Shipparts_Goods_H</t>
    <phoneticPr fontId="5" type="noConversion"/>
  </si>
  <si>
    <t>SM_Shipparts_Goods_I</t>
    <phoneticPr fontId="5" type="noConversion"/>
  </si>
  <si>
    <t>SM_Shipparts_Goods_J</t>
    <phoneticPr fontId="5" type="noConversion"/>
  </si>
  <si>
    <t>SM_Shipparts_Goods_K</t>
    <phoneticPr fontId="5" type="noConversion"/>
  </si>
  <si>
    <t>SM_Shipparts_AsiaGoods_A</t>
  </si>
  <si>
    <t>SM_Shipparts_AsiaGoods_B</t>
    <phoneticPr fontId="5" type="noConversion"/>
  </si>
  <si>
    <t>SM_Shipparts_AsiaGoods_C</t>
    <phoneticPr fontId="5" type="noConversion"/>
  </si>
  <si>
    <t>SM_Shipparts_AsiaGoods_D</t>
    <phoneticPr fontId="5" type="noConversion"/>
  </si>
  <si>
    <t>SM_Shipparts_AsiaGoods_E</t>
    <phoneticPr fontId="5" type="noConversion"/>
  </si>
  <si>
    <t>SM_Shipparts_AsiaGoods_F</t>
    <phoneticPr fontId="5" type="noConversion"/>
  </si>
  <si>
    <t>SM_Shipparts_AsiaGoods_G</t>
    <phoneticPr fontId="5" type="noConversion"/>
  </si>
  <si>
    <t>SM_Shipparts_AsiaGoods_H</t>
    <phoneticPr fontId="5" type="noConversion"/>
  </si>
  <si>
    <t>SOCKET_SK_Ship_Body_Goods_A</t>
    <phoneticPr fontId="5" type="noConversion"/>
  </si>
  <si>
    <t>SOCKET_SK_Ship_Body_Goods_B</t>
    <phoneticPr fontId="5" type="noConversion"/>
  </si>
  <si>
    <t>SOCKET_SK_Ship_Body_Goods_C</t>
    <phoneticPr fontId="5" type="noConversion"/>
  </si>
  <si>
    <t>SOCKET_SK_Ship_Body_Goods_D</t>
    <phoneticPr fontId="5" type="noConversion"/>
  </si>
  <si>
    <t>SOCKET_SK_Ship_Body_Goods_E</t>
    <phoneticPr fontId="5" type="noConversion"/>
  </si>
  <si>
    <t>SOCKET_SK_Ship_Body_Goods_F</t>
    <phoneticPr fontId="5" type="noConversion"/>
  </si>
  <si>
    <t>SOCKET_SK_Ship_Body_Goods_G</t>
    <phoneticPr fontId="5" type="noConversion"/>
  </si>
  <si>
    <t>SOCKET_SK_Ship_Body_Goods_H</t>
    <phoneticPr fontId="5" type="noConversion"/>
  </si>
  <si>
    <t>SOCKET_SK_Ship_Body_Goods_I</t>
    <phoneticPr fontId="5" type="noConversion"/>
  </si>
  <si>
    <t>SOCKET_SK_Ship_Body_Goods_J</t>
    <phoneticPr fontId="5" type="noConversion"/>
  </si>
  <si>
    <t>SOCKET_SK_Ship_Body_Goods_K</t>
    <phoneticPr fontId="5" type="noConversion"/>
  </si>
  <si>
    <t>M_Shipparts_A_Inst</t>
  </si>
  <si>
    <t>M_Shipparts_B_Inst</t>
  </si>
  <si>
    <t>선박외형장식_A</t>
  </si>
  <si>
    <t>선박외형장식_B</t>
  </si>
  <si>
    <t>선박외형장식_G</t>
  </si>
  <si>
    <t>선박외형장식_E</t>
  </si>
  <si>
    <t>선박외형장식_I</t>
  </si>
  <si>
    <t>선박외형장식_C</t>
  </si>
  <si>
    <t>선박외형장식_H</t>
  </si>
  <si>
    <t>선박외형장식_D</t>
  </si>
  <si>
    <t>선박외형장식_K</t>
  </si>
  <si>
    <t>선박외형장식_F</t>
  </si>
  <si>
    <t>선박외형장식_J</t>
  </si>
  <si>
    <t>parts["0"]</t>
    <phoneticPr fontId="5" type="noConversion"/>
  </si>
  <si>
    <t>parts["1"]</t>
    <phoneticPr fontId="5" type="noConversion"/>
  </si>
  <si>
    <t>parts["2"]</t>
    <phoneticPr fontId="5" type="noConversion"/>
  </si>
  <si>
    <t>parts["3"]</t>
    <phoneticPr fontId="5" type="noConversion"/>
  </si>
  <si>
    <t>parts["4"]</t>
    <phoneticPr fontId="5" type="noConversion"/>
  </si>
  <si>
    <t>parts["5"]</t>
    <phoneticPr fontId="5" type="noConversion"/>
  </si>
  <si>
    <t>parts["6"]</t>
    <phoneticPr fontId="5" type="noConversion"/>
  </si>
  <si>
    <t>parts["7"]</t>
    <phoneticPr fontId="5" type="noConversion"/>
  </si>
  <si>
    <t>parts["8"]</t>
    <phoneticPr fontId="5" type="noConversion"/>
  </si>
  <si>
    <t>parts["9"]</t>
    <phoneticPr fontId="5" type="noConversion"/>
  </si>
  <si>
    <t>parts["10"]</t>
    <phoneticPr fontId="5" type="noConversion"/>
  </si>
  <si>
    <t>parts["11"]</t>
    <phoneticPr fontId="5" type="noConversion"/>
  </si>
  <si>
    <t>parts["12"]</t>
    <phoneticPr fontId="5" type="noConversion"/>
  </si>
  <si>
    <t>parts["13"]</t>
    <phoneticPr fontId="5" type="noConversion"/>
  </si>
  <si>
    <t>Deco_3</t>
  </si>
  <si>
    <t>Deco_4</t>
  </si>
  <si>
    <t>Deco_5</t>
  </si>
  <si>
    <t>컬러 0</t>
    <phoneticPr fontId="5" type="noConversion"/>
  </si>
  <si>
    <t>0xFFFFFF</t>
    <phoneticPr fontId="15" type="noConversion"/>
  </si>
  <si>
    <t>0xffe9b8</t>
    <phoneticPr fontId="15" type="noConversion"/>
  </si>
  <si>
    <t>0xfdb23f</t>
    <phoneticPr fontId="15" type="noConversion"/>
  </si>
  <si>
    <t>0xf15f16</t>
    <phoneticPr fontId="15" type="noConversion"/>
  </si>
  <si>
    <t>0xbf1d08</t>
    <phoneticPr fontId="15" type="noConversion"/>
  </si>
  <si>
    <t>0xf30505</t>
    <phoneticPr fontId="15" type="noConversion"/>
  </si>
  <si>
    <t>0x5c0001</t>
    <phoneticPr fontId="15" type="noConversion"/>
  </si>
  <si>
    <t>0xa7d982</t>
    <phoneticPr fontId="15" type="noConversion"/>
  </si>
  <si>
    <t>0xc5ee0e</t>
    <phoneticPr fontId="15" type="noConversion"/>
  </si>
  <si>
    <t>0xf8eb10</t>
    <phoneticPr fontId="15" type="noConversion"/>
  </si>
  <si>
    <t>0xe1c219</t>
    <phoneticPr fontId="15" type="noConversion"/>
  </si>
  <si>
    <t>컬러 11</t>
  </si>
  <si>
    <t>0x83a602</t>
    <phoneticPr fontId="15" type="noConversion"/>
  </si>
  <si>
    <t>컬러 12</t>
  </si>
  <si>
    <t>0x375903</t>
    <phoneticPr fontId="15" type="noConversion"/>
  </si>
  <si>
    <t>컬러 13</t>
  </si>
  <si>
    <t>0x0276c3</t>
    <phoneticPr fontId="15" type="noConversion"/>
  </si>
  <si>
    <t>컬러 14</t>
  </si>
  <si>
    <t>0x02afcd</t>
    <phoneticPr fontId="15" type="noConversion"/>
  </si>
  <si>
    <t>컬러 15</t>
  </si>
  <si>
    <t>0x02c13d</t>
    <phoneticPr fontId="15" type="noConversion"/>
  </si>
  <si>
    <t>컬러 16</t>
  </si>
  <si>
    <t>0x088c03</t>
    <phoneticPr fontId="15" type="noConversion"/>
  </si>
  <si>
    <t>컬러 17</t>
  </si>
  <si>
    <t>0x1c5d59</t>
    <phoneticPr fontId="15" type="noConversion"/>
  </si>
  <si>
    <t>컬러 18</t>
  </si>
  <si>
    <t>0x1d3a3e</t>
    <phoneticPr fontId="15" type="noConversion"/>
  </si>
  <si>
    <t>컬러 19</t>
  </si>
  <si>
    <t>0x0540f2</t>
    <phoneticPr fontId="15" type="noConversion"/>
  </si>
  <si>
    <t>컬러 20</t>
  </si>
  <si>
    <t>0x034d8c</t>
    <phoneticPr fontId="15" type="noConversion"/>
  </si>
  <si>
    <t>컬러 21</t>
  </si>
  <si>
    <t>0x0583f2</t>
    <phoneticPr fontId="15" type="noConversion"/>
  </si>
  <si>
    <t>컬러 22</t>
  </si>
  <si>
    <t>0x6bbef2</t>
    <phoneticPr fontId="5" type="noConversion"/>
  </si>
  <si>
    <t>컬러 23</t>
  </si>
  <si>
    <t>0x84d3f2</t>
    <phoneticPr fontId="15" type="noConversion"/>
  </si>
  <si>
    <t>컬러 24</t>
  </si>
  <si>
    <t>0x2dccd2</t>
    <phoneticPr fontId="15" type="noConversion"/>
  </si>
  <si>
    <t>컬러 25</t>
  </si>
  <si>
    <t>0x410080</t>
    <phoneticPr fontId="15" type="noConversion"/>
  </si>
  <si>
    <t>컬러 26</t>
  </si>
  <si>
    <t>0x6100bf</t>
    <phoneticPr fontId="5" type="noConversion"/>
  </si>
  <si>
    <t>컬러 27</t>
  </si>
  <si>
    <t>0x7f00ff</t>
    <phoneticPr fontId="15" type="noConversion"/>
  </si>
  <si>
    <t>컬러 28</t>
  </si>
  <si>
    <t>0x99a7f2</t>
    <phoneticPr fontId="15" type="noConversion"/>
  </si>
  <si>
    <t>컬러 29</t>
  </si>
  <si>
    <t>0x36dfff</t>
    <phoneticPr fontId="15" type="noConversion"/>
  </si>
  <si>
    <t>컬러 30</t>
  </si>
  <si>
    <t>0xf20cb6</t>
    <phoneticPr fontId="15" type="noConversion"/>
  </si>
  <si>
    <t>컬러 31</t>
  </si>
  <si>
    <t>0xa7058c</t>
    <phoneticPr fontId="15" type="noConversion"/>
  </si>
  <si>
    <t>컬러 32</t>
  </si>
  <si>
    <t>0xe7578a</t>
    <phoneticPr fontId="15" type="noConversion"/>
  </si>
  <si>
    <t>컬러 33</t>
  </si>
  <si>
    <t>0xd8004b</t>
    <phoneticPr fontId="5" type="noConversion"/>
  </si>
  <si>
    <t>컬러 34</t>
  </si>
  <si>
    <t>0x85002f</t>
    <phoneticPr fontId="15" type="noConversion"/>
  </si>
  <si>
    <t>컬러 35</t>
  </si>
  <si>
    <t>0xf2b6c1</t>
    <phoneticPr fontId="15" type="noConversion"/>
  </si>
  <si>
    <t>컬러 36</t>
  </si>
  <si>
    <t>0xd9bfda</t>
    <phoneticPr fontId="15" type="noConversion"/>
  </si>
  <si>
    <t>컬러 37</t>
  </si>
  <si>
    <t>0xd8a8dc</t>
    <phoneticPr fontId="15" type="noConversion"/>
  </si>
  <si>
    <t>컬러 38</t>
  </si>
  <si>
    <t>0x667fb7</t>
    <phoneticPr fontId="15" type="noConversion"/>
  </si>
  <si>
    <t>컬러 39</t>
  </si>
  <si>
    <t>0x71bbc6</t>
    <phoneticPr fontId="5" type="noConversion"/>
  </si>
  <si>
    <t>컬러 40</t>
  </si>
  <si>
    <t>0x3c4c59</t>
    <phoneticPr fontId="15" type="noConversion"/>
  </si>
  <si>
    <t>컬러 41</t>
  </si>
  <si>
    <t>0x9fb0c0</t>
    <phoneticPr fontId="15" type="noConversion"/>
  </si>
  <si>
    <t>컬러 42</t>
  </si>
  <si>
    <t>0xd9d9d9</t>
    <phoneticPr fontId="15" type="noConversion"/>
  </si>
  <si>
    <t>컬러 43</t>
  </si>
  <si>
    <t>0x737373</t>
    <phoneticPr fontId="15" type="noConversion"/>
  </si>
  <si>
    <t>컬러 44</t>
  </si>
  <si>
    <t>0x404040</t>
    <phoneticPr fontId="15" type="noConversion"/>
  </si>
  <si>
    <t>컬러 45</t>
  </si>
  <si>
    <t>0x0d0d0d</t>
    <phoneticPr fontId="15" type="noConversion"/>
  </si>
  <si>
    <t xml:space="preserve"> 프롤로그 컬러2</t>
    <phoneticPr fontId="15" type="noConversion"/>
  </si>
  <si>
    <t xml:space="preserve"> 프롤로그 컬러3</t>
    <phoneticPr fontId="15" type="noConversion"/>
  </si>
  <si>
    <t xml:space="preserve"> 프롤로그 컬러4</t>
    <phoneticPr fontId="15" type="noConversion"/>
  </si>
  <si>
    <t xml:space="preserve"> 프롤로그 컬러5</t>
    <phoneticPr fontId="15" type="noConversion"/>
  </si>
  <si>
    <t xml:space="preserve"> 프롤로그 컬러8</t>
    <phoneticPr fontId="15" type="noConversion"/>
  </si>
  <si>
    <t>컬러 0</t>
    <phoneticPr fontId="15" type="noConversion"/>
  </si>
  <si>
    <t>isExposure</t>
  </si>
  <si>
    <t>bool</t>
  </si>
  <si>
    <t>다우돛</t>
  </si>
  <si>
    <t>다우돛</t>
    <phoneticPr fontId="5" type="noConversion"/>
  </si>
  <si>
    <t>SK_Ship_LargeJunk_Sail</t>
    <phoneticPr fontId="5" type="noConversion"/>
  </si>
  <si>
    <t>M_Ship_LargeJunk_Line_Inst</t>
    <phoneticPr fontId="5" type="noConversion"/>
  </si>
  <si>
    <t>다우</t>
    <phoneticPr fontId="5" type="noConversion"/>
  </si>
  <si>
    <t>SK_Ship_LargeJunk_Body</t>
  </si>
  <si>
    <t>SK_Ship_Dhow_Sail</t>
    <phoneticPr fontId="5" type="noConversion"/>
  </si>
  <si>
    <t>M_Ship_Dhow_Deck_Inst</t>
    <phoneticPr fontId="5" type="noConversion"/>
  </si>
  <si>
    <t>SK_Ship_Dhow_Body</t>
    <phoneticPr fontId="5" type="noConversion"/>
  </si>
  <si>
    <t>대복선돛</t>
  </si>
  <si>
    <t>대복선돛</t>
    <phoneticPr fontId="5" type="noConversion"/>
  </si>
  <si>
    <t>대복선</t>
    <phoneticPr fontId="5" type="noConversion"/>
  </si>
  <si>
    <t>카락돛</t>
  </si>
  <si>
    <t>카락돛</t>
    <phoneticPr fontId="5" type="noConversion"/>
  </si>
  <si>
    <t>SK_Ship_Carrack_Sail</t>
  </si>
  <si>
    <t>M_Ship_Carrack_Line_Inst</t>
  </si>
  <si>
    <t>카락</t>
    <phoneticPr fontId="5" type="noConversion"/>
  </si>
  <si>
    <t>SK_Ship_Carrack_Body</t>
  </si>
  <si>
    <t>SK_Ship_LargeSha_Chuan_Sail</t>
  </si>
  <si>
    <t>M_Ship_LargeSha-Chuan_Line_Inst</t>
  </si>
  <si>
    <t>대형사선돛</t>
  </si>
  <si>
    <t>대형사선돛</t>
    <phoneticPr fontId="5" type="noConversion"/>
  </si>
  <si>
    <t>SK_Ship_LargeSha_Chuan_Body</t>
  </si>
  <si>
    <t>대형 사선</t>
    <phoneticPr fontId="5" type="noConversion"/>
  </si>
  <si>
    <t>컬러 0</t>
  </si>
  <si>
    <t>민무늬</t>
    <phoneticPr fontId="5" type="noConversion"/>
  </si>
  <si>
    <t>Sail_Pattern_00</t>
    <phoneticPr fontId="5" type="noConversion"/>
  </si>
  <si>
    <t>-</t>
    <phoneticPr fontId="5" type="noConversion"/>
  </si>
  <si>
    <t>빈문장</t>
    <phoneticPr fontId="5" type="noConversion"/>
  </si>
  <si>
    <t>-</t>
    <phoneticPr fontId="5" type="noConversion"/>
  </si>
  <si>
    <t>컬러 1</t>
  </si>
  <si>
    <t>Deco_6</t>
    <phoneticPr fontId="5" type="noConversion"/>
  </si>
  <si>
    <t>Deco_7</t>
    <phoneticPr fontId="5" type="noConversion"/>
  </si>
  <si>
    <t>Deco_8</t>
    <phoneticPr fontId="5" type="noConversion"/>
  </si>
  <si>
    <t>Deco_9</t>
    <phoneticPr fontId="5" type="noConversion"/>
  </si>
  <si>
    <t>Deco_10</t>
    <phoneticPr fontId="5" type="noConversion"/>
  </si>
  <si>
    <t>Deco_11</t>
    <phoneticPr fontId="5" type="noConversion"/>
  </si>
  <si>
    <t>Deco_12</t>
    <phoneticPr fontId="5" type="noConversion"/>
  </si>
  <si>
    <t>Deco_13</t>
    <phoneticPr fontId="5" type="noConversion"/>
  </si>
  <si>
    <t>Deco_14</t>
    <phoneticPr fontId="5" type="noConversion"/>
  </si>
  <si>
    <t>Deco_15</t>
    <phoneticPr fontId="5" type="noConversion"/>
  </si>
  <si>
    <t>스쿠너</t>
    <phoneticPr fontId="5" type="noConversion"/>
  </si>
  <si>
    <t>SK_Ship_Schooner_Sail</t>
  </si>
  <si>
    <t>M_Ship_Schooner_Deck_Inst</t>
  </si>
  <si>
    <t>SK_Ship_Schooner_Body</t>
  </si>
  <si>
    <t>스쿠너돛</t>
  </si>
  <si>
    <t>스쿠너돛</t>
    <phoneticPr fontId="5" type="noConversion"/>
  </si>
  <si>
    <t>Deco_6</t>
  </si>
  <si>
    <t>Deco_7</t>
  </si>
  <si>
    <t>Deco_8</t>
  </si>
  <si>
    <t>Deco_9</t>
  </si>
  <si>
    <t>Deco_10</t>
  </si>
  <si>
    <t>Deco_11</t>
  </si>
  <si>
    <t>Deco_12</t>
  </si>
  <si>
    <t>학문양</t>
  </si>
  <si>
    <t>잉어</t>
  </si>
  <si>
    <t>청용 (좌상단)</t>
  </si>
  <si>
    <t>현무 (우하단)</t>
  </si>
  <si>
    <t>백호 (우상단)</t>
  </si>
  <si>
    <t>주작 (좌하단)</t>
  </si>
  <si>
    <t>도깨비</t>
  </si>
  <si>
    <t>태극</t>
  </si>
  <si>
    <t>모란</t>
  </si>
  <si>
    <t>벗꽃</t>
  </si>
  <si>
    <t>연꽃</t>
  </si>
  <si>
    <t>국화</t>
  </si>
  <si>
    <t>매화</t>
  </si>
  <si>
    <t>복</t>
  </si>
  <si>
    <t>구름</t>
  </si>
  <si>
    <t>기린</t>
  </si>
  <si>
    <t>해태</t>
  </si>
  <si>
    <t>대나무</t>
  </si>
  <si>
    <t>창틀</t>
  </si>
  <si>
    <t>복숭아</t>
  </si>
  <si>
    <t>삼부크돛</t>
  </si>
  <si>
    <t>삼부크돛</t>
    <phoneticPr fontId="5" type="noConversion"/>
  </si>
  <si>
    <t>SK_Ship_Sambuk_Sail</t>
  </si>
  <si>
    <t>M_Ship_Sambuk_Deck_Inst</t>
  </si>
  <si>
    <t>삼부크</t>
    <phoneticPr fontId="5" type="noConversion"/>
  </si>
  <si>
    <t>SK_Ship_Sambuk_Body</t>
  </si>
  <si>
    <t>고대닻</t>
    <phoneticPr fontId="5" type="noConversion"/>
  </si>
  <si>
    <t>녹슨철재닻</t>
    <phoneticPr fontId="5" type="noConversion"/>
  </si>
  <si>
    <t>돌고래닻</t>
    <phoneticPr fontId="5" type="noConversion"/>
  </si>
  <si>
    <t>무쇠닻</t>
    <phoneticPr fontId="5" type="noConversion"/>
  </si>
  <si>
    <t>쌍둥이닻</t>
    <phoneticPr fontId="5" type="noConversion"/>
  </si>
  <si>
    <t>쌍둥이돌고래닻</t>
    <phoneticPr fontId="5" type="noConversion"/>
  </si>
  <si>
    <t>철재닻</t>
    <phoneticPr fontId="5" type="noConversion"/>
  </si>
  <si>
    <t>철재도검닻</t>
    <phoneticPr fontId="5" type="noConversion"/>
  </si>
  <si>
    <t>초승달닻</t>
    <phoneticPr fontId="5" type="noConversion"/>
  </si>
  <si>
    <t>하트닻</t>
    <phoneticPr fontId="5" type="noConversion"/>
  </si>
  <si>
    <t>키장식닻</t>
    <phoneticPr fontId="5" type="noConversion"/>
  </si>
  <si>
    <t>다이아몬드닻</t>
    <phoneticPr fontId="5" type="noConversion"/>
  </si>
  <si>
    <t>상어닻</t>
    <phoneticPr fontId="5" type="noConversion"/>
  </si>
  <si>
    <t>목묘닻</t>
    <phoneticPr fontId="5" type="noConversion"/>
  </si>
  <si>
    <t>사조철묘닻</t>
    <phoneticPr fontId="5" type="noConversion"/>
  </si>
  <si>
    <t>석정닻</t>
    <phoneticPr fontId="5" type="noConversion"/>
  </si>
  <si>
    <t>SK_Ship_Anchor_Ancient</t>
  </si>
  <si>
    <t>SK_Ship_Anchor_Rusty</t>
  </si>
  <si>
    <t>SK_Ship_Anchor_Dolphin</t>
    <phoneticPr fontId="5" type="noConversion"/>
  </si>
  <si>
    <t>SK_Ship_Anchor_Cast_Iron</t>
    <phoneticPr fontId="5" type="noConversion"/>
  </si>
  <si>
    <t>SK_Ship_Anchor_Twin</t>
    <phoneticPr fontId="5" type="noConversion"/>
  </si>
  <si>
    <t>SK_Ship_Anchor_Twins_Dolphin</t>
    <phoneticPr fontId="5" type="noConversion"/>
  </si>
  <si>
    <t>SK_Ship_Anchor_Steel</t>
    <phoneticPr fontId="5" type="noConversion"/>
  </si>
  <si>
    <t>SK_Ship_Anchor_Wheel</t>
  </si>
  <si>
    <t>SK_Ship_Anchor_Iron_Sword</t>
  </si>
  <si>
    <t>SK_Ship_Anchor_Crescent</t>
    <phoneticPr fontId="5" type="noConversion"/>
  </si>
  <si>
    <t>SK_Ship_Anchor_Heart</t>
  </si>
  <si>
    <t>SK_Ship_Anchor_Diamond</t>
  </si>
  <si>
    <t>SK_Ship_Anchor_China_Wood</t>
  </si>
  <si>
    <t>SK_Ship_Anchor_Four_Nail</t>
    <phoneticPr fontId="5" type="noConversion"/>
  </si>
  <si>
    <t>SK_Ship_Anchor_Shark</t>
    <phoneticPr fontId="5" type="noConversion"/>
  </si>
  <si>
    <t>SK_Ship_Anchor_Stone</t>
    <phoneticPr fontId="5" type="noConversion"/>
  </si>
  <si>
    <t>M_Ship_Ancient_Anchor_Inst</t>
  </si>
  <si>
    <t>M_Ship_Rusty_Anchor_Inst</t>
  </si>
  <si>
    <t>M_Ship_Dolphin_Anchor_Inst</t>
  </si>
  <si>
    <t>M_Ship_Cast_Iron_Anchor_Inst</t>
  </si>
  <si>
    <t>M_Ship_Twin_Anchor_Inst</t>
  </si>
  <si>
    <t>M_Ship_Twins_Dolphin_Anchor_Inst</t>
  </si>
  <si>
    <t>M_Ship_Steel_Anchor_Inst</t>
  </si>
  <si>
    <t>M_Ship_Iron_Sword_Anchor_Inst</t>
  </si>
  <si>
    <t>M_Ship_Iron_Sword_Anchor_Inst</t>
    <phoneticPr fontId="5" type="noConversion"/>
  </si>
  <si>
    <t>M_Ship_Wheel_Anchor_Inst</t>
    <phoneticPr fontId="5" type="noConversion"/>
  </si>
  <si>
    <t>M_Ship_Heart_Anchor_Inst</t>
    <phoneticPr fontId="5" type="noConversion"/>
  </si>
  <si>
    <t>M_Ship_Diamond_Anchor_Inst</t>
    <phoneticPr fontId="5" type="noConversion"/>
  </si>
  <si>
    <t>M_Ship_China_Wood_Anchor_Inst</t>
  </si>
  <si>
    <t>M_Ship_Four_Nail_Anchor_Inst</t>
    <phoneticPr fontId="5" type="noConversion"/>
  </si>
  <si>
    <t>M_Ship_Shark_Anchor_Inst</t>
    <phoneticPr fontId="5" type="noConversion"/>
  </si>
  <si>
    <t>M_Ship_Stone_Anchor_Inst</t>
  </si>
  <si>
    <t>미다스상</t>
    <phoneticPr fontId="5" type="noConversion"/>
  </si>
  <si>
    <t>해신상</t>
    <phoneticPr fontId="5" type="noConversion"/>
  </si>
  <si>
    <t>맨티코어상</t>
  </si>
  <si>
    <t>맨티코어상</t>
    <phoneticPr fontId="5" type="noConversion"/>
  </si>
  <si>
    <t>흰머리독수리상</t>
  </si>
  <si>
    <t>흰머리독수리상</t>
    <phoneticPr fontId="5" type="noConversion"/>
  </si>
  <si>
    <t>벌쳐상(콘도르)</t>
  </si>
  <si>
    <t>벌쳐상(콘도르)</t>
    <phoneticPr fontId="5" type="noConversion"/>
  </si>
  <si>
    <t>독수리상</t>
  </si>
  <si>
    <t>독수리상</t>
    <phoneticPr fontId="5" type="noConversion"/>
  </si>
  <si>
    <t>SM_Ship_FigureHead_Eagle</t>
    <phoneticPr fontId="5" type="noConversion"/>
  </si>
  <si>
    <t>벨루가상</t>
    <phoneticPr fontId="5" type="noConversion"/>
  </si>
  <si>
    <t>일각돌고래상</t>
    <phoneticPr fontId="5" type="noConversion"/>
  </si>
  <si>
    <t>아난타상</t>
    <phoneticPr fontId="5" type="noConversion"/>
  </si>
  <si>
    <t>백상아리상</t>
    <phoneticPr fontId="5" type="noConversion"/>
  </si>
  <si>
    <t>잉어상</t>
    <phoneticPr fontId="5" type="noConversion"/>
  </si>
  <si>
    <t>바다거북상</t>
    <phoneticPr fontId="5" type="noConversion"/>
  </si>
  <si>
    <t>위인상</t>
    <phoneticPr fontId="5" type="noConversion"/>
  </si>
  <si>
    <t>아이네이아스상</t>
    <phoneticPr fontId="5" type="noConversion"/>
  </si>
  <si>
    <t>성브렌던상</t>
    <phoneticPr fontId="5" type="noConversion"/>
  </si>
  <si>
    <t>아가멤논상</t>
    <phoneticPr fontId="5" type="noConversion"/>
  </si>
  <si>
    <t>알라시드상</t>
    <phoneticPr fontId="5" type="noConversion"/>
  </si>
  <si>
    <t>SM_Ship_FigureHead_Beluga</t>
  </si>
  <si>
    <t>SM_Ship_FigureHead_Narwhal</t>
  </si>
  <si>
    <t>SM_Ship_FigureHead_Ananta</t>
  </si>
  <si>
    <t>SM_Ship_FigureHead_Greatwhiteshark</t>
  </si>
  <si>
    <t>SM_Ship_FigureHead_SandShark</t>
  </si>
  <si>
    <t>SM_Ship_FigureHead_Koi</t>
  </si>
  <si>
    <t>SM_Ship_FigureHead_Seaturtle</t>
  </si>
  <si>
    <t>SM_Ship_FigureHead_GreatMan</t>
  </si>
  <si>
    <t>SM_Ship_FigureHead_Aeneas</t>
  </si>
  <si>
    <t>SM_Ship_FigureHead_SaintBrendan</t>
    <phoneticPr fontId="5" type="noConversion"/>
  </si>
  <si>
    <t>SM_Ship_FigureHead_Agamemnon</t>
    <phoneticPr fontId="5" type="noConversion"/>
  </si>
  <si>
    <t>SM_Ship_FigureHead_Harunal_Rashid</t>
  </si>
  <si>
    <t>샌드타이거상어상</t>
    <phoneticPr fontId="5" type="noConversion"/>
  </si>
  <si>
    <t>M_Ship_FigureHead_Beluga_Inst</t>
  </si>
  <si>
    <t>M_Ship_FigureHead_Narwhal_Inst</t>
  </si>
  <si>
    <t>M_Ship_FigureHead_Ananta_Inst</t>
  </si>
  <si>
    <t>M_Ship_FigureHead_Greatwhiteshark_Inst</t>
  </si>
  <si>
    <t>M_Ship_FigureHead_SandShark_Inst</t>
  </si>
  <si>
    <t>M_Ship_FigureHead_koi_Inst</t>
  </si>
  <si>
    <t>M_Ship_FigureHead_Seaturtle_Inst</t>
  </si>
  <si>
    <t>M_Ship_FigureHead_GreatMan_Inst</t>
  </si>
  <si>
    <t>M_Ship_FigureHead_Aeneas_Inst</t>
    <phoneticPr fontId="5" type="noConversion"/>
  </si>
  <si>
    <t>M_Ship_FigureHead_SaintBrendan_Inst</t>
    <phoneticPr fontId="5" type="noConversion"/>
  </si>
  <si>
    <t>M_Ship_FigureHead_Agamemnon_Inst</t>
    <phoneticPr fontId="5" type="noConversion"/>
  </si>
  <si>
    <t>M_Ship_FigureHead_Harunal_Rashid_Inst</t>
    <phoneticPr fontId="5" type="noConversion"/>
  </si>
  <si>
    <t>오단노선형 쐐기</t>
    <phoneticPr fontId="5" type="noConversion"/>
  </si>
  <si>
    <t>SM_Ship_Penteres_Embolon_Ram</t>
    <phoneticPr fontId="5" type="noConversion"/>
  </si>
  <si>
    <t>돌파 충각</t>
    <phoneticPr fontId="5" type="noConversion"/>
  </si>
  <si>
    <t>SM_Ship_Breakthrough_Ram</t>
    <phoneticPr fontId="5" type="noConversion"/>
  </si>
  <si>
    <t>니레카 충각</t>
    <phoneticPr fontId="5" type="noConversion"/>
  </si>
  <si>
    <t>SM_Ship_Nirekha_Ram</t>
    <phoneticPr fontId="5" type="noConversion"/>
  </si>
  <si>
    <t>할라디 충각</t>
    <phoneticPr fontId="5" type="noConversion"/>
  </si>
  <si>
    <t>SM_Ship_Haladie_Ram</t>
    <phoneticPr fontId="5" type="noConversion"/>
  </si>
  <si>
    <t>무한의 호른</t>
    <phoneticPr fontId="5" type="noConversion"/>
  </si>
  <si>
    <t>SM_Ship_Infinite_Horn_Ram</t>
    <phoneticPr fontId="5" type="noConversion"/>
  </si>
  <si>
    <t>톱날 충각</t>
    <phoneticPr fontId="5" type="noConversion"/>
  </si>
  <si>
    <t>SM_Ship_Saw_Ram</t>
    <phoneticPr fontId="5" type="noConversion"/>
  </si>
  <si>
    <t>일각고래의 뿔</t>
    <phoneticPr fontId="5" type="noConversion"/>
  </si>
  <si>
    <t>SM_Ship_Narwhal_Horn_Ram</t>
    <phoneticPr fontId="5" type="noConversion"/>
  </si>
  <si>
    <t>파도무늬 황금 충각</t>
    <phoneticPr fontId="5" type="noConversion"/>
  </si>
  <si>
    <t>SM_Ship_Wave_Pattern_Gold_Ram</t>
    <phoneticPr fontId="5" type="noConversion"/>
  </si>
  <si>
    <t>술리톱 충각</t>
    <phoneticPr fontId="5" type="noConversion"/>
  </si>
  <si>
    <t>SM_Ship_Suli_Top_Ram</t>
    <phoneticPr fontId="5" type="noConversion"/>
  </si>
  <si>
    <t>묠니르 충각</t>
    <phoneticPr fontId="5" type="noConversion"/>
  </si>
  <si>
    <t>SM_Ship_Mjolnir_Ram</t>
    <phoneticPr fontId="5" type="noConversion"/>
  </si>
  <si>
    <t>청룡언월도 충각</t>
    <phoneticPr fontId="5" type="noConversion"/>
  </si>
  <si>
    <t>SM_Ship_DragonBlade_Ram</t>
    <phoneticPr fontId="5" type="noConversion"/>
  </si>
  <si>
    <t>소림사 금강저 충각</t>
    <phoneticPr fontId="5" type="noConversion"/>
  </si>
  <si>
    <t>SM_Ship_Vajra_Ram</t>
    <phoneticPr fontId="5" type="noConversion"/>
  </si>
  <si>
    <t>프랑스식 방패 충각</t>
    <phoneticPr fontId="5" type="noConversion"/>
  </si>
  <si>
    <t>SM_Ship_Shield_Ram</t>
    <phoneticPr fontId="5" type="noConversion"/>
  </si>
  <si>
    <t>바이킹 투구 충각</t>
    <phoneticPr fontId="5" type="noConversion"/>
  </si>
  <si>
    <t>SM_Ship_Viking_Helmet_Ram</t>
    <phoneticPr fontId="5" type="noConversion"/>
  </si>
  <si>
    <t>니드호그의 발톱</t>
    <phoneticPr fontId="5" type="noConversion"/>
  </si>
  <si>
    <t>SM_Ship_Nidhogg_Claw_Ram</t>
    <phoneticPr fontId="5" type="noConversion"/>
  </si>
  <si>
    <t>그리핀의 부리</t>
    <phoneticPr fontId="5" type="noConversion"/>
  </si>
  <si>
    <t>SM_Ship_Griffin_Beak_Ram</t>
    <phoneticPr fontId="5" type="noConversion"/>
  </si>
  <si>
    <t>구르즈 충각</t>
    <phoneticPr fontId="5" type="noConversion"/>
  </si>
  <si>
    <t>SM_Ship_Gruz_Ram</t>
    <phoneticPr fontId="5" type="noConversion"/>
  </si>
  <si>
    <t>피톤의 머리</t>
    <phoneticPr fontId="5" type="noConversion"/>
  </si>
  <si>
    <t>SM_Ship_Python_Head_Ram</t>
    <phoneticPr fontId="5" type="noConversion"/>
  </si>
  <si>
    <t>황금 코브라 충각</t>
    <phoneticPr fontId="5" type="noConversion"/>
  </si>
  <si>
    <t>SM_Ship_Gold_Cobra_Ram</t>
    <phoneticPr fontId="5" type="noConversion"/>
  </si>
  <si>
    <t>흑전갈 충각</t>
    <phoneticPr fontId="5" type="noConversion"/>
  </si>
  <si>
    <t>SM_Ship_Black_Scorpion_Ram</t>
    <phoneticPr fontId="5" type="noConversion"/>
  </si>
  <si>
    <t>타란튤라 충각</t>
    <phoneticPr fontId="5" type="noConversion"/>
  </si>
  <si>
    <t>SM_Ship_Tarantula_Ram</t>
    <phoneticPr fontId="5" type="noConversion"/>
  </si>
  <si>
    <t>메두사의 쐐기</t>
    <phoneticPr fontId="5" type="noConversion"/>
  </si>
  <si>
    <t>SM_Ship_Medusa_Embolon_Ram</t>
    <phoneticPr fontId="5" type="noConversion"/>
  </si>
  <si>
    <t>청새치 충각</t>
    <phoneticPr fontId="5" type="noConversion"/>
  </si>
  <si>
    <t>SM_Ship_Marlin_Ram</t>
    <phoneticPr fontId="5" type="noConversion"/>
  </si>
  <si>
    <t>역날형 다이아몬드 충각</t>
    <phoneticPr fontId="5" type="noConversion"/>
  </si>
  <si>
    <t>SM_Ship_Reverse_Blade_Diamond_Ram</t>
    <phoneticPr fontId="5" type="noConversion"/>
  </si>
  <si>
    <t>M_Ship_Nirekha_Ram_Inst</t>
    <phoneticPr fontId="5" type="noConversion"/>
  </si>
  <si>
    <t>M_Ship_Breakthrough_Ram_Inst</t>
    <phoneticPr fontId="5" type="noConversion"/>
  </si>
  <si>
    <t>M_Ship_Penteres_Embolon_Ram_Inst</t>
    <phoneticPr fontId="5" type="noConversion"/>
  </si>
  <si>
    <t>M_Ship_Haladie_Ram_Inst</t>
    <phoneticPr fontId="5" type="noConversion"/>
  </si>
  <si>
    <t>M_Ship_Infinite_Horn_Ram_Inst</t>
    <phoneticPr fontId="5" type="noConversion"/>
  </si>
  <si>
    <t>M_Ship_Saw_Ram_Inst</t>
    <phoneticPr fontId="5" type="noConversion"/>
  </si>
  <si>
    <t>M_Ship_Narwhal_Horn_Ram_Inst</t>
    <phoneticPr fontId="5" type="noConversion"/>
  </si>
  <si>
    <t>M_Ship_Wave_Pattern_Gold_Ram_Inst</t>
    <phoneticPr fontId="5" type="noConversion"/>
  </si>
  <si>
    <t>M_Ship_Suli_Top_Ram_Inst</t>
    <phoneticPr fontId="5" type="noConversion"/>
  </si>
  <si>
    <t>M_Ship_Mjolnir_Ram_Inst</t>
    <phoneticPr fontId="5" type="noConversion"/>
  </si>
  <si>
    <t>M_Ship_DragonBlade_Ram_Inst</t>
    <phoneticPr fontId="5" type="noConversion"/>
  </si>
  <si>
    <t>M_Ship_Vajra_Ram_Inst</t>
    <phoneticPr fontId="5" type="noConversion"/>
  </si>
  <si>
    <t>M_Ship_SM_Ship_Shield_Ram_Inst</t>
    <phoneticPr fontId="5" type="noConversion"/>
  </si>
  <si>
    <t>M_Ship_Viking_Helmet_Ram_Inst</t>
    <phoneticPr fontId="5" type="noConversion"/>
  </si>
  <si>
    <t>M_Ship_Nidhogg_Claw_Ram_Inst</t>
    <phoneticPr fontId="5" type="noConversion"/>
  </si>
  <si>
    <t>M_Ship_Griffin_Beak_Ram_Inst</t>
    <phoneticPr fontId="5" type="noConversion"/>
  </si>
  <si>
    <t>M_Ship_Gruz_Ram_Inst</t>
    <phoneticPr fontId="5" type="noConversion"/>
  </si>
  <si>
    <t>M_Ship_Python_Head_Ram_Inst</t>
    <phoneticPr fontId="5" type="noConversion"/>
  </si>
  <si>
    <t>M_Ship_Gold_Cobra_Ram_Inst</t>
    <phoneticPr fontId="5" type="noConversion"/>
  </si>
  <si>
    <t>M_Ship_Black_Scorpion_Ram_Inst</t>
    <phoneticPr fontId="5" type="noConversion"/>
  </si>
  <si>
    <t>M_Ship_Tarantula_Ram_Inst</t>
    <phoneticPr fontId="5" type="noConversion"/>
  </si>
  <si>
    <t>M_Ship_Medusa_Embolon_Ram_Inst</t>
    <phoneticPr fontId="5" type="noConversion"/>
  </si>
  <si>
    <t>M_Ship_Marlin_Ram_Inst</t>
    <phoneticPr fontId="5" type="noConversion"/>
  </si>
  <si>
    <t>M_Ship_SM_Ship_Reverse_Blade_Diamond_Ram_Inst</t>
    <phoneticPr fontId="5" type="noConversion"/>
  </si>
  <si>
    <t>meshDensity</t>
    <phoneticPr fontId="5" type="noConversion"/>
  </si>
  <si>
    <t>buoyancyRadius</t>
    <phoneticPr fontId="5" type="noConversion"/>
  </si>
  <si>
    <t>펠러커돛</t>
  </si>
  <si>
    <t>펠러커돛</t>
    <phoneticPr fontId="5" type="noConversion"/>
  </si>
  <si>
    <t>SK_Ship_Felucca_Sail</t>
  </si>
  <si>
    <t>M_Ship_Felucca_Deck_Inst</t>
  </si>
  <si>
    <t>SK_Ship_Felucca_Body</t>
  </si>
  <si>
    <t>펠러커</t>
    <phoneticPr fontId="5" type="noConversion"/>
  </si>
  <si>
    <t>스콜피온</t>
    <phoneticPr fontId="5" type="noConversion"/>
  </si>
  <si>
    <t>잉글랜드 문장</t>
    <phoneticPr fontId="5" type="noConversion"/>
  </si>
  <si>
    <t>#금문장（가을）</t>
  </si>
  <si>
    <t>#금문장（겨울）</t>
  </si>
  <si>
    <t>#금문장（봄）</t>
  </si>
  <si>
    <t>#금문장（여름）</t>
  </si>
  <si>
    <t>#대해적</t>
  </si>
  <si>
    <t>#은문장(가을)</t>
  </si>
  <si>
    <t>#은문장(겨울)</t>
  </si>
  <si>
    <t>#은문장(봄)</t>
  </si>
  <si>
    <t>#은문장(여름)</t>
  </si>
  <si>
    <t>#가네샤</t>
  </si>
  <si>
    <t>#가루다</t>
  </si>
  <si>
    <t>#보야쥬</t>
  </si>
  <si>
    <t>#빙고봉고의 문장</t>
  </si>
  <si>
    <t>#해적</t>
  </si>
  <si>
    <t>#고래</t>
  </si>
  <si>
    <t>#그레이트 바이킹</t>
  </si>
  <si>
    <t>#그리폰</t>
  </si>
  <si>
    <t>#나스카</t>
  </si>
  <si>
    <t>#드래곤</t>
  </si>
  <si>
    <t>#라의 눈</t>
  </si>
  <si>
    <t>#머리가 2개인 독수리</t>
  </si>
  <si>
    <t>#메두사</t>
  </si>
  <si>
    <t>#모아이</t>
  </si>
  <si>
    <t>#사자</t>
  </si>
  <si>
    <t>#샐러맨더</t>
  </si>
  <si>
    <t>#성마르코 사자 문장</t>
  </si>
  <si>
    <t>#소녀</t>
  </si>
  <si>
    <t>#앤버잭</t>
  </si>
  <si>
    <t>#야수</t>
  </si>
  <si>
    <t>#용</t>
  </si>
  <si>
    <t>#용사냥의 문장</t>
  </si>
  <si>
    <t>#유니콘</t>
  </si>
  <si>
    <t>#유인원</t>
  </si>
  <si>
    <t>#제독</t>
  </si>
  <si>
    <t>#케살코아틀</t>
  </si>
  <si>
    <t>#페어리</t>
  </si>
  <si>
    <t>#펭귄</t>
  </si>
  <si>
    <t>#폭스</t>
  </si>
  <si>
    <t>#피닉스</t>
  </si>
  <si>
    <t>#해룡</t>
  </si>
  <si>
    <t>#호랑이</t>
  </si>
  <si>
    <t>#화염방패</t>
  </si>
  <si>
    <t>#거미</t>
  </si>
  <si>
    <t>#나비</t>
  </si>
  <si>
    <t>#스콜피온</t>
  </si>
  <si>
    <t>#크로스소드</t>
  </si>
  <si>
    <t>#다이아몬드</t>
  </si>
  <si>
    <t>#델핀</t>
  </si>
  <si>
    <t>#바다뱀</t>
  </si>
  <si>
    <t>#백합</t>
  </si>
  <si>
    <t>#성요한 기사단 문장</t>
  </si>
  <si>
    <t>#스페이드</t>
  </si>
  <si>
    <t>#써클크로스</t>
  </si>
  <si>
    <t>#앵커</t>
  </si>
  <si>
    <t>#어부</t>
  </si>
  <si>
    <t>#일광</t>
  </si>
  <si>
    <t>#장미</t>
  </si>
  <si>
    <t>#조개</t>
  </si>
  <si>
    <t>#캥거루</t>
  </si>
  <si>
    <t>#크로스</t>
  </si>
  <si>
    <t>#클로버</t>
  </si>
  <si>
    <t>#태양</t>
  </si>
  <si>
    <t>#트라이덴트</t>
  </si>
  <si>
    <t>#페가수스</t>
  </si>
  <si>
    <t>#하트</t>
  </si>
  <si>
    <t>#헬름</t>
  </si>
  <si>
    <t>#호박벌</t>
  </si>
  <si>
    <t>#기사 문장</t>
  </si>
  <si>
    <t>#네덜란드 문장</t>
  </si>
  <si>
    <t>#미들튼 가문의 문장</t>
  </si>
  <si>
    <t>#바다 여단 문장</t>
  </si>
  <si>
    <t>#발바리아 해적 문장</t>
  </si>
  <si>
    <t>#베네치아 문장</t>
  </si>
  <si>
    <t>#베르니에 자작가 문장</t>
  </si>
  <si>
    <t>#살미엔트 길드 문장</t>
  </si>
  <si>
    <t>#에스파니아 문장</t>
  </si>
  <si>
    <t>#여인 문장</t>
  </si>
  <si>
    <t>#오스만 투르크 문장</t>
  </si>
  <si>
    <t>#잉글랜드 문장</t>
  </si>
  <si>
    <t>#장식</t>
  </si>
  <si>
    <t>#탈출</t>
  </si>
  <si>
    <t>#포르투갈 문장</t>
  </si>
  <si>
    <t>#프랑스 문장</t>
  </si>
  <si>
    <t>#흑고래 용병함대 문장</t>
  </si>
  <si>
    <t>#학문양</t>
  </si>
  <si>
    <t>#잉어</t>
  </si>
  <si>
    <t>#청용 (좌상단)</t>
  </si>
  <si>
    <t>#현무 (우하단)</t>
  </si>
  <si>
    <t>#백호 (우상단)</t>
  </si>
  <si>
    <t>#주작 (좌하단)</t>
  </si>
  <si>
    <t>#도깨비</t>
  </si>
  <si>
    <t>#태극</t>
  </si>
  <si>
    <t>#모란</t>
  </si>
  <si>
    <t>#벗꽃</t>
  </si>
  <si>
    <t>#연꽃</t>
  </si>
  <si>
    <t>#국화</t>
  </si>
  <si>
    <t>#매화</t>
  </si>
  <si>
    <t>#복</t>
  </si>
  <si>
    <t>#구름</t>
  </si>
  <si>
    <t>#기린</t>
  </si>
  <si>
    <t>#해태</t>
  </si>
  <si>
    <t>#대나무</t>
  </si>
  <si>
    <t>#창틀</t>
  </si>
  <si>
    <t>#복숭아</t>
  </si>
  <si>
    <t>#기본 무늬 (가로)</t>
  </si>
  <si>
    <t>#기본 무늬 (세로)</t>
  </si>
  <si>
    <t>#기본 무늬 (사선)</t>
  </si>
  <si>
    <t>#기본 무늬 (톱니)</t>
  </si>
  <si>
    <t>#일반 무늬 (세로)</t>
  </si>
  <si>
    <t>#일반 무늬 (가로)</t>
  </si>
  <si>
    <t>#일반 무늬 (물결)</t>
  </si>
  <si>
    <t>#세로 스트라이프</t>
  </si>
  <si>
    <t>#가로 스트라이프</t>
  </si>
  <si>
    <t>#일반 무늬 (사선)</t>
  </si>
  <si>
    <t>#마름모 무늬</t>
  </si>
  <si>
    <t>#V 자 무늬</t>
  </si>
  <si>
    <t>#격자 무늬</t>
  </si>
  <si>
    <t>#풍차 무늬</t>
  </si>
  <si>
    <t>#사각 무늬</t>
  </si>
  <si>
    <t>#방울 무늬</t>
  </si>
  <si>
    <t>#삼각 무늬</t>
  </si>
  <si>
    <t>#계단 무늬</t>
  </si>
  <si>
    <t>#물결 무늬</t>
  </si>
  <si>
    <t>#빛 모양 무늬</t>
  </si>
  <si>
    <t>#체크 무늬</t>
  </si>
  <si>
    <t>#삼각형 무늬</t>
  </si>
  <si>
    <t>#마룸모 무늬</t>
  </si>
  <si>
    <t>#벽돌 무늬</t>
  </si>
  <si>
    <t>#뱀 무늬</t>
  </si>
  <si>
    <t>#십자 무늬</t>
  </si>
  <si>
    <t>#원 무늬</t>
  </si>
  <si>
    <t>#비늘 무늬</t>
  </si>
  <si>
    <t>#표범 무늬</t>
  </si>
  <si>
    <t>#제비꽃 무늬</t>
  </si>
  <si>
    <t>#혼돈 무늬</t>
  </si>
  <si>
    <t>#점 무늬</t>
  </si>
  <si>
    <t>#이슬람 무늬</t>
  </si>
  <si>
    <t>#얼룩말 무늬</t>
  </si>
  <si>
    <t>#특수 무늬</t>
  </si>
  <si>
    <t>핀네스돛</t>
  </si>
  <si>
    <t>핀네스돛</t>
    <phoneticPr fontId="5" type="noConversion"/>
  </si>
  <si>
    <t>SK_Ship_Pinnace_Sail</t>
    <phoneticPr fontId="5" type="noConversion"/>
  </si>
  <si>
    <t>M_Ship_Pinnace_Deck_Inst</t>
  </si>
  <si>
    <t>핀네스</t>
    <phoneticPr fontId="5" type="noConversion"/>
  </si>
  <si>
    <t>SK_Ship_Pinnace_Body</t>
  </si>
  <si>
    <t>프류트돛</t>
  </si>
  <si>
    <t>프류트돛</t>
    <phoneticPr fontId="5" type="noConversion"/>
  </si>
  <si>
    <t>SK_Ship_Fluyt_Sail</t>
    <phoneticPr fontId="5" type="noConversion"/>
  </si>
  <si>
    <t>M_Ship_Fluyt_Line_Inst</t>
  </si>
  <si>
    <t>프류트</t>
    <phoneticPr fontId="5" type="noConversion"/>
  </si>
  <si>
    <t>SK_Ship_Fluyt_Body</t>
  </si>
  <si>
    <t>지벡돛</t>
  </si>
  <si>
    <t>지벡돛</t>
    <phoneticPr fontId="5" type="noConversion"/>
  </si>
  <si>
    <t>SK_Ship_Xebec_Sail</t>
  </si>
  <si>
    <t>M_Ship_Xebec_WoodLine_Inst</t>
  </si>
  <si>
    <t>SK_Ship_MediumGalleon_Sail</t>
  </si>
  <si>
    <t>M_Ship_Galleon_Line_Inst</t>
  </si>
  <si>
    <t>지벡</t>
    <phoneticPr fontId="5" type="noConversion"/>
  </si>
  <si>
    <t>SK_Ship_Xebec_Body</t>
  </si>
  <si>
    <t>SK_Ship_MediumGalleon_Body</t>
  </si>
  <si>
    <t>해신상</t>
  </si>
  <si>
    <t>갤리온</t>
    <phoneticPr fontId="5" type="noConversion"/>
  </si>
  <si>
    <t>갤리온돛</t>
    <phoneticPr fontId="5" type="noConversion"/>
  </si>
  <si>
    <t>갤리온돛</t>
    <phoneticPr fontId="5" type="noConversion"/>
  </si>
  <si>
    <t>Texture_Sail_Crest_1</t>
  </si>
  <si>
    <t>Texture_Sail_Crest_2</t>
  </si>
  <si>
    <t>Texture_Sail_Crest_3</t>
  </si>
  <si>
    <t>Texture_Sail_Crest_4</t>
  </si>
  <si>
    <t>Texture_Sail_Crest_5</t>
  </si>
  <si>
    <t>Texture_Sail_Crest_6</t>
  </si>
  <si>
    <t>Texture_Sail_Crest_7</t>
  </si>
  <si>
    <t>Texture_Sail_Crest_8</t>
  </si>
  <si>
    <t>Texture_Sail_Crest_9</t>
  </si>
  <si>
    <t>Texture_Sail_Crest_10</t>
  </si>
  <si>
    <t>Texture_Sail_Crest_11</t>
  </si>
  <si>
    <t>Texture_Sail_Crest_12</t>
  </si>
  <si>
    <t>Texture_Sail_Crest_13</t>
  </si>
  <si>
    <t>Texture_Sail_Crest_14</t>
  </si>
  <si>
    <t>Texture_Sail_Crest_15</t>
  </si>
  <si>
    <t>Texture_Sail_Crest_16</t>
  </si>
  <si>
    <t>Texture_Sail_Crest_17</t>
  </si>
  <si>
    <t>Texture_Sail_Crest_18</t>
  </si>
  <si>
    <t>Texture_Sail_Crest_19</t>
  </si>
  <si>
    <t>Texture_Sail_Crest_20</t>
  </si>
  <si>
    <t>Texture_Sail_Crest_21</t>
  </si>
  <si>
    <t>Texture_Sail_Crest_22</t>
  </si>
  <si>
    <t>Texture_Sail_Crest_23</t>
  </si>
  <si>
    <t>Texture_Sail_Crest_24</t>
  </si>
  <si>
    <t>Texture_Sail_Crest_25</t>
  </si>
  <si>
    <t>Texture_Sail_Crest_26</t>
  </si>
  <si>
    <t>Texture_Sail_Crest_27</t>
  </si>
  <si>
    <t>Texture_Sail_Crest_28</t>
  </si>
  <si>
    <t>Texture_Sail_Crest_29</t>
  </si>
  <si>
    <t>Texture_Sail_Crest_30</t>
  </si>
  <si>
    <t>Texture_Sail_Crest_31</t>
  </si>
  <si>
    <t>Texture_Sail_Crest_32</t>
  </si>
  <si>
    <t>Texture_Sail_Crest_33</t>
  </si>
  <si>
    <t>Texture_Sail_Crest_34</t>
  </si>
  <si>
    <t>Texture_Sail_Crest_35</t>
  </si>
  <si>
    <t>Texture_Sail_Crest_36</t>
  </si>
  <si>
    <t>Texture_Sail_Crest_37</t>
  </si>
  <si>
    <t>Texture_Sail_Crest_38</t>
  </si>
  <si>
    <t>Texture_Sail_Crest_39</t>
  </si>
  <si>
    <t>Texture_Sail_Crest_40</t>
  </si>
  <si>
    <t>Texture_Sail_Crest_41</t>
  </si>
  <si>
    <t>Texture_Sail_Crest_42</t>
  </si>
  <si>
    <t>Texture_Sail_Crest_43</t>
  </si>
  <si>
    <t>Texture_Sail_Crest_44</t>
  </si>
  <si>
    <t>Texture_Sail_Crest_45</t>
  </si>
  <si>
    <t>Texture_Sail_Crest_46</t>
  </si>
  <si>
    <t>Texture_Sail_Crest_47</t>
  </si>
  <si>
    <t>Texture_Sail_Crest_48</t>
  </si>
  <si>
    <t>Texture_Sail_Crest_49</t>
  </si>
  <si>
    <t>Texture_Sail_Crest_50</t>
  </si>
  <si>
    <t>Texture_Sail_Crest_51</t>
  </si>
  <si>
    <t>Texture_Sail_Crest_52</t>
  </si>
  <si>
    <t>Texture_Sail_Crest_53</t>
  </si>
  <si>
    <t>Texture_Sail_Crest_54</t>
  </si>
  <si>
    <t>Texture_Sail_Crest_55</t>
  </si>
  <si>
    <t>Texture_Sail_Crest_56</t>
  </si>
  <si>
    <t>Texture_Sail_Crest_57</t>
  </si>
  <si>
    <t>Texture_Sail_Crest_58</t>
  </si>
  <si>
    <t>Texture_Sail_Crest_59</t>
  </si>
  <si>
    <t>Texture_Sail_Crest_60</t>
  </si>
  <si>
    <t>Texture_Sail_Crest_61</t>
  </si>
  <si>
    <t>Texture_Sail_Crest_62</t>
  </si>
  <si>
    <t>Texture_Sail_Crest_63</t>
  </si>
  <si>
    <t>Texture_Sail_Crest_64</t>
  </si>
  <si>
    <t>Texture_Sail_Crest_65</t>
  </si>
  <si>
    <t>Texture_Sail_Crest_66</t>
  </si>
  <si>
    <t>Texture_Sail_Crest_67</t>
  </si>
  <si>
    <t>Texture_Sail_Crest_68</t>
  </si>
  <si>
    <t>Texture_Sail_Crest_69</t>
  </si>
  <si>
    <t>Texture_Sail_Crest_70</t>
  </si>
  <si>
    <t>Texture_Sail_Crest_71</t>
  </si>
  <si>
    <t>Texture_Sail_Crest_72</t>
  </si>
  <si>
    <t>Texture_Sail_Crest_73</t>
  </si>
  <si>
    <t>Texture_Sail_Crest_74</t>
  </si>
  <si>
    <t>Texture_Sail_Crest_75</t>
  </si>
  <si>
    <t>Texture_Sail_Crest_76</t>
  </si>
  <si>
    <t>Texture_Sail_Crest_77</t>
  </si>
  <si>
    <t>Texture_Sail_Crest_78</t>
  </si>
  <si>
    <t>Texture_Sail_Crest_80</t>
  </si>
  <si>
    <t>Texture_Sail_Crest_81</t>
  </si>
  <si>
    <t>Texture_Sail_Crest_82</t>
  </si>
  <si>
    <t>Texture_Sail_Crest_83</t>
  </si>
  <si>
    <t>Texture_Sail_Crest_84</t>
  </si>
  <si>
    <t>Texture_Sail_Crest_141</t>
  </si>
  <si>
    <t>Texture_Sail_Crest_142</t>
  </si>
  <si>
    <t>Texture_Sail_Crest_143</t>
  </si>
  <si>
    <t>Texture_Sail_Crest_144</t>
  </si>
  <si>
    <t>Texture_Sail_Crest_145</t>
  </si>
  <si>
    <t>Texture_Sail_Crest_146</t>
  </si>
  <si>
    <t>Texture_Sail_Crest_147</t>
  </si>
  <si>
    <t>Texture_Sail_Crest_148</t>
  </si>
  <si>
    <t>Texture_Sail_Crest_149</t>
  </si>
  <si>
    <t>Texture_Sail_Crest_150</t>
  </si>
  <si>
    <t>Texture_Sail_Crest_151</t>
  </si>
  <si>
    <t>Texture_Sail_Crest_152</t>
  </si>
  <si>
    <t>Texture_Sail_Crest_153</t>
  </si>
  <si>
    <t>Texture_Sail_Crest_154</t>
  </si>
  <si>
    <t>Texture_Sail_Crest_155</t>
  </si>
  <si>
    <t>Texture_Sail_Crest_156</t>
  </si>
  <si>
    <t>Texture_Sail_Crest_157</t>
  </si>
  <si>
    <t>Texture_Sail_Crest_158</t>
  </si>
  <si>
    <t>Texture_Sail_Crest_159</t>
  </si>
  <si>
    <t>Texture_Sail_Crest_160</t>
  </si>
  <si>
    <t>Texture_Sail_Crest_73</t>
    <phoneticPr fontId="5" type="noConversion"/>
  </si>
  <si>
    <t>crestUiIcon</t>
    <phoneticPr fontId="5" type="noConversion"/>
  </si>
  <si>
    <t>patternUiIcon</t>
    <phoneticPr fontId="5" type="noConversion"/>
  </si>
  <si>
    <t>-</t>
    <phoneticPr fontId="5" type="noConversion"/>
  </si>
  <si>
    <t>Icon_Sail_Crest_1_Sprite</t>
  </si>
  <si>
    <t>Icon_Sail_Crest_2_Sprite</t>
  </si>
  <si>
    <t>Icon_Sail_Crest_3_Sprite</t>
  </si>
  <si>
    <t>Icon_Sail_Crest_4_Sprite</t>
  </si>
  <si>
    <t>Icon_Sail_Crest_5_Sprite</t>
  </si>
  <si>
    <t>Icon_Sail_Crest_6_Sprite</t>
  </si>
  <si>
    <t>Icon_Sail_Crest_7_Sprite</t>
  </si>
  <si>
    <t>Icon_Sail_Crest_8_Sprite</t>
  </si>
  <si>
    <t>Icon_Sail_Crest_9_Sprite</t>
  </si>
  <si>
    <t>Icon_Sail_Crest_10_Sprite</t>
  </si>
  <si>
    <t>Icon_Sail_Crest_11_Sprite</t>
  </si>
  <si>
    <t>Icon_Sail_Crest_12_Sprite</t>
  </si>
  <si>
    <t>Icon_Sail_Crest_13_Sprite</t>
  </si>
  <si>
    <t>Icon_Sail_Crest_14_Sprite</t>
  </si>
  <si>
    <t>Icon_Sail_Crest_15_Sprite</t>
  </si>
  <si>
    <t>Icon_Sail_Crest_16_Sprite</t>
  </si>
  <si>
    <t>Icon_Sail_Crest_17_Sprite</t>
  </si>
  <si>
    <t>Icon_Sail_Crest_18_Sprite</t>
  </si>
  <si>
    <t>Icon_Sail_Crest_19_Sprite</t>
  </si>
  <si>
    <t>Icon_Sail_Crest_20_Sprite</t>
  </si>
  <si>
    <t>Icon_Sail_Crest_21_Sprite</t>
  </si>
  <si>
    <t>Icon_Sail_Crest_22_Sprite</t>
  </si>
  <si>
    <t>Icon_Sail_Crest_23_Sprite</t>
  </si>
  <si>
    <t>Icon_Sail_Crest_24_Sprite</t>
  </si>
  <si>
    <t>Icon_Sail_Crest_25_Sprite</t>
  </si>
  <si>
    <t>Icon_Sail_Crest_26_Sprite</t>
  </si>
  <si>
    <t>Icon_Sail_Crest_27_Sprite</t>
  </si>
  <si>
    <t>Icon_Sail_Crest_28_Sprite</t>
  </si>
  <si>
    <t>Icon_Sail_Crest_29_Sprite</t>
  </si>
  <si>
    <t>Icon_Sail_Crest_30_Sprite</t>
  </si>
  <si>
    <t>Icon_Sail_Crest_31_Sprite</t>
  </si>
  <si>
    <t>Icon_Sail_Crest_32_Sprite</t>
  </si>
  <si>
    <t>Icon_Sail_Crest_33_Sprite</t>
  </si>
  <si>
    <t>Icon_Sail_Crest_34_Sprite</t>
  </si>
  <si>
    <t>Icon_Sail_Crest_35_Sprite</t>
  </si>
  <si>
    <t>Icon_Sail_Crest_36_Sprite</t>
  </si>
  <si>
    <t>Icon_Sail_Crest_37_Sprite</t>
  </si>
  <si>
    <t>Icon_Sail_Crest_38_Sprite</t>
  </si>
  <si>
    <t>Icon_Sail_Crest_39_Sprite</t>
  </si>
  <si>
    <t>Icon_Sail_Crest_40_Sprite</t>
  </si>
  <si>
    <t>Icon_Sail_Crest_41_Sprite</t>
  </si>
  <si>
    <t>Icon_Sail_Crest_42_Sprite</t>
  </si>
  <si>
    <t>Icon_Sail_Crest_43_Sprite</t>
  </si>
  <si>
    <t>Icon_Sail_Crest_44_Sprite</t>
  </si>
  <si>
    <t>Icon_Sail_Crest_45_Sprite</t>
  </si>
  <si>
    <t>Icon_Sail_Crest_46_Sprite</t>
  </si>
  <si>
    <t>Icon_Sail_Crest_47_Sprite</t>
  </si>
  <si>
    <t>Icon_Sail_Crest_48_Sprite</t>
  </si>
  <si>
    <t>Icon_Sail_Crest_49_Sprite</t>
  </si>
  <si>
    <t>Icon_Sail_Crest_50_Sprite</t>
  </si>
  <si>
    <t>Icon_Sail_Crest_51_Sprite</t>
  </si>
  <si>
    <t>Icon_Sail_Crest_52_Sprite</t>
  </si>
  <si>
    <t>Icon_Sail_Crest_53_Sprite</t>
  </si>
  <si>
    <t>Icon_Sail_Crest_54_Sprite</t>
  </si>
  <si>
    <t>Icon_Sail_Crest_55_Sprite</t>
  </si>
  <si>
    <t>Icon_Sail_Crest_56_Sprite</t>
  </si>
  <si>
    <t>Icon_Sail_Crest_57_Sprite</t>
  </si>
  <si>
    <t>Icon_Sail_Crest_58_Sprite</t>
  </si>
  <si>
    <t>Icon_Sail_Crest_59_Sprite</t>
  </si>
  <si>
    <t>Icon_Sail_Crest_60_Sprite</t>
  </si>
  <si>
    <t>Icon_Sail_Crest_61_Sprite</t>
  </si>
  <si>
    <t>Icon_Sail_Crest_62_Sprite</t>
  </si>
  <si>
    <t>Icon_Sail_Crest_63_Sprite</t>
  </si>
  <si>
    <t>Icon_Sail_Crest_64_Sprite</t>
  </si>
  <si>
    <t>Icon_Sail_Crest_65_Sprite</t>
  </si>
  <si>
    <t>Icon_Sail_Crest_66_Sprite</t>
  </si>
  <si>
    <t>Icon_Sail_Crest_67_Sprite</t>
  </si>
  <si>
    <t>Icon_Sail_Crest_68_Sprite</t>
  </si>
  <si>
    <t>Icon_Sail_Crest_69_Sprite</t>
  </si>
  <si>
    <t>Icon_Sail_Crest_70_Sprite</t>
  </si>
  <si>
    <t>Icon_Sail_Crest_71_Sprite</t>
  </si>
  <si>
    <t>Icon_Sail_Crest_72_Sprite</t>
  </si>
  <si>
    <t>Icon_Sail_Crest_73_Sprite</t>
  </si>
  <si>
    <t>Icon_Sail_Crest_74_Sprite</t>
  </si>
  <si>
    <t>Icon_Sail_Crest_75_Sprite</t>
  </si>
  <si>
    <t>Icon_Sail_Crest_76_Sprite</t>
  </si>
  <si>
    <t>Icon_Sail_Crest_77_Sprite</t>
  </si>
  <si>
    <t>Icon_Sail_Crest_78_Sprite</t>
  </si>
  <si>
    <t>Icon_Sail_Crest_79_Sprite</t>
  </si>
  <si>
    <t>Icon_Sail_Crest_80_Sprite</t>
  </si>
  <si>
    <t>Icon_Sail_Crest_81_Sprite</t>
  </si>
  <si>
    <t>Icon_Sail_Crest_82_Sprite</t>
  </si>
  <si>
    <t>Icon_Sail_Crest_83_Sprite</t>
  </si>
  <si>
    <t>Icon_Sail_Crest_84_Sprite</t>
  </si>
  <si>
    <t>Icon_Sail_Crest_141_Sprite</t>
  </si>
  <si>
    <t>Icon_Sail_Crest_142_Sprite</t>
  </si>
  <si>
    <t>Icon_Sail_Crest_143_Sprite</t>
  </si>
  <si>
    <t>Icon_Sail_Crest_144_Sprite</t>
  </si>
  <si>
    <t>Icon_Sail_Crest_145_Sprite</t>
  </si>
  <si>
    <t>Icon_Sail_Crest_146_Sprite</t>
  </si>
  <si>
    <t>Icon_Sail_Crest_147_Sprite</t>
  </si>
  <si>
    <t>Icon_Sail_Crest_148_Sprite</t>
  </si>
  <si>
    <t>Icon_Sail_Crest_149_Sprite</t>
  </si>
  <si>
    <t>Icon_Sail_Crest_150_Sprite</t>
  </si>
  <si>
    <t>Icon_Sail_Crest_151_Sprite</t>
  </si>
  <si>
    <t>Icon_Sail_Crest_152_Sprite</t>
  </si>
  <si>
    <t>Icon_Sail_Crest_153_Sprite</t>
  </si>
  <si>
    <t>Icon_Sail_Crest_154_Sprite</t>
  </si>
  <si>
    <t>Icon_Sail_Crest_155_Sprite</t>
  </si>
  <si>
    <t>Icon_Sail_Crest_156_Sprite</t>
  </si>
  <si>
    <t>Icon_Sail_Crest_157_Sprite</t>
  </si>
  <si>
    <t>Icon_Sail_Crest_158_Sprite</t>
  </si>
  <si>
    <t>Icon_Sail_Crest_159_Sprite</t>
  </si>
  <si>
    <t>Icon_Sail_Crest_160_Sprite</t>
  </si>
  <si>
    <t>Icon_Sail_Pattern_1_Sprite</t>
  </si>
  <si>
    <t>Icon_Sail_Pattern_2_Sprite</t>
  </si>
  <si>
    <t>Icon_Sail_Pattern_3_Sprite</t>
  </si>
  <si>
    <t>Icon_Sail_Pattern_4_Sprite</t>
  </si>
  <si>
    <t>Icon_Sail_Pattern_5_Sprite</t>
  </si>
  <si>
    <t>Icon_Sail_Pattern_6_Sprite</t>
  </si>
  <si>
    <t>Icon_Sail_Pattern_7_Sprite</t>
  </si>
  <si>
    <t>Icon_Sail_Pattern_8_Sprite</t>
  </si>
  <si>
    <t>Icon_Sail_Pattern_9_Sprite</t>
  </si>
  <si>
    <t>Icon_Sail_Pattern_10_Sprite</t>
  </si>
  <si>
    <t>Icon_Sail_Pattern_11_Sprite</t>
  </si>
  <si>
    <t>Icon_Sail_Pattern_12_Sprite</t>
  </si>
  <si>
    <t>Icon_Sail_Pattern_13_Sprite</t>
  </si>
  <si>
    <t>Icon_Sail_Pattern_14_Sprite</t>
  </si>
  <si>
    <t>Icon_Sail_Pattern_15_Sprite</t>
  </si>
  <si>
    <t>Icon_Sail_Pattern_16_Sprite</t>
  </si>
  <si>
    <t>Icon_Sail_Pattern_17_Sprite</t>
  </si>
  <si>
    <t>Icon_Sail_Pattern_18_Sprite</t>
  </si>
  <si>
    <t>Icon_Sail_Pattern_19_Sprite</t>
  </si>
  <si>
    <t>Icon_Sail_Pattern_20_Sprite</t>
  </si>
  <si>
    <t>Icon_Sail_Pattern_21_Sprite</t>
  </si>
  <si>
    <t>Icon_Sail_Pattern_22_Sprite</t>
  </si>
  <si>
    <t>Icon_Sail_Pattern_23_Sprite</t>
  </si>
  <si>
    <t>Icon_Sail_Pattern_24_Sprite</t>
  </si>
  <si>
    <t>Icon_Sail_Pattern_25_Sprite</t>
  </si>
  <si>
    <t>Icon_Sail_Pattern_26_Sprite</t>
  </si>
  <si>
    <t>Icon_Sail_Pattern_27_Sprite</t>
  </si>
  <si>
    <t>Icon_Sail_Pattern_28_Sprite</t>
  </si>
  <si>
    <t>Icon_Sail_Pattern_29_Sprite</t>
  </si>
  <si>
    <t>Icon_Sail_Pattern_30_Sprite</t>
  </si>
  <si>
    <t>Icon_Sail_Pattern_31_Sprite</t>
  </si>
  <si>
    <t>Icon_Sail_Pattern_32_Sprite</t>
  </si>
  <si>
    <t>Icon_Sail_Pattern_33_Sprite</t>
  </si>
  <si>
    <t>Icon_Sail_Pattern_34_Sprite</t>
  </si>
  <si>
    <t>Icon_Sail_Pattern_35_Sprite</t>
  </si>
  <si>
    <t>Icon_Sail_Pattern_36_Sprite</t>
  </si>
  <si>
    <t>Icon_Sail_Pattern_37_Sprite</t>
  </si>
  <si>
    <t>Icon_Sail_Pattern_38_Sprite</t>
  </si>
  <si>
    <t>Icon_Sail_Pattern_39_Sprite</t>
  </si>
  <si>
    <t>Icon_Sail_Pattern_40_Sprite</t>
  </si>
  <si>
    <t>Icon_Sail_Pattern_41_Sprite</t>
  </si>
  <si>
    <t>Icon_Sail_Pattern_42_Sprite</t>
  </si>
  <si>
    <t>Icon_Sail_Pattern_43_Sprite</t>
  </si>
  <si>
    <t>Icon_Sail_Pattern_44_Sprite</t>
  </si>
  <si>
    <t>Icon_Sail_Pattern_45_Sprite</t>
  </si>
  <si>
    <t>Icon_Sail_Pattern_46_Sprite</t>
  </si>
  <si>
    <t>Icon_Sail_Pattern_47_Sprite</t>
  </si>
  <si>
    <t>Icon_Sail_Pattern_48_Sprite</t>
  </si>
  <si>
    <t>Icon_Sail_Pattern_49_Sprite</t>
  </si>
  <si>
    <t>Icon_Sail_Pattern_50_Sprite</t>
  </si>
  <si>
    <t>Icon_Sail_Pattern_51_Sprite</t>
  </si>
  <si>
    <t>Icon_Sail_Pattern_52_Sprite</t>
  </si>
  <si>
    <t>Icon_Sail_Pattern_53_Sprite</t>
  </si>
  <si>
    <t>Icon_Sail_Pattern_54_Sprite</t>
  </si>
  <si>
    <t>Icon_Sail_Pattern_56_Sprite</t>
  </si>
  <si>
    <t>Icon_Sail_Pattern_57_Sprite</t>
  </si>
  <si>
    <t>중카락돛</t>
  </si>
  <si>
    <t>중카락돛</t>
    <phoneticPr fontId="5" type="noConversion"/>
  </si>
  <si>
    <t>케벡돛</t>
  </si>
  <si>
    <t>케벡돛</t>
    <phoneticPr fontId="5" type="noConversion"/>
  </si>
  <si>
    <t>대형스쿠너돛</t>
  </si>
  <si>
    <t>대형스쿠너돛</t>
    <phoneticPr fontId="5" type="noConversion"/>
  </si>
  <si>
    <t>SK_Ship_HeavyCarrack_Sail</t>
  </si>
  <si>
    <t>M_Ship_HeavyCarrack_Deck_Inst</t>
  </si>
  <si>
    <t>SK_Ship_Chebec_Sail</t>
  </si>
  <si>
    <t>M_Ship_Chebec_WoodLine_Inst</t>
  </si>
  <si>
    <t>SK_Ship_LargeSchooner_Sail</t>
  </si>
  <si>
    <t>M_Ship_LargeSchooner_Line_Inst</t>
  </si>
  <si>
    <t>케벡</t>
    <phoneticPr fontId="5" type="noConversion"/>
  </si>
  <si>
    <t>대형 스쿠너</t>
    <phoneticPr fontId="5" type="noConversion"/>
  </si>
  <si>
    <t>SK_Ship_HeavyCarrack_Body</t>
  </si>
  <si>
    <t>SK_Ship_Chebec_Body</t>
    <phoneticPr fontId="5" type="noConversion"/>
  </si>
  <si>
    <t>중 카락</t>
    <phoneticPr fontId="5" type="noConversion"/>
  </si>
  <si>
    <t>SK_Ship_LargeSchooner_Body</t>
    <phoneticPr fontId="5" type="noConversion"/>
  </si>
  <si>
    <t>갤리스</t>
    <phoneticPr fontId="5" type="noConversion"/>
  </si>
  <si>
    <t>SK_Ship_LaMort_Sail</t>
    <phoneticPr fontId="5" type="noConversion"/>
  </si>
  <si>
    <t>M_Ship_LaMort_Deck_Inst</t>
  </si>
  <si>
    <t>라 모르노</t>
    <phoneticPr fontId="5" type="noConversion"/>
  </si>
  <si>
    <t>갤리스노</t>
    <phoneticPr fontId="5" type="noConversion"/>
  </si>
  <si>
    <t>SK_Ship_LaMort_Paddle</t>
    <phoneticPr fontId="5" type="noConversion"/>
  </si>
  <si>
    <t>M_Ship_LaMort_Line_Inst</t>
  </si>
  <si>
    <t>라 모르돛</t>
  </si>
  <si>
    <t>라 모르돛</t>
    <phoneticPr fontId="5" type="noConversion"/>
  </si>
  <si>
    <t>갤리스돛</t>
    <phoneticPr fontId="5" type="noConversion"/>
  </si>
  <si>
    <t>SK_Ship_Galleass_Sail</t>
    <phoneticPr fontId="5" type="noConversion"/>
  </si>
  <si>
    <t>M_Ship_Galleass_Deck_Inst</t>
  </si>
  <si>
    <t>SK_Ship_Galleass_Paddle</t>
    <phoneticPr fontId="5" type="noConversion"/>
  </si>
  <si>
    <t>M_Ship_Galleass_Line_Inst</t>
  </si>
  <si>
    <t>SK_Ship_LaMort_Body</t>
  </si>
  <si>
    <t>SK_Ship_Galleass_Body</t>
  </si>
  <si>
    <t>갤리스돛</t>
  </si>
  <si>
    <t>라 모르노</t>
  </si>
  <si>
    <t>갤리스노</t>
  </si>
  <si>
    <t>라모르</t>
    <phoneticPr fontId="5" type="noConversion"/>
  </si>
  <si>
    <t>SK_Ship_LaReale_Sail</t>
  </si>
  <si>
    <t>M_Ship_LaReale_Deck_Inst</t>
  </si>
  <si>
    <t>라 레알노</t>
  </si>
  <si>
    <t>라 레알노</t>
    <phoneticPr fontId="5" type="noConversion"/>
  </si>
  <si>
    <t>오스만 겔리온노</t>
  </si>
  <si>
    <t>오스만 겔리온노</t>
    <phoneticPr fontId="5" type="noConversion"/>
  </si>
  <si>
    <t>SK_Ship_LaReale_Paddle</t>
  </si>
  <si>
    <t>M_Ship_LaReale_Line_Inst</t>
    <phoneticPr fontId="5" type="noConversion"/>
  </si>
  <si>
    <t>SK_Ship_OsmanGalleon_Sail</t>
    <phoneticPr fontId="5" type="noConversion"/>
  </si>
  <si>
    <t>M_Ship_OsmanGalleon_Parts_Inst</t>
  </si>
  <si>
    <t>M_Ship_SanFelipe_Line_Inst_Inst</t>
  </si>
  <si>
    <t>SK_Ship_OsmanGalleon_Paddle</t>
    <phoneticPr fontId="5" type="noConversion"/>
  </si>
  <si>
    <t>라레알</t>
    <phoneticPr fontId="5" type="noConversion"/>
  </si>
  <si>
    <t>라 레알돛</t>
  </si>
  <si>
    <t>라 레알돛</t>
    <phoneticPr fontId="5" type="noConversion"/>
  </si>
  <si>
    <t>오스만 겔리온돛</t>
  </si>
  <si>
    <t>오스만 겔리온돛</t>
    <phoneticPr fontId="5" type="noConversion"/>
  </si>
  <si>
    <t>SK_Ship_OsmanGalleon_Body</t>
  </si>
  <si>
    <t>SK_Ship_LaReale_Body</t>
  </si>
  <si>
    <t>라 르와이얄돛</t>
  </si>
  <si>
    <t>라 르와이얄돛</t>
    <phoneticPr fontId="5" type="noConversion"/>
  </si>
  <si>
    <t>오세앙</t>
    <phoneticPr fontId="5" type="noConversion"/>
  </si>
  <si>
    <t>SK_Ship_LaRoyale_Sail</t>
  </si>
  <si>
    <t>M_Ship_LaRoyale_Deck_Inst</t>
    <phoneticPr fontId="5" type="noConversion"/>
  </si>
  <si>
    <t>SK_Ship_Ocean_Sail</t>
  </si>
  <si>
    <t>M_Ship_Ocean_Deck_Inst</t>
  </si>
  <si>
    <t>라 르와이얄노</t>
  </si>
  <si>
    <t>라 르와이얄노</t>
    <phoneticPr fontId="5" type="noConversion"/>
  </si>
  <si>
    <t>SK_Ship_LaRoyale_Paddle</t>
  </si>
  <si>
    <t>M_Ship_LaRoyale_Line_Inst</t>
  </si>
  <si>
    <t>라르와이얄</t>
    <phoneticPr fontId="5" type="noConversion"/>
  </si>
  <si>
    <t>오세앙돛</t>
  </si>
  <si>
    <t>오세앙돛</t>
    <phoneticPr fontId="5" type="noConversion"/>
  </si>
  <si>
    <t>SK_Ship_LaRoyale_Body</t>
  </si>
  <si>
    <t>SK_Ship_Ocean_Body</t>
  </si>
  <si>
    <t>플란더스갤리돛</t>
  </si>
  <si>
    <t>플란더스갤리돛</t>
    <phoneticPr fontId="5" type="noConversion"/>
  </si>
  <si>
    <t>플란더스갤리노</t>
  </si>
  <si>
    <t>플란더스갤리노</t>
    <phoneticPr fontId="5" type="noConversion"/>
  </si>
  <si>
    <t>SK_Ship_FlandersGalley_Sail</t>
  </si>
  <si>
    <t>M_Ship_FlandersGalley_Deck_Inst</t>
  </si>
  <si>
    <t>SK_Ship_FlandersGalley_Paddle</t>
  </si>
  <si>
    <t>M_Ship_FlandersGalley_Line_Inst</t>
  </si>
  <si>
    <t>SK_Ship_FlandersGalley_Body</t>
  </si>
  <si>
    <t>오스만 갤리온</t>
    <phoneticPr fontId="5" type="noConversion"/>
  </si>
  <si>
    <t>플란더스 갤리</t>
    <phoneticPr fontId="5" type="noConversion"/>
  </si>
  <si>
    <t>Icon_Sail_Pattern_0_Sprite</t>
    <phoneticPr fontId="5" type="noConversion"/>
  </si>
  <si>
    <t>Icon_Sail_Crest_0_Sprite</t>
    <phoneticPr fontId="5" type="noConversion"/>
  </si>
  <si>
    <t>Texture_Sail_Crest_0</t>
    <phoneticPr fontId="5" type="noConversion"/>
  </si>
  <si>
    <t>SK_Ship_LongSchooner_Sail</t>
  </si>
  <si>
    <t>롱스쿠너돛</t>
  </si>
  <si>
    <t>롱스쿠너돛</t>
    <phoneticPr fontId="5" type="noConversion"/>
  </si>
  <si>
    <t>SK_Ship_LongSchooner_Body</t>
  </si>
  <si>
    <t>피톤의 머리</t>
  </si>
  <si>
    <t>샌드타이거상어상</t>
  </si>
  <si>
    <t>인어닻</t>
  </si>
  <si>
    <t>롱 스쿠너</t>
    <phoneticPr fontId="5" type="noConversion"/>
  </si>
  <si>
    <t>아나히타상</t>
  </si>
  <si>
    <t>SM_Ship_FigureHead_Anahita</t>
  </si>
  <si>
    <t>천사상</t>
  </si>
  <si>
    <t>SM_Ship_FigureHead_Angel</t>
  </si>
  <si>
    <t>흰긴수염고래상</t>
  </si>
  <si>
    <t>듀공상</t>
  </si>
  <si>
    <t>용머리 선수상</t>
  </si>
  <si>
    <t>아쇼카왕상</t>
  </si>
  <si>
    <t>SM_Ship_FigureHead_EmperorAshoka</t>
  </si>
  <si>
    <t>긴수염고래상</t>
  </si>
  <si>
    <t>SM_Ship_FigureHead_FinWhale</t>
  </si>
  <si>
    <t>프레이아상</t>
  </si>
  <si>
    <t>고스 호크상</t>
  </si>
  <si>
    <t>그리폰상</t>
  </si>
  <si>
    <t>한니발상</t>
  </si>
  <si>
    <t>매의 상</t>
  </si>
  <si>
    <t>이슈타르상</t>
  </si>
  <si>
    <t>요르문간드상</t>
  </si>
  <si>
    <t>케스트랄상</t>
  </si>
  <si>
    <t>솔개상</t>
  </si>
  <si>
    <t>M_Ship_FigureHead_Kite_Inst</t>
  </si>
  <si>
    <t>라나팰콘상</t>
  </si>
  <si>
    <t>SM_Ship_FigureHead_LannerFalcon</t>
  </si>
  <si>
    <t>처녀상</t>
  </si>
  <si>
    <t>매너티의 상</t>
  </si>
  <si>
    <t>아우렐리우스 황제상</t>
  </si>
  <si>
    <t>SM_Ship_FigureHead_MarcusAurelius</t>
  </si>
  <si>
    <t>인어상</t>
  </si>
  <si>
    <t>나이트 호크상</t>
  </si>
  <si>
    <t>범고래상</t>
  </si>
  <si>
    <t>진주 솔개상</t>
  </si>
  <si>
    <t>SM_Ship_FigureHead_PearlKite</t>
  </si>
  <si>
    <t>송골매상</t>
  </si>
  <si>
    <t>불사조상</t>
  </si>
  <si>
    <t>플라톤상</t>
  </si>
  <si>
    <t>쥐돌고래상</t>
  </si>
  <si>
    <t>포세이돈상</t>
  </si>
  <si>
    <t>성크리스토퍼상</t>
  </si>
  <si>
    <t>성마르코상</t>
  </si>
  <si>
    <t>사라스바티의 상</t>
  </si>
  <si>
    <t>M_Ship_FigureHead_Saraswati_Inst</t>
  </si>
  <si>
    <t>스패로우 호크상</t>
  </si>
  <si>
    <t>고래상</t>
  </si>
  <si>
    <t>화이트사이드의 상</t>
  </si>
  <si>
    <t>돌고래상</t>
  </si>
  <si>
    <t>아나히타상</t>
    <phoneticPr fontId="5" type="noConversion"/>
  </si>
  <si>
    <t>M_Ship_FigureHead_Anahita_Inst</t>
    <phoneticPr fontId="5" type="noConversion"/>
  </si>
  <si>
    <t>천사상</t>
    <phoneticPr fontId="5" type="noConversion"/>
  </si>
  <si>
    <t>M_Ship_FigureHead_Angel_Inst</t>
    <phoneticPr fontId="5" type="noConversion"/>
  </si>
  <si>
    <t>흰긴수염고래상</t>
    <phoneticPr fontId="5" type="noConversion"/>
  </si>
  <si>
    <t>SM_Ship_FigureHead_BlueWhale</t>
    <phoneticPr fontId="5" type="noConversion"/>
  </si>
  <si>
    <t>M_Ship_FigureHead_BlueWhale_Inst</t>
    <phoneticPr fontId="5" type="noConversion"/>
  </si>
  <si>
    <t>듀공상</t>
    <phoneticPr fontId="5" type="noConversion"/>
  </si>
  <si>
    <t>SM_Ship_FigureHead_Dugong</t>
    <phoneticPr fontId="5" type="noConversion"/>
  </si>
  <si>
    <t>M_Ship_FigureHead_Dugong_Inst</t>
    <phoneticPr fontId="5" type="noConversion"/>
  </si>
  <si>
    <t>용머리 선수상</t>
    <phoneticPr fontId="5" type="noConversion"/>
  </si>
  <si>
    <t>SM_Ship_FigureHead_Dragonhead</t>
    <phoneticPr fontId="5" type="noConversion"/>
  </si>
  <si>
    <t>M_Ship_FigureHead_Dragonhead_Inst</t>
    <phoneticPr fontId="5" type="noConversion"/>
  </si>
  <si>
    <t>아쇼카왕상</t>
    <phoneticPr fontId="5" type="noConversion"/>
  </si>
  <si>
    <t>M_Ship_FigureHead_EmperorAshoka_Inst</t>
    <phoneticPr fontId="5" type="noConversion"/>
  </si>
  <si>
    <t>긴수염고래상</t>
    <phoneticPr fontId="5" type="noConversion"/>
  </si>
  <si>
    <t>M_Ship_FigureHead_FinWhale_Inst</t>
    <phoneticPr fontId="5" type="noConversion"/>
  </si>
  <si>
    <t>프레이아상</t>
    <phoneticPr fontId="5" type="noConversion"/>
  </si>
  <si>
    <t>SM_Ship_FigureHead_Freya</t>
    <phoneticPr fontId="5" type="noConversion"/>
  </si>
  <si>
    <t>M_Ship_FigureHead_Freya_Inst</t>
    <phoneticPr fontId="5" type="noConversion"/>
  </si>
  <si>
    <t>고스 호크상</t>
    <phoneticPr fontId="5" type="noConversion"/>
  </si>
  <si>
    <t>SM_Ship_FigureHead_Goshawk</t>
    <phoneticPr fontId="5" type="noConversion"/>
  </si>
  <si>
    <t>M_Ship_FigureHead_Goshawk_Inst</t>
    <phoneticPr fontId="5" type="noConversion"/>
  </si>
  <si>
    <t>그리폰상</t>
    <phoneticPr fontId="5" type="noConversion"/>
  </si>
  <si>
    <t>SM_Ship_FigureHead_Gryphin</t>
    <phoneticPr fontId="5" type="noConversion"/>
  </si>
  <si>
    <t>M_Ship_FigureHead_Gryphin_Inst</t>
    <phoneticPr fontId="5" type="noConversion"/>
  </si>
  <si>
    <t>한니발상</t>
    <phoneticPr fontId="5" type="noConversion"/>
  </si>
  <si>
    <t>SM_Ship_FigureHead_Hannibal</t>
    <phoneticPr fontId="5" type="noConversion"/>
  </si>
  <si>
    <t>M_Ship_FigureHead_Hannibal_Inst</t>
    <phoneticPr fontId="5" type="noConversion"/>
  </si>
  <si>
    <t>매의 상</t>
    <phoneticPr fontId="5" type="noConversion"/>
  </si>
  <si>
    <t>SM_Ship_FigureHead_Hawk</t>
    <phoneticPr fontId="5" type="noConversion"/>
  </si>
  <si>
    <t>M_Ship_FigureHead_Hawk_Inst</t>
    <phoneticPr fontId="5" type="noConversion"/>
  </si>
  <si>
    <t>이슈타르상</t>
    <phoneticPr fontId="5" type="noConversion"/>
  </si>
  <si>
    <t>SM_Ship_FigureHead_Ishtar</t>
    <phoneticPr fontId="5" type="noConversion"/>
  </si>
  <si>
    <t>M_Ship_FigureHead_Ishtar_Inst</t>
    <phoneticPr fontId="5" type="noConversion"/>
  </si>
  <si>
    <t>요르문간드상</t>
    <phoneticPr fontId="5" type="noConversion"/>
  </si>
  <si>
    <t>SM_Ship_FigureHead_Jormundgand</t>
    <phoneticPr fontId="5" type="noConversion"/>
  </si>
  <si>
    <t>M_Ship_FigureHead_Jormundgand_Inst</t>
    <phoneticPr fontId="5" type="noConversion"/>
  </si>
  <si>
    <t>케스트랄상</t>
    <phoneticPr fontId="5" type="noConversion"/>
  </si>
  <si>
    <t>SM_Ship_FigureHead_Kestrel</t>
    <phoneticPr fontId="5" type="noConversion"/>
  </si>
  <si>
    <t>M_Ship_FigureHead_Kestrel_Inst</t>
    <phoneticPr fontId="5" type="noConversion"/>
  </si>
  <si>
    <t>솔개상</t>
    <phoneticPr fontId="5" type="noConversion"/>
  </si>
  <si>
    <t>SM_Ship_FigureHead_Kite</t>
    <phoneticPr fontId="5" type="noConversion"/>
  </si>
  <si>
    <t>M_Ship_FigureHead_LannerFalcon_Inst</t>
    <phoneticPr fontId="5" type="noConversion"/>
  </si>
  <si>
    <t>처녀상</t>
    <phoneticPr fontId="5" type="noConversion"/>
  </si>
  <si>
    <t>SM_Ship_FigureHead_Maiden</t>
    <phoneticPr fontId="5" type="noConversion"/>
  </si>
  <si>
    <t>M_Ship_FigureHead_Maiden_Inst</t>
    <phoneticPr fontId="5" type="noConversion"/>
  </si>
  <si>
    <t>매너티의 상</t>
    <phoneticPr fontId="5" type="noConversion"/>
  </si>
  <si>
    <t>SM_Ship_FigureHead_Manatee</t>
    <phoneticPr fontId="5" type="noConversion"/>
  </si>
  <si>
    <t>M_Ship_FigureHead_Manatee_Inst</t>
    <phoneticPr fontId="5" type="noConversion"/>
  </si>
  <si>
    <t>아우렐리우스 황제상</t>
    <phoneticPr fontId="5" type="noConversion"/>
  </si>
  <si>
    <t>M_Ship_FigureHead_MarcusAurelius_Inst</t>
    <phoneticPr fontId="5" type="noConversion"/>
  </si>
  <si>
    <t>인어상</t>
    <phoneticPr fontId="5" type="noConversion"/>
  </si>
  <si>
    <t>SM_Ship_FigureHead_Mermaid</t>
    <phoneticPr fontId="5" type="noConversion"/>
  </si>
  <si>
    <t>M_Ship_FigureHead_Mermaid_Inst</t>
    <phoneticPr fontId="5" type="noConversion"/>
  </si>
  <si>
    <t>나이트 호크상</t>
    <phoneticPr fontId="5" type="noConversion"/>
  </si>
  <si>
    <t>SM_Ship_FigureHead_Nighthawk</t>
    <phoneticPr fontId="5" type="noConversion"/>
  </si>
  <si>
    <t>M_Ship_FigureHead_Nighthawk_Inst</t>
    <phoneticPr fontId="5" type="noConversion"/>
  </si>
  <si>
    <t>범고래상</t>
    <phoneticPr fontId="5" type="noConversion"/>
  </si>
  <si>
    <t>SM_Ship_FigureHead_Orca</t>
    <phoneticPr fontId="5" type="noConversion"/>
  </si>
  <si>
    <t>M_Ship_FigureHead_Orca_Inst</t>
    <phoneticPr fontId="5" type="noConversion"/>
  </si>
  <si>
    <t>진주 솔개상</t>
    <phoneticPr fontId="5" type="noConversion"/>
  </si>
  <si>
    <t>M_Ship_FigureHead_PearlKite_Inst</t>
    <phoneticPr fontId="5" type="noConversion"/>
  </si>
  <si>
    <t>송골매상</t>
    <phoneticPr fontId="5" type="noConversion"/>
  </si>
  <si>
    <t>SM_Ship_FigureHead_Peregrine</t>
    <phoneticPr fontId="5" type="noConversion"/>
  </si>
  <si>
    <t>M_Ship_FigureHead_Peregrine_Inst</t>
    <phoneticPr fontId="5" type="noConversion"/>
  </si>
  <si>
    <t>불사조상</t>
    <phoneticPr fontId="5" type="noConversion"/>
  </si>
  <si>
    <t>SM_Ship_FigureHead_Phoenix</t>
    <phoneticPr fontId="5" type="noConversion"/>
  </si>
  <si>
    <t>M_Ship_FigureHead_Phoenix_Inst</t>
    <phoneticPr fontId="5" type="noConversion"/>
  </si>
  <si>
    <t>플라톤상</t>
    <phoneticPr fontId="5" type="noConversion"/>
  </si>
  <si>
    <t>SM_Ship_FigureHead_Plato</t>
    <phoneticPr fontId="5" type="noConversion"/>
  </si>
  <si>
    <t>M_Ship_FigureHead_Plato_Inst</t>
    <phoneticPr fontId="5" type="noConversion"/>
  </si>
  <si>
    <t>쥐돌고래상</t>
    <phoneticPr fontId="5" type="noConversion"/>
  </si>
  <si>
    <t>SM_Ship_FigureHead_Porpoise</t>
    <phoneticPr fontId="5" type="noConversion"/>
  </si>
  <si>
    <t>M_Ship_FigureHead_Porpoise_Inst</t>
    <phoneticPr fontId="5" type="noConversion"/>
  </si>
  <si>
    <t>포세이돈상</t>
    <phoneticPr fontId="5" type="noConversion"/>
  </si>
  <si>
    <t>SM_Ship_FigureHead_Poseidon</t>
    <phoneticPr fontId="5" type="noConversion"/>
  </si>
  <si>
    <t>M_Ship_FigureHead_Poseidon_Inst</t>
    <phoneticPr fontId="5" type="noConversion"/>
  </si>
  <si>
    <t>성크리스토퍼상</t>
    <phoneticPr fontId="5" type="noConversion"/>
  </si>
  <si>
    <t>SM_Ship_FigureHead_SaintChristopher</t>
    <phoneticPr fontId="5" type="noConversion"/>
  </si>
  <si>
    <t>M_Ship_FigureHead_SaintChristopher_Inst</t>
    <phoneticPr fontId="5" type="noConversion"/>
  </si>
  <si>
    <t>성마르코상</t>
    <phoneticPr fontId="5" type="noConversion"/>
  </si>
  <si>
    <t>SM_Ship_FigureHead_SaintMark</t>
    <phoneticPr fontId="5" type="noConversion"/>
  </si>
  <si>
    <t>M_Ship_FigureHead_SaintMark_Inst</t>
    <phoneticPr fontId="5" type="noConversion"/>
  </si>
  <si>
    <t>사라스바티의 상</t>
    <phoneticPr fontId="5" type="noConversion"/>
  </si>
  <si>
    <t>SM_Ship_FigureHead_Saraswati</t>
    <phoneticPr fontId="5" type="noConversion"/>
  </si>
  <si>
    <t>스패로우 호크상</t>
    <phoneticPr fontId="5" type="noConversion"/>
  </si>
  <si>
    <t>SM_Ship_FigureHead_Sparrowhawk</t>
    <phoneticPr fontId="5" type="noConversion"/>
  </si>
  <si>
    <t>M_Ship_FigureHead_Sparrowhawk_Inst</t>
    <phoneticPr fontId="5" type="noConversion"/>
  </si>
  <si>
    <t>고래상</t>
    <phoneticPr fontId="5" type="noConversion"/>
  </si>
  <si>
    <t>SM_Ship_FigureHead_Whale</t>
    <phoneticPr fontId="5" type="noConversion"/>
  </si>
  <si>
    <t>M_Ship_FigureHead_Whale_Inst</t>
    <phoneticPr fontId="5" type="noConversion"/>
  </si>
  <si>
    <t>화이트사이드의 상</t>
    <phoneticPr fontId="5" type="noConversion"/>
  </si>
  <si>
    <t>SM_Ship_FigureHead_WhiteSidedDolphin</t>
    <phoneticPr fontId="5" type="noConversion"/>
  </si>
  <si>
    <t>M_Ship_FigureHead_WhiteSidedDolphin_Inst</t>
    <phoneticPr fontId="5" type="noConversion"/>
  </si>
  <si>
    <t>돌고래상</t>
    <phoneticPr fontId="5" type="noConversion"/>
  </si>
  <si>
    <t>SM_Ship_FigureHead_Dolphin</t>
    <phoneticPr fontId="5" type="noConversion"/>
  </si>
  <si>
    <t>M_Ship_FigureHead_Dolphin_Inst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</si>
</sst>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rgb="FF000000"/>
      <name val="Arial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rgb="FF9C0006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1"/>
      <name val="나눔고딕코딩"/>
      <family val="3"/>
      <charset val="129"/>
    </font>
    <font>
      <sz val="9"/>
      <name val="나눔고딕코딩"/>
      <family val="3"/>
      <charset val="129"/>
    </font>
    <font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나눔고딕코딩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FFFFFF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rgb="FF006100"/>
      <name val="맑은 고딕"/>
      <family val="2"/>
      <charset val="129"/>
      <scheme val="minor"/>
    </font>
    <font>
      <sz val="10"/>
      <color rgb="FF9C0006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2"/>
      <color indexed="81"/>
      <name val="돋움"/>
      <family val="3"/>
      <charset val="129"/>
    </font>
    <font>
      <b/>
      <sz val="12"/>
      <color indexed="81"/>
      <name val="Tahoma"/>
      <family val="2"/>
    </font>
    <font>
      <b/>
      <sz val="11"/>
      <color rgb="FFFFFF00"/>
      <name val="나눔고딕코딩"/>
      <family val="3"/>
      <charset val="129"/>
    </font>
  </fonts>
  <fills count="7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A7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9B8"/>
        <bgColor indexed="64"/>
      </patternFill>
    </fill>
    <fill>
      <patternFill patternType="solid">
        <fgColor rgb="FFFDB23F"/>
        <bgColor indexed="64"/>
      </patternFill>
    </fill>
    <fill>
      <patternFill patternType="solid">
        <fgColor rgb="FFF15F16"/>
        <bgColor indexed="64"/>
      </patternFill>
    </fill>
    <fill>
      <patternFill patternType="solid">
        <fgColor rgb="FFBF1D08"/>
        <bgColor indexed="64"/>
      </patternFill>
    </fill>
    <fill>
      <patternFill patternType="solid">
        <fgColor rgb="FFF30505"/>
        <bgColor indexed="64"/>
      </patternFill>
    </fill>
    <fill>
      <patternFill patternType="solid">
        <fgColor rgb="FF5C0001"/>
        <bgColor indexed="64"/>
      </patternFill>
    </fill>
    <fill>
      <patternFill patternType="solid">
        <fgColor rgb="FFA7D982"/>
        <bgColor indexed="64"/>
      </patternFill>
    </fill>
    <fill>
      <patternFill patternType="solid">
        <fgColor rgb="FFC5EE0E"/>
        <bgColor indexed="64"/>
      </patternFill>
    </fill>
    <fill>
      <patternFill patternType="solid">
        <fgColor rgb="FFF8EB10"/>
        <bgColor indexed="64"/>
      </patternFill>
    </fill>
    <fill>
      <patternFill patternType="solid">
        <fgColor rgb="FFE1C219"/>
        <bgColor indexed="64"/>
      </patternFill>
    </fill>
    <fill>
      <patternFill patternType="solid">
        <fgColor rgb="FF83A602"/>
        <bgColor indexed="64"/>
      </patternFill>
    </fill>
    <fill>
      <patternFill patternType="solid">
        <fgColor rgb="FF375903"/>
        <bgColor indexed="64"/>
      </patternFill>
    </fill>
    <fill>
      <patternFill patternType="solid">
        <fgColor rgb="FF0276C3"/>
        <bgColor indexed="64"/>
      </patternFill>
    </fill>
    <fill>
      <patternFill patternType="solid">
        <fgColor rgb="FF02AFCD"/>
        <bgColor indexed="64"/>
      </patternFill>
    </fill>
    <fill>
      <patternFill patternType="solid">
        <fgColor rgb="FF02C13D"/>
        <bgColor indexed="64"/>
      </patternFill>
    </fill>
    <fill>
      <patternFill patternType="solid">
        <fgColor rgb="FF088C03"/>
        <bgColor indexed="64"/>
      </patternFill>
    </fill>
    <fill>
      <patternFill patternType="solid">
        <fgColor rgb="FF1C5D59"/>
        <bgColor indexed="64"/>
      </patternFill>
    </fill>
    <fill>
      <patternFill patternType="solid">
        <fgColor rgb="FF1D3A3E"/>
        <bgColor indexed="64"/>
      </patternFill>
    </fill>
    <fill>
      <patternFill patternType="solid">
        <fgColor rgb="FF0540F2"/>
        <bgColor indexed="64"/>
      </patternFill>
    </fill>
    <fill>
      <patternFill patternType="solid">
        <fgColor rgb="FF034D8C"/>
        <bgColor indexed="64"/>
      </patternFill>
    </fill>
    <fill>
      <patternFill patternType="solid">
        <fgColor rgb="FF0583F2"/>
        <bgColor indexed="64"/>
      </patternFill>
    </fill>
    <fill>
      <patternFill patternType="solid">
        <fgColor rgb="FF6BBEF2"/>
        <bgColor indexed="64"/>
      </patternFill>
    </fill>
    <fill>
      <patternFill patternType="solid">
        <fgColor rgb="FF84D3F2"/>
        <bgColor indexed="64"/>
      </patternFill>
    </fill>
    <fill>
      <patternFill patternType="solid">
        <fgColor rgb="FF2DCCD2"/>
        <bgColor indexed="64"/>
      </patternFill>
    </fill>
    <fill>
      <patternFill patternType="solid">
        <fgColor rgb="FF410080"/>
        <bgColor indexed="64"/>
      </patternFill>
    </fill>
    <fill>
      <patternFill patternType="solid">
        <fgColor rgb="FF6100BF"/>
        <bgColor indexed="64"/>
      </patternFill>
    </fill>
    <fill>
      <patternFill patternType="solid">
        <fgColor rgb="FF7F00FF"/>
        <bgColor indexed="64"/>
      </patternFill>
    </fill>
    <fill>
      <patternFill patternType="solid">
        <fgColor rgb="FF99A7F2"/>
        <bgColor indexed="64"/>
      </patternFill>
    </fill>
    <fill>
      <patternFill patternType="solid">
        <fgColor rgb="FF36DFFF"/>
        <bgColor indexed="64"/>
      </patternFill>
    </fill>
    <fill>
      <patternFill patternType="solid">
        <fgColor rgb="FFF20CB6"/>
        <bgColor indexed="64"/>
      </patternFill>
    </fill>
    <fill>
      <patternFill patternType="solid">
        <fgColor rgb="FFA7058C"/>
        <bgColor indexed="64"/>
      </patternFill>
    </fill>
    <fill>
      <patternFill patternType="solid">
        <fgColor rgb="FFE7578A"/>
        <bgColor indexed="64"/>
      </patternFill>
    </fill>
    <fill>
      <patternFill patternType="solid">
        <fgColor rgb="FFD8004B"/>
        <bgColor indexed="64"/>
      </patternFill>
    </fill>
    <fill>
      <patternFill patternType="solid">
        <fgColor rgb="FF85002F"/>
        <bgColor indexed="64"/>
      </patternFill>
    </fill>
    <fill>
      <patternFill patternType="solid">
        <fgColor rgb="FFF2B6C1"/>
        <bgColor indexed="64"/>
      </patternFill>
    </fill>
    <fill>
      <patternFill patternType="solid">
        <fgColor rgb="FFD9BFDA"/>
        <bgColor indexed="64"/>
      </patternFill>
    </fill>
    <fill>
      <patternFill patternType="solid">
        <fgColor rgb="FFD8A8DC"/>
        <bgColor indexed="64"/>
      </patternFill>
    </fill>
    <fill>
      <patternFill patternType="solid">
        <fgColor rgb="FF667FB7"/>
        <bgColor indexed="64"/>
      </patternFill>
    </fill>
    <fill>
      <patternFill patternType="solid">
        <fgColor rgb="FF71BBC6"/>
        <bgColor indexed="64"/>
      </patternFill>
    </fill>
    <fill>
      <patternFill patternType="solid">
        <fgColor rgb="FF3C4C59"/>
        <bgColor indexed="64"/>
      </patternFill>
    </fill>
    <fill>
      <patternFill patternType="solid">
        <fgColor rgb="FF9FB0C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37373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AD8A6C"/>
        <bgColor indexed="64"/>
      </patternFill>
    </fill>
    <fill>
      <patternFill patternType="solid">
        <fgColor rgb="FF82B652"/>
        <bgColor indexed="64"/>
      </patternFill>
    </fill>
    <fill>
      <patternFill patternType="solid">
        <fgColor rgb="FF555555"/>
        <bgColor indexed="64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0">
    <xf numFmtId="0" fontId="0" fillId="0" borderId="0"/>
    <xf numFmtId="0" fontId="6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1" fillId="0" borderId="0">
      <alignment vertical="center"/>
    </xf>
    <xf numFmtId="0" fontId="17" fillId="65" borderId="0" applyNumberFormat="0" applyBorder="0" applyAlignment="0" applyProtection="0">
      <alignment vertical="center"/>
    </xf>
  </cellStyleXfs>
  <cellXfs count="108">
    <xf numFmtId="0" fontId="0" fillId="0" borderId="0" xfId="0" applyAlignment="1">
      <alignment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0" fontId="10" fillId="4" borderId="1" xfId="1" applyFont="1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 vertical="center"/>
    </xf>
    <xf numFmtId="0" fontId="10" fillId="7" borderId="1" xfId="1" applyFont="1" applyFill="1" applyBorder="1" applyAlignment="1">
      <alignment horizontal="center" wrapText="1"/>
    </xf>
    <xf numFmtId="0" fontId="10" fillId="7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wrapText="1"/>
    </xf>
    <xf numFmtId="0" fontId="11" fillId="6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wrapText="1"/>
    </xf>
    <xf numFmtId="0" fontId="12" fillId="0" borderId="0" xfId="0" applyFont="1" applyAlignment="1"/>
    <xf numFmtId="0" fontId="11" fillId="9" borderId="2" xfId="0" applyFont="1" applyFill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  <xf numFmtId="0" fontId="11" fillId="10" borderId="1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wrapText="1"/>
    </xf>
    <xf numFmtId="0" fontId="13" fillId="0" borderId="5" xfId="0" applyFont="1" applyBorder="1" applyAlignment="1">
      <alignment vertical="center" wrapText="1"/>
    </xf>
    <xf numFmtId="0" fontId="11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0" fillId="8" borderId="1" xfId="6" applyFont="1" applyFill="1" applyBorder="1" applyAlignment="1">
      <alignment horizontal="center" vertical="center"/>
    </xf>
    <xf numFmtId="0" fontId="10" fillId="4" borderId="1" xfId="6" applyFont="1" applyFill="1" applyBorder="1" applyAlignment="1">
      <alignment horizontal="center" vertical="center"/>
    </xf>
    <xf numFmtId="0" fontId="11" fillId="0" borderId="1" xfId="6" applyFont="1" applyBorder="1" applyAlignment="1">
      <alignment wrapText="1"/>
    </xf>
    <xf numFmtId="0" fontId="10" fillId="7" borderId="1" xfId="6" applyFont="1" applyFill="1" applyBorder="1" applyAlignment="1">
      <alignment horizontal="center" vertical="center"/>
    </xf>
    <xf numFmtId="0" fontId="11" fillId="5" borderId="1" xfId="6" applyFont="1" applyFill="1" applyBorder="1" applyAlignment="1">
      <alignment horizontal="center" wrapText="1"/>
    </xf>
    <xf numFmtId="0" fontId="11" fillId="9" borderId="1" xfId="6" applyFont="1" applyFill="1" applyBorder="1" applyAlignment="1">
      <alignment horizontal="center" vertical="center"/>
    </xf>
    <xf numFmtId="0" fontId="11" fillId="14" borderId="1" xfId="6" applyFont="1" applyFill="1" applyBorder="1" applyAlignment="1">
      <alignment horizontal="center" vertical="center"/>
    </xf>
    <xf numFmtId="0" fontId="11" fillId="15" borderId="1" xfId="6" applyFont="1" applyFill="1" applyBorder="1" applyAlignment="1">
      <alignment horizontal="center" vertical="center"/>
    </xf>
    <xf numFmtId="0" fontId="10" fillId="3" borderId="1" xfId="6" applyFont="1" applyFill="1" applyBorder="1" applyAlignment="1">
      <alignment horizontal="center" wrapText="1"/>
    </xf>
    <xf numFmtId="0" fontId="10" fillId="3" borderId="1" xfId="6" applyFont="1" applyFill="1" applyBorder="1" applyAlignment="1">
      <alignment horizontal="center" vertical="center"/>
    </xf>
    <xf numFmtId="0" fontId="11" fillId="6" borderId="1" xfId="6" applyFont="1" applyFill="1" applyBorder="1" applyAlignment="1">
      <alignment horizontal="center" vertical="center"/>
    </xf>
    <xf numFmtId="0" fontId="11" fillId="6" borderId="1" xfId="8" applyFont="1" applyFill="1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5" xfId="0" applyBorder="1" applyAlignment="1">
      <alignment wrapText="1"/>
    </xf>
    <xf numFmtId="0" fontId="11" fillId="16" borderId="1" xfId="6" applyFont="1" applyFill="1" applyBorder="1" applyAlignment="1">
      <alignment horizontal="center" vertical="center"/>
    </xf>
    <xf numFmtId="0" fontId="11" fillId="17" borderId="1" xfId="6" applyFont="1" applyFill="1" applyBorder="1" applyAlignment="1">
      <alignment horizontal="center" vertical="center"/>
    </xf>
    <xf numFmtId="0" fontId="11" fillId="18" borderId="1" xfId="6" applyFont="1" applyFill="1" applyBorder="1" applyAlignment="1">
      <alignment horizontal="center" vertical="center"/>
    </xf>
    <xf numFmtId="0" fontId="11" fillId="19" borderId="1" xfId="6" applyFont="1" applyFill="1" applyBorder="1" applyAlignment="1">
      <alignment horizontal="center" vertical="center"/>
    </xf>
    <xf numFmtId="0" fontId="11" fillId="20" borderId="1" xfId="6" applyFont="1" applyFill="1" applyBorder="1" applyAlignment="1">
      <alignment horizontal="center" vertical="center"/>
    </xf>
    <xf numFmtId="0" fontId="11" fillId="21" borderId="1" xfId="6" applyFont="1" applyFill="1" applyBorder="1" applyAlignment="1">
      <alignment horizontal="center" vertical="center"/>
    </xf>
    <xf numFmtId="0" fontId="11" fillId="22" borderId="1" xfId="6" applyFont="1" applyFill="1" applyBorder="1" applyAlignment="1">
      <alignment horizontal="center" vertical="center"/>
    </xf>
    <xf numFmtId="0" fontId="11" fillId="23" borderId="1" xfId="6" applyFont="1" applyFill="1" applyBorder="1" applyAlignment="1">
      <alignment horizontal="center" vertical="center"/>
    </xf>
    <xf numFmtId="0" fontId="11" fillId="24" borderId="1" xfId="6" applyFont="1" applyFill="1" applyBorder="1" applyAlignment="1">
      <alignment horizontal="center" vertical="center"/>
    </xf>
    <xf numFmtId="0" fontId="11" fillId="25" borderId="1" xfId="6" applyFont="1" applyFill="1" applyBorder="1" applyAlignment="1">
      <alignment horizontal="center" vertical="center"/>
    </xf>
    <xf numFmtId="0" fontId="11" fillId="26" borderId="1" xfId="6" applyFont="1" applyFill="1" applyBorder="1" applyAlignment="1">
      <alignment horizontal="center" vertical="center"/>
    </xf>
    <xf numFmtId="0" fontId="11" fillId="27" borderId="1" xfId="6" applyFont="1" applyFill="1" applyBorder="1" applyAlignment="1">
      <alignment horizontal="center" vertical="center"/>
    </xf>
    <xf numFmtId="0" fontId="11" fillId="28" borderId="1" xfId="6" applyFont="1" applyFill="1" applyBorder="1" applyAlignment="1">
      <alignment horizontal="center" vertical="center"/>
    </xf>
    <xf numFmtId="0" fontId="11" fillId="29" borderId="1" xfId="6" applyFont="1" applyFill="1" applyBorder="1" applyAlignment="1">
      <alignment horizontal="center" vertical="center"/>
    </xf>
    <xf numFmtId="0" fontId="11" fillId="30" borderId="1" xfId="6" applyFont="1" applyFill="1" applyBorder="1" applyAlignment="1">
      <alignment horizontal="center" vertical="center"/>
    </xf>
    <xf numFmtId="0" fontId="11" fillId="31" borderId="1" xfId="6" applyFont="1" applyFill="1" applyBorder="1" applyAlignment="1">
      <alignment horizontal="center" vertical="center"/>
    </xf>
    <xf numFmtId="0" fontId="11" fillId="32" borderId="1" xfId="6" applyFont="1" applyFill="1" applyBorder="1" applyAlignment="1">
      <alignment horizontal="center" vertical="center"/>
    </xf>
    <xf numFmtId="0" fontId="11" fillId="33" borderId="1" xfId="6" applyFont="1" applyFill="1" applyBorder="1" applyAlignment="1">
      <alignment horizontal="center" vertical="center"/>
    </xf>
    <xf numFmtId="0" fontId="11" fillId="34" borderId="1" xfId="6" applyFont="1" applyFill="1" applyBorder="1" applyAlignment="1">
      <alignment horizontal="center" vertical="center"/>
    </xf>
    <xf numFmtId="0" fontId="11" fillId="35" borderId="1" xfId="6" applyFont="1" applyFill="1" applyBorder="1" applyAlignment="1">
      <alignment horizontal="center" vertical="center"/>
    </xf>
    <xf numFmtId="0" fontId="11" fillId="36" borderId="1" xfId="6" applyFont="1" applyFill="1" applyBorder="1" applyAlignment="1">
      <alignment horizontal="center" vertical="center"/>
    </xf>
    <xf numFmtId="0" fontId="11" fillId="37" borderId="1" xfId="6" applyFont="1" applyFill="1" applyBorder="1" applyAlignment="1">
      <alignment horizontal="center" vertical="center"/>
    </xf>
    <xf numFmtId="0" fontId="11" fillId="38" borderId="1" xfId="6" applyFont="1" applyFill="1" applyBorder="1" applyAlignment="1">
      <alignment horizontal="center" vertical="center"/>
    </xf>
    <xf numFmtId="0" fontId="11" fillId="39" borderId="1" xfId="6" applyFont="1" applyFill="1" applyBorder="1" applyAlignment="1">
      <alignment horizontal="center" vertical="center"/>
    </xf>
    <xf numFmtId="0" fontId="11" fillId="40" borderId="1" xfId="6" applyFont="1" applyFill="1" applyBorder="1" applyAlignment="1">
      <alignment horizontal="center" vertical="center"/>
    </xf>
    <xf numFmtId="0" fontId="11" fillId="41" borderId="1" xfId="6" applyFont="1" applyFill="1" applyBorder="1" applyAlignment="1">
      <alignment horizontal="center" vertical="center"/>
    </xf>
    <xf numFmtId="0" fontId="11" fillId="42" borderId="1" xfId="6" applyFont="1" applyFill="1" applyBorder="1" applyAlignment="1">
      <alignment horizontal="center" vertical="center"/>
    </xf>
    <xf numFmtId="0" fontId="11" fillId="43" borderId="1" xfId="6" applyFont="1" applyFill="1" applyBorder="1" applyAlignment="1">
      <alignment horizontal="center" vertical="center"/>
    </xf>
    <xf numFmtId="0" fontId="11" fillId="44" borderId="1" xfId="6" applyFont="1" applyFill="1" applyBorder="1" applyAlignment="1">
      <alignment horizontal="center" vertical="center"/>
    </xf>
    <xf numFmtId="0" fontId="11" fillId="45" borderId="1" xfId="6" applyFont="1" applyFill="1" applyBorder="1" applyAlignment="1">
      <alignment horizontal="center" vertical="center"/>
    </xf>
    <xf numFmtId="0" fontId="11" fillId="46" borderId="1" xfId="6" applyFont="1" applyFill="1" applyBorder="1" applyAlignment="1">
      <alignment horizontal="center" vertical="center"/>
    </xf>
    <xf numFmtId="0" fontId="11" fillId="47" borderId="1" xfId="6" applyFont="1" applyFill="1" applyBorder="1" applyAlignment="1">
      <alignment horizontal="center" vertical="center"/>
    </xf>
    <xf numFmtId="0" fontId="11" fillId="48" borderId="1" xfId="6" applyFont="1" applyFill="1" applyBorder="1" applyAlignment="1">
      <alignment horizontal="center" vertical="center"/>
    </xf>
    <xf numFmtId="0" fontId="11" fillId="49" borderId="1" xfId="6" applyFont="1" applyFill="1" applyBorder="1" applyAlignment="1">
      <alignment horizontal="center" vertical="center"/>
    </xf>
    <xf numFmtId="0" fontId="11" fillId="50" borderId="1" xfId="6" applyFont="1" applyFill="1" applyBorder="1" applyAlignment="1">
      <alignment horizontal="center" vertical="center"/>
    </xf>
    <xf numFmtId="0" fontId="11" fillId="51" borderId="1" xfId="6" applyFont="1" applyFill="1" applyBorder="1" applyAlignment="1">
      <alignment horizontal="center" vertical="center"/>
    </xf>
    <xf numFmtId="0" fontId="11" fillId="52" borderId="1" xfId="6" applyFont="1" applyFill="1" applyBorder="1" applyAlignment="1">
      <alignment horizontal="center" vertical="center"/>
    </xf>
    <xf numFmtId="0" fontId="11" fillId="53" borderId="1" xfId="6" applyFont="1" applyFill="1" applyBorder="1" applyAlignment="1">
      <alignment horizontal="center" vertical="center"/>
    </xf>
    <xf numFmtId="0" fontId="11" fillId="54" borderId="1" xfId="6" applyFont="1" applyFill="1" applyBorder="1" applyAlignment="1">
      <alignment horizontal="center" vertical="center"/>
    </xf>
    <xf numFmtId="0" fontId="11" fillId="55" borderId="1" xfId="6" applyFont="1" applyFill="1" applyBorder="1" applyAlignment="1">
      <alignment horizontal="center" vertical="center"/>
    </xf>
    <xf numFmtId="0" fontId="11" fillId="56" borderId="1" xfId="6" applyFont="1" applyFill="1" applyBorder="1" applyAlignment="1">
      <alignment horizontal="center" vertical="center"/>
    </xf>
    <xf numFmtId="0" fontId="11" fillId="57" borderId="1" xfId="6" applyFont="1" applyFill="1" applyBorder="1" applyAlignment="1">
      <alignment horizontal="center" vertical="center"/>
    </xf>
    <xf numFmtId="0" fontId="11" fillId="58" borderId="1" xfId="6" applyFont="1" applyFill="1" applyBorder="1" applyAlignment="1">
      <alignment horizontal="center" vertical="center"/>
    </xf>
    <xf numFmtId="0" fontId="11" fillId="59" borderId="1" xfId="6" applyFont="1" applyFill="1" applyBorder="1" applyAlignment="1">
      <alignment horizontal="center" vertical="center"/>
    </xf>
    <xf numFmtId="0" fontId="11" fillId="60" borderId="1" xfId="6" applyFont="1" applyFill="1" applyBorder="1" applyAlignment="1">
      <alignment horizontal="center" vertical="center"/>
    </xf>
    <xf numFmtId="0" fontId="16" fillId="61" borderId="1" xfId="6" applyFont="1" applyFill="1" applyBorder="1" applyAlignment="1">
      <alignment horizontal="center" vertical="center"/>
    </xf>
    <xf numFmtId="0" fontId="11" fillId="62" borderId="1" xfId="6" applyFont="1" applyFill="1" applyBorder="1" applyAlignment="1">
      <alignment horizontal="center" vertical="center"/>
    </xf>
    <xf numFmtId="0" fontId="11" fillId="63" borderId="1" xfId="6" applyFont="1" applyFill="1" applyBorder="1" applyAlignment="1">
      <alignment horizontal="center" vertical="center"/>
    </xf>
    <xf numFmtId="0" fontId="11" fillId="64" borderId="1" xfId="6" applyFont="1" applyFill="1" applyBorder="1" applyAlignment="1">
      <alignment horizontal="center" vertical="center"/>
    </xf>
    <xf numFmtId="0" fontId="18" fillId="65" borderId="1" xfId="9" applyFont="1" applyBorder="1" applyAlignment="1">
      <alignment horizontal="center" vertical="center"/>
    </xf>
    <xf numFmtId="0" fontId="19" fillId="2" borderId="1" xfId="1" applyFont="1" applyBorder="1" applyAlignment="1">
      <alignment horizontal="center" vertical="center"/>
    </xf>
    <xf numFmtId="0" fontId="11" fillId="66" borderId="1" xfId="0" applyFont="1" applyFill="1" applyBorder="1" applyAlignment="1">
      <alignment horizontal="center" vertical="center"/>
    </xf>
    <xf numFmtId="0" fontId="11" fillId="67" borderId="1" xfId="0" applyFont="1" applyFill="1" applyBorder="1" applyAlignment="1">
      <alignment horizontal="center" vertical="center"/>
    </xf>
    <xf numFmtId="0" fontId="11" fillId="68" borderId="1" xfId="0" applyFont="1" applyFill="1" applyBorder="1" applyAlignment="1">
      <alignment horizontal="center" vertical="center"/>
    </xf>
    <xf numFmtId="0" fontId="11" fillId="69" borderId="1" xfId="0" applyFont="1" applyFill="1" applyBorder="1" applyAlignment="1">
      <alignment horizontal="center" vertical="center"/>
    </xf>
    <xf numFmtId="0" fontId="11" fillId="70" borderId="1" xfId="0" applyFont="1" applyFill="1" applyBorder="1" applyAlignment="1">
      <alignment horizontal="center" vertical="center"/>
    </xf>
    <xf numFmtId="0" fontId="11" fillId="71" borderId="1" xfId="0" applyFont="1" applyFill="1" applyBorder="1" applyAlignment="1">
      <alignment horizontal="center" vertical="center"/>
    </xf>
    <xf numFmtId="0" fontId="11" fillId="72" borderId="1" xfId="0" applyFont="1" applyFill="1" applyBorder="1" applyAlignment="1">
      <alignment horizontal="center" vertical="center"/>
    </xf>
    <xf numFmtId="0" fontId="11" fillId="73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wrapText="1"/>
    </xf>
    <xf numFmtId="0" fontId="21" fillId="9" borderId="0" xfId="3" applyFont="1" applyFill="1" applyAlignment="1">
      <alignment horizontal="center" vertical="center"/>
    </xf>
    <xf numFmtId="0" fontId="24" fillId="74" borderId="1" xfId="0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8" fillId="0" borderId="3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</cellXfs>
  <cellStyles count="10">
    <cellStyle name="나쁨" xfId="1" builtinId="27"/>
    <cellStyle name="좋음" xfId="9" builtinId="26"/>
    <cellStyle name="표준" xfId="0" builtinId="0"/>
    <cellStyle name="표준 11" xfId="8" xr:uid="{00000000-0005-0000-0000-000003000000}"/>
    <cellStyle name="표준 2" xfId="2" xr:uid="{00000000-0005-0000-0000-000004000000}"/>
    <cellStyle name="표준 2 2" xfId="5" xr:uid="{00000000-0005-0000-0000-000005000000}"/>
    <cellStyle name="표준 3" xfId="3" xr:uid="{00000000-0005-0000-0000-000006000000}"/>
    <cellStyle name="표준 3 2" xfId="7" xr:uid="{00000000-0005-0000-0000-000007000000}"/>
    <cellStyle name="표준 4" xfId="4" xr:uid="{00000000-0005-0000-0000-000008000000}"/>
    <cellStyle name="표준 5" xfId="6" xr:uid="{00000000-0005-0000-0000-000009000000}"/>
  </cellStyles>
  <dxfs count="0"/>
  <tableStyles count="0" defaultTableStyle="TableStyleMedium2" defaultPivotStyle="PivotStyleLight16"/>
  <colors>
    <mruColors>
      <color rgb="FFCC9900"/>
      <color rgb="FFCCCCFF"/>
      <color rgb="FFFFFED8"/>
      <color rgb="FFFFFFCC"/>
      <color rgb="FFCC99FF"/>
      <color rgb="FFCCFFFF"/>
      <color rgb="FFEBF963"/>
      <color rgb="FF0000FF"/>
      <color rgb="FF99660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17"/>
  <sheetViews>
    <sheetView tabSelected="1" zoomScale="80" zoomScaleNormal="80" workbookViewId="0">
      <selection activeCell="A10" sqref="A10"/>
    </sheetView>
  </sheetViews>
  <sheetFormatPr defaultRowHeight="13.5"/>
  <cols>
    <col min="1" max="1" width="16.7109375" style="1" customWidth="1"/>
    <col min="2" max="2" width="32.42578125" style="1" bestFit="1" customWidth="1"/>
    <col min="3" max="3" width="28.140625" style="1" customWidth="1"/>
    <col min="4" max="4" width="24.5703125" style="1" bestFit="1" customWidth="1"/>
    <col min="5" max="7" width="15.140625" style="1" customWidth="1"/>
    <col min="8" max="8" width="15.42578125" style="1" customWidth="1"/>
    <col min="9" max="9" width="15.140625" style="1" customWidth="1"/>
    <col min="10" max="10" width="15.85546875" style="1" customWidth="1"/>
    <col min="11" max="11" width="15.140625" style="1" customWidth="1"/>
    <col min="12" max="12" width="15.85546875" style="1" customWidth="1"/>
    <col min="13" max="13" width="15.140625" style="1" customWidth="1"/>
    <col min="14" max="14" width="15.85546875" style="1" customWidth="1"/>
    <col min="15" max="15" width="15.140625" style="1" customWidth="1"/>
    <col min="16" max="16" width="15.85546875" style="1" customWidth="1"/>
    <col min="17" max="17" width="15.140625" style="1" customWidth="1"/>
    <col min="18" max="18" width="15.85546875" style="1" customWidth="1"/>
    <col min="19" max="19" width="15.140625" style="1" customWidth="1"/>
    <col min="20" max="20" width="15.85546875" style="1" customWidth="1"/>
    <col min="21" max="21" width="15.140625" style="1" customWidth="1"/>
    <col min="22" max="22" width="15.85546875" style="1" customWidth="1"/>
    <col min="23" max="23" width="15.140625" style="1" customWidth="1"/>
    <col min="24" max="24" width="15.85546875" style="1" customWidth="1"/>
    <col min="25" max="25" width="15.140625" style="1" customWidth="1"/>
    <col min="26" max="26" width="15.85546875" style="1" customWidth="1"/>
    <col min="27" max="27" width="15.140625" style="1" customWidth="1"/>
    <col min="28" max="28" width="15.85546875" style="1" customWidth="1"/>
    <col min="29" max="29" width="15.140625" style="1" customWidth="1"/>
    <col min="30" max="30" width="15.85546875" style="1" customWidth="1"/>
    <col min="31" max="31" width="15.140625" style="1" customWidth="1"/>
    <col min="32" max="32" width="15.85546875" style="1" customWidth="1"/>
    <col min="33" max="36" width="15.140625" style="1" customWidth="1"/>
    <col min="37" max="37" width="19.5703125" style="1" bestFit="1" customWidth="1"/>
    <col min="38" max="38" width="19.7109375" style="1" bestFit="1" customWidth="1"/>
    <col min="39" max="39" width="19.5703125" style="1" bestFit="1" customWidth="1"/>
    <col min="40" max="40" width="19.7109375" style="1" bestFit="1" customWidth="1"/>
    <col min="41" max="41" width="19.5703125" style="1" bestFit="1" customWidth="1"/>
    <col min="42" max="42" width="19.7109375" style="1" bestFit="1" customWidth="1"/>
    <col min="43" max="43" width="19.5703125" style="1" bestFit="1" customWidth="1"/>
    <col min="44" max="44" width="19.7109375" style="1" bestFit="1" customWidth="1"/>
    <col min="45" max="16384" width="9.140625" style="1"/>
  </cols>
  <sheetData>
    <row r="1" spans="1:44" ht="15">
      <c r="A1" s="6" t="s">
        <v>5</v>
      </c>
      <c r="B1" s="3"/>
      <c r="C1" s="7" t="s">
        <v>20</v>
      </c>
      <c r="D1" s="3"/>
      <c r="E1" s="7" t="s">
        <v>1281</v>
      </c>
      <c r="F1" s="7" t="s">
        <v>1282</v>
      </c>
      <c r="G1" s="7" t="s">
        <v>927</v>
      </c>
      <c r="H1" s="3"/>
      <c r="I1" s="7" t="s">
        <v>928</v>
      </c>
      <c r="J1" s="3"/>
      <c r="K1" s="7" t="s">
        <v>929</v>
      </c>
      <c r="L1" s="3"/>
      <c r="M1" s="7" t="s">
        <v>930</v>
      </c>
      <c r="N1" s="3"/>
      <c r="O1" s="7" t="s">
        <v>931</v>
      </c>
      <c r="P1" s="3"/>
      <c r="Q1" s="7" t="s">
        <v>932</v>
      </c>
      <c r="R1" s="3"/>
      <c r="S1" s="7" t="s">
        <v>933</v>
      </c>
      <c r="T1" s="3"/>
      <c r="U1" s="7" t="s">
        <v>934</v>
      </c>
      <c r="V1" s="3"/>
      <c r="W1" s="7" t="s">
        <v>935</v>
      </c>
      <c r="X1" s="3"/>
      <c r="Y1" s="7" t="s">
        <v>936</v>
      </c>
      <c r="Z1" s="3"/>
      <c r="AA1" s="7" t="s">
        <v>937</v>
      </c>
      <c r="AB1" s="3"/>
      <c r="AC1" s="7" t="s">
        <v>938</v>
      </c>
      <c r="AD1" s="3"/>
      <c r="AE1" s="7" t="s">
        <v>939</v>
      </c>
      <c r="AF1" s="3"/>
      <c r="AG1" s="7" t="s">
        <v>940</v>
      </c>
      <c r="AH1" s="7" t="s">
        <v>800</v>
      </c>
      <c r="AI1" s="7" t="s">
        <v>803</v>
      </c>
      <c r="AJ1" s="7" t="s">
        <v>804</v>
      </c>
      <c r="AK1" s="7" t="s">
        <v>27</v>
      </c>
      <c r="AL1" s="7" t="s">
        <v>28</v>
      </c>
      <c r="AM1" s="7" t="s">
        <v>30</v>
      </c>
      <c r="AN1" s="7" t="s">
        <v>31</v>
      </c>
      <c r="AO1" s="7" t="s">
        <v>32</v>
      </c>
      <c r="AP1" s="7" t="s">
        <v>33</v>
      </c>
      <c r="AQ1" s="7" t="s">
        <v>34</v>
      </c>
      <c r="AR1" s="7" t="s">
        <v>35</v>
      </c>
    </row>
    <row r="2" spans="1:44" ht="27">
      <c r="A2" s="6" t="s">
        <v>50</v>
      </c>
      <c r="B2" s="3"/>
      <c r="C2" s="7" t="s">
        <v>6</v>
      </c>
      <c r="D2" s="3"/>
      <c r="E2" s="7" t="s">
        <v>7</v>
      </c>
      <c r="F2" s="7" t="s">
        <v>7</v>
      </c>
      <c r="G2" s="7" t="s">
        <v>38</v>
      </c>
      <c r="H2" s="3"/>
      <c r="I2" s="7" t="s">
        <v>38</v>
      </c>
      <c r="J2" s="3"/>
      <c r="K2" s="7" t="s">
        <v>38</v>
      </c>
      <c r="L2" s="3"/>
      <c r="M2" s="7" t="s">
        <v>38</v>
      </c>
      <c r="N2" s="3"/>
      <c r="O2" s="7" t="s">
        <v>38</v>
      </c>
      <c r="P2" s="3"/>
      <c r="Q2" s="7" t="s">
        <v>38</v>
      </c>
      <c r="R2" s="3"/>
      <c r="S2" s="7" t="s">
        <v>7</v>
      </c>
      <c r="T2" s="3"/>
      <c r="U2" s="7" t="s">
        <v>7</v>
      </c>
      <c r="V2" s="3"/>
      <c r="W2" s="7" t="s">
        <v>7</v>
      </c>
      <c r="X2" s="3"/>
      <c r="Y2" s="7" t="s">
        <v>7</v>
      </c>
      <c r="Z2" s="3"/>
      <c r="AA2" s="7" t="s">
        <v>7</v>
      </c>
      <c r="AB2" s="3"/>
      <c r="AC2" s="7" t="s">
        <v>7</v>
      </c>
      <c r="AD2" s="3"/>
      <c r="AE2" s="7" t="s">
        <v>7</v>
      </c>
      <c r="AF2" s="3"/>
      <c r="AG2" s="7" t="s">
        <v>7</v>
      </c>
      <c r="AH2" s="7" t="s">
        <v>801</v>
      </c>
      <c r="AI2" s="7" t="s">
        <v>801</v>
      </c>
      <c r="AJ2" s="7" t="s">
        <v>801</v>
      </c>
      <c r="AK2" s="7" t="s">
        <v>26</v>
      </c>
      <c r="AL2" s="7" t="s">
        <v>29</v>
      </c>
      <c r="AM2" s="7" t="s">
        <v>26</v>
      </c>
      <c r="AN2" s="7" t="s">
        <v>29</v>
      </c>
      <c r="AO2" s="7" t="s">
        <v>26</v>
      </c>
      <c r="AP2" s="7" t="s">
        <v>29</v>
      </c>
      <c r="AQ2" s="7" t="s">
        <v>26</v>
      </c>
      <c r="AR2" s="7" t="s">
        <v>29</v>
      </c>
    </row>
    <row r="3" spans="1:44" ht="15">
      <c r="A3" s="8" t="s">
        <v>1</v>
      </c>
      <c r="B3" s="3" t="s">
        <v>57</v>
      </c>
      <c r="C3" s="9">
        <v>1</v>
      </c>
      <c r="D3" s="3" t="s">
        <v>57</v>
      </c>
      <c r="E3" s="9" t="s">
        <v>0</v>
      </c>
      <c r="F3" s="9" t="s">
        <v>0</v>
      </c>
      <c r="G3" s="9" t="s">
        <v>0</v>
      </c>
      <c r="H3" s="3" t="s">
        <v>57</v>
      </c>
      <c r="I3" s="9" t="s">
        <v>0</v>
      </c>
      <c r="J3" s="3" t="s">
        <v>57</v>
      </c>
      <c r="K3" s="9" t="s">
        <v>0</v>
      </c>
      <c r="L3" s="3" t="s">
        <v>57</v>
      </c>
      <c r="M3" s="9" t="s">
        <v>0</v>
      </c>
      <c r="N3" s="3" t="s">
        <v>57</v>
      </c>
      <c r="O3" s="9" t="s">
        <v>0</v>
      </c>
      <c r="P3" s="3" t="s">
        <v>57</v>
      </c>
      <c r="Q3" s="9" t="s">
        <v>0</v>
      </c>
      <c r="R3" s="3" t="s">
        <v>0</v>
      </c>
      <c r="S3" s="9" t="s">
        <v>0</v>
      </c>
      <c r="T3" s="3"/>
      <c r="U3" s="9" t="s">
        <v>0</v>
      </c>
      <c r="V3" s="3"/>
      <c r="W3" s="9" t="s">
        <v>0</v>
      </c>
      <c r="X3" s="3"/>
      <c r="Y3" s="9" t="s">
        <v>0</v>
      </c>
      <c r="Z3" s="3"/>
      <c r="AA3" s="9" t="s">
        <v>0</v>
      </c>
      <c r="AB3" s="3"/>
      <c r="AC3" s="9" t="s">
        <v>0</v>
      </c>
      <c r="AD3" s="3"/>
      <c r="AE3" s="9" t="s">
        <v>0</v>
      </c>
      <c r="AF3" s="3"/>
      <c r="AG3" s="9" t="s">
        <v>0</v>
      </c>
      <c r="AH3" s="9" t="s">
        <v>802</v>
      </c>
      <c r="AI3" s="9" t="s">
        <v>802</v>
      </c>
      <c r="AJ3" s="9" t="s">
        <v>802</v>
      </c>
      <c r="AK3" s="9" t="s">
        <v>0</v>
      </c>
      <c r="AL3" s="9" t="s">
        <v>0</v>
      </c>
      <c r="AM3" s="9" t="s">
        <v>0</v>
      </c>
      <c r="AN3" s="9" t="s">
        <v>0</v>
      </c>
      <c r="AO3" s="9" t="s">
        <v>0</v>
      </c>
      <c r="AP3" s="9" t="s">
        <v>0</v>
      </c>
      <c r="AQ3" s="9" t="s">
        <v>0</v>
      </c>
      <c r="AR3" s="9" t="s">
        <v>0</v>
      </c>
    </row>
    <row r="4" spans="1:44" ht="15">
      <c r="A4" s="8" t="s">
        <v>847</v>
      </c>
      <c r="B4" s="3" t="s">
        <v>0</v>
      </c>
      <c r="C4" s="9" t="s">
        <v>0</v>
      </c>
      <c r="D4" s="3" t="s">
        <v>0</v>
      </c>
      <c r="E4" s="9" t="s">
        <v>0</v>
      </c>
      <c r="F4" s="9" t="s">
        <v>0</v>
      </c>
      <c r="G4" s="9">
        <v>1</v>
      </c>
      <c r="H4" s="3" t="s">
        <v>0</v>
      </c>
      <c r="I4" s="9">
        <v>1</v>
      </c>
      <c r="J4" s="3" t="s">
        <v>0</v>
      </c>
      <c r="K4" s="9">
        <v>1</v>
      </c>
      <c r="L4" s="3" t="s">
        <v>0</v>
      </c>
      <c r="M4" s="9">
        <v>1</v>
      </c>
      <c r="N4" s="3" t="s">
        <v>0</v>
      </c>
      <c r="O4" s="9">
        <v>1</v>
      </c>
      <c r="P4" s="3" t="s">
        <v>0</v>
      </c>
      <c r="Q4" s="9">
        <v>1</v>
      </c>
      <c r="R4" s="3" t="s">
        <v>0</v>
      </c>
      <c r="S4" s="9">
        <v>1</v>
      </c>
      <c r="T4" s="3"/>
      <c r="U4" s="9">
        <v>1</v>
      </c>
      <c r="V4" s="3"/>
      <c r="W4" s="9">
        <v>1</v>
      </c>
      <c r="X4" s="3"/>
      <c r="Y4" s="9">
        <v>1</v>
      </c>
      <c r="Z4" s="3"/>
      <c r="AA4" s="9">
        <v>1</v>
      </c>
      <c r="AB4" s="3"/>
      <c r="AC4" s="9">
        <v>1</v>
      </c>
      <c r="AD4" s="3"/>
      <c r="AE4" s="9">
        <v>1</v>
      </c>
      <c r="AF4" s="3"/>
      <c r="AG4" s="9">
        <v>1</v>
      </c>
      <c r="AH4" s="9" t="s">
        <v>0</v>
      </c>
      <c r="AI4" s="9" t="s">
        <v>0</v>
      </c>
      <c r="AJ4" s="9" t="s">
        <v>0</v>
      </c>
      <c r="AK4" s="9">
        <v>1</v>
      </c>
      <c r="AL4" s="9">
        <v>1</v>
      </c>
      <c r="AM4" s="9">
        <v>1</v>
      </c>
      <c r="AN4" s="9">
        <v>1</v>
      </c>
      <c r="AO4" s="9">
        <v>1</v>
      </c>
      <c r="AP4" s="9">
        <v>1</v>
      </c>
      <c r="AQ4" s="9">
        <v>1</v>
      </c>
      <c r="AR4" s="9">
        <v>1</v>
      </c>
    </row>
    <row r="5" spans="1:44" ht="15">
      <c r="A5" s="8" t="s">
        <v>2</v>
      </c>
      <c r="B5" s="3" t="s">
        <v>58</v>
      </c>
      <c r="C5" s="9" t="s">
        <v>0</v>
      </c>
      <c r="D5" s="3" t="s">
        <v>58</v>
      </c>
      <c r="E5" s="9">
        <v>10</v>
      </c>
      <c r="F5" s="9">
        <v>10</v>
      </c>
      <c r="G5" s="9" t="s">
        <v>0</v>
      </c>
      <c r="H5" s="3" t="s">
        <v>58</v>
      </c>
      <c r="I5" s="9" t="s">
        <v>0</v>
      </c>
      <c r="J5" s="3" t="s">
        <v>58</v>
      </c>
      <c r="K5" s="9" t="s">
        <v>0</v>
      </c>
      <c r="L5" s="3" t="s">
        <v>58</v>
      </c>
      <c r="M5" s="9" t="s">
        <v>0</v>
      </c>
      <c r="N5" s="3" t="s">
        <v>58</v>
      </c>
      <c r="O5" s="9" t="s">
        <v>0</v>
      </c>
      <c r="P5" s="3" t="s">
        <v>58</v>
      </c>
      <c r="Q5" s="9" t="s">
        <v>0</v>
      </c>
      <c r="R5" s="3" t="s">
        <v>0</v>
      </c>
      <c r="S5" s="9" t="s">
        <v>0</v>
      </c>
      <c r="T5" s="3"/>
      <c r="U5" s="9" t="s">
        <v>0</v>
      </c>
      <c r="V5" s="3"/>
      <c r="W5" s="9" t="s">
        <v>0</v>
      </c>
      <c r="X5" s="3"/>
      <c r="Y5" s="9" t="s">
        <v>0</v>
      </c>
      <c r="Z5" s="3"/>
      <c r="AA5" s="9" t="s">
        <v>0</v>
      </c>
      <c r="AB5" s="3"/>
      <c r="AC5" s="9" t="s">
        <v>0</v>
      </c>
      <c r="AD5" s="3"/>
      <c r="AE5" s="9" t="s">
        <v>0</v>
      </c>
      <c r="AF5" s="3"/>
      <c r="AG5" s="9" t="s">
        <v>0</v>
      </c>
      <c r="AH5" s="9" t="s">
        <v>802</v>
      </c>
      <c r="AI5" s="9" t="s">
        <v>802</v>
      </c>
      <c r="AJ5" s="9" t="s">
        <v>802</v>
      </c>
      <c r="AK5" s="9" t="s">
        <v>0</v>
      </c>
      <c r="AL5" s="9" t="s">
        <v>0</v>
      </c>
      <c r="AM5" s="9" t="s">
        <v>0</v>
      </c>
      <c r="AN5" s="9" t="s">
        <v>0</v>
      </c>
      <c r="AO5" s="9" t="s">
        <v>0</v>
      </c>
      <c r="AP5" s="9" t="s">
        <v>0</v>
      </c>
      <c r="AQ5" s="9" t="s">
        <v>0</v>
      </c>
      <c r="AR5" s="9" t="s">
        <v>0</v>
      </c>
    </row>
    <row r="6" spans="1:44" ht="15">
      <c r="A6" s="8" t="s">
        <v>3</v>
      </c>
      <c r="B6" s="3" t="s">
        <v>59</v>
      </c>
      <c r="C6" s="9" t="s">
        <v>0</v>
      </c>
      <c r="D6" s="3" t="s">
        <v>59</v>
      </c>
      <c r="E6" s="9">
        <v>1000</v>
      </c>
      <c r="F6" s="9">
        <v>1000</v>
      </c>
      <c r="G6" s="9" t="s">
        <v>0</v>
      </c>
      <c r="H6" s="3" t="s">
        <v>59</v>
      </c>
      <c r="I6" s="9" t="s">
        <v>0</v>
      </c>
      <c r="J6" s="3" t="s">
        <v>59</v>
      </c>
      <c r="K6" s="9" t="s">
        <v>0</v>
      </c>
      <c r="L6" s="3" t="s">
        <v>59</v>
      </c>
      <c r="M6" s="9" t="s">
        <v>0</v>
      </c>
      <c r="N6" s="3" t="s">
        <v>59</v>
      </c>
      <c r="O6" s="9" t="s">
        <v>0</v>
      </c>
      <c r="P6" s="3" t="s">
        <v>59</v>
      </c>
      <c r="Q6" s="9" t="s">
        <v>0</v>
      </c>
      <c r="R6" s="3" t="s">
        <v>0</v>
      </c>
      <c r="S6" s="9" t="s">
        <v>0</v>
      </c>
      <c r="T6" s="3"/>
      <c r="U6" s="9" t="s">
        <v>0</v>
      </c>
      <c r="V6" s="3"/>
      <c r="W6" s="9" t="s">
        <v>0</v>
      </c>
      <c r="X6" s="3"/>
      <c r="Y6" s="9" t="s">
        <v>0</v>
      </c>
      <c r="Z6" s="3"/>
      <c r="AA6" s="9" t="s">
        <v>0</v>
      </c>
      <c r="AB6" s="3"/>
      <c r="AC6" s="9" t="s">
        <v>0</v>
      </c>
      <c r="AD6" s="3"/>
      <c r="AE6" s="9" t="s">
        <v>0</v>
      </c>
      <c r="AF6" s="3"/>
      <c r="AG6" s="9" t="s">
        <v>0</v>
      </c>
      <c r="AH6" s="9" t="s">
        <v>802</v>
      </c>
      <c r="AI6" s="9" t="s">
        <v>802</v>
      </c>
      <c r="AJ6" s="9" t="s">
        <v>802</v>
      </c>
      <c r="AK6" s="9" t="s">
        <v>0</v>
      </c>
      <c r="AL6" s="9" t="s">
        <v>0</v>
      </c>
      <c r="AM6" s="9" t="s">
        <v>0</v>
      </c>
      <c r="AN6" s="9" t="s">
        <v>0</v>
      </c>
      <c r="AO6" s="9" t="s">
        <v>0</v>
      </c>
      <c r="AP6" s="9" t="s">
        <v>0</v>
      </c>
      <c r="AQ6" s="9" t="s">
        <v>0</v>
      </c>
      <c r="AR6" s="9" t="s">
        <v>0</v>
      </c>
    </row>
    <row r="7" spans="1:44" ht="15">
      <c r="A7" s="8" t="s">
        <v>4</v>
      </c>
      <c r="B7" s="3" t="s">
        <v>60</v>
      </c>
      <c r="C7" s="9" t="s">
        <v>0</v>
      </c>
      <c r="D7" s="3" t="s">
        <v>60</v>
      </c>
      <c r="E7" s="9" t="s">
        <v>0</v>
      </c>
      <c r="F7" s="9" t="s">
        <v>0</v>
      </c>
      <c r="G7" s="9" t="s">
        <v>0</v>
      </c>
      <c r="H7" s="3" t="s">
        <v>60</v>
      </c>
      <c r="I7" s="9" t="s">
        <v>0</v>
      </c>
      <c r="J7" s="3" t="s">
        <v>60</v>
      </c>
      <c r="K7" s="9" t="s">
        <v>0</v>
      </c>
      <c r="L7" s="3" t="s">
        <v>60</v>
      </c>
      <c r="M7" s="9" t="s">
        <v>0</v>
      </c>
      <c r="N7" s="3" t="s">
        <v>60</v>
      </c>
      <c r="O7" s="9" t="s">
        <v>0</v>
      </c>
      <c r="P7" s="3" t="s">
        <v>60</v>
      </c>
      <c r="Q7" s="9" t="s">
        <v>0</v>
      </c>
      <c r="R7" s="3" t="s">
        <v>0</v>
      </c>
      <c r="S7" s="9" t="s">
        <v>0</v>
      </c>
      <c r="T7" s="3"/>
      <c r="U7" s="9" t="s">
        <v>0</v>
      </c>
      <c r="V7" s="3"/>
      <c r="W7" s="9" t="s">
        <v>0</v>
      </c>
      <c r="X7" s="3"/>
      <c r="Y7" s="9" t="s">
        <v>0</v>
      </c>
      <c r="Z7" s="3"/>
      <c r="AA7" s="9" t="s">
        <v>0</v>
      </c>
      <c r="AB7" s="3"/>
      <c r="AC7" s="9" t="s">
        <v>0</v>
      </c>
      <c r="AD7" s="3"/>
      <c r="AE7" s="9" t="s">
        <v>0</v>
      </c>
      <c r="AF7" s="3"/>
      <c r="AG7" s="9" t="s">
        <v>0</v>
      </c>
      <c r="AH7" s="9" t="s">
        <v>802</v>
      </c>
      <c r="AI7" s="9" t="s">
        <v>802</v>
      </c>
      <c r="AJ7" s="9" t="s">
        <v>802</v>
      </c>
      <c r="AK7" s="9" t="s">
        <v>0</v>
      </c>
      <c r="AL7" s="9" t="s">
        <v>0</v>
      </c>
      <c r="AM7" s="9" t="s">
        <v>0</v>
      </c>
      <c r="AN7" s="9" t="s">
        <v>0</v>
      </c>
      <c r="AO7" s="9" t="s">
        <v>0</v>
      </c>
      <c r="AP7" s="9" t="s">
        <v>0</v>
      </c>
      <c r="AQ7" s="9" t="s">
        <v>0</v>
      </c>
      <c r="AR7" s="9" t="s">
        <v>0</v>
      </c>
    </row>
    <row r="8" spans="1:44" ht="15">
      <c r="A8" s="8" t="s">
        <v>10</v>
      </c>
      <c r="B8" s="3" t="s">
        <v>57</v>
      </c>
      <c r="C8" s="9" t="s">
        <v>0</v>
      </c>
      <c r="D8" s="3" t="s">
        <v>57</v>
      </c>
      <c r="E8" s="9" t="s">
        <v>0</v>
      </c>
      <c r="F8" s="9" t="s">
        <v>0</v>
      </c>
      <c r="G8" s="9" t="s">
        <v>51</v>
      </c>
      <c r="H8" s="3" t="s">
        <v>57</v>
      </c>
      <c r="I8" s="9" t="s">
        <v>51</v>
      </c>
      <c r="J8" s="3" t="s">
        <v>57</v>
      </c>
      <c r="K8" s="9" t="s">
        <v>51</v>
      </c>
      <c r="L8" s="3" t="s">
        <v>57</v>
      </c>
      <c r="M8" s="9" t="s">
        <v>51</v>
      </c>
      <c r="N8" s="3" t="s">
        <v>57</v>
      </c>
      <c r="O8" s="9" t="s">
        <v>51</v>
      </c>
      <c r="P8" s="3" t="s">
        <v>57</v>
      </c>
      <c r="Q8" s="9" t="s">
        <v>51</v>
      </c>
      <c r="R8" s="3" t="s">
        <v>0</v>
      </c>
      <c r="S8" s="9" t="s">
        <v>51</v>
      </c>
      <c r="T8" s="3"/>
      <c r="U8" s="9" t="s">
        <v>51</v>
      </c>
      <c r="V8" s="3"/>
      <c r="W8" s="9" t="s">
        <v>51</v>
      </c>
      <c r="X8" s="3"/>
      <c r="Y8" s="9" t="s">
        <v>51</v>
      </c>
      <c r="Z8" s="3"/>
      <c r="AA8" s="9" t="s">
        <v>51</v>
      </c>
      <c r="AB8" s="3"/>
      <c r="AC8" s="9" t="s">
        <v>51</v>
      </c>
      <c r="AD8" s="3"/>
      <c r="AE8" s="9" t="s">
        <v>51</v>
      </c>
      <c r="AF8" s="3"/>
      <c r="AG8" s="9" t="s">
        <v>51</v>
      </c>
      <c r="AH8" s="9" t="s">
        <v>802</v>
      </c>
      <c r="AI8" s="9" t="s">
        <v>802</v>
      </c>
      <c r="AJ8" s="9" t="s">
        <v>802</v>
      </c>
      <c r="AK8" s="9" t="s">
        <v>0</v>
      </c>
      <c r="AL8" s="9" t="s">
        <v>0</v>
      </c>
      <c r="AM8" s="9" t="s">
        <v>0</v>
      </c>
      <c r="AN8" s="9" t="s">
        <v>0</v>
      </c>
      <c r="AO8" s="9" t="s">
        <v>0</v>
      </c>
      <c r="AP8" s="9" t="s">
        <v>0</v>
      </c>
      <c r="AQ8" s="9" t="s">
        <v>0</v>
      </c>
      <c r="AR8" s="9" t="s">
        <v>0</v>
      </c>
    </row>
    <row r="9" spans="1:44" ht="15">
      <c r="A9" s="8" t="s">
        <v>843</v>
      </c>
      <c r="B9" s="3" t="s">
        <v>57</v>
      </c>
      <c r="C9" s="9">
        <v>1</v>
      </c>
      <c r="D9" s="3" t="s">
        <v>57</v>
      </c>
      <c r="E9" s="9" t="s">
        <v>0</v>
      </c>
      <c r="F9" s="9" t="s">
        <v>0</v>
      </c>
      <c r="G9" s="9" t="s">
        <v>0</v>
      </c>
      <c r="H9" s="3" t="s">
        <v>57</v>
      </c>
      <c r="I9" s="9" t="s">
        <v>0</v>
      </c>
      <c r="J9" s="3" t="s">
        <v>57</v>
      </c>
      <c r="K9" s="9" t="s">
        <v>0</v>
      </c>
      <c r="L9" s="3" t="s">
        <v>57</v>
      </c>
      <c r="M9" s="9" t="s">
        <v>0</v>
      </c>
      <c r="N9" s="3" t="s">
        <v>57</v>
      </c>
      <c r="O9" s="9" t="s">
        <v>0</v>
      </c>
      <c r="P9" s="3" t="s">
        <v>57</v>
      </c>
      <c r="Q9" s="9" t="s">
        <v>0</v>
      </c>
      <c r="R9" s="3" t="s">
        <v>0</v>
      </c>
      <c r="S9" s="9" t="s">
        <v>0</v>
      </c>
      <c r="T9" s="3"/>
      <c r="U9" s="9" t="s">
        <v>0</v>
      </c>
      <c r="V9" s="3"/>
      <c r="W9" s="9" t="s">
        <v>0</v>
      </c>
      <c r="X9" s="3"/>
      <c r="Y9" s="9" t="s">
        <v>0</v>
      </c>
      <c r="Z9" s="3"/>
      <c r="AA9" s="9" t="s">
        <v>0</v>
      </c>
      <c r="AB9" s="3"/>
      <c r="AC9" s="9" t="s">
        <v>0</v>
      </c>
      <c r="AD9" s="3"/>
      <c r="AE9" s="9" t="s">
        <v>0</v>
      </c>
      <c r="AF9" s="3"/>
      <c r="AG9" s="9" t="s">
        <v>0</v>
      </c>
      <c r="AH9" s="9" t="s">
        <v>0</v>
      </c>
      <c r="AI9" s="9" t="s">
        <v>0</v>
      </c>
      <c r="AJ9" s="9" t="s">
        <v>0</v>
      </c>
      <c r="AK9" s="9" t="s">
        <v>0</v>
      </c>
      <c r="AL9" s="9">
        <v>1</v>
      </c>
      <c r="AM9" s="9" t="s">
        <v>0</v>
      </c>
      <c r="AN9" s="9">
        <v>1</v>
      </c>
      <c r="AO9" s="9" t="s">
        <v>0</v>
      </c>
      <c r="AP9" s="9">
        <v>1</v>
      </c>
      <c r="AQ9" s="9" t="s">
        <v>0</v>
      </c>
      <c r="AR9" s="9">
        <v>1</v>
      </c>
    </row>
    <row r="10" spans="1:44" ht="15">
      <c r="A10" s="10">
        <v>45000000</v>
      </c>
      <c r="B10" s="22" t="s">
        <v>168</v>
      </c>
      <c r="C10" s="11" t="s">
        <v>240</v>
      </c>
      <c r="D10" s="4" t="s">
        <v>68</v>
      </c>
      <c r="E10" s="11">
        <v>700</v>
      </c>
      <c r="F10" s="11">
        <v>80</v>
      </c>
      <c r="G10" s="11">
        <f>IFERROR(INDEX(ShipPartShape!$A:$A,MATCH(D10,ShipPartShape!$B:$B,0)),"-")</f>
        <v>46000001</v>
      </c>
      <c r="H10" s="4" t="s">
        <v>71</v>
      </c>
      <c r="I10" s="11">
        <f>IFERROR(INDEX(ShipPartShape!$A:$A,MATCH(H10,ShipPartShape!$B:$B,0)),"-")</f>
        <v>46700001</v>
      </c>
      <c r="J10" s="4"/>
      <c r="K10" s="11" t="str">
        <f>IFERROR(INDEX(ShipPartShape!$A:$A,MATCH(J10,ShipPartShape!$B:$B,0)),"-")</f>
        <v>-</v>
      </c>
      <c r="L10" s="4"/>
      <c r="M10" s="11" t="str">
        <f>IFERROR(INDEX(ShipPartShape!$A:$A,MATCH(L10,ShipPartShape!$B:$B,0)),"-")</f>
        <v>-</v>
      </c>
      <c r="N10" s="4"/>
      <c r="O10" s="11" t="str">
        <f>IFERROR(INDEX(ShipPartShape!$A:$A,MATCH(N10,ShipPartShape!$B:$B,0)),"-")</f>
        <v>-</v>
      </c>
      <c r="P10" s="4"/>
      <c r="Q10" s="11" t="str">
        <f>IFERROR(INDEX(ShipPartShape!$A:$A,MATCH(P10,ShipPartShape!$B:$B,0)),"-")</f>
        <v>-</v>
      </c>
      <c r="R10" s="4" t="s">
        <v>921</v>
      </c>
      <c r="S10" s="11">
        <f>IFERROR(INDEX(ShipPartShape!$A:$A,MATCH(R10,ShipPartShape!$B:$B,0)),"-")</f>
        <v>46600003</v>
      </c>
      <c r="T10" s="4" t="s">
        <v>923</v>
      </c>
      <c r="U10" s="11">
        <f>IFERROR(INDEX(ShipPartShape!$A:$A,MATCH(T10,ShipPartShape!$B:$B,0)),"-")</f>
        <v>46600004</v>
      </c>
      <c r="V10" s="4" t="s">
        <v>919</v>
      </c>
      <c r="W10" s="11">
        <f>IFERROR(INDEX(ShipPartShape!$A:$A,MATCH(V10,ShipPartShape!$B:$B,0)),"-")</f>
        <v>46600005</v>
      </c>
      <c r="X10" s="4" t="s">
        <v>918</v>
      </c>
      <c r="Y10" s="11">
        <f>IFERROR(INDEX(ShipPartShape!$A:$A,MATCH(X10,ShipPartShape!$B:$B,0)),"-")</f>
        <v>46600007</v>
      </c>
      <c r="Z10" s="4"/>
      <c r="AA10" s="11" t="str">
        <f>IFERROR(INDEX(ShipPartShape!$A:$A,MATCH(Z10,ShipPartShape!$B:$B,0)),"-")</f>
        <v>-</v>
      </c>
      <c r="AB10" s="4" t="s">
        <v>1817</v>
      </c>
      <c r="AC10" s="11">
        <f>IFERROR(INDEX(ShipPartShape!$A:$A,MATCH(AB10,ShipPartShape!$B:$B,0)),"-")</f>
        <v>46100019</v>
      </c>
      <c r="AD10" s="4"/>
      <c r="AE10" s="11" t="str">
        <f>IFERROR(INDEX(ShipPartShape!$A:$A,MATCH(AD10,ShipPartShape!$B:$B,0)),"-")</f>
        <v>-</v>
      </c>
      <c r="AF10" s="4"/>
      <c r="AG10" s="11" t="str">
        <f>IFERROR(INDEX(ShipPartShape!$A:$A,MATCH(AF10,ShipPartShape!$B:$B,0)),"-")</f>
        <v>-</v>
      </c>
      <c r="AH10" s="11" t="s">
        <v>802</v>
      </c>
      <c r="AI10" s="11" t="s">
        <v>802</v>
      </c>
      <c r="AJ10" s="11" t="s">
        <v>802</v>
      </c>
      <c r="AK10" s="11" t="s">
        <v>0</v>
      </c>
      <c r="AL10" s="11" t="s">
        <v>0</v>
      </c>
      <c r="AM10" s="11" t="s">
        <v>0</v>
      </c>
      <c r="AN10" s="11" t="s">
        <v>0</v>
      </c>
      <c r="AO10" s="11" t="s">
        <v>0</v>
      </c>
      <c r="AP10" s="11" t="s">
        <v>0</v>
      </c>
      <c r="AQ10" s="11" t="s">
        <v>0</v>
      </c>
      <c r="AR10" s="11" t="s">
        <v>0</v>
      </c>
    </row>
    <row r="11" spans="1:44" ht="15">
      <c r="A11" s="10">
        <f>A10+1</f>
        <v>45000001</v>
      </c>
      <c r="B11" s="4" t="s">
        <v>183</v>
      </c>
      <c r="C11" s="11" t="s">
        <v>240</v>
      </c>
      <c r="D11" s="4" t="s">
        <v>73</v>
      </c>
      <c r="E11" s="11">
        <v>700</v>
      </c>
      <c r="F11" s="11">
        <v>80</v>
      </c>
      <c r="G11" s="11">
        <f>IFERROR(INDEX(ShipPartShape!$A:$A,MATCH(D11,ShipPartShape!$B:$B,0)),"-")</f>
        <v>46000002</v>
      </c>
      <c r="H11" s="4" t="s">
        <v>70</v>
      </c>
      <c r="I11" s="11">
        <f>IFERROR(INDEX(ShipPartShape!$A:$A,MATCH(H11,ShipPartShape!$B:$B,0)),"-")</f>
        <v>46300001</v>
      </c>
      <c r="J11" s="4" t="s">
        <v>71</v>
      </c>
      <c r="K11" s="11">
        <f>IFERROR(INDEX(ShipPartShape!$A:$A,MATCH(J11,ShipPartShape!$B:$B,0)),"-")</f>
        <v>46700001</v>
      </c>
      <c r="L11" s="4"/>
      <c r="M11" s="11" t="str">
        <f>IFERROR(INDEX(ShipPartShape!$A:$A,MATCH(L11,ShipPartShape!$B:$B,0)),"-")</f>
        <v>-</v>
      </c>
      <c r="N11" s="4"/>
      <c r="O11" s="11" t="str">
        <f>IFERROR(INDEX(ShipPartShape!$A:$A,MATCH(N11,ShipPartShape!$B:$B,0)),"-")</f>
        <v>-</v>
      </c>
      <c r="P11" s="4"/>
      <c r="Q11" s="11" t="str">
        <f>IFERROR(INDEX(ShipPartShape!$A:$A,MATCH(P11,ShipPartShape!$B:$B,0)),"-")</f>
        <v>-</v>
      </c>
      <c r="R11" s="4"/>
      <c r="S11" s="11" t="str">
        <f>IFERROR(INDEX(ShipPartShape!$A:$A,MATCH(R11,ShipPartShape!$B:$B,0)),"-")</f>
        <v>-</v>
      </c>
      <c r="T11" s="4"/>
      <c r="U11" s="11" t="str">
        <f>IFERROR(INDEX(ShipPartShape!$A:$A,MATCH(T11,ShipPartShape!$B:$B,0)),"-")</f>
        <v>-</v>
      </c>
      <c r="V11" s="4"/>
      <c r="W11" s="11" t="str">
        <f>IFERROR(INDEX(ShipPartShape!$A:$A,MATCH(V11,ShipPartShape!$B:$B,0)),"-")</f>
        <v>-</v>
      </c>
      <c r="X11" s="4"/>
      <c r="Y11" s="11" t="str">
        <f>IFERROR(INDEX(ShipPartShape!$A:$A,MATCH(X11,ShipPartShape!$B:$B,0)),"-")</f>
        <v>-</v>
      </c>
      <c r="Z11" s="4"/>
      <c r="AA11" s="11" t="str">
        <f>IFERROR(INDEX(ShipPartShape!$A:$A,MATCH(Z11,ShipPartShape!$B:$B,0)),"-")</f>
        <v>-</v>
      </c>
      <c r="AB11" s="4"/>
      <c r="AC11" s="11" t="str">
        <f>IFERROR(INDEX(ShipPartShape!$A:$A,MATCH(AB11,ShipPartShape!$B:$B,0)),"-")</f>
        <v>-</v>
      </c>
      <c r="AD11" s="4"/>
      <c r="AE11" s="11" t="str">
        <f>IFERROR(INDEX(ShipPartShape!$A:$A,MATCH(AD11,ShipPartShape!$B:$B,0)),"-")</f>
        <v>-</v>
      </c>
      <c r="AF11" s="4"/>
      <c r="AG11" s="11" t="str">
        <f>IFERROR(INDEX(ShipPartShape!$A:$A,MATCH(AF11,ShipPartShape!$B:$B,0)),"-")</f>
        <v>-</v>
      </c>
      <c r="AH11" s="11" t="s">
        <v>802</v>
      </c>
      <c r="AI11" s="11" t="s">
        <v>802</v>
      </c>
      <c r="AJ11" s="11" t="s">
        <v>802</v>
      </c>
      <c r="AK11" s="11" t="s">
        <v>105</v>
      </c>
      <c r="AL11" s="11" t="s">
        <v>0</v>
      </c>
      <c r="AM11" s="11" t="s">
        <v>0</v>
      </c>
      <c r="AN11" s="11" t="s">
        <v>0</v>
      </c>
      <c r="AO11" s="11" t="s">
        <v>0</v>
      </c>
      <c r="AP11" s="11" t="s">
        <v>0</v>
      </c>
      <c r="AQ11" s="11" t="s">
        <v>0</v>
      </c>
      <c r="AR11" s="11" t="s">
        <v>0</v>
      </c>
    </row>
    <row r="12" spans="1:44" ht="15">
      <c r="A12" s="10">
        <f t="shared" ref="A12:A13" si="0">A11+1</f>
        <v>45000002</v>
      </c>
      <c r="B12" s="4" t="s">
        <v>184</v>
      </c>
      <c r="C12" s="11" t="s">
        <v>240</v>
      </c>
      <c r="D12" s="4" t="s">
        <v>77</v>
      </c>
      <c r="E12" s="11">
        <v>700</v>
      </c>
      <c r="F12" s="11">
        <v>80</v>
      </c>
      <c r="G12" s="11">
        <f>IFERROR(INDEX(ShipPartShape!$A:$A,MATCH(D12,ShipPartShape!$B:$B,0)),"-")</f>
        <v>46000003</v>
      </c>
      <c r="H12" s="4" t="s">
        <v>1170</v>
      </c>
      <c r="I12" s="11">
        <f>IFERROR(INDEX(ShipPartShape!$A:$A,MATCH(H12,ShipPartShape!$B:$B,0)),"-")</f>
        <v>46100002</v>
      </c>
      <c r="J12" s="4" t="s">
        <v>409</v>
      </c>
      <c r="K12" s="11">
        <f>IFERROR(INDEX(ShipPartShape!$A:$A,MATCH(J12,ShipPartShape!$B:$B,0)),"-")</f>
        <v>46200001</v>
      </c>
      <c r="L12" s="4" t="s">
        <v>70</v>
      </c>
      <c r="M12" s="11">
        <f>IFERROR(INDEX(ShipPartShape!$A:$A,MATCH(L12,ShipPartShape!$B:$B,0)),"-")</f>
        <v>46300001</v>
      </c>
      <c r="N12" s="4"/>
      <c r="O12" s="11" t="str">
        <f>IFERROR(INDEX(ShipPartShape!$A:$A,MATCH(N12,ShipPartShape!$B:$B,0)),"-")</f>
        <v>-</v>
      </c>
      <c r="P12" s="4"/>
      <c r="Q12" s="11" t="str">
        <f>IFERROR(INDEX(ShipPartShape!$A:$A,MATCH(P12,ShipPartShape!$B:$B,0)),"-")</f>
        <v>-</v>
      </c>
      <c r="R12" s="4"/>
      <c r="S12" s="11" t="str">
        <f>IFERROR(INDEX(ShipPartShape!$A:$A,MATCH(R12,ShipPartShape!$B:$B,0)),"-")</f>
        <v>-</v>
      </c>
      <c r="T12" s="4"/>
      <c r="U12" s="11" t="str">
        <f>IFERROR(INDEX(ShipPartShape!$A:$A,MATCH(T12,ShipPartShape!$B:$B,0)),"-")</f>
        <v>-</v>
      </c>
      <c r="V12" s="4"/>
      <c r="W12" s="11" t="str">
        <f>IFERROR(INDEX(ShipPartShape!$A:$A,MATCH(V12,ShipPartShape!$B:$B,0)),"-")</f>
        <v>-</v>
      </c>
      <c r="X12" s="4"/>
      <c r="Y12" s="11" t="str">
        <f>IFERROR(INDEX(ShipPartShape!$A:$A,MATCH(X12,ShipPartShape!$B:$B,0)),"-")</f>
        <v>-</v>
      </c>
      <c r="Z12" s="4"/>
      <c r="AA12" s="11" t="str">
        <f>IFERROR(INDEX(ShipPartShape!$A:$A,MATCH(Z12,ShipPartShape!$B:$B,0)),"-")</f>
        <v>-</v>
      </c>
      <c r="AB12" s="4"/>
      <c r="AC12" s="11" t="str">
        <f>IFERROR(INDEX(ShipPartShape!$A:$A,MATCH(AB12,ShipPartShape!$B:$B,0)),"-")</f>
        <v>-</v>
      </c>
      <c r="AD12" s="4"/>
      <c r="AE12" s="11" t="str">
        <f>IFERROR(INDEX(ShipPartShape!$A:$A,MATCH(AD12,ShipPartShape!$B:$B,0)),"-")</f>
        <v>-</v>
      </c>
      <c r="AF12" s="4"/>
      <c r="AG12" s="11" t="str">
        <f>IFERROR(INDEX(ShipPartShape!$A:$A,MATCH(AF12,ShipPartShape!$B:$B,0)),"-")</f>
        <v>-</v>
      </c>
      <c r="AH12" s="11" t="s">
        <v>802</v>
      </c>
      <c r="AI12" s="11" t="s">
        <v>802</v>
      </c>
      <c r="AJ12" s="11" t="s">
        <v>802</v>
      </c>
      <c r="AK12" s="11" t="s">
        <v>0</v>
      </c>
      <c r="AL12" s="11" t="s">
        <v>0</v>
      </c>
      <c r="AM12" s="11" t="s">
        <v>0</v>
      </c>
      <c r="AN12" s="11" t="s">
        <v>0</v>
      </c>
      <c r="AO12" s="11" t="s">
        <v>0</v>
      </c>
      <c r="AP12" s="11" t="s">
        <v>0</v>
      </c>
      <c r="AQ12" s="11" t="s">
        <v>0</v>
      </c>
      <c r="AR12" s="11" t="s">
        <v>0</v>
      </c>
    </row>
    <row r="13" spans="1:44" ht="15">
      <c r="A13" s="10">
        <f t="shared" si="0"/>
        <v>45000003</v>
      </c>
      <c r="B13" s="4" t="s">
        <v>185</v>
      </c>
      <c r="C13" s="11" t="s">
        <v>240</v>
      </c>
      <c r="D13" s="4" t="s">
        <v>79</v>
      </c>
      <c r="E13" s="11">
        <v>700</v>
      </c>
      <c r="F13" s="11">
        <v>80</v>
      </c>
      <c r="G13" s="11">
        <f>IFERROR(INDEX(ShipPartShape!$A:$A,MATCH(D13,ShipPartShape!$B:$B,0)),"-")</f>
        <v>46000004</v>
      </c>
      <c r="H13" s="4" t="s">
        <v>409</v>
      </c>
      <c r="I13" s="11">
        <f>IFERROR(INDEX(ShipPartShape!$A:$A,MATCH(H13,ShipPartShape!$B:$B,0)),"-")</f>
        <v>46200001</v>
      </c>
      <c r="J13" s="4" t="s">
        <v>70</v>
      </c>
      <c r="K13" s="11">
        <f>IFERROR(INDEX(ShipPartShape!$A:$A,MATCH(J13,ShipPartShape!$B:$B,0)),"-")</f>
        <v>46300001</v>
      </c>
      <c r="L13" s="4" t="s">
        <v>71</v>
      </c>
      <c r="M13" s="11">
        <f>IFERROR(INDEX(ShipPartShape!$A:$A,MATCH(L13,ShipPartShape!$B:$B,0)),"-")</f>
        <v>46700001</v>
      </c>
      <c r="N13" s="4"/>
      <c r="O13" s="11" t="str">
        <f>IFERROR(INDEX(ShipPartShape!$A:$A,MATCH(N13,ShipPartShape!$B:$B,0)),"-")</f>
        <v>-</v>
      </c>
      <c r="P13" s="4"/>
      <c r="Q13" s="11" t="str">
        <f>IFERROR(INDEX(ShipPartShape!$A:$A,MATCH(P13,ShipPartShape!$B:$B,0)),"-")</f>
        <v>-</v>
      </c>
      <c r="R13" s="4"/>
      <c r="S13" s="11" t="str">
        <f>IFERROR(INDEX(ShipPartShape!$A:$A,MATCH(R13,ShipPartShape!$B:$B,0)),"-")</f>
        <v>-</v>
      </c>
      <c r="T13" s="4"/>
      <c r="U13" s="11" t="str">
        <f>IFERROR(INDEX(ShipPartShape!$A:$A,MATCH(T13,ShipPartShape!$B:$B,0)),"-")</f>
        <v>-</v>
      </c>
      <c r="V13" s="4"/>
      <c r="W13" s="11" t="str">
        <f>IFERROR(INDEX(ShipPartShape!$A:$A,MATCH(V13,ShipPartShape!$B:$B,0)),"-")</f>
        <v>-</v>
      </c>
      <c r="X13" s="4"/>
      <c r="Y13" s="11" t="str">
        <f>IFERROR(INDEX(ShipPartShape!$A:$A,MATCH(X13,ShipPartShape!$B:$B,0)),"-")</f>
        <v>-</v>
      </c>
      <c r="Z13" s="4"/>
      <c r="AA13" s="11" t="str">
        <f>IFERROR(INDEX(ShipPartShape!$A:$A,MATCH(Z13,ShipPartShape!$B:$B,0)),"-")</f>
        <v>-</v>
      </c>
      <c r="AB13" s="4"/>
      <c r="AC13" s="11" t="str">
        <f>IFERROR(INDEX(ShipPartShape!$A:$A,MATCH(AB13,ShipPartShape!$B:$B,0)),"-")</f>
        <v>-</v>
      </c>
      <c r="AD13" s="4"/>
      <c r="AE13" s="11" t="str">
        <f>IFERROR(INDEX(ShipPartShape!$A:$A,MATCH(AD13,ShipPartShape!$B:$B,0)),"-")</f>
        <v>-</v>
      </c>
      <c r="AF13" s="4"/>
      <c r="AG13" s="11" t="str">
        <f>IFERROR(INDEX(ShipPartShape!$A:$A,MATCH(AF13,ShipPartShape!$B:$B,0)),"-")</f>
        <v>-</v>
      </c>
      <c r="AH13" s="11" t="s">
        <v>802</v>
      </c>
      <c r="AI13" s="11" t="s">
        <v>802</v>
      </c>
      <c r="AJ13" s="11" t="s">
        <v>802</v>
      </c>
      <c r="AK13" s="11" t="s">
        <v>0</v>
      </c>
      <c r="AL13" s="11" t="s">
        <v>0</v>
      </c>
      <c r="AM13" s="11" t="s">
        <v>0</v>
      </c>
      <c r="AN13" s="11" t="s">
        <v>0</v>
      </c>
      <c r="AO13" s="11" t="s">
        <v>0</v>
      </c>
      <c r="AP13" s="11" t="s">
        <v>0</v>
      </c>
      <c r="AQ13" s="11" t="s">
        <v>0</v>
      </c>
      <c r="AR13" s="11" t="s">
        <v>0</v>
      </c>
    </row>
    <row r="14" spans="1:44" ht="15">
      <c r="A14" s="10">
        <f>A13+1</f>
        <v>45000004</v>
      </c>
      <c r="B14" s="4" t="s">
        <v>186</v>
      </c>
      <c r="C14" s="11" t="s">
        <v>240</v>
      </c>
      <c r="D14" s="4" t="s">
        <v>74</v>
      </c>
      <c r="E14" s="11">
        <v>700</v>
      </c>
      <c r="F14" s="11">
        <v>80</v>
      </c>
      <c r="G14" s="11">
        <f>IFERROR(INDEX(ShipPartShape!$A:$A,MATCH(D14,ShipPartShape!$B:$B,0)),"-")</f>
        <v>46000005</v>
      </c>
      <c r="H14" s="4" t="s">
        <v>409</v>
      </c>
      <c r="I14" s="11">
        <f>IFERROR(INDEX(ShipPartShape!$A:$A,MATCH(H14,ShipPartShape!$B:$B,0)),"-")</f>
        <v>46200001</v>
      </c>
      <c r="J14" s="4" t="s">
        <v>70</v>
      </c>
      <c r="K14" s="11">
        <f>IFERROR(INDEX(ShipPartShape!$A:$A,MATCH(J14,ShipPartShape!$B:$B,0)),"-")</f>
        <v>46300001</v>
      </c>
      <c r="L14" s="4" t="s">
        <v>71</v>
      </c>
      <c r="M14" s="11">
        <f>IFERROR(INDEX(ShipPartShape!$A:$A,MATCH(L14,ShipPartShape!$B:$B,0)),"-")</f>
        <v>46700001</v>
      </c>
      <c r="N14" s="4"/>
      <c r="O14" s="11" t="str">
        <f>IFERROR(INDEX(ShipPartShape!$A:$A,MATCH(N14,ShipPartShape!$B:$B,0)),"-")</f>
        <v>-</v>
      </c>
      <c r="P14" s="4"/>
      <c r="Q14" s="11" t="str">
        <f>IFERROR(INDEX(ShipPartShape!$A:$A,MATCH(P14,ShipPartShape!$B:$B,0)),"-")</f>
        <v>-</v>
      </c>
      <c r="R14" s="4"/>
      <c r="S14" s="11" t="str">
        <f>IFERROR(INDEX(ShipPartShape!$A:$A,MATCH(R14,ShipPartShape!$B:$B,0)),"-")</f>
        <v>-</v>
      </c>
      <c r="T14" s="4"/>
      <c r="U14" s="11" t="str">
        <f>IFERROR(INDEX(ShipPartShape!$A:$A,MATCH(T14,ShipPartShape!$B:$B,0)),"-")</f>
        <v>-</v>
      </c>
      <c r="V14" s="4"/>
      <c r="W14" s="11" t="str">
        <f>IFERROR(INDEX(ShipPartShape!$A:$A,MATCH(V14,ShipPartShape!$B:$B,0)),"-")</f>
        <v>-</v>
      </c>
      <c r="X14" s="4"/>
      <c r="Y14" s="11" t="str">
        <f>IFERROR(INDEX(ShipPartShape!$A:$A,MATCH(X14,ShipPartShape!$B:$B,0)),"-")</f>
        <v>-</v>
      </c>
      <c r="Z14" s="4"/>
      <c r="AA14" s="11" t="str">
        <f>IFERROR(INDEX(ShipPartShape!$A:$A,MATCH(Z14,ShipPartShape!$B:$B,0)),"-")</f>
        <v>-</v>
      </c>
      <c r="AB14" s="4"/>
      <c r="AC14" s="11" t="str">
        <f>IFERROR(INDEX(ShipPartShape!$A:$A,MATCH(AB14,ShipPartShape!$B:$B,0)),"-")</f>
        <v>-</v>
      </c>
      <c r="AD14" s="4"/>
      <c r="AE14" s="11" t="str">
        <f>IFERROR(INDEX(ShipPartShape!$A:$A,MATCH(AD14,ShipPartShape!$B:$B,0)),"-")</f>
        <v>-</v>
      </c>
      <c r="AF14" s="4"/>
      <c r="AG14" s="11" t="str">
        <f>IFERROR(INDEX(ShipPartShape!$A:$A,MATCH(AF14,ShipPartShape!$B:$B,0)),"-")</f>
        <v>-</v>
      </c>
      <c r="AH14" s="11" t="s">
        <v>802</v>
      </c>
      <c r="AI14" s="11" t="s">
        <v>802</v>
      </c>
      <c r="AJ14" s="11" t="s">
        <v>802</v>
      </c>
      <c r="AK14" s="11" t="s">
        <v>0</v>
      </c>
      <c r="AL14" s="11" t="s">
        <v>0</v>
      </c>
      <c r="AM14" s="11" t="s">
        <v>0</v>
      </c>
      <c r="AN14" s="11" t="s">
        <v>0</v>
      </c>
      <c r="AO14" s="11" t="s">
        <v>0</v>
      </c>
      <c r="AP14" s="11" t="s">
        <v>0</v>
      </c>
      <c r="AQ14" s="11" t="s">
        <v>0</v>
      </c>
      <c r="AR14" s="11" t="s">
        <v>0</v>
      </c>
    </row>
    <row r="15" spans="1:44" ht="15">
      <c r="A15" s="10">
        <f>A14+1</f>
        <v>45000005</v>
      </c>
      <c r="B15" s="4" t="s">
        <v>177</v>
      </c>
      <c r="C15" s="11" t="s">
        <v>240</v>
      </c>
      <c r="D15" s="4" t="s">
        <v>81</v>
      </c>
      <c r="E15" s="11">
        <v>700</v>
      </c>
      <c r="F15" s="11">
        <v>80</v>
      </c>
      <c r="G15" s="11">
        <f>IFERROR(INDEX(ShipPartShape!$A:$A,MATCH(D15,ShipPartShape!$B:$B,0)),"-")</f>
        <v>46000006</v>
      </c>
      <c r="H15" s="4" t="s">
        <v>409</v>
      </c>
      <c r="I15" s="11">
        <f>IFERROR(INDEX(ShipPartShape!$A:$A,MATCH(H15,ShipPartShape!$B:$B,0)),"-")</f>
        <v>46200001</v>
      </c>
      <c r="J15" s="4" t="s">
        <v>70</v>
      </c>
      <c r="K15" s="11">
        <f>IFERROR(INDEX(ShipPartShape!$A:$A,MATCH(J15,ShipPartShape!$B:$B,0)),"-")</f>
        <v>46300001</v>
      </c>
      <c r="L15" s="4" t="s">
        <v>71</v>
      </c>
      <c r="M15" s="11">
        <f>IFERROR(INDEX(ShipPartShape!$A:$A,MATCH(L15,ShipPartShape!$B:$B,0)),"-")</f>
        <v>46700001</v>
      </c>
      <c r="N15" s="4"/>
      <c r="O15" s="11" t="str">
        <f>IFERROR(INDEX(ShipPartShape!$A:$A,MATCH(N15,ShipPartShape!$B:$B,0)),"-")</f>
        <v>-</v>
      </c>
      <c r="P15" s="4"/>
      <c r="Q15" s="11" t="str">
        <f>IFERROR(INDEX(ShipPartShape!$A:$A,MATCH(P15,ShipPartShape!$B:$B,0)),"-")</f>
        <v>-</v>
      </c>
      <c r="R15" s="4"/>
      <c r="S15" s="11" t="str">
        <f>IFERROR(INDEX(ShipPartShape!$A:$A,MATCH(R15,ShipPartShape!$B:$B,0)),"-")</f>
        <v>-</v>
      </c>
      <c r="T15" s="4"/>
      <c r="U15" s="11" t="str">
        <f>IFERROR(INDEX(ShipPartShape!$A:$A,MATCH(T15,ShipPartShape!$B:$B,0)),"-")</f>
        <v>-</v>
      </c>
      <c r="V15" s="4"/>
      <c r="W15" s="11" t="str">
        <f>IFERROR(INDEX(ShipPartShape!$A:$A,MATCH(V15,ShipPartShape!$B:$B,0)),"-")</f>
        <v>-</v>
      </c>
      <c r="X15" s="4"/>
      <c r="Y15" s="11" t="str">
        <f>IFERROR(INDEX(ShipPartShape!$A:$A,MATCH(X15,ShipPartShape!$B:$B,0)),"-")</f>
        <v>-</v>
      </c>
      <c r="Z15" s="4"/>
      <c r="AA15" s="11" t="str">
        <f>IFERROR(INDEX(ShipPartShape!$A:$A,MATCH(Z15,ShipPartShape!$B:$B,0)),"-")</f>
        <v>-</v>
      </c>
      <c r="AB15" s="4"/>
      <c r="AC15" s="11" t="str">
        <f>IFERROR(INDEX(ShipPartShape!$A:$A,MATCH(AB15,ShipPartShape!$B:$B,0)),"-")</f>
        <v>-</v>
      </c>
      <c r="AD15" s="4"/>
      <c r="AE15" s="11" t="str">
        <f>IFERROR(INDEX(ShipPartShape!$A:$A,MATCH(AD15,ShipPartShape!$B:$B,0)),"-")</f>
        <v>-</v>
      </c>
      <c r="AF15" s="4"/>
      <c r="AG15" s="11" t="str">
        <f>IFERROR(INDEX(ShipPartShape!$A:$A,MATCH(AF15,ShipPartShape!$B:$B,0)),"-")</f>
        <v>-</v>
      </c>
      <c r="AH15" s="11" t="s">
        <v>802</v>
      </c>
      <c r="AI15" s="11" t="s">
        <v>802</v>
      </c>
      <c r="AJ15" s="11" t="s">
        <v>802</v>
      </c>
      <c r="AK15" s="11" t="s">
        <v>0</v>
      </c>
      <c r="AL15" s="11" t="s">
        <v>0</v>
      </c>
      <c r="AM15" s="11" t="s">
        <v>0</v>
      </c>
      <c r="AN15" s="11" t="s">
        <v>0</v>
      </c>
      <c r="AO15" s="11" t="s">
        <v>0</v>
      </c>
      <c r="AP15" s="11" t="s">
        <v>0</v>
      </c>
      <c r="AQ15" s="11" t="s">
        <v>0</v>
      </c>
      <c r="AR15" s="11" t="s">
        <v>0</v>
      </c>
    </row>
    <row r="16" spans="1:44" ht="15">
      <c r="A16" s="10">
        <f>A15+1</f>
        <v>45000006</v>
      </c>
      <c r="B16" s="4" t="s">
        <v>187</v>
      </c>
      <c r="C16" s="11" t="s">
        <v>240</v>
      </c>
      <c r="D16" s="4" t="s">
        <v>72</v>
      </c>
      <c r="E16" s="11">
        <v>700</v>
      </c>
      <c r="F16" s="11">
        <v>80</v>
      </c>
      <c r="G16" s="11">
        <f>IFERROR(INDEX(ShipPartShape!$A:$A,MATCH(D16,ShipPartShape!$B:$B,0)),"-")</f>
        <v>46000007</v>
      </c>
      <c r="H16" s="4" t="s">
        <v>1170</v>
      </c>
      <c r="I16" s="11">
        <f>IFERROR(INDEX(ShipPartShape!$A:$A,MATCH(H16,ShipPartShape!$B:$B,0)),"-")</f>
        <v>46100002</v>
      </c>
      <c r="J16" s="4" t="s">
        <v>409</v>
      </c>
      <c r="K16" s="11">
        <f>IFERROR(INDEX(ShipPartShape!$A:$A,MATCH(J16,ShipPartShape!$B:$B,0)),"-")</f>
        <v>46200001</v>
      </c>
      <c r="L16" s="4" t="s">
        <v>70</v>
      </c>
      <c r="M16" s="11">
        <f>IFERROR(INDEX(ShipPartShape!$A:$A,MATCH(L16,ShipPartShape!$B:$B,0)),"-")</f>
        <v>46300001</v>
      </c>
      <c r="N16" s="4" t="s">
        <v>71</v>
      </c>
      <c r="O16" s="11">
        <f>IFERROR(INDEX(ShipPartShape!$A:$A,MATCH(N16,ShipPartShape!$B:$B,0)),"-")</f>
        <v>46700001</v>
      </c>
      <c r="P16" s="4"/>
      <c r="Q16" s="11" t="str">
        <f>IFERROR(INDEX(ShipPartShape!$A:$A,MATCH(P16,ShipPartShape!$B:$B,0)),"-")</f>
        <v>-</v>
      </c>
      <c r="R16" s="4"/>
      <c r="S16" s="11" t="str">
        <f>IFERROR(INDEX(ShipPartShape!$A:$A,MATCH(R16,ShipPartShape!$B:$B,0)),"-")</f>
        <v>-</v>
      </c>
      <c r="T16" s="4"/>
      <c r="U16" s="11" t="str">
        <f>IFERROR(INDEX(ShipPartShape!$A:$A,MATCH(T16,ShipPartShape!$B:$B,0)),"-")</f>
        <v>-</v>
      </c>
      <c r="V16" s="4"/>
      <c r="W16" s="11" t="str">
        <f>IFERROR(INDEX(ShipPartShape!$A:$A,MATCH(V16,ShipPartShape!$B:$B,0)),"-")</f>
        <v>-</v>
      </c>
      <c r="X16" s="4"/>
      <c r="Y16" s="11" t="str">
        <f>IFERROR(INDEX(ShipPartShape!$A:$A,MATCH(X16,ShipPartShape!$B:$B,0)),"-")</f>
        <v>-</v>
      </c>
      <c r="Z16" s="4"/>
      <c r="AA16" s="11" t="str">
        <f>IFERROR(INDEX(ShipPartShape!$A:$A,MATCH(Z16,ShipPartShape!$B:$B,0)),"-")</f>
        <v>-</v>
      </c>
      <c r="AB16" s="4"/>
      <c r="AC16" s="11" t="str">
        <f>IFERROR(INDEX(ShipPartShape!$A:$A,MATCH(AB16,ShipPartShape!$B:$B,0)),"-")</f>
        <v>-</v>
      </c>
      <c r="AD16" s="4"/>
      <c r="AE16" s="11" t="str">
        <f>IFERROR(INDEX(ShipPartShape!$A:$A,MATCH(AD16,ShipPartShape!$B:$B,0)),"-")</f>
        <v>-</v>
      </c>
      <c r="AF16" s="4"/>
      <c r="AG16" s="11" t="str">
        <f>IFERROR(INDEX(ShipPartShape!$A:$A,MATCH(AF16,ShipPartShape!$B:$B,0)),"-")</f>
        <v>-</v>
      </c>
      <c r="AH16" s="11" t="s">
        <v>802</v>
      </c>
      <c r="AI16" s="11" t="s">
        <v>802</v>
      </c>
      <c r="AJ16" s="11" t="s">
        <v>802</v>
      </c>
      <c r="AK16" s="11" t="s">
        <v>0</v>
      </c>
      <c r="AL16" s="11" t="s">
        <v>0</v>
      </c>
      <c r="AM16" s="11" t="s">
        <v>0</v>
      </c>
      <c r="AN16" s="11" t="s">
        <v>0</v>
      </c>
      <c r="AO16" s="11" t="s">
        <v>0</v>
      </c>
      <c r="AP16" s="11" t="s">
        <v>0</v>
      </c>
      <c r="AQ16" s="11" t="s">
        <v>0</v>
      </c>
      <c r="AR16" s="11" t="s">
        <v>0</v>
      </c>
    </row>
    <row r="17" spans="1:44" ht="15">
      <c r="A17" s="10">
        <f>A16+1</f>
        <v>45000007</v>
      </c>
      <c r="B17" s="22" t="s">
        <v>212</v>
      </c>
      <c r="C17" s="11" t="s">
        <v>245</v>
      </c>
      <c r="D17" s="4" t="s">
        <v>213</v>
      </c>
      <c r="E17" s="11">
        <v>600</v>
      </c>
      <c r="F17" s="11">
        <v>50</v>
      </c>
      <c r="G17" s="11">
        <f>IFERROR(INDEX(ShipPartShape!$A:$A,MATCH(D17,ShipPartShape!$B:$B,0)),"-")</f>
        <v>46000008</v>
      </c>
      <c r="H17" s="4" t="s">
        <v>71</v>
      </c>
      <c r="I17" s="11">
        <f>IFERROR(INDEX(ShipPartShape!$A:$A,MATCH(H17,ShipPartShape!$B:$B,0)),"-")</f>
        <v>46700001</v>
      </c>
      <c r="J17" s="4"/>
      <c r="K17" s="11" t="str">
        <f>IFERROR(INDEX(ShipPartShape!$A:$A,MATCH(J17,ShipPartShape!$B:$B,0)),"-")</f>
        <v>-</v>
      </c>
      <c r="L17" s="4"/>
      <c r="M17" s="11" t="str">
        <f>IFERROR(INDEX(ShipPartShape!$A:$A,MATCH(L17,ShipPartShape!$B:$B,0)),"-")</f>
        <v>-</v>
      </c>
      <c r="N17" s="4"/>
      <c r="O17" s="11" t="str">
        <f>IFERROR(INDEX(ShipPartShape!$A:$A,MATCH(N17,ShipPartShape!$B:$B,0)),"-")</f>
        <v>-</v>
      </c>
      <c r="P17" s="4"/>
      <c r="Q17" s="11" t="str">
        <f>IFERROR(INDEX(ShipPartShape!$A:$A,MATCH(P17,ShipPartShape!$B:$B,0)),"-")</f>
        <v>-</v>
      </c>
      <c r="R17" s="4" t="s">
        <v>916</v>
      </c>
      <c r="S17" s="11">
        <f>IFERROR(INDEX(ShipPartShape!$A:$A,MATCH(R17,ShipPartShape!$B:$B,0)),"-")</f>
        <v>46600001</v>
      </c>
      <c r="T17" s="4" t="s">
        <v>917</v>
      </c>
      <c r="U17" s="11">
        <f>IFERROR(INDEX(ShipPartShape!$A:$A,MATCH(T17,ShipPartShape!$B:$B,0)),"-")</f>
        <v>46600002</v>
      </c>
      <c r="V17" s="4" t="s">
        <v>918</v>
      </c>
      <c r="W17" s="11">
        <f>IFERROR(INDEX(ShipPartShape!$A:$A,MATCH(V17,ShipPartShape!$B:$B,0)),"-")</f>
        <v>46600007</v>
      </c>
      <c r="X17" s="4" t="s">
        <v>919</v>
      </c>
      <c r="Y17" s="11">
        <f>IFERROR(INDEX(ShipPartShape!$A:$A,MATCH(X17,ShipPartShape!$B:$B,0)),"-")</f>
        <v>46600005</v>
      </c>
      <c r="Z17" s="4"/>
      <c r="AA17" s="11" t="str">
        <f>IFERROR(INDEX(ShipPartShape!$A:$A,MATCH(Z17,ShipPartShape!$B:$B,0)),"-")</f>
        <v>-</v>
      </c>
      <c r="AB17" s="4" t="s">
        <v>1819</v>
      </c>
      <c r="AC17" s="11">
        <f>IFERROR(INDEX(ShipPartShape!$A:$A,MATCH(AB17,ShipPartShape!$B:$B,0)),"-")</f>
        <v>46100020</v>
      </c>
      <c r="AD17" s="4"/>
      <c r="AE17" s="11" t="str">
        <f>IFERROR(INDEX(ShipPartShape!$A:$A,MATCH(AD17,ShipPartShape!$B:$B,0)),"-")</f>
        <v>-</v>
      </c>
      <c r="AF17" s="4"/>
      <c r="AG17" s="11" t="str">
        <f>IFERROR(INDEX(ShipPartShape!$A:$A,MATCH(AF17,ShipPartShape!$B:$B,0)),"-")</f>
        <v>-</v>
      </c>
      <c r="AH17" s="11" t="s">
        <v>802</v>
      </c>
      <c r="AI17" s="11" t="s">
        <v>802</v>
      </c>
      <c r="AJ17" s="11" t="s">
        <v>802</v>
      </c>
      <c r="AK17" s="11" t="s">
        <v>105</v>
      </c>
      <c r="AL17" s="11" t="s">
        <v>0</v>
      </c>
      <c r="AM17" s="11" t="s">
        <v>0</v>
      </c>
      <c r="AN17" s="11" t="s">
        <v>0</v>
      </c>
      <c r="AO17" s="11" t="s">
        <v>0</v>
      </c>
      <c r="AP17" s="11" t="s">
        <v>0</v>
      </c>
      <c r="AQ17" s="11" t="s">
        <v>0</v>
      </c>
      <c r="AR17" s="11" t="s">
        <v>0</v>
      </c>
    </row>
    <row r="18" spans="1:44" ht="15">
      <c r="A18" s="10">
        <f t="shared" ref="A18:A19" si="1">A17+1</f>
        <v>45000008</v>
      </c>
      <c r="B18" s="4" t="s">
        <v>214</v>
      </c>
      <c r="C18" s="11" t="s">
        <v>245</v>
      </c>
      <c r="D18" s="4" t="s">
        <v>791</v>
      </c>
      <c r="E18" s="11">
        <v>600</v>
      </c>
      <c r="F18" s="11">
        <v>50</v>
      </c>
      <c r="G18" s="11">
        <f>IFERROR(INDEX(ShipPartShape!$A:$A,MATCH(D18,ShipPartShape!$B:$B,0)),"-")</f>
        <v>46000009</v>
      </c>
      <c r="H18" s="4" t="s">
        <v>70</v>
      </c>
      <c r="I18" s="11">
        <f>IFERROR(INDEX(ShipPartShape!$A:$A,MATCH(H18,ShipPartShape!$B:$B,0)),"-")</f>
        <v>46300001</v>
      </c>
      <c r="J18" s="4" t="s">
        <v>71</v>
      </c>
      <c r="K18" s="11">
        <f>IFERROR(INDEX(ShipPartShape!$A:$A,MATCH(J18,ShipPartShape!$B:$B,0)),"-")</f>
        <v>46700001</v>
      </c>
      <c r="L18" s="4"/>
      <c r="M18" s="11" t="str">
        <f>IFERROR(INDEX(ShipPartShape!$A:$A,MATCH(L18,ShipPartShape!$B:$B,0)),"-")</f>
        <v>-</v>
      </c>
      <c r="N18" s="4"/>
      <c r="O18" s="11" t="str">
        <f>IFERROR(INDEX(ShipPartShape!$A:$A,MATCH(N18,ShipPartShape!$B:$B,0)),"-")</f>
        <v>-</v>
      </c>
      <c r="P18" s="4"/>
      <c r="Q18" s="11" t="str">
        <f>IFERROR(INDEX(ShipPartShape!$A:$A,MATCH(P18,ShipPartShape!$B:$B,0)),"-")</f>
        <v>-</v>
      </c>
      <c r="R18" s="4"/>
      <c r="S18" s="11" t="str">
        <f>IFERROR(INDEX(ShipPartShape!$A:$A,MATCH(R18,ShipPartShape!$B:$B,0)),"-")</f>
        <v>-</v>
      </c>
      <c r="T18" s="4"/>
      <c r="U18" s="11" t="str">
        <f>IFERROR(INDEX(ShipPartShape!$A:$A,MATCH(T18,ShipPartShape!$B:$B,0)),"-")</f>
        <v>-</v>
      </c>
      <c r="V18" s="4"/>
      <c r="W18" s="11" t="str">
        <f>IFERROR(INDEX(ShipPartShape!$A:$A,MATCH(V18,ShipPartShape!$B:$B,0)),"-")</f>
        <v>-</v>
      </c>
      <c r="X18" s="4"/>
      <c r="Y18" s="11" t="str">
        <f>IFERROR(INDEX(ShipPartShape!$A:$A,MATCH(X18,ShipPartShape!$B:$B,0)),"-")</f>
        <v>-</v>
      </c>
      <c r="Z18" s="4"/>
      <c r="AA18" s="11" t="str">
        <f>IFERROR(INDEX(ShipPartShape!$A:$A,MATCH(Z18,ShipPartShape!$B:$B,0)),"-")</f>
        <v>-</v>
      </c>
      <c r="AB18" s="4"/>
      <c r="AC18" s="11" t="str">
        <f>IFERROR(INDEX(ShipPartShape!$A:$A,MATCH(AB18,ShipPartShape!$B:$B,0)),"-")</f>
        <v>-</v>
      </c>
      <c r="AD18" s="4"/>
      <c r="AE18" s="11" t="str">
        <f>IFERROR(INDEX(ShipPartShape!$A:$A,MATCH(AD18,ShipPartShape!$B:$B,0)),"-")</f>
        <v>-</v>
      </c>
      <c r="AF18" s="4"/>
      <c r="AG18" s="11" t="str">
        <f>IFERROR(INDEX(ShipPartShape!$A:$A,MATCH(AF18,ShipPartShape!$B:$B,0)),"-")</f>
        <v>-</v>
      </c>
      <c r="AH18" s="11" t="s">
        <v>802</v>
      </c>
      <c r="AI18" s="11" t="s">
        <v>802</v>
      </c>
      <c r="AJ18" s="11" t="s">
        <v>802</v>
      </c>
      <c r="AK18" s="11" t="s">
        <v>0</v>
      </c>
      <c r="AL18" s="11" t="s">
        <v>0</v>
      </c>
      <c r="AM18" s="11" t="s">
        <v>0</v>
      </c>
      <c r="AN18" s="11" t="s">
        <v>0</v>
      </c>
      <c r="AO18" s="11" t="s">
        <v>0</v>
      </c>
      <c r="AP18" s="11" t="s">
        <v>0</v>
      </c>
      <c r="AQ18" s="11" t="s">
        <v>0</v>
      </c>
      <c r="AR18" s="11" t="s">
        <v>0</v>
      </c>
    </row>
    <row r="19" spans="1:44" ht="15">
      <c r="A19" s="10">
        <f t="shared" si="1"/>
        <v>45000009</v>
      </c>
      <c r="B19" s="4" t="s">
        <v>216</v>
      </c>
      <c r="C19" s="11" t="s">
        <v>245</v>
      </c>
      <c r="D19" s="4" t="s">
        <v>217</v>
      </c>
      <c r="E19" s="11">
        <v>600</v>
      </c>
      <c r="F19" s="11">
        <v>50</v>
      </c>
      <c r="G19" s="11">
        <f>IFERROR(INDEX(ShipPartShape!$A:$A,MATCH(D19,ShipPartShape!$B:$B,0)),"-")</f>
        <v>46000010</v>
      </c>
      <c r="H19" s="4" t="s">
        <v>1170</v>
      </c>
      <c r="I19" s="11">
        <f>IFERROR(INDEX(ShipPartShape!$A:$A,MATCH(H19,ShipPartShape!$B:$B,0)),"-")</f>
        <v>46100002</v>
      </c>
      <c r="J19" s="4" t="s">
        <v>409</v>
      </c>
      <c r="K19" s="11">
        <f>IFERROR(INDEX(ShipPartShape!$A:$A,MATCH(J19,ShipPartShape!$B:$B,0)),"-")</f>
        <v>46200001</v>
      </c>
      <c r="L19" s="4" t="s">
        <v>70</v>
      </c>
      <c r="M19" s="11">
        <f>IFERROR(INDEX(ShipPartShape!$A:$A,MATCH(L19,ShipPartShape!$B:$B,0)),"-")</f>
        <v>46300001</v>
      </c>
      <c r="N19" s="4"/>
      <c r="O19" s="11" t="str">
        <f>IFERROR(INDEX(ShipPartShape!$A:$A,MATCH(N19,ShipPartShape!$B:$B,0)),"-")</f>
        <v>-</v>
      </c>
      <c r="P19" s="4"/>
      <c r="Q19" s="11" t="str">
        <f>IFERROR(INDEX(ShipPartShape!$A:$A,MATCH(P19,ShipPartShape!$B:$B,0)),"-")</f>
        <v>-</v>
      </c>
      <c r="R19" s="4"/>
      <c r="S19" s="11" t="str">
        <f>IFERROR(INDEX(ShipPartShape!$A:$A,MATCH(R19,ShipPartShape!$B:$B,0)),"-")</f>
        <v>-</v>
      </c>
      <c r="T19" s="4"/>
      <c r="U19" s="11" t="str">
        <f>IFERROR(INDEX(ShipPartShape!$A:$A,MATCH(T19,ShipPartShape!$B:$B,0)),"-")</f>
        <v>-</v>
      </c>
      <c r="V19" s="4"/>
      <c r="W19" s="11" t="str">
        <f>IFERROR(INDEX(ShipPartShape!$A:$A,MATCH(V19,ShipPartShape!$B:$B,0)),"-")</f>
        <v>-</v>
      </c>
      <c r="X19" s="4"/>
      <c r="Y19" s="11" t="str">
        <f>IFERROR(INDEX(ShipPartShape!$A:$A,MATCH(X19,ShipPartShape!$B:$B,0)),"-")</f>
        <v>-</v>
      </c>
      <c r="Z19" s="4"/>
      <c r="AA19" s="11" t="str">
        <f>IFERROR(INDEX(ShipPartShape!$A:$A,MATCH(Z19,ShipPartShape!$B:$B,0)),"-")</f>
        <v>-</v>
      </c>
      <c r="AB19" s="4"/>
      <c r="AC19" s="11" t="str">
        <f>IFERROR(INDEX(ShipPartShape!$A:$A,MATCH(AB19,ShipPartShape!$B:$B,0)),"-")</f>
        <v>-</v>
      </c>
      <c r="AD19" s="4"/>
      <c r="AE19" s="11" t="str">
        <f>IFERROR(INDEX(ShipPartShape!$A:$A,MATCH(AD19,ShipPartShape!$B:$B,0)),"-")</f>
        <v>-</v>
      </c>
      <c r="AF19" s="4"/>
      <c r="AG19" s="11" t="str">
        <f>IFERROR(INDEX(ShipPartShape!$A:$A,MATCH(AF19,ShipPartShape!$B:$B,0)),"-")</f>
        <v>-</v>
      </c>
      <c r="AH19" s="11" t="s">
        <v>802</v>
      </c>
      <c r="AI19" s="11" t="s">
        <v>802</v>
      </c>
      <c r="AJ19" s="11" t="s">
        <v>802</v>
      </c>
      <c r="AK19" s="11" t="s">
        <v>0</v>
      </c>
      <c r="AL19" s="11" t="s">
        <v>0</v>
      </c>
      <c r="AM19" s="11" t="s">
        <v>0</v>
      </c>
      <c r="AN19" s="11" t="s">
        <v>0</v>
      </c>
      <c r="AO19" s="11" t="s">
        <v>0</v>
      </c>
      <c r="AP19" s="11" t="s">
        <v>0</v>
      </c>
      <c r="AQ19" s="11" t="s">
        <v>0</v>
      </c>
      <c r="AR19" s="11" t="s">
        <v>0</v>
      </c>
    </row>
    <row r="20" spans="1:44" ht="15">
      <c r="A20" s="10">
        <f>A19+1</f>
        <v>45000010</v>
      </c>
      <c r="B20" s="4" t="s">
        <v>218</v>
      </c>
      <c r="C20" s="11" t="s">
        <v>245</v>
      </c>
      <c r="D20" s="4" t="s">
        <v>219</v>
      </c>
      <c r="E20" s="11">
        <v>600</v>
      </c>
      <c r="F20" s="11">
        <v>50</v>
      </c>
      <c r="G20" s="11">
        <f>IFERROR(INDEX(ShipPartShape!$A:$A,MATCH(D20,ShipPartShape!$B:$B,0)),"-")</f>
        <v>46000011</v>
      </c>
      <c r="H20" s="4" t="s">
        <v>409</v>
      </c>
      <c r="I20" s="11">
        <f>IFERROR(INDEX(ShipPartShape!$A:$A,MATCH(H20,ShipPartShape!$B:$B,0)),"-")</f>
        <v>46200001</v>
      </c>
      <c r="J20" s="4" t="s">
        <v>70</v>
      </c>
      <c r="K20" s="11">
        <f>IFERROR(INDEX(ShipPartShape!$A:$A,MATCH(J20,ShipPartShape!$B:$B,0)),"-")</f>
        <v>46300001</v>
      </c>
      <c r="L20" s="4" t="s">
        <v>71</v>
      </c>
      <c r="M20" s="11">
        <f>IFERROR(INDEX(ShipPartShape!$A:$A,MATCH(L20,ShipPartShape!$B:$B,0)),"-")</f>
        <v>46700001</v>
      </c>
      <c r="N20" s="4" t="s">
        <v>282</v>
      </c>
      <c r="O20" s="11">
        <f>IFERROR(INDEX(ShipPartShape!$A:$A,MATCH(N20,ShipPartShape!$B:$B,0)),"-")</f>
        <v>46400001</v>
      </c>
      <c r="P20" s="4"/>
      <c r="Q20" s="11" t="str">
        <f>IFERROR(INDEX(ShipPartShape!$A:$A,MATCH(P20,ShipPartShape!$B:$B,0)),"-")</f>
        <v>-</v>
      </c>
      <c r="R20" s="4"/>
      <c r="S20" s="11" t="str">
        <f>IFERROR(INDEX(ShipPartShape!$A:$A,MATCH(R20,ShipPartShape!$B:$B,0)),"-")</f>
        <v>-</v>
      </c>
      <c r="T20" s="4"/>
      <c r="U20" s="11" t="str">
        <f>IFERROR(INDEX(ShipPartShape!$A:$A,MATCH(T20,ShipPartShape!$B:$B,0)),"-")</f>
        <v>-</v>
      </c>
      <c r="V20" s="4"/>
      <c r="W20" s="11" t="str">
        <f>IFERROR(INDEX(ShipPartShape!$A:$A,MATCH(V20,ShipPartShape!$B:$B,0)),"-")</f>
        <v>-</v>
      </c>
      <c r="X20" s="4"/>
      <c r="Y20" s="11" t="str">
        <f>IFERROR(INDEX(ShipPartShape!$A:$A,MATCH(X20,ShipPartShape!$B:$B,0)),"-")</f>
        <v>-</v>
      </c>
      <c r="Z20" s="4"/>
      <c r="AA20" s="11" t="str">
        <f>IFERROR(INDEX(ShipPartShape!$A:$A,MATCH(Z20,ShipPartShape!$B:$B,0)),"-")</f>
        <v>-</v>
      </c>
      <c r="AB20" s="4"/>
      <c r="AC20" s="11" t="str">
        <f>IFERROR(INDEX(ShipPartShape!$A:$A,MATCH(AB20,ShipPartShape!$B:$B,0)),"-")</f>
        <v>-</v>
      </c>
      <c r="AD20" s="4"/>
      <c r="AE20" s="11" t="str">
        <f>IFERROR(INDEX(ShipPartShape!$A:$A,MATCH(AD20,ShipPartShape!$B:$B,0)),"-")</f>
        <v>-</v>
      </c>
      <c r="AF20" s="4"/>
      <c r="AG20" s="11" t="str">
        <f>IFERROR(INDEX(ShipPartShape!$A:$A,MATCH(AF20,ShipPartShape!$B:$B,0)),"-")</f>
        <v>-</v>
      </c>
      <c r="AH20" s="11" t="s">
        <v>802</v>
      </c>
      <c r="AI20" s="11" t="s">
        <v>802</v>
      </c>
      <c r="AJ20" s="11" t="s">
        <v>802</v>
      </c>
      <c r="AK20" s="11" t="s">
        <v>0</v>
      </c>
      <c r="AL20" s="11" t="s">
        <v>0</v>
      </c>
      <c r="AM20" s="11" t="s">
        <v>0</v>
      </c>
      <c r="AN20" s="11" t="s">
        <v>0</v>
      </c>
      <c r="AO20" s="11" t="s">
        <v>0</v>
      </c>
      <c r="AP20" s="11" t="s">
        <v>0</v>
      </c>
      <c r="AQ20" s="11" t="s">
        <v>0</v>
      </c>
      <c r="AR20" s="11" t="s">
        <v>0</v>
      </c>
    </row>
    <row r="21" spans="1:44" ht="15">
      <c r="A21" s="10">
        <f>A20+1</f>
        <v>45000011</v>
      </c>
      <c r="B21" s="4" t="s">
        <v>220</v>
      </c>
      <c r="C21" s="11" t="s">
        <v>245</v>
      </c>
      <c r="D21" s="4" t="s">
        <v>221</v>
      </c>
      <c r="E21" s="11">
        <v>600</v>
      </c>
      <c r="F21" s="11">
        <v>50</v>
      </c>
      <c r="G21" s="11">
        <f>IFERROR(INDEX(ShipPartShape!$A:$A,MATCH(D21,ShipPartShape!$B:$B,0)),"-")</f>
        <v>46000012</v>
      </c>
      <c r="H21" s="4" t="s">
        <v>409</v>
      </c>
      <c r="I21" s="11">
        <f>IFERROR(INDEX(ShipPartShape!$A:$A,MATCH(H21,ShipPartShape!$B:$B,0)),"-")</f>
        <v>46200001</v>
      </c>
      <c r="J21" s="4" t="s">
        <v>70</v>
      </c>
      <c r="K21" s="11">
        <f>IFERROR(INDEX(ShipPartShape!$A:$A,MATCH(J21,ShipPartShape!$B:$B,0)),"-")</f>
        <v>46300001</v>
      </c>
      <c r="L21" s="4" t="s">
        <v>71</v>
      </c>
      <c r="M21" s="11">
        <f>IFERROR(INDEX(ShipPartShape!$A:$A,MATCH(L21,ShipPartShape!$B:$B,0)),"-")</f>
        <v>46700001</v>
      </c>
      <c r="N21" s="4"/>
      <c r="O21" s="11" t="str">
        <f>IFERROR(INDEX(ShipPartShape!$A:$A,MATCH(N21,ShipPartShape!$B:$B,0)),"-")</f>
        <v>-</v>
      </c>
      <c r="P21" s="4"/>
      <c r="Q21" s="11" t="str">
        <f>IFERROR(INDEX(ShipPartShape!$A:$A,MATCH(P21,ShipPartShape!$B:$B,0)),"-")</f>
        <v>-</v>
      </c>
      <c r="R21" s="4"/>
      <c r="S21" s="11" t="str">
        <f>IFERROR(INDEX(ShipPartShape!$A:$A,MATCH(R21,ShipPartShape!$B:$B,0)),"-")</f>
        <v>-</v>
      </c>
      <c r="T21" s="4"/>
      <c r="U21" s="11" t="str">
        <f>IFERROR(INDEX(ShipPartShape!$A:$A,MATCH(T21,ShipPartShape!$B:$B,0)),"-")</f>
        <v>-</v>
      </c>
      <c r="V21" s="4"/>
      <c r="W21" s="11" t="str">
        <f>IFERROR(INDEX(ShipPartShape!$A:$A,MATCH(V21,ShipPartShape!$B:$B,0)),"-")</f>
        <v>-</v>
      </c>
      <c r="X21" s="4"/>
      <c r="Y21" s="11" t="str">
        <f>IFERROR(INDEX(ShipPartShape!$A:$A,MATCH(X21,ShipPartShape!$B:$B,0)),"-")</f>
        <v>-</v>
      </c>
      <c r="Z21" s="4"/>
      <c r="AA21" s="11" t="str">
        <f>IFERROR(INDEX(ShipPartShape!$A:$A,MATCH(Z21,ShipPartShape!$B:$B,0)),"-")</f>
        <v>-</v>
      </c>
      <c r="AB21" s="4"/>
      <c r="AC21" s="11" t="str">
        <f>IFERROR(INDEX(ShipPartShape!$A:$A,MATCH(AB21,ShipPartShape!$B:$B,0)),"-")</f>
        <v>-</v>
      </c>
      <c r="AD21" s="4"/>
      <c r="AE21" s="11" t="str">
        <f>IFERROR(INDEX(ShipPartShape!$A:$A,MATCH(AD21,ShipPartShape!$B:$B,0)),"-")</f>
        <v>-</v>
      </c>
      <c r="AF21" s="4"/>
      <c r="AG21" s="11" t="str">
        <f>IFERROR(INDEX(ShipPartShape!$A:$A,MATCH(AF21,ShipPartShape!$B:$B,0)),"-")</f>
        <v>-</v>
      </c>
      <c r="AH21" s="11" t="s">
        <v>802</v>
      </c>
      <c r="AI21" s="11" t="s">
        <v>802</v>
      </c>
      <c r="AJ21" s="11" t="s">
        <v>802</v>
      </c>
      <c r="AK21" s="11" t="s">
        <v>0</v>
      </c>
      <c r="AL21" s="11" t="s">
        <v>0</v>
      </c>
      <c r="AM21" s="11" t="s">
        <v>0</v>
      </c>
      <c r="AN21" s="11" t="s">
        <v>0</v>
      </c>
      <c r="AO21" s="11" t="s">
        <v>0</v>
      </c>
      <c r="AP21" s="11" t="s">
        <v>0</v>
      </c>
      <c r="AQ21" s="11" t="s">
        <v>0</v>
      </c>
      <c r="AR21" s="11" t="s">
        <v>0</v>
      </c>
    </row>
    <row r="22" spans="1:44" ht="15">
      <c r="A22" s="10">
        <f>A21+1</f>
        <v>45000012</v>
      </c>
      <c r="B22" s="4" t="s">
        <v>222</v>
      </c>
      <c r="C22" s="11" t="s">
        <v>245</v>
      </c>
      <c r="D22" s="4" t="s">
        <v>223</v>
      </c>
      <c r="E22" s="11">
        <v>600</v>
      </c>
      <c r="F22" s="11">
        <v>50</v>
      </c>
      <c r="G22" s="11">
        <f>IFERROR(INDEX(ShipPartShape!$A:$A,MATCH(D22,ShipPartShape!$B:$B,0)),"-")</f>
        <v>46000013</v>
      </c>
      <c r="H22" s="4" t="s">
        <v>409</v>
      </c>
      <c r="I22" s="11">
        <f>IFERROR(INDEX(ShipPartShape!$A:$A,MATCH(H22,ShipPartShape!$B:$B,0)),"-")</f>
        <v>46200001</v>
      </c>
      <c r="J22" s="4" t="s">
        <v>70</v>
      </c>
      <c r="K22" s="11">
        <f>IFERROR(INDEX(ShipPartShape!$A:$A,MATCH(J22,ShipPartShape!$B:$B,0)),"-")</f>
        <v>46300001</v>
      </c>
      <c r="L22" s="4" t="s">
        <v>71</v>
      </c>
      <c r="M22" s="11">
        <f>IFERROR(INDEX(ShipPartShape!$A:$A,MATCH(L22,ShipPartShape!$B:$B,0)),"-")</f>
        <v>46700001</v>
      </c>
      <c r="N22" s="4"/>
      <c r="O22" s="11" t="str">
        <f>IFERROR(INDEX(ShipPartShape!$A:$A,MATCH(N22,ShipPartShape!$B:$B,0)),"-")</f>
        <v>-</v>
      </c>
      <c r="P22" s="4"/>
      <c r="Q22" s="11" t="str">
        <f>IFERROR(INDEX(ShipPartShape!$A:$A,MATCH(P22,ShipPartShape!$B:$B,0)),"-")</f>
        <v>-</v>
      </c>
      <c r="R22" s="4"/>
      <c r="S22" s="11" t="str">
        <f>IFERROR(INDEX(ShipPartShape!$A:$A,MATCH(R22,ShipPartShape!$B:$B,0)),"-")</f>
        <v>-</v>
      </c>
      <c r="T22" s="4"/>
      <c r="U22" s="11" t="str">
        <f>IFERROR(INDEX(ShipPartShape!$A:$A,MATCH(T22,ShipPartShape!$B:$B,0)),"-")</f>
        <v>-</v>
      </c>
      <c r="V22" s="4"/>
      <c r="W22" s="11" t="str">
        <f>IFERROR(INDEX(ShipPartShape!$A:$A,MATCH(V22,ShipPartShape!$B:$B,0)),"-")</f>
        <v>-</v>
      </c>
      <c r="X22" s="4"/>
      <c r="Y22" s="11" t="str">
        <f>IFERROR(INDEX(ShipPartShape!$A:$A,MATCH(X22,ShipPartShape!$B:$B,0)),"-")</f>
        <v>-</v>
      </c>
      <c r="Z22" s="4"/>
      <c r="AA22" s="11" t="str">
        <f>IFERROR(INDEX(ShipPartShape!$A:$A,MATCH(Z22,ShipPartShape!$B:$B,0)),"-")</f>
        <v>-</v>
      </c>
      <c r="AB22" s="4"/>
      <c r="AC22" s="11" t="str">
        <f>IFERROR(INDEX(ShipPartShape!$A:$A,MATCH(AB22,ShipPartShape!$B:$B,0)),"-")</f>
        <v>-</v>
      </c>
      <c r="AD22" s="4"/>
      <c r="AE22" s="11" t="str">
        <f>IFERROR(INDEX(ShipPartShape!$A:$A,MATCH(AD22,ShipPartShape!$B:$B,0)),"-")</f>
        <v>-</v>
      </c>
      <c r="AF22" s="4"/>
      <c r="AG22" s="11" t="str">
        <f>IFERROR(INDEX(ShipPartShape!$A:$A,MATCH(AF22,ShipPartShape!$B:$B,0)),"-")</f>
        <v>-</v>
      </c>
      <c r="AH22" s="11" t="s">
        <v>802</v>
      </c>
      <c r="AI22" s="11" t="s">
        <v>802</v>
      </c>
      <c r="AJ22" s="11" t="s">
        <v>802</v>
      </c>
      <c r="AK22" s="11" t="s">
        <v>0</v>
      </c>
      <c r="AL22" s="11" t="s">
        <v>0</v>
      </c>
      <c r="AM22" s="11" t="s">
        <v>0</v>
      </c>
      <c r="AN22" s="11" t="s">
        <v>0</v>
      </c>
      <c r="AO22" s="11" t="s">
        <v>0</v>
      </c>
      <c r="AP22" s="11" t="s">
        <v>0</v>
      </c>
      <c r="AQ22" s="11" t="s">
        <v>0</v>
      </c>
      <c r="AR22" s="11" t="s">
        <v>0</v>
      </c>
    </row>
    <row r="23" spans="1:44" ht="15">
      <c r="A23" s="10">
        <f>A22+1</f>
        <v>45000013</v>
      </c>
      <c r="B23" s="4" t="s">
        <v>224</v>
      </c>
      <c r="C23" s="11" t="s">
        <v>245</v>
      </c>
      <c r="D23" s="4" t="s">
        <v>225</v>
      </c>
      <c r="E23" s="11">
        <v>600</v>
      </c>
      <c r="F23" s="11">
        <v>50</v>
      </c>
      <c r="G23" s="11">
        <f>IFERROR(INDEX(ShipPartShape!$A:$A,MATCH(D23,ShipPartShape!$B:$B,0)),"-")</f>
        <v>46000014</v>
      </c>
      <c r="H23" s="4" t="s">
        <v>71</v>
      </c>
      <c r="I23" s="11">
        <f>IFERROR(INDEX(ShipPartShape!$A:$A,MATCH(H23,ShipPartShape!$B:$B,0)),"-")</f>
        <v>46700001</v>
      </c>
      <c r="J23" s="4"/>
      <c r="K23" s="11" t="str">
        <f>IFERROR(INDEX(ShipPartShape!$A:$A,MATCH(J23,ShipPartShape!$B:$B,0)),"-")</f>
        <v>-</v>
      </c>
      <c r="L23" s="4"/>
      <c r="M23" s="11" t="str">
        <f>IFERROR(INDEX(ShipPartShape!$A:$A,MATCH(L23,ShipPartShape!$B:$B,0)),"-")</f>
        <v>-</v>
      </c>
      <c r="N23" s="4"/>
      <c r="O23" s="11" t="str">
        <f>IFERROR(INDEX(ShipPartShape!$A:$A,MATCH(N23,ShipPartShape!$B:$B,0)),"-")</f>
        <v>-</v>
      </c>
      <c r="P23" s="4"/>
      <c r="Q23" s="11" t="str">
        <f>IFERROR(INDEX(ShipPartShape!$A:$A,MATCH(P23,ShipPartShape!$B:$B,0)),"-")</f>
        <v>-</v>
      </c>
      <c r="R23" s="4"/>
      <c r="S23" s="11" t="str">
        <f>IFERROR(INDEX(ShipPartShape!$A:$A,MATCH(R23,ShipPartShape!$B:$B,0)),"-")</f>
        <v>-</v>
      </c>
      <c r="T23" s="4"/>
      <c r="U23" s="11" t="str">
        <f>IFERROR(INDEX(ShipPartShape!$A:$A,MATCH(T23,ShipPartShape!$B:$B,0)),"-")</f>
        <v>-</v>
      </c>
      <c r="V23" s="4"/>
      <c r="W23" s="11" t="str">
        <f>IFERROR(INDEX(ShipPartShape!$A:$A,MATCH(V23,ShipPartShape!$B:$B,0)),"-")</f>
        <v>-</v>
      </c>
      <c r="X23" s="4"/>
      <c r="Y23" s="11" t="str">
        <f>IFERROR(INDEX(ShipPartShape!$A:$A,MATCH(X23,ShipPartShape!$B:$B,0)),"-")</f>
        <v>-</v>
      </c>
      <c r="Z23" s="4"/>
      <c r="AA23" s="11" t="str">
        <f>IFERROR(INDEX(ShipPartShape!$A:$A,MATCH(Z23,ShipPartShape!$B:$B,0)),"-")</f>
        <v>-</v>
      </c>
      <c r="AB23" s="4"/>
      <c r="AC23" s="11" t="str">
        <f>IFERROR(INDEX(ShipPartShape!$A:$A,MATCH(AB23,ShipPartShape!$B:$B,0)),"-")</f>
        <v>-</v>
      </c>
      <c r="AD23" s="4"/>
      <c r="AE23" s="11" t="str">
        <f>IFERROR(INDEX(ShipPartShape!$A:$A,MATCH(AD23,ShipPartShape!$B:$B,0)),"-")</f>
        <v>-</v>
      </c>
      <c r="AF23" s="4"/>
      <c r="AG23" s="11" t="str">
        <f>IFERROR(INDEX(ShipPartShape!$A:$A,MATCH(AF23,ShipPartShape!$B:$B,0)),"-")</f>
        <v>-</v>
      </c>
      <c r="AH23" s="11" t="s">
        <v>802</v>
      </c>
      <c r="AI23" s="11" t="s">
        <v>802</v>
      </c>
      <c r="AJ23" s="11" t="s">
        <v>802</v>
      </c>
      <c r="AK23" s="11" t="s">
        <v>105</v>
      </c>
      <c r="AL23" s="11" t="s">
        <v>0</v>
      </c>
      <c r="AM23" s="11" t="s">
        <v>0</v>
      </c>
      <c r="AN23" s="11" t="s">
        <v>0</v>
      </c>
      <c r="AO23" s="11" t="s">
        <v>0</v>
      </c>
      <c r="AP23" s="11" t="s">
        <v>0</v>
      </c>
      <c r="AQ23" s="11" t="s">
        <v>0</v>
      </c>
      <c r="AR23" s="11" t="s">
        <v>0</v>
      </c>
    </row>
    <row r="24" spans="1:44" ht="15">
      <c r="A24" s="10">
        <f t="shared" ref="A24:A25" si="2">A23+1</f>
        <v>45000014</v>
      </c>
      <c r="B24" s="4" t="s">
        <v>226</v>
      </c>
      <c r="C24" s="11" t="s">
        <v>245</v>
      </c>
      <c r="D24" s="4" t="s">
        <v>227</v>
      </c>
      <c r="E24" s="11">
        <v>600</v>
      </c>
      <c r="F24" s="11">
        <v>50</v>
      </c>
      <c r="G24" s="11">
        <f>IFERROR(INDEX(ShipPartShape!$A:$A,MATCH(D24,ShipPartShape!$B:$B,0)),"-")</f>
        <v>46000015</v>
      </c>
      <c r="H24" s="4" t="s">
        <v>70</v>
      </c>
      <c r="I24" s="11">
        <f>IFERROR(INDEX(ShipPartShape!$A:$A,MATCH(H24,ShipPartShape!$B:$B,0)),"-")</f>
        <v>46300001</v>
      </c>
      <c r="J24" s="4" t="s">
        <v>71</v>
      </c>
      <c r="K24" s="11">
        <f>IFERROR(INDEX(ShipPartShape!$A:$A,MATCH(J24,ShipPartShape!$B:$B,0)),"-")</f>
        <v>46700001</v>
      </c>
      <c r="L24" s="4"/>
      <c r="M24" s="11" t="str">
        <f>IFERROR(INDEX(ShipPartShape!$A:$A,MATCH(L24,ShipPartShape!$B:$B,0)),"-")</f>
        <v>-</v>
      </c>
      <c r="N24" s="4"/>
      <c r="O24" s="11" t="str">
        <f>IFERROR(INDEX(ShipPartShape!$A:$A,MATCH(N24,ShipPartShape!$B:$B,0)),"-")</f>
        <v>-</v>
      </c>
      <c r="P24" s="4"/>
      <c r="Q24" s="11" t="str">
        <f>IFERROR(INDEX(ShipPartShape!$A:$A,MATCH(P24,ShipPartShape!$B:$B,0)),"-")</f>
        <v>-</v>
      </c>
      <c r="R24" s="4"/>
      <c r="S24" s="11" t="str">
        <f>IFERROR(INDEX(ShipPartShape!$A:$A,MATCH(R24,ShipPartShape!$B:$B,0)),"-")</f>
        <v>-</v>
      </c>
      <c r="T24" s="4"/>
      <c r="U24" s="11" t="str">
        <f>IFERROR(INDEX(ShipPartShape!$A:$A,MATCH(T24,ShipPartShape!$B:$B,0)),"-")</f>
        <v>-</v>
      </c>
      <c r="V24" s="4"/>
      <c r="W24" s="11" t="str">
        <f>IFERROR(INDEX(ShipPartShape!$A:$A,MATCH(V24,ShipPartShape!$B:$B,0)),"-")</f>
        <v>-</v>
      </c>
      <c r="X24" s="4"/>
      <c r="Y24" s="11" t="str">
        <f>IFERROR(INDEX(ShipPartShape!$A:$A,MATCH(X24,ShipPartShape!$B:$B,0)),"-")</f>
        <v>-</v>
      </c>
      <c r="Z24" s="4"/>
      <c r="AA24" s="11" t="str">
        <f>IFERROR(INDEX(ShipPartShape!$A:$A,MATCH(Z24,ShipPartShape!$B:$B,0)),"-")</f>
        <v>-</v>
      </c>
      <c r="AB24" s="4"/>
      <c r="AC24" s="11" t="str">
        <f>IFERROR(INDEX(ShipPartShape!$A:$A,MATCH(AB24,ShipPartShape!$B:$B,0)),"-")</f>
        <v>-</v>
      </c>
      <c r="AD24" s="4"/>
      <c r="AE24" s="11" t="str">
        <f>IFERROR(INDEX(ShipPartShape!$A:$A,MATCH(AD24,ShipPartShape!$B:$B,0)),"-")</f>
        <v>-</v>
      </c>
      <c r="AF24" s="4"/>
      <c r="AG24" s="11" t="str">
        <f>IFERROR(INDEX(ShipPartShape!$A:$A,MATCH(AF24,ShipPartShape!$B:$B,0)),"-")</f>
        <v>-</v>
      </c>
      <c r="AH24" s="11" t="s">
        <v>802</v>
      </c>
      <c r="AI24" s="11" t="s">
        <v>802</v>
      </c>
      <c r="AJ24" s="11" t="s">
        <v>802</v>
      </c>
      <c r="AK24" s="11" t="s">
        <v>0</v>
      </c>
      <c r="AL24" s="11" t="s">
        <v>0</v>
      </c>
      <c r="AM24" s="11" t="s">
        <v>0</v>
      </c>
      <c r="AN24" s="11" t="s">
        <v>0</v>
      </c>
      <c r="AO24" s="11" t="s">
        <v>0</v>
      </c>
      <c r="AP24" s="11" t="s">
        <v>0</v>
      </c>
      <c r="AQ24" s="11" t="s">
        <v>0</v>
      </c>
      <c r="AR24" s="11" t="s">
        <v>0</v>
      </c>
    </row>
    <row r="25" spans="1:44" ht="15">
      <c r="A25" s="10">
        <f t="shared" si="2"/>
        <v>45000015</v>
      </c>
      <c r="B25" s="4" t="s">
        <v>228</v>
      </c>
      <c r="C25" s="11" t="s">
        <v>245</v>
      </c>
      <c r="D25" s="4" t="s">
        <v>229</v>
      </c>
      <c r="E25" s="11">
        <v>600</v>
      </c>
      <c r="F25" s="11">
        <v>50</v>
      </c>
      <c r="G25" s="11">
        <f>IFERROR(INDEX(ShipPartShape!$A:$A,MATCH(D25,ShipPartShape!$B:$B,0)),"-")</f>
        <v>46000016</v>
      </c>
      <c r="H25" s="4" t="s">
        <v>1170</v>
      </c>
      <c r="I25" s="11">
        <f>IFERROR(INDEX(ShipPartShape!$A:$A,MATCH(H25,ShipPartShape!$B:$B,0)),"-")</f>
        <v>46100002</v>
      </c>
      <c r="J25" s="4" t="s">
        <v>409</v>
      </c>
      <c r="K25" s="11">
        <f>IFERROR(INDEX(ShipPartShape!$A:$A,MATCH(J25,ShipPartShape!$B:$B,0)),"-")</f>
        <v>46200001</v>
      </c>
      <c r="L25" s="4" t="s">
        <v>70</v>
      </c>
      <c r="M25" s="11">
        <f>IFERROR(INDEX(ShipPartShape!$A:$A,MATCH(L25,ShipPartShape!$B:$B,0)),"-")</f>
        <v>46300001</v>
      </c>
      <c r="N25" s="4"/>
      <c r="O25" s="11" t="str">
        <f>IFERROR(INDEX(ShipPartShape!$A:$A,MATCH(N25,ShipPartShape!$B:$B,0)),"-")</f>
        <v>-</v>
      </c>
      <c r="P25" s="4"/>
      <c r="Q25" s="11" t="str">
        <f>IFERROR(INDEX(ShipPartShape!$A:$A,MATCH(P25,ShipPartShape!$B:$B,0)),"-")</f>
        <v>-</v>
      </c>
      <c r="R25" s="4"/>
      <c r="S25" s="11" t="str">
        <f>IFERROR(INDEX(ShipPartShape!$A:$A,MATCH(R25,ShipPartShape!$B:$B,0)),"-")</f>
        <v>-</v>
      </c>
      <c r="T25" s="4"/>
      <c r="U25" s="11" t="str">
        <f>IFERROR(INDEX(ShipPartShape!$A:$A,MATCH(T25,ShipPartShape!$B:$B,0)),"-")</f>
        <v>-</v>
      </c>
      <c r="V25" s="4"/>
      <c r="W25" s="11" t="str">
        <f>IFERROR(INDEX(ShipPartShape!$A:$A,MATCH(V25,ShipPartShape!$B:$B,0)),"-")</f>
        <v>-</v>
      </c>
      <c r="X25" s="4"/>
      <c r="Y25" s="11" t="str">
        <f>IFERROR(INDEX(ShipPartShape!$A:$A,MATCH(X25,ShipPartShape!$B:$B,0)),"-")</f>
        <v>-</v>
      </c>
      <c r="Z25" s="4"/>
      <c r="AA25" s="11" t="str">
        <f>IFERROR(INDEX(ShipPartShape!$A:$A,MATCH(Z25,ShipPartShape!$B:$B,0)),"-")</f>
        <v>-</v>
      </c>
      <c r="AB25" s="4"/>
      <c r="AC25" s="11" t="str">
        <f>IFERROR(INDEX(ShipPartShape!$A:$A,MATCH(AB25,ShipPartShape!$B:$B,0)),"-")</f>
        <v>-</v>
      </c>
      <c r="AD25" s="4"/>
      <c r="AE25" s="11" t="str">
        <f>IFERROR(INDEX(ShipPartShape!$A:$A,MATCH(AD25,ShipPartShape!$B:$B,0)),"-")</f>
        <v>-</v>
      </c>
      <c r="AF25" s="4"/>
      <c r="AG25" s="11" t="str">
        <f>IFERROR(INDEX(ShipPartShape!$A:$A,MATCH(AF25,ShipPartShape!$B:$B,0)),"-")</f>
        <v>-</v>
      </c>
      <c r="AH25" s="11" t="s">
        <v>802</v>
      </c>
      <c r="AI25" s="11" t="s">
        <v>802</v>
      </c>
      <c r="AJ25" s="11" t="s">
        <v>802</v>
      </c>
      <c r="AK25" s="11" t="s">
        <v>0</v>
      </c>
      <c r="AL25" s="11" t="s">
        <v>0</v>
      </c>
      <c r="AM25" s="11" t="s">
        <v>0</v>
      </c>
      <c r="AN25" s="11" t="s">
        <v>0</v>
      </c>
      <c r="AO25" s="11" t="s">
        <v>0</v>
      </c>
      <c r="AP25" s="11" t="s">
        <v>0</v>
      </c>
      <c r="AQ25" s="11" t="s">
        <v>0</v>
      </c>
      <c r="AR25" s="11" t="s">
        <v>0</v>
      </c>
    </row>
    <row r="26" spans="1:44" ht="15">
      <c r="A26" s="10">
        <f>A25+1</f>
        <v>45000016</v>
      </c>
      <c r="B26" s="4" t="s">
        <v>230</v>
      </c>
      <c r="C26" s="11" t="s">
        <v>245</v>
      </c>
      <c r="D26" s="4" t="s">
        <v>231</v>
      </c>
      <c r="E26" s="11">
        <v>600</v>
      </c>
      <c r="F26" s="11">
        <v>50</v>
      </c>
      <c r="G26" s="11">
        <f>IFERROR(INDEX(ShipPartShape!$A:$A,MATCH(D26,ShipPartShape!$B:$B,0)),"-")</f>
        <v>46000017</v>
      </c>
      <c r="H26" s="4" t="s">
        <v>106</v>
      </c>
      <c r="I26" s="11">
        <f>IFERROR(INDEX(ShipPartShape!$A:$A,MATCH(H26,ShipPartShape!$B:$B,0)),"-")</f>
        <v>46200001</v>
      </c>
      <c r="J26" s="4" t="s">
        <v>70</v>
      </c>
      <c r="K26" s="11">
        <f>IFERROR(INDEX(ShipPartShape!$A:$A,MATCH(J26,ShipPartShape!$B:$B,0)),"-")</f>
        <v>46300001</v>
      </c>
      <c r="L26" s="4" t="s">
        <v>71</v>
      </c>
      <c r="M26" s="11">
        <f>IFERROR(INDEX(ShipPartShape!$A:$A,MATCH(L26,ShipPartShape!$B:$B,0)),"-")</f>
        <v>46700001</v>
      </c>
      <c r="N26" s="4"/>
      <c r="O26" s="11" t="str">
        <f>IFERROR(INDEX(ShipPartShape!$A:$A,MATCH(N26,ShipPartShape!$B:$B,0)),"-")</f>
        <v>-</v>
      </c>
      <c r="P26" s="4"/>
      <c r="Q26" s="11" t="str">
        <f>IFERROR(INDEX(ShipPartShape!$A:$A,MATCH(P26,ShipPartShape!$B:$B,0)),"-")</f>
        <v>-</v>
      </c>
      <c r="R26" s="4"/>
      <c r="S26" s="11" t="str">
        <f>IFERROR(INDEX(ShipPartShape!$A:$A,MATCH(R26,ShipPartShape!$B:$B,0)),"-")</f>
        <v>-</v>
      </c>
      <c r="T26" s="4"/>
      <c r="U26" s="11" t="str">
        <f>IFERROR(INDEX(ShipPartShape!$A:$A,MATCH(T26,ShipPartShape!$B:$B,0)),"-")</f>
        <v>-</v>
      </c>
      <c r="V26" s="4"/>
      <c r="W26" s="11" t="str">
        <f>IFERROR(INDEX(ShipPartShape!$A:$A,MATCH(V26,ShipPartShape!$B:$B,0)),"-")</f>
        <v>-</v>
      </c>
      <c r="X26" s="4"/>
      <c r="Y26" s="11" t="str">
        <f>IFERROR(INDEX(ShipPartShape!$A:$A,MATCH(X26,ShipPartShape!$B:$B,0)),"-")</f>
        <v>-</v>
      </c>
      <c r="Z26" s="4"/>
      <c r="AA26" s="11" t="str">
        <f>IFERROR(INDEX(ShipPartShape!$A:$A,MATCH(Z26,ShipPartShape!$B:$B,0)),"-")</f>
        <v>-</v>
      </c>
      <c r="AB26" s="4"/>
      <c r="AC26" s="11" t="str">
        <f>IFERROR(INDEX(ShipPartShape!$A:$A,MATCH(AB26,ShipPartShape!$B:$B,0)),"-")</f>
        <v>-</v>
      </c>
      <c r="AD26" s="4"/>
      <c r="AE26" s="11" t="str">
        <f>IFERROR(INDEX(ShipPartShape!$A:$A,MATCH(AD26,ShipPartShape!$B:$B,0)),"-")</f>
        <v>-</v>
      </c>
      <c r="AF26" s="4"/>
      <c r="AG26" s="11" t="str">
        <f>IFERROR(INDEX(ShipPartShape!$A:$A,MATCH(AF26,ShipPartShape!$B:$B,0)),"-")</f>
        <v>-</v>
      </c>
      <c r="AH26" s="11" t="s">
        <v>802</v>
      </c>
      <c r="AI26" s="11" t="s">
        <v>802</v>
      </c>
      <c r="AJ26" s="11" t="s">
        <v>802</v>
      </c>
      <c r="AK26" s="11" t="s">
        <v>0</v>
      </c>
      <c r="AL26" s="11" t="s">
        <v>0</v>
      </c>
      <c r="AM26" s="11" t="s">
        <v>0</v>
      </c>
      <c r="AN26" s="11" t="s">
        <v>0</v>
      </c>
      <c r="AO26" s="11" t="s">
        <v>0</v>
      </c>
      <c r="AP26" s="11" t="s">
        <v>0</v>
      </c>
      <c r="AQ26" s="11" t="s">
        <v>0</v>
      </c>
      <c r="AR26" s="11" t="s">
        <v>0</v>
      </c>
    </row>
    <row r="27" spans="1:44" ht="15">
      <c r="A27" s="10">
        <f>A26+1</f>
        <v>45000017</v>
      </c>
      <c r="B27" s="4" t="s">
        <v>232</v>
      </c>
      <c r="C27" s="11" t="s">
        <v>245</v>
      </c>
      <c r="D27" s="4" t="s">
        <v>233</v>
      </c>
      <c r="E27" s="11">
        <v>600</v>
      </c>
      <c r="F27" s="11">
        <v>50</v>
      </c>
      <c r="G27" s="11">
        <f>IFERROR(INDEX(ShipPartShape!$A:$A,MATCH(D27,ShipPartShape!$B:$B,0)),"-")</f>
        <v>46000018</v>
      </c>
      <c r="H27" s="4" t="s">
        <v>106</v>
      </c>
      <c r="I27" s="11">
        <f>IFERROR(INDEX(ShipPartShape!$A:$A,MATCH(H27,ShipPartShape!$B:$B,0)),"-")</f>
        <v>46200001</v>
      </c>
      <c r="J27" s="4" t="s">
        <v>70</v>
      </c>
      <c r="K27" s="11">
        <f>IFERROR(INDEX(ShipPartShape!$A:$A,MATCH(J27,ShipPartShape!$B:$B,0)),"-")</f>
        <v>46300001</v>
      </c>
      <c r="L27" s="4" t="s">
        <v>71</v>
      </c>
      <c r="M27" s="11">
        <f>IFERROR(INDEX(ShipPartShape!$A:$A,MATCH(L27,ShipPartShape!$B:$B,0)),"-")</f>
        <v>46700001</v>
      </c>
      <c r="N27" s="4"/>
      <c r="O27" s="11" t="str">
        <f>IFERROR(INDEX(ShipPartShape!$A:$A,MATCH(N27,ShipPartShape!$B:$B,0)),"-")</f>
        <v>-</v>
      </c>
      <c r="P27" s="4"/>
      <c r="Q27" s="11" t="str">
        <f>IFERROR(INDEX(ShipPartShape!$A:$A,MATCH(P27,ShipPartShape!$B:$B,0)),"-")</f>
        <v>-</v>
      </c>
      <c r="R27" s="4"/>
      <c r="S27" s="11" t="str">
        <f>IFERROR(INDEX(ShipPartShape!$A:$A,MATCH(R27,ShipPartShape!$B:$B,0)),"-")</f>
        <v>-</v>
      </c>
      <c r="T27" s="4"/>
      <c r="U27" s="11" t="str">
        <f>IFERROR(INDEX(ShipPartShape!$A:$A,MATCH(T27,ShipPartShape!$B:$B,0)),"-")</f>
        <v>-</v>
      </c>
      <c r="V27" s="4"/>
      <c r="W27" s="11" t="str">
        <f>IFERROR(INDEX(ShipPartShape!$A:$A,MATCH(V27,ShipPartShape!$B:$B,0)),"-")</f>
        <v>-</v>
      </c>
      <c r="X27" s="4"/>
      <c r="Y27" s="11" t="str">
        <f>IFERROR(INDEX(ShipPartShape!$A:$A,MATCH(X27,ShipPartShape!$B:$B,0)),"-")</f>
        <v>-</v>
      </c>
      <c r="Z27" s="4"/>
      <c r="AA27" s="11" t="str">
        <f>IFERROR(INDEX(ShipPartShape!$A:$A,MATCH(Z27,ShipPartShape!$B:$B,0)),"-")</f>
        <v>-</v>
      </c>
      <c r="AB27" s="4"/>
      <c r="AC27" s="11" t="str">
        <f>IFERROR(INDEX(ShipPartShape!$A:$A,MATCH(AB27,ShipPartShape!$B:$B,0)),"-")</f>
        <v>-</v>
      </c>
      <c r="AD27" s="4"/>
      <c r="AE27" s="11" t="str">
        <f>IFERROR(INDEX(ShipPartShape!$A:$A,MATCH(AD27,ShipPartShape!$B:$B,0)),"-")</f>
        <v>-</v>
      </c>
      <c r="AF27" s="4"/>
      <c r="AG27" s="11" t="str">
        <f>IFERROR(INDEX(ShipPartShape!$A:$A,MATCH(AF27,ShipPartShape!$B:$B,0)),"-")</f>
        <v>-</v>
      </c>
      <c r="AH27" s="11" t="s">
        <v>802</v>
      </c>
      <c r="AI27" s="11" t="s">
        <v>802</v>
      </c>
      <c r="AJ27" s="11" t="s">
        <v>802</v>
      </c>
      <c r="AK27" s="11" t="s">
        <v>0</v>
      </c>
      <c r="AL27" s="11" t="s">
        <v>0</v>
      </c>
      <c r="AM27" s="11" t="s">
        <v>0</v>
      </c>
      <c r="AN27" s="11" t="s">
        <v>0</v>
      </c>
      <c r="AO27" s="11" t="s">
        <v>0</v>
      </c>
      <c r="AP27" s="11" t="s">
        <v>0</v>
      </c>
      <c r="AQ27" s="11" t="s">
        <v>0</v>
      </c>
      <c r="AR27" s="11" t="s">
        <v>0</v>
      </c>
    </row>
    <row r="28" spans="1:44" ht="15">
      <c r="A28" s="10">
        <f>A27+1</f>
        <v>45000018</v>
      </c>
      <c r="B28" s="4" t="s">
        <v>234</v>
      </c>
      <c r="C28" s="11" t="s">
        <v>245</v>
      </c>
      <c r="D28" s="4" t="s">
        <v>235</v>
      </c>
      <c r="E28" s="11">
        <v>600</v>
      </c>
      <c r="F28" s="11">
        <v>50</v>
      </c>
      <c r="G28" s="11">
        <f>IFERROR(INDEX(ShipPartShape!$A:$A,MATCH(D28,ShipPartShape!$B:$B,0)),"-")</f>
        <v>46000019</v>
      </c>
      <c r="H28" s="4" t="s">
        <v>106</v>
      </c>
      <c r="I28" s="11">
        <f>IFERROR(INDEX(ShipPartShape!$A:$A,MATCH(H28,ShipPartShape!$B:$B,0)),"-")</f>
        <v>46200001</v>
      </c>
      <c r="J28" s="4" t="s">
        <v>70</v>
      </c>
      <c r="K28" s="11">
        <f>IFERROR(INDEX(ShipPartShape!$A:$A,MATCH(J28,ShipPartShape!$B:$B,0)),"-")</f>
        <v>46300001</v>
      </c>
      <c r="L28" s="4" t="s">
        <v>71</v>
      </c>
      <c r="M28" s="11">
        <f>IFERROR(INDEX(ShipPartShape!$A:$A,MATCH(L28,ShipPartShape!$B:$B,0)),"-")</f>
        <v>46700001</v>
      </c>
      <c r="N28" s="4"/>
      <c r="O28" s="11" t="str">
        <f>IFERROR(INDEX(ShipPartShape!$A:$A,MATCH(N28,ShipPartShape!$B:$B,0)),"-")</f>
        <v>-</v>
      </c>
      <c r="P28" s="4"/>
      <c r="Q28" s="11" t="str">
        <f>IFERROR(INDEX(ShipPartShape!$A:$A,MATCH(P28,ShipPartShape!$B:$B,0)),"-")</f>
        <v>-</v>
      </c>
      <c r="R28" s="4"/>
      <c r="S28" s="11" t="str">
        <f>IFERROR(INDEX(ShipPartShape!$A:$A,MATCH(R28,ShipPartShape!$B:$B,0)),"-")</f>
        <v>-</v>
      </c>
      <c r="T28" s="4"/>
      <c r="U28" s="11" t="str">
        <f>IFERROR(INDEX(ShipPartShape!$A:$A,MATCH(T28,ShipPartShape!$B:$B,0)),"-")</f>
        <v>-</v>
      </c>
      <c r="V28" s="4"/>
      <c r="W28" s="11" t="str">
        <f>IFERROR(INDEX(ShipPartShape!$A:$A,MATCH(V28,ShipPartShape!$B:$B,0)),"-")</f>
        <v>-</v>
      </c>
      <c r="X28" s="4"/>
      <c r="Y28" s="11" t="str">
        <f>IFERROR(INDEX(ShipPartShape!$A:$A,MATCH(X28,ShipPartShape!$B:$B,0)),"-")</f>
        <v>-</v>
      </c>
      <c r="Z28" s="4"/>
      <c r="AA28" s="11" t="str">
        <f>IFERROR(INDEX(ShipPartShape!$A:$A,MATCH(Z28,ShipPartShape!$B:$B,0)),"-")</f>
        <v>-</v>
      </c>
      <c r="AB28" s="4"/>
      <c r="AC28" s="11" t="str">
        <f>IFERROR(INDEX(ShipPartShape!$A:$A,MATCH(AB28,ShipPartShape!$B:$B,0)),"-")</f>
        <v>-</v>
      </c>
      <c r="AD28" s="4"/>
      <c r="AE28" s="11" t="str">
        <f>IFERROR(INDEX(ShipPartShape!$A:$A,MATCH(AD28,ShipPartShape!$B:$B,0)),"-")</f>
        <v>-</v>
      </c>
      <c r="AF28" s="4"/>
      <c r="AG28" s="11" t="str">
        <f>IFERROR(INDEX(ShipPartShape!$A:$A,MATCH(AF28,ShipPartShape!$B:$B,0)),"-")</f>
        <v>-</v>
      </c>
      <c r="AH28" s="11" t="s">
        <v>802</v>
      </c>
      <c r="AI28" s="11" t="s">
        <v>802</v>
      </c>
      <c r="AJ28" s="11" t="s">
        <v>802</v>
      </c>
      <c r="AK28" s="11" t="s">
        <v>0</v>
      </c>
      <c r="AL28" s="11" t="s">
        <v>0</v>
      </c>
      <c r="AM28" s="11" t="s">
        <v>0</v>
      </c>
      <c r="AN28" s="11" t="s">
        <v>0</v>
      </c>
      <c r="AO28" s="11" t="s">
        <v>0</v>
      </c>
      <c r="AP28" s="11" t="s">
        <v>0</v>
      </c>
      <c r="AQ28" s="11" t="s">
        <v>0</v>
      </c>
      <c r="AR28" s="11" t="s">
        <v>0</v>
      </c>
    </row>
    <row r="29" spans="1:44" ht="15">
      <c r="A29" s="10">
        <f>A28+1</f>
        <v>45000019</v>
      </c>
      <c r="B29" s="22" t="s">
        <v>169</v>
      </c>
      <c r="C29" s="11" t="s">
        <v>241</v>
      </c>
      <c r="D29" s="4" t="s">
        <v>127</v>
      </c>
      <c r="E29" s="11">
        <v>600</v>
      </c>
      <c r="F29" s="11">
        <v>50</v>
      </c>
      <c r="G29" s="11">
        <f>IFERROR(INDEX(ShipPartShape!$A:$A,MATCH(D29,ShipPartShape!$B:$B,0)),"-")</f>
        <v>46000020</v>
      </c>
      <c r="H29" s="4" t="s">
        <v>71</v>
      </c>
      <c r="I29" s="11">
        <f>IFERROR(INDEX(ShipPartShape!$A:$A,MATCH(H29,ShipPartShape!$B:$B,0)),"-")</f>
        <v>46700001</v>
      </c>
      <c r="J29" s="4"/>
      <c r="K29" s="11" t="str">
        <f>IFERROR(INDEX(ShipPartShape!$A:$A,MATCH(J29,ShipPartShape!$B:$B,0)),"-")</f>
        <v>-</v>
      </c>
      <c r="L29" s="4"/>
      <c r="M29" s="11" t="str">
        <f>IFERROR(INDEX(ShipPartShape!$A:$A,MATCH(L29,ShipPartShape!$B:$B,0)),"-")</f>
        <v>-</v>
      </c>
      <c r="N29" s="4"/>
      <c r="O29" s="11" t="str">
        <f>IFERROR(INDEX(ShipPartShape!$A:$A,MATCH(N29,ShipPartShape!$B:$B,0)),"-")</f>
        <v>-</v>
      </c>
      <c r="P29" s="4"/>
      <c r="Q29" s="11" t="str">
        <f>IFERROR(INDEX(ShipPartShape!$A:$A,MATCH(P29,ShipPartShape!$B:$B,0)),"-")</f>
        <v>-</v>
      </c>
      <c r="R29" s="4" t="s">
        <v>916</v>
      </c>
      <c r="S29" s="11">
        <f>IFERROR(INDEX(ShipPartShape!$A:$A,MATCH(R29,ShipPartShape!$B:$B,0)),"-")</f>
        <v>46600001</v>
      </c>
      <c r="T29" s="4" t="s">
        <v>917</v>
      </c>
      <c r="U29" s="11">
        <f>IFERROR(INDEX(ShipPartShape!$A:$A,MATCH(T29,ShipPartShape!$B:$B,0)),"-")</f>
        <v>46600002</v>
      </c>
      <c r="V29" s="4" t="s">
        <v>919</v>
      </c>
      <c r="W29" s="11">
        <f>IFERROR(INDEX(ShipPartShape!$A:$A,MATCH(V29,ShipPartShape!$B:$B,0)),"-")</f>
        <v>46600005</v>
      </c>
      <c r="X29" s="4" t="s">
        <v>922</v>
      </c>
      <c r="Y29" s="11">
        <f>IFERROR(INDEX(ShipPartShape!$A:$A,MATCH(X29,ShipPartShape!$B:$B,0)),"-")</f>
        <v>46600008</v>
      </c>
      <c r="Z29" s="4"/>
      <c r="AA29" s="11" t="str">
        <f>IFERROR(INDEX(ShipPartShape!$A:$A,MATCH(Z29,ShipPartShape!$B:$B,0)),"-")</f>
        <v>-</v>
      </c>
      <c r="AB29" s="4" t="s">
        <v>1821</v>
      </c>
      <c r="AC29" s="11">
        <f>IFERROR(INDEX(ShipPartShape!$A:$A,MATCH(AB29,ShipPartShape!$B:$B,0)),"-")</f>
        <v>46100021</v>
      </c>
      <c r="AD29" s="4"/>
      <c r="AE29" s="11" t="str">
        <f>IFERROR(INDEX(ShipPartShape!$A:$A,MATCH(AD29,ShipPartShape!$B:$B,0)),"-")</f>
        <v>-</v>
      </c>
      <c r="AF29" s="4"/>
      <c r="AG29" s="11" t="str">
        <f>IFERROR(INDEX(ShipPartShape!$A:$A,MATCH(AF29,ShipPartShape!$B:$B,0)),"-")</f>
        <v>-</v>
      </c>
      <c r="AH29" s="11" t="s">
        <v>802</v>
      </c>
      <c r="AI29" s="11" t="s">
        <v>802</v>
      </c>
      <c r="AJ29" s="11" t="s">
        <v>802</v>
      </c>
      <c r="AK29" s="11" t="s">
        <v>105</v>
      </c>
      <c r="AL29" s="11" t="s">
        <v>0</v>
      </c>
      <c r="AM29" s="11" t="s">
        <v>0</v>
      </c>
      <c r="AN29" s="11" t="s">
        <v>0</v>
      </c>
      <c r="AO29" s="11" t="s">
        <v>0</v>
      </c>
      <c r="AP29" s="11" t="s">
        <v>0</v>
      </c>
      <c r="AQ29" s="11" t="s">
        <v>0</v>
      </c>
      <c r="AR29" s="11" t="s">
        <v>0</v>
      </c>
    </row>
    <row r="30" spans="1:44" ht="15">
      <c r="A30" s="10">
        <f t="shared" ref="A30:A31" si="3">A29+1</f>
        <v>45000020</v>
      </c>
      <c r="B30" s="4" t="s">
        <v>173</v>
      </c>
      <c r="C30" s="11" t="s">
        <v>241</v>
      </c>
      <c r="D30" s="4" t="s">
        <v>129</v>
      </c>
      <c r="E30" s="11">
        <v>600</v>
      </c>
      <c r="F30" s="11">
        <v>50</v>
      </c>
      <c r="G30" s="11">
        <f>IFERROR(INDEX(ShipPartShape!$A:$A,MATCH(D30,ShipPartShape!$B:$B,0)),"-")</f>
        <v>46000021</v>
      </c>
      <c r="H30" s="4" t="s">
        <v>70</v>
      </c>
      <c r="I30" s="11">
        <f>IFERROR(INDEX(ShipPartShape!$A:$A,MATCH(H30,ShipPartShape!$B:$B,0)),"-")</f>
        <v>46300001</v>
      </c>
      <c r="J30" s="4" t="s">
        <v>71</v>
      </c>
      <c r="K30" s="11">
        <f>IFERROR(INDEX(ShipPartShape!$A:$A,MATCH(J30,ShipPartShape!$B:$B,0)),"-")</f>
        <v>46700001</v>
      </c>
      <c r="L30" s="4"/>
      <c r="M30" s="11" t="str">
        <f>IFERROR(INDEX(ShipPartShape!$A:$A,MATCH(L30,ShipPartShape!$B:$B,0)),"-")</f>
        <v>-</v>
      </c>
      <c r="N30" s="4"/>
      <c r="O30" s="11" t="str">
        <f>IFERROR(INDEX(ShipPartShape!$A:$A,MATCH(N30,ShipPartShape!$B:$B,0)),"-")</f>
        <v>-</v>
      </c>
      <c r="P30" s="4"/>
      <c r="Q30" s="11" t="str">
        <f>IFERROR(INDEX(ShipPartShape!$A:$A,MATCH(P30,ShipPartShape!$B:$B,0)),"-")</f>
        <v>-</v>
      </c>
      <c r="R30" s="4"/>
      <c r="S30" s="11" t="str">
        <f>IFERROR(INDEX(ShipPartShape!$A:$A,MATCH(R30,ShipPartShape!$B:$B,0)),"-")</f>
        <v>-</v>
      </c>
      <c r="T30" s="4"/>
      <c r="U30" s="11" t="str">
        <f>IFERROR(INDEX(ShipPartShape!$A:$A,MATCH(T30,ShipPartShape!$B:$B,0)),"-")</f>
        <v>-</v>
      </c>
      <c r="V30" s="4"/>
      <c r="W30" s="11" t="str">
        <f>IFERROR(INDEX(ShipPartShape!$A:$A,MATCH(V30,ShipPartShape!$B:$B,0)),"-")</f>
        <v>-</v>
      </c>
      <c r="X30" s="4"/>
      <c r="Y30" s="11" t="str">
        <f>IFERROR(INDEX(ShipPartShape!$A:$A,MATCH(X30,ShipPartShape!$B:$B,0)),"-")</f>
        <v>-</v>
      </c>
      <c r="Z30" s="4"/>
      <c r="AA30" s="11" t="str">
        <f>IFERROR(INDEX(ShipPartShape!$A:$A,MATCH(Z30,ShipPartShape!$B:$B,0)),"-")</f>
        <v>-</v>
      </c>
      <c r="AB30" s="4"/>
      <c r="AC30" s="11" t="str">
        <f>IFERROR(INDEX(ShipPartShape!$A:$A,MATCH(AB30,ShipPartShape!$B:$B,0)),"-")</f>
        <v>-</v>
      </c>
      <c r="AD30" s="4"/>
      <c r="AE30" s="11" t="str">
        <f>IFERROR(INDEX(ShipPartShape!$A:$A,MATCH(AD30,ShipPartShape!$B:$B,0)),"-")</f>
        <v>-</v>
      </c>
      <c r="AF30" s="4"/>
      <c r="AG30" s="11" t="str">
        <f>IFERROR(INDEX(ShipPartShape!$A:$A,MATCH(AF30,ShipPartShape!$B:$B,0)),"-")</f>
        <v>-</v>
      </c>
      <c r="AH30" s="11" t="s">
        <v>802</v>
      </c>
      <c r="AI30" s="11" t="s">
        <v>802</v>
      </c>
      <c r="AJ30" s="11" t="s">
        <v>802</v>
      </c>
      <c r="AK30" s="11" t="s">
        <v>0</v>
      </c>
      <c r="AL30" s="11" t="s">
        <v>0</v>
      </c>
      <c r="AM30" s="11" t="s">
        <v>0</v>
      </c>
      <c r="AN30" s="11" t="s">
        <v>0</v>
      </c>
      <c r="AO30" s="11" t="s">
        <v>0</v>
      </c>
      <c r="AP30" s="11" t="s">
        <v>0</v>
      </c>
      <c r="AQ30" s="11" t="s">
        <v>0</v>
      </c>
      <c r="AR30" s="11" t="s">
        <v>0</v>
      </c>
    </row>
    <row r="31" spans="1:44" ht="15">
      <c r="A31" s="10">
        <f t="shared" si="3"/>
        <v>45000021</v>
      </c>
      <c r="B31" s="4" t="s">
        <v>174</v>
      </c>
      <c r="C31" s="11" t="s">
        <v>241</v>
      </c>
      <c r="D31" s="4" t="s">
        <v>131</v>
      </c>
      <c r="E31" s="11">
        <v>600</v>
      </c>
      <c r="F31" s="11">
        <v>50</v>
      </c>
      <c r="G31" s="11">
        <f>IFERROR(INDEX(ShipPartShape!$A:$A,MATCH(D31,ShipPartShape!$B:$B,0)),"-")</f>
        <v>46000022</v>
      </c>
      <c r="H31" s="4" t="s">
        <v>1170</v>
      </c>
      <c r="I31" s="11">
        <f>IFERROR(INDEX(ShipPartShape!$A:$A,MATCH(H31,ShipPartShape!$B:$B,0)),"-")</f>
        <v>46100002</v>
      </c>
      <c r="J31" s="4" t="s">
        <v>106</v>
      </c>
      <c r="K31" s="11">
        <f>IFERROR(INDEX(ShipPartShape!$A:$A,MATCH(J31,ShipPartShape!$B:$B,0)),"-")</f>
        <v>46200001</v>
      </c>
      <c r="L31" s="4" t="s">
        <v>70</v>
      </c>
      <c r="M31" s="11">
        <f>IFERROR(INDEX(ShipPartShape!$A:$A,MATCH(L31,ShipPartShape!$B:$B,0)),"-")</f>
        <v>46300001</v>
      </c>
      <c r="N31" s="4"/>
      <c r="O31" s="11" t="str">
        <f>IFERROR(INDEX(ShipPartShape!$A:$A,MATCH(N31,ShipPartShape!$B:$B,0)),"-")</f>
        <v>-</v>
      </c>
      <c r="P31" s="4"/>
      <c r="Q31" s="11" t="str">
        <f>IFERROR(INDEX(ShipPartShape!$A:$A,MATCH(P31,ShipPartShape!$B:$B,0)),"-")</f>
        <v>-</v>
      </c>
      <c r="R31" s="4"/>
      <c r="S31" s="11" t="str">
        <f>IFERROR(INDEX(ShipPartShape!$A:$A,MATCH(R31,ShipPartShape!$B:$B,0)),"-")</f>
        <v>-</v>
      </c>
      <c r="T31" s="4"/>
      <c r="U31" s="11" t="str">
        <f>IFERROR(INDEX(ShipPartShape!$A:$A,MATCH(T31,ShipPartShape!$B:$B,0)),"-")</f>
        <v>-</v>
      </c>
      <c r="V31" s="4"/>
      <c r="W31" s="11" t="str">
        <f>IFERROR(INDEX(ShipPartShape!$A:$A,MATCH(V31,ShipPartShape!$B:$B,0)),"-")</f>
        <v>-</v>
      </c>
      <c r="X31" s="4"/>
      <c r="Y31" s="11" t="str">
        <f>IFERROR(INDEX(ShipPartShape!$A:$A,MATCH(X31,ShipPartShape!$B:$B,0)),"-")</f>
        <v>-</v>
      </c>
      <c r="Z31" s="4"/>
      <c r="AA31" s="11" t="str">
        <f>IFERROR(INDEX(ShipPartShape!$A:$A,MATCH(Z31,ShipPartShape!$B:$B,0)),"-")</f>
        <v>-</v>
      </c>
      <c r="AB31" s="4"/>
      <c r="AC31" s="11" t="str">
        <f>IFERROR(INDEX(ShipPartShape!$A:$A,MATCH(AB31,ShipPartShape!$B:$B,0)),"-")</f>
        <v>-</v>
      </c>
      <c r="AD31" s="4"/>
      <c r="AE31" s="11" t="str">
        <f>IFERROR(INDEX(ShipPartShape!$A:$A,MATCH(AD31,ShipPartShape!$B:$B,0)),"-")</f>
        <v>-</v>
      </c>
      <c r="AF31" s="4"/>
      <c r="AG31" s="11" t="str">
        <f>IFERROR(INDEX(ShipPartShape!$A:$A,MATCH(AF31,ShipPartShape!$B:$B,0)),"-")</f>
        <v>-</v>
      </c>
      <c r="AH31" s="11" t="s">
        <v>802</v>
      </c>
      <c r="AI31" s="11" t="s">
        <v>802</v>
      </c>
      <c r="AJ31" s="11" t="s">
        <v>802</v>
      </c>
      <c r="AK31" s="11" t="s">
        <v>0</v>
      </c>
      <c r="AL31" s="11" t="s">
        <v>0</v>
      </c>
      <c r="AM31" s="11" t="s">
        <v>0</v>
      </c>
      <c r="AN31" s="11" t="s">
        <v>0</v>
      </c>
      <c r="AO31" s="11" t="s">
        <v>0</v>
      </c>
      <c r="AP31" s="11" t="s">
        <v>0</v>
      </c>
      <c r="AQ31" s="11" t="s">
        <v>0</v>
      </c>
      <c r="AR31" s="11" t="s">
        <v>0</v>
      </c>
    </row>
    <row r="32" spans="1:44" ht="15">
      <c r="A32" s="10">
        <f>A31+1</f>
        <v>45000022</v>
      </c>
      <c r="B32" s="4" t="s">
        <v>175</v>
      </c>
      <c r="C32" s="11" t="s">
        <v>241</v>
      </c>
      <c r="D32" s="4" t="s">
        <v>133</v>
      </c>
      <c r="E32" s="11">
        <v>600</v>
      </c>
      <c r="F32" s="11">
        <v>50</v>
      </c>
      <c r="G32" s="11">
        <f>IFERROR(INDEX(ShipPartShape!$A:$A,MATCH(D32,ShipPartShape!$B:$B,0)),"-")</f>
        <v>46000023</v>
      </c>
      <c r="H32" s="4" t="s">
        <v>106</v>
      </c>
      <c r="I32" s="11">
        <f>IFERROR(INDEX(ShipPartShape!$A:$A,MATCH(H32,ShipPartShape!$B:$B,0)),"-")</f>
        <v>46200001</v>
      </c>
      <c r="J32" s="4" t="s">
        <v>70</v>
      </c>
      <c r="K32" s="11">
        <f>IFERROR(INDEX(ShipPartShape!$A:$A,MATCH(J32,ShipPartShape!$B:$B,0)),"-")</f>
        <v>46300001</v>
      </c>
      <c r="L32" s="4" t="s">
        <v>71</v>
      </c>
      <c r="M32" s="11">
        <f>IFERROR(INDEX(ShipPartShape!$A:$A,MATCH(L32,ShipPartShape!$B:$B,0)),"-")</f>
        <v>46700001</v>
      </c>
      <c r="N32" s="4"/>
      <c r="O32" s="11" t="str">
        <f>IFERROR(INDEX(ShipPartShape!$A:$A,MATCH(N32,ShipPartShape!$B:$B,0)),"-")</f>
        <v>-</v>
      </c>
      <c r="P32" s="4"/>
      <c r="Q32" s="11" t="str">
        <f>IFERROR(INDEX(ShipPartShape!$A:$A,MATCH(P32,ShipPartShape!$B:$B,0)),"-")</f>
        <v>-</v>
      </c>
      <c r="R32" s="4"/>
      <c r="S32" s="11" t="str">
        <f>IFERROR(INDEX(ShipPartShape!$A:$A,MATCH(R32,ShipPartShape!$B:$B,0)),"-")</f>
        <v>-</v>
      </c>
      <c r="T32" s="4"/>
      <c r="U32" s="11" t="str">
        <f>IFERROR(INDEX(ShipPartShape!$A:$A,MATCH(T32,ShipPartShape!$B:$B,0)),"-")</f>
        <v>-</v>
      </c>
      <c r="V32" s="4"/>
      <c r="W32" s="11" t="str">
        <f>IFERROR(INDEX(ShipPartShape!$A:$A,MATCH(V32,ShipPartShape!$B:$B,0)),"-")</f>
        <v>-</v>
      </c>
      <c r="X32" s="4"/>
      <c r="Y32" s="11" t="str">
        <f>IFERROR(INDEX(ShipPartShape!$A:$A,MATCH(X32,ShipPartShape!$B:$B,0)),"-")</f>
        <v>-</v>
      </c>
      <c r="Z32" s="4"/>
      <c r="AA32" s="11" t="str">
        <f>IFERROR(INDEX(ShipPartShape!$A:$A,MATCH(Z32,ShipPartShape!$B:$B,0)),"-")</f>
        <v>-</v>
      </c>
      <c r="AB32" s="4"/>
      <c r="AC32" s="11" t="str">
        <f>IFERROR(INDEX(ShipPartShape!$A:$A,MATCH(AB32,ShipPartShape!$B:$B,0)),"-")</f>
        <v>-</v>
      </c>
      <c r="AD32" s="4"/>
      <c r="AE32" s="11" t="str">
        <f>IFERROR(INDEX(ShipPartShape!$A:$A,MATCH(AD32,ShipPartShape!$B:$B,0)),"-")</f>
        <v>-</v>
      </c>
      <c r="AF32" s="4"/>
      <c r="AG32" s="11" t="str">
        <f>IFERROR(INDEX(ShipPartShape!$A:$A,MATCH(AF32,ShipPartShape!$B:$B,0)),"-")</f>
        <v>-</v>
      </c>
      <c r="AH32" s="11" t="s">
        <v>802</v>
      </c>
      <c r="AI32" s="11" t="s">
        <v>802</v>
      </c>
      <c r="AJ32" s="11" t="s">
        <v>802</v>
      </c>
      <c r="AK32" s="11" t="s">
        <v>0</v>
      </c>
      <c r="AL32" s="11" t="s">
        <v>0</v>
      </c>
      <c r="AM32" s="11" t="s">
        <v>0</v>
      </c>
      <c r="AN32" s="11" t="s">
        <v>0</v>
      </c>
      <c r="AO32" s="11" t="s">
        <v>0</v>
      </c>
      <c r="AP32" s="11" t="s">
        <v>0</v>
      </c>
      <c r="AQ32" s="11" t="s">
        <v>0</v>
      </c>
      <c r="AR32" s="11" t="s">
        <v>0</v>
      </c>
    </row>
    <row r="33" spans="1:44" ht="15">
      <c r="A33" s="10">
        <f>A32+1</f>
        <v>45000023</v>
      </c>
      <c r="B33" s="4" t="s">
        <v>176</v>
      </c>
      <c r="C33" s="11" t="s">
        <v>241</v>
      </c>
      <c r="D33" s="4" t="s">
        <v>135</v>
      </c>
      <c r="E33" s="11">
        <v>600</v>
      </c>
      <c r="F33" s="11">
        <v>50</v>
      </c>
      <c r="G33" s="11">
        <f>IFERROR(INDEX(ShipPartShape!$A:$A,MATCH(D33,ShipPartShape!$B:$B,0)),"-")</f>
        <v>46000024</v>
      </c>
      <c r="H33" s="4" t="s">
        <v>106</v>
      </c>
      <c r="I33" s="11">
        <f>IFERROR(INDEX(ShipPartShape!$A:$A,MATCH(H33,ShipPartShape!$B:$B,0)),"-")</f>
        <v>46200001</v>
      </c>
      <c r="J33" s="4" t="s">
        <v>70</v>
      </c>
      <c r="K33" s="11">
        <f>IFERROR(INDEX(ShipPartShape!$A:$A,MATCH(J33,ShipPartShape!$B:$B,0)),"-")</f>
        <v>46300001</v>
      </c>
      <c r="L33" s="4" t="s">
        <v>71</v>
      </c>
      <c r="M33" s="11">
        <f>IFERROR(INDEX(ShipPartShape!$A:$A,MATCH(L33,ShipPartShape!$B:$B,0)),"-")</f>
        <v>46700001</v>
      </c>
      <c r="N33" s="4"/>
      <c r="O33" s="11" t="str">
        <f>IFERROR(INDEX(ShipPartShape!$A:$A,MATCH(N33,ShipPartShape!$B:$B,0)),"-")</f>
        <v>-</v>
      </c>
      <c r="P33" s="4"/>
      <c r="Q33" s="11" t="str">
        <f>IFERROR(INDEX(ShipPartShape!$A:$A,MATCH(P33,ShipPartShape!$B:$B,0)),"-")</f>
        <v>-</v>
      </c>
      <c r="R33" s="4"/>
      <c r="S33" s="11" t="str">
        <f>IFERROR(INDEX(ShipPartShape!$A:$A,MATCH(R33,ShipPartShape!$B:$B,0)),"-")</f>
        <v>-</v>
      </c>
      <c r="T33" s="4"/>
      <c r="U33" s="11" t="str">
        <f>IFERROR(INDEX(ShipPartShape!$A:$A,MATCH(T33,ShipPartShape!$B:$B,0)),"-")</f>
        <v>-</v>
      </c>
      <c r="V33" s="4"/>
      <c r="W33" s="11" t="str">
        <f>IFERROR(INDEX(ShipPartShape!$A:$A,MATCH(V33,ShipPartShape!$B:$B,0)),"-")</f>
        <v>-</v>
      </c>
      <c r="X33" s="4"/>
      <c r="Y33" s="11" t="str">
        <f>IFERROR(INDEX(ShipPartShape!$A:$A,MATCH(X33,ShipPartShape!$B:$B,0)),"-")</f>
        <v>-</v>
      </c>
      <c r="Z33" s="4"/>
      <c r="AA33" s="11" t="str">
        <f>IFERROR(INDEX(ShipPartShape!$A:$A,MATCH(Z33,ShipPartShape!$B:$B,0)),"-")</f>
        <v>-</v>
      </c>
      <c r="AB33" s="4"/>
      <c r="AC33" s="11" t="str">
        <f>IFERROR(INDEX(ShipPartShape!$A:$A,MATCH(AB33,ShipPartShape!$B:$B,0)),"-")</f>
        <v>-</v>
      </c>
      <c r="AD33" s="4"/>
      <c r="AE33" s="11" t="str">
        <f>IFERROR(INDEX(ShipPartShape!$A:$A,MATCH(AD33,ShipPartShape!$B:$B,0)),"-")</f>
        <v>-</v>
      </c>
      <c r="AF33" s="4"/>
      <c r="AG33" s="11" t="str">
        <f>IFERROR(INDEX(ShipPartShape!$A:$A,MATCH(AF33,ShipPartShape!$B:$B,0)),"-")</f>
        <v>-</v>
      </c>
      <c r="AH33" s="11" t="s">
        <v>802</v>
      </c>
      <c r="AI33" s="11" t="s">
        <v>802</v>
      </c>
      <c r="AJ33" s="11" t="s">
        <v>802</v>
      </c>
      <c r="AK33" s="11" t="s">
        <v>0</v>
      </c>
      <c r="AL33" s="11" t="s">
        <v>0</v>
      </c>
      <c r="AM33" s="11" t="s">
        <v>0</v>
      </c>
      <c r="AN33" s="11" t="s">
        <v>0</v>
      </c>
      <c r="AO33" s="11" t="s">
        <v>0</v>
      </c>
      <c r="AP33" s="11" t="s">
        <v>0</v>
      </c>
      <c r="AQ33" s="11" t="s">
        <v>0</v>
      </c>
      <c r="AR33" s="11" t="s">
        <v>0</v>
      </c>
    </row>
    <row r="34" spans="1:44" ht="15">
      <c r="A34" s="10">
        <f>A33+1</f>
        <v>45000024</v>
      </c>
      <c r="B34" s="4" t="s">
        <v>166</v>
      </c>
      <c r="C34" s="11" t="s">
        <v>241</v>
      </c>
      <c r="D34" s="4" t="s">
        <v>137</v>
      </c>
      <c r="E34" s="11">
        <v>600</v>
      </c>
      <c r="F34" s="11">
        <v>50</v>
      </c>
      <c r="G34" s="11">
        <f>IFERROR(INDEX(ShipPartShape!$A:$A,MATCH(D34,ShipPartShape!$B:$B,0)),"-")</f>
        <v>46000025</v>
      </c>
      <c r="H34" s="4" t="s">
        <v>106</v>
      </c>
      <c r="I34" s="11">
        <f>IFERROR(INDEX(ShipPartShape!$A:$A,MATCH(H34,ShipPartShape!$B:$B,0)),"-")</f>
        <v>46200001</v>
      </c>
      <c r="J34" s="4" t="s">
        <v>70</v>
      </c>
      <c r="K34" s="11">
        <f>IFERROR(INDEX(ShipPartShape!$A:$A,MATCH(J34,ShipPartShape!$B:$B,0)),"-")</f>
        <v>46300001</v>
      </c>
      <c r="L34" s="4" t="s">
        <v>71</v>
      </c>
      <c r="M34" s="11">
        <f>IFERROR(INDEX(ShipPartShape!$A:$A,MATCH(L34,ShipPartShape!$B:$B,0)),"-")</f>
        <v>46700001</v>
      </c>
      <c r="N34" s="4"/>
      <c r="O34" s="11" t="str">
        <f>IFERROR(INDEX(ShipPartShape!$A:$A,MATCH(N34,ShipPartShape!$B:$B,0)),"-")</f>
        <v>-</v>
      </c>
      <c r="P34" s="4"/>
      <c r="Q34" s="11" t="str">
        <f>IFERROR(INDEX(ShipPartShape!$A:$A,MATCH(P34,ShipPartShape!$B:$B,0)),"-")</f>
        <v>-</v>
      </c>
      <c r="R34" s="4"/>
      <c r="S34" s="11" t="str">
        <f>IFERROR(INDEX(ShipPartShape!$A:$A,MATCH(R34,ShipPartShape!$B:$B,0)),"-")</f>
        <v>-</v>
      </c>
      <c r="T34" s="4"/>
      <c r="U34" s="11" t="str">
        <f>IFERROR(INDEX(ShipPartShape!$A:$A,MATCH(T34,ShipPartShape!$B:$B,0)),"-")</f>
        <v>-</v>
      </c>
      <c r="V34" s="4"/>
      <c r="W34" s="11" t="str">
        <f>IFERROR(INDEX(ShipPartShape!$A:$A,MATCH(V34,ShipPartShape!$B:$B,0)),"-")</f>
        <v>-</v>
      </c>
      <c r="X34" s="4"/>
      <c r="Y34" s="11" t="str">
        <f>IFERROR(INDEX(ShipPartShape!$A:$A,MATCH(X34,ShipPartShape!$B:$B,0)),"-")</f>
        <v>-</v>
      </c>
      <c r="Z34" s="4"/>
      <c r="AA34" s="11" t="str">
        <f>IFERROR(INDEX(ShipPartShape!$A:$A,MATCH(Z34,ShipPartShape!$B:$B,0)),"-")</f>
        <v>-</v>
      </c>
      <c r="AB34" s="4"/>
      <c r="AC34" s="11" t="str">
        <f>IFERROR(INDEX(ShipPartShape!$A:$A,MATCH(AB34,ShipPartShape!$B:$B,0)),"-")</f>
        <v>-</v>
      </c>
      <c r="AD34" s="4"/>
      <c r="AE34" s="11" t="str">
        <f>IFERROR(INDEX(ShipPartShape!$A:$A,MATCH(AD34,ShipPartShape!$B:$B,0)),"-")</f>
        <v>-</v>
      </c>
      <c r="AF34" s="4"/>
      <c r="AG34" s="11" t="str">
        <f>IFERROR(INDEX(ShipPartShape!$A:$A,MATCH(AF34,ShipPartShape!$B:$B,0)),"-")</f>
        <v>-</v>
      </c>
      <c r="AH34" s="11" t="s">
        <v>802</v>
      </c>
      <c r="AI34" s="11" t="s">
        <v>802</v>
      </c>
      <c r="AJ34" s="11" t="s">
        <v>802</v>
      </c>
      <c r="AK34" s="11" t="s">
        <v>0</v>
      </c>
      <c r="AL34" s="11" t="s">
        <v>0</v>
      </c>
      <c r="AM34" s="11" t="s">
        <v>0</v>
      </c>
      <c r="AN34" s="11" t="s">
        <v>0</v>
      </c>
      <c r="AO34" s="11" t="s">
        <v>0</v>
      </c>
      <c r="AP34" s="11" t="s">
        <v>0</v>
      </c>
      <c r="AQ34" s="11" t="s">
        <v>0</v>
      </c>
      <c r="AR34" s="11" t="s">
        <v>0</v>
      </c>
    </row>
    <row r="35" spans="1:44" ht="15">
      <c r="A35" s="10">
        <f>A34+1</f>
        <v>45000025</v>
      </c>
      <c r="B35" s="22" t="s">
        <v>170</v>
      </c>
      <c r="C35" s="11" t="s">
        <v>242</v>
      </c>
      <c r="D35" s="4" t="s">
        <v>140</v>
      </c>
      <c r="E35" s="11">
        <v>600</v>
      </c>
      <c r="F35" s="11">
        <v>50</v>
      </c>
      <c r="G35" s="11">
        <f>IFERROR(INDEX(ShipPartShape!$A:$A,MATCH(D35,ShipPartShape!$B:$B,0)),"-")</f>
        <v>46000026</v>
      </c>
      <c r="H35" s="4" t="s">
        <v>71</v>
      </c>
      <c r="I35" s="11">
        <f>IFERROR(INDEX(ShipPartShape!$A:$A,MATCH(H35,ShipPartShape!$B:$B,0)),"-")</f>
        <v>46700001</v>
      </c>
      <c r="J35" s="4"/>
      <c r="K35" s="11" t="str">
        <f>IFERROR(INDEX(ShipPartShape!$A:$A,MATCH(J35,ShipPartShape!$B:$B,0)),"-")</f>
        <v>-</v>
      </c>
      <c r="L35" s="4"/>
      <c r="M35" s="11" t="str">
        <f>IFERROR(INDEX(ShipPartShape!$A:$A,MATCH(L35,ShipPartShape!$B:$B,0)),"-")</f>
        <v>-</v>
      </c>
      <c r="N35" s="4"/>
      <c r="O35" s="11" t="str">
        <f>IFERROR(INDEX(ShipPartShape!$A:$A,MATCH(N35,ShipPartShape!$B:$B,0)),"-")</f>
        <v>-</v>
      </c>
      <c r="P35" s="4"/>
      <c r="Q35" s="11" t="str">
        <f>IFERROR(INDEX(ShipPartShape!$A:$A,MATCH(P35,ShipPartShape!$B:$B,0)),"-")</f>
        <v>-</v>
      </c>
      <c r="R35" s="4" t="s">
        <v>917</v>
      </c>
      <c r="S35" s="11">
        <f>IFERROR(INDEX(ShipPartShape!$A:$A,MATCH(R35,ShipPartShape!$B:$B,0)),"-")</f>
        <v>46600002</v>
      </c>
      <c r="T35" s="4" t="s">
        <v>923</v>
      </c>
      <c r="U35" s="11">
        <f>IFERROR(INDEX(ShipPartShape!$A:$A,MATCH(T35,ShipPartShape!$B:$B,0)),"-")</f>
        <v>46600004</v>
      </c>
      <c r="V35" s="4" t="s">
        <v>920</v>
      </c>
      <c r="W35" s="11">
        <f>IFERROR(INDEX(ShipPartShape!$A:$A,MATCH(V35,ShipPartShape!$B:$B,0)),"-")</f>
        <v>46600009</v>
      </c>
      <c r="X35" s="4" t="s">
        <v>918</v>
      </c>
      <c r="Y35" s="11">
        <f>IFERROR(INDEX(ShipPartShape!$A:$A,MATCH(X35,ShipPartShape!$B:$B,0)),"-")</f>
        <v>46600007</v>
      </c>
      <c r="Z35" s="4"/>
      <c r="AA35" s="11" t="str">
        <f>IFERROR(INDEX(ShipPartShape!$A:$A,MATCH(Z35,ShipPartShape!$B:$B,0)),"-")</f>
        <v>-</v>
      </c>
      <c r="AB35" s="4" t="s">
        <v>1822</v>
      </c>
      <c r="AC35" s="11">
        <f>IFERROR(INDEX(ShipPartShape!$A:$A,MATCH(AB35,ShipPartShape!$B:$B,0)),"-")</f>
        <v>46100022</v>
      </c>
      <c r="AD35" s="4"/>
      <c r="AE35" s="11" t="str">
        <f>IFERROR(INDEX(ShipPartShape!$A:$A,MATCH(AD35,ShipPartShape!$B:$B,0)),"-")</f>
        <v>-</v>
      </c>
      <c r="AF35" s="4"/>
      <c r="AG35" s="11" t="str">
        <f>IFERROR(INDEX(ShipPartShape!$A:$A,MATCH(AF35,ShipPartShape!$B:$B,0)),"-")</f>
        <v>-</v>
      </c>
      <c r="AH35" s="11" t="s">
        <v>802</v>
      </c>
      <c r="AI35" s="11" t="s">
        <v>802</v>
      </c>
      <c r="AJ35" s="11" t="s">
        <v>802</v>
      </c>
      <c r="AK35" s="11" t="s">
        <v>105</v>
      </c>
      <c r="AL35" s="11" t="s">
        <v>0</v>
      </c>
      <c r="AM35" s="11" t="s">
        <v>0</v>
      </c>
      <c r="AN35" s="11" t="s">
        <v>0</v>
      </c>
      <c r="AO35" s="11" t="s">
        <v>0</v>
      </c>
      <c r="AP35" s="11" t="s">
        <v>0</v>
      </c>
      <c r="AQ35" s="11" t="s">
        <v>0</v>
      </c>
      <c r="AR35" s="11" t="s">
        <v>0</v>
      </c>
    </row>
    <row r="36" spans="1:44" ht="15">
      <c r="A36" s="10">
        <f t="shared" ref="A36:A37" si="4">A35+1</f>
        <v>45000026</v>
      </c>
      <c r="B36" s="4" t="s">
        <v>178</v>
      </c>
      <c r="C36" s="11" t="s">
        <v>242</v>
      </c>
      <c r="D36" s="4" t="s">
        <v>142</v>
      </c>
      <c r="E36" s="11">
        <v>600</v>
      </c>
      <c r="F36" s="11">
        <v>50</v>
      </c>
      <c r="G36" s="11">
        <f>IFERROR(INDEX(ShipPartShape!$A:$A,MATCH(D36,ShipPartShape!$B:$B,0)),"-")</f>
        <v>46000027</v>
      </c>
      <c r="H36" s="4" t="s">
        <v>70</v>
      </c>
      <c r="I36" s="11">
        <f>IFERROR(INDEX(ShipPartShape!$A:$A,MATCH(H36,ShipPartShape!$B:$B,0)),"-")</f>
        <v>46300001</v>
      </c>
      <c r="J36" s="4" t="s">
        <v>71</v>
      </c>
      <c r="K36" s="11">
        <f>IFERROR(INDEX(ShipPartShape!$A:$A,MATCH(J36,ShipPartShape!$B:$B,0)),"-")</f>
        <v>46700001</v>
      </c>
      <c r="L36" s="4"/>
      <c r="M36" s="11" t="str">
        <f>IFERROR(INDEX(ShipPartShape!$A:$A,MATCH(L36,ShipPartShape!$B:$B,0)),"-")</f>
        <v>-</v>
      </c>
      <c r="N36" s="4"/>
      <c r="O36" s="11" t="str">
        <f>IFERROR(INDEX(ShipPartShape!$A:$A,MATCH(N36,ShipPartShape!$B:$B,0)),"-")</f>
        <v>-</v>
      </c>
      <c r="P36" s="4"/>
      <c r="Q36" s="11" t="str">
        <f>IFERROR(INDEX(ShipPartShape!$A:$A,MATCH(P36,ShipPartShape!$B:$B,0)),"-")</f>
        <v>-</v>
      </c>
      <c r="R36" s="4"/>
      <c r="S36" s="11" t="str">
        <f>IFERROR(INDEX(ShipPartShape!$A:$A,MATCH(R36,ShipPartShape!$B:$B,0)),"-")</f>
        <v>-</v>
      </c>
      <c r="T36" s="4"/>
      <c r="U36" s="11" t="str">
        <f>IFERROR(INDEX(ShipPartShape!$A:$A,MATCH(T36,ShipPartShape!$B:$B,0)),"-")</f>
        <v>-</v>
      </c>
      <c r="V36" s="4"/>
      <c r="W36" s="11" t="str">
        <f>IFERROR(INDEX(ShipPartShape!$A:$A,MATCH(V36,ShipPartShape!$B:$B,0)),"-")</f>
        <v>-</v>
      </c>
      <c r="X36" s="4"/>
      <c r="Y36" s="11" t="str">
        <f>IFERROR(INDEX(ShipPartShape!$A:$A,MATCH(X36,ShipPartShape!$B:$B,0)),"-")</f>
        <v>-</v>
      </c>
      <c r="Z36" s="4"/>
      <c r="AA36" s="11" t="str">
        <f>IFERROR(INDEX(ShipPartShape!$A:$A,MATCH(Z36,ShipPartShape!$B:$B,0)),"-")</f>
        <v>-</v>
      </c>
      <c r="AB36" s="4"/>
      <c r="AC36" s="11" t="str">
        <f>IFERROR(INDEX(ShipPartShape!$A:$A,MATCH(AB36,ShipPartShape!$B:$B,0)),"-")</f>
        <v>-</v>
      </c>
      <c r="AD36" s="4"/>
      <c r="AE36" s="11" t="str">
        <f>IFERROR(INDEX(ShipPartShape!$A:$A,MATCH(AD36,ShipPartShape!$B:$B,0)),"-")</f>
        <v>-</v>
      </c>
      <c r="AF36" s="4"/>
      <c r="AG36" s="11" t="str">
        <f>IFERROR(INDEX(ShipPartShape!$A:$A,MATCH(AF36,ShipPartShape!$B:$B,0)),"-")</f>
        <v>-</v>
      </c>
      <c r="AH36" s="11" t="s">
        <v>802</v>
      </c>
      <c r="AI36" s="11" t="s">
        <v>802</v>
      </c>
      <c r="AJ36" s="11" t="s">
        <v>802</v>
      </c>
      <c r="AK36" s="11" t="s">
        <v>0</v>
      </c>
      <c r="AL36" s="11" t="s">
        <v>0</v>
      </c>
      <c r="AM36" s="11" t="s">
        <v>0</v>
      </c>
      <c r="AN36" s="11" t="s">
        <v>0</v>
      </c>
      <c r="AO36" s="11" t="s">
        <v>0</v>
      </c>
      <c r="AP36" s="11" t="s">
        <v>0</v>
      </c>
      <c r="AQ36" s="11" t="s">
        <v>0</v>
      </c>
      <c r="AR36" s="11" t="s">
        <v>0</v>
      </c>
    </row>
    <row r="37" spans="1:44" ht="15">
      <c r="A37" s="10">
        <f t="shared" si="4"/>
        <v>45000027</v>
      </c>
      <c r="B37" s="4" t="s">
        <v>179</v>
      </c>
      <c r="C37" s="11" t="s">
        <v>242</v>
      </c>
      <c r="D37" s="4" t="s">
        <v>144</v>
      </c>
      <c r="E37" s="11">
        <v>600</v>
      </c>
      <c r="F37" s="11">
        <v>50</v>
      </c>
      <c r="G37" s="11">
        <f>IFERROR(INDEX(ShipPartShape!$A:$A,MATCH(D37,ShipPartShape!$B:$B,0)),"-")</f>
        <v>46000028</v>
      </c>
      <c r="H37" s="4" t="s">
        <v>1170</v>
      </c>
      <c r="I37" s="11">
        <f>IFERROR(INDEX(ShipPartShape!$A:$A,MATCH(H37,ShipPartShape!$B:$B,0)),"-")</f>
        <v>46100002</v>
      </c>
      <c r="J37" s="4" t="s">
        <v>106</v>
      </c>
      <c r="K37" s="11">
        <f>IFERROR(INDEX(ShipPartShape!$A:$A,MATCH(J37,ShipPartShape!$B:$B,0)),"-")</f>
        <v>46200001</v>
      </c>
      <c r="L37" s="4" t="s">
        <v>70</v>
      </c>
      <c r="M37" s="11">
        <f>IFERROR(INDEX(ShipPartShape!$A:$A,MATCH(L37,ShipPartShape!$B:$B,0)),"-")</f>
        <v>46300001</v>
      </c>
      <c r="N37" s="4"/>
      <c r="O37" s="11" t="str">
        <f>IFERROR(INDEX(ShipPartShape!$A:$A,MATCH(N37,ShipPartShape!$B:$B,0)),"-")</f>
        <v>-</v>
      </c>
      <c r="P37" s="4"/>
      <c r="Q37" s="11" t="str">
        <f>IFERROR(INDEX(ShipPartShape!$A:$A,MATCH(P37,ShipPartShape!$B:$B,0)),"-")</f>
        <v>-</v>
      </c>
      <c r="R37" s="4"/>
      <c r="S37" s="11" t="str">
        <f>IFERROR(INDEX(ShipPartShape!$A:$A,MATCH(R37,ShipPartShape!$B:$B,0)),"-")</f>
        <v>-</v>
      </c>
      <c r="T37" s="4"/>
      <c r="U37" s="11" t="str">
        <f>IFERROR(INDEX(ShipPartShape!$A:$A,MATCH(T37,ShipPartShape!$B:$B,0)),"-")</f>
        <v>-</v>
      </c>
      <c r="V37" s="4"/>
      <c r="W37" s="11" t="str">
        <f>IFERROR(INDEX(ShipPartShape!$A:$A,MATCH(V37,ShipPartShape!$B:$B,0)),"-")</f>
        <v>-</v>
      </c>
      <c r="X37" s="4"/>
      <c r="Y37" s="11" t="str">
        <f>IFERROR(INDEX(ShipPartShape!$A:$A,MATCH(X37,ShipPartShape!$B:$B,0)),"-")</f>
        <v>-</v>
      </c>
      <c r="Z37" s="4"/>
      <c r="AA37" s="11" t="str">
        <f>IFERROR(INDEX(ShipPartShape!$A:$A,MATCH(Z37,ShipPartShape!$B:$B,0)),"-")</f>
        <v>-</v>
      </c>
      <c r="AB37" s="4"/>
      <c r="AC37" s="11" t="str">
        <f>IFERROR(INDEX(ShipPartShape!$A:$A,MATCH(AB37,ShipPartShape!$B:$B,0)),"-")</f>
        <v>-</v>
      </c>
      <c r="AD37" s="4"/>
      <c r="AE37" s="11" t="str">
        <f>IFERROR(INDEX(ShipPartShape!$A:$A,MATCH(AD37,ShipPartShape!$B:$B,0)),"-")</f>
        <v>-</v>
      </c>
      <c r="AF37" s="4"/>
      <c r="AG37" s="11" t="str">
        <f>IFERROR(INDEX(ShipPartShape!$A:$A,MATCH(AF37,ShipPartShape!$B:$B,0)),"-")</f>
        <v>-</v>
      </c>
      <c r="AH37" s="11" t="s">
        <v>802</v>
      </c>
      <c r="AI37" s="11" t="s">
        <v>802</v>
      </c>
      <c r="AJ37" s="11" t="s">
        <v>802</v>
      </c>
      <c r="AK37" s="11" t="s">
        <v>0</v>
      </c>
      <c r="AL37" s="11" t="s">
        <v>0</v>
      </c>
      <c r="AM37" s="11" t="s">
        <v>0</v>
      </c>
      <c r="AN37" s="11" t="s">
        <v>0</v>
      </c>
      <c r="AO37" s="11" t="s">
        <v>0</v>
      </c>
      <c r="AP37" s="11" t="s">
        <v>0</v>
      </c>
      <c r="AQ37" s="11" t="s">
        <v>0</v>
      </c>
      <c r="AR37" s="11" t="s">
        <v>0</v>
      </c>
    </row>
    <row r="38" spans="1:44" ht="15">
      <c r="A38" s="10">
        <f>A37+1</f>
        <v>45000028</v>
      </c>
      <c r="B38" s="4" t="s">
        <v>171</v>
      </c>
      <c r="C38" s="11" t="s">
        <v>242</v>
      </c>
      <c r="D38" s="4" t="s">
        <v>146</v>
      </c>
      <c r="E38" s="11">
        <v>600</v>
      </c>
      <c r="F38" s="11">
        <v>50</v>
      </c>
      <c r="G38" s="11">
        <f>IFERROR(INDEX(ShipPartShape!$A:$A,MATCH(D38,ShipPartShape!$B:$B,0)),"-")</f>
        <v>46000029</v>
      </c>
      <c r="H38" s="4" t="s">
        <v>106</v>
      </c>
      <c r="I38" s="11">
        <f>IFERROR(INDEX(ShipPartShape!$A:$A,MATCH(H38,ShipPartShape!$B:$B,0)),"-")</f>
        <v>46200001</v>
      </c>
      <c r="J38" s="4" t="s">
        <v>70</v>
      </c>
      <c r="K38" s="11">
        <f>IFERROR(INDEX(ShipPartShape!$A:$A,MATCH(J38,ShipPartShape!$B:$B,0)),"-")</f>
        <v>46300001</v>
      </c>
      <c r="L38" s="4" t="s">
        <v>71</v>
      </c>
      <c r="M38" s="11">
        <f>IFERROR(INDEX(ShipPartShape!$A:$A,MATCH(L38,ShipPartShape!$B:$B,0)),"-")</f>
        <v>46700001</v>
      </c>
      <c r="N38" s="4"/>
      <c r="O38" s="11" t="str">
        <f>IFERROR(INDEX(ShipPartShape!$A:$A,MATCH(N38,ShipPartShape!$B:$B,0)),"-")</f>
        <v>-</v>
      </c>
      <c r="P38" s="4"/>
      <c r="Q38" s="11" t="str">
        <f>IFERROR(INDEX(ShipPartShape!$A:$A,MATCH(P38,ShipPartShape!$B:$B,0)),"-")</f>
        <v>-</v>
      </c>
      <c r="R38" s="4"/>
      <c r="S38" s="11" t="str">
        <f>IFERROR(INDEX(ShipPartShape!$A:$A,MATCH(R38,ShipPartShape!$B:$B,0)),"-")</f>
        <v>-</v>
      </c>
      <c r="T38" s="4"/>
      <c r="U38" s="11" t="str">
        <f>IFERROR(INDEX(ShipPartShape!$A:$A,MATCH(T38,ShipPartShape!$B:$B,0)),"-")</f>
        <v>-</v>
      </c>
      <c r="V38" s="4"/>
      <c r="W38" s="11" t="str">
        <f>IFERROR(INDEX(ShipPartShape!$A:$A,MATCH(V38,ShipPartShape!$B:$B,0)),"-")</f>
        <v>-</v>
      </c>
      <c r="X38" s="4"/>
      <c r="Y38" s="11" t="str">
        <f>IFERROR(INDEX(ShipPartShape!$A:$A,MATCH(X38,ShipPartShape!$B:$B,0)),"-")</f>
        <v>-</v>
      </c>
      <c r="Z38" s="4"/>
      <c r="AA38" s="11" t="str">
        <f>IFERROR(INDEX(ShipPartShape!$A:$A,MATCH(Z38,ShipPartShape!$B:$B,0)),"-")</f>
        <v>-</v>
      </c>
      <c r="AB38" s="4"/>
      <c r="AC38" s="11" t="str">
        <f>IFERROR(INDEX(ShipPartShape!$A:$A,MATCH(AB38,ShipPartShape!$B:$B,0)),"-")</f>
        <v>-</v>
      </c>
      <c r="AD38" s="4"/>
      <c r="AE38" s="11" t="str">
        <f>IFERROR(INDEX(ShipPartShape!$A:$A,MATCH(AD38,ShipPartShape!$B:$B,0)),"-")</f>
        <v>-</v>
      </c>
      <c r="AF38" s="4"/>
      <c r="AG38" s="11" t="str">
        <f>IFERROR(INDEX(ShipPartShape!$A:$A,MATCH(AF38,ShipPartShape!$B:$B,0)),"-")</f>
        <v>-</v>
      </c>
      <c r="AH38" s="11" t="s">
        <v>802</v>
      </c>
      <c r="AI38" s="11" t="s">
        <v>802</v>
      </c>
      <c r="AJ38" s="11" t="s">
        <v>802</v>
      </c>
      <c r="AK38" s="11" t="s">
        <v>0</v>
      </c>
      <c r="AL38" s="11" t="s">
        <v>0</v>
      </c>
      <c r="AM38" s="11" t="s">
        <v>0</v>
      </c>
      <c r="AN38" s="11" t="s">
        <v>0</v>
      </c>
      <c r="AO38" s="11" t="s">
        <v>0</v>
      </c>
      <c r="AP38" s="11" t="s">
        <v>0</v>
      </c>
      <c r="AQ38" s="11" t="s">
        <v>0</v>
      </c>
      <c r="AR38" s="11" t="s">
        <v>0</v>
      </c>
    </row>
    <row r="39" spans="1:44" ht="15">
      <c r="A39" s="10">
        <f>A38+1</f>
        <v>45000029</v>
      </c>
      <c r="B39" s="4" t="s">
        <v>172</v>
      </c>
      <c r="C39" s="11" t="s">
        <v>242</v>
      </c>
      <c r="D39" s="4" t="s">
        <v>148</v>
      </c>
      <c r="E39" s="11">
        <v>600</v>
      </c>
      <c r="F39" s="11">
        <v>50</v>
      </c>
      <c r="G39" s="11">
        <f>IFERROR(INDEX(ShipPartShape!$A:$A,MATCH(D39,ShipPartShape!$B:$B,0)),"-")</f>
        <v>46000030</v>
      </c>
      <c r="H39" s="4" t="s">
        <v>106</v>
      </c>
      <c r="I39" s="11">
        <f>IFERROR(INDEX(ShipPartShape!$A:$A,MATCH(H39,ShipPartShape!$B:$B,0)),"-")</f>
        <v>46200001</v>
      </c>
      <c r="J39" s="4" t="s">
        <v>70</v>
      </c>
      <c r="K39" s="11">
        <f>IFERROR(INDEX(ShipPartShape!$A:$A,MATCH(J39,ShipPartShape!$B:$B,0)),"-")</f>
        <v>46300001</v>
      </c>
      <c r="L39" s="4" t="s">
        <v>71</v>
      </c>
      <c r="M39" s="11">
        <f>IFERROR(INDEX(ShipPartShape!$A:$A,MATCH(L39,ShipPartShape!$B:$B,0)),"-")</f>
        <v>46700001</v>
      </c>
      <c r="N39" s="4"/>
      <c r="O39" s="11" t="str">
        <f>IFERROR(INDEX(ShipPartShape!$A:$A,MATCH(N39,ShipPartShape!$B:$B,0)),"-")</f>
        <v>-</v>
      </c>
      <c r="P39" s="4"/>
      <c r="Q39" s="11" t="str">
        <f>IFERROR(INDEX(ShipPartShape!$A:$A,MATCH(P39,ShipPartShape!$B:$B,0)),"-")</f>
        <v>-</v>
      </c>
      <c r="R39" s="4"/>
      <c r="S39" s="11" t="str">
        <f>IFERROR(INDEX(ShipPartShape!$A:$A,MATCH(R39,ShipPartShape!$B:$B,0)),"-")</f>
        <v>-</v>
      </c>
      <c r="T39" s="4"/>
      <c r="U39" s="11" t="str">
        <f>IFERROR(INDEX(ShipPartShape!$A:$A,MATCH(T39,ShipPartShape!$B:$B,0)),"-")</f>
        <v>-</v>
      </c>
      <c r="V39" s="4"/>
      <c r="W39" s="11" t="str">
        <f>IFERROR(INDEX(ShipPartShape!$A:$A,MATCH(V39,ShipPartShape!$B:$B,0)),"-")</f>
        <v>-</v>
      </c>
      <c r="X39" s="4"/>
      <c r="Y39" s="11" t="str">
        <f>IFERROR(INDEX(ShipPartShape!$A:$A,MATCH(X39,ShipPartShape!$B:$B,0)),"-")</f>
        <v>-</v>
      </c>
      <c r="Z39" s="4"/>
      <c r="AA39" s="11" t="str">
        <f>IFERROR(INDEX(ShipPartShape!$A:$A,MATCH(Z39,ShipPartShape!$B:$B,0)),"-")</f>
        <v>-</v>
      </c>
      <c r="AB39" s="4"/>
      <c r="AC39" s="11" t="str">
        <f>IFERROR(INDEX(ShipPartShape!$A:$A,MATCH(AB39,ShipPartShape!$B:$B,0)),"-")</f>
        <v>-</v>
      </c>
      <c r="AD39" s="4"/>
      <c r="AE39" s="11" t="str">
        <f>IFERROR(INDEX(ShipPartShape!$A:$A,MATCH(AD39,ShipPartShape!$B:$B,0)),"-")</f>
        <v>-</v>
      </c>
      <c r="AF39" s="4"/>
      <c r="AG39" s="11" t="str">
        <f>IFERROR(INDEX(ShipPartShape!$A:$A,MATCH(AF39,ShipPartShape!$B:$B,0)),"-")</f>
        <v>-</v>
      </c>
      <c r="AH39" s="11" t="s">
        <v>802</v>
      </c>
      <c r="AI39" s="11" t="s">
        <v>802</v>
      </c>
      <c r="AJ39" s="11" t="s">
        <v>802</v>
      </c>
      <c r="AK39" s="11" t="s">
        <v>0</v>
      </c>
      <c r="AL39" s="11" t="s">
        <v>0</v>
      </c>
      <c r="AM39" s="11" t="s">
        <v>0</v>
      </c>
      <c r="AN39" s="11" t="s">
        <v>0</v>
      </c>
      <c r="AO39" s="11" t="s">
        <v>0</v>
      </c>
      <c r="AP39" s="11" t="s">
        <v>0</v>
      </c>
      <c r="AQ39" s="11" t="s">
        <v>0</v>
      </c>
      <c r="AR39" s="11" t="s">
        <v>0</v>
      </c>
    </row>
    <row r="40" spans="1:44" ht="15">
      <c r="A40" s="10">
        <f>A39+1</f>
        <v>45000030</v>
      </c>
      <c r="B40" s="100" t="s">
        <v>180</v>
      </c>
      <c r="C40" s="11" t="s">
        <v>242</v>
      </c>
      <c r="D40" s="4" t="s">
        <v>150</v>
      </c>
      <c r="E40" s="11">
        <v>600</v>
      </c>
      <c r="F40" s="11">
        <v>50</v>
      </c>
      <c r="G40" s="11">
        <f>IFERROR(INDEX(ShipPartShape!$A:$A,MATCH(D40,ShipPartShape!$B:$B,0)),"-")</f>
        <v>46000031</v>
      </c>
      <c r="H40" s="4" t="s">
        <v>106</v>
      </c>
      <c r="I40" s="11">
        <f>IFERROR(INDEX(ShipPartShape!$A:$A,MATCH(H40,ShipPartShape!$B:$B,0)),"-")</f>
        <v>46200001</v>
      </c>
      <c r="J40" s="4" t="s">
        <v>70</v>
      </c>
      <c r="K40" s="11">
        <f>IFERROR(INDEX(ShipPartShape!$A:$A,MATCH(J40,ShipPartShape!$B:$B,0)),"-")</f>
        <v>46300001</v>
      </c>
      <c r="L40" s="4" t="s">
        <v>71</v>
      </c>
      <c r="M40" s="11">
        <f>IFERROR(INDEX(ShipPartShape!$A:$A,MATCH(L40,ShipPartShape!$B:$B,0)),"-")</f>
        <v>46700001</v>
      </c>
      <c r="N40" s="4"/>
      <c r="O40" s="11" t="str">
        <f>IFERROR(INDEX(ShipPartShape!$A:$A,MATCH(N40,ShipPartShape!$B:$B,0)),"-")</f>
        <v>-</v>
      </c>
      <c r="P40" s="4"/>
      <c r="Q40" s="11" t="str">
        <f>IFERROR(INDEX(ShipPartShape!$A:$A,MATCH(P40,ShipPartShape!$B:$B,0)),"-")</f>
        <v>-</v>
      </c>
      <c r="R40" s="4"/>
      <c r="S40" s="11" t="str">
        <f>IFERROR(INDEX(ShipPartShape!$A:$A,MATCH(R40,ShipPartShape!$B:$B,0)),"-")</f>
        <v>-</v>
      </c>
      <c r="T40" s="4"/>
      <c r="U40" s="11" t="str">
        <f>IFERROR(INDEX(ShipPartShape!$A:$A,MATCH(T40,ShipPartShape!$B:$B,0)),"-")</f>
        <v>-</v>
      </c>
      <c r="V40" s="4"/>
      <c r="W40" s="11" t="str">
        <f>IFERROR(INDEX(ShipPartShape!$A:$A,MATCH(V40,ShipPartShape!$B:$B,0)),"-")</f>
        <v>-</v>
      </c>
      <c r="X40" s="4"/>
      <c r="Y40" s="11" t="str">
        <f>IFERROR(INDEX(ShipPartShape!$A:$A,MATCH(X40,ShipPartShape!$B:$B,0)),"-")</f>
        <v>-</v>
      </c>
      <c r="Z40" s="4"/>
      <c r="AA40" s="11" t="str">
        <f>IFERROR(INDEX(ShipPartShape!$A:$A,MATCH(Z40,ShipPartShape!$B:$B,0)),"-")</f>
        <v>-</v>
      </c>
      <c r="AB40" s="4"/>
      <c r="AC40" s="11" t="str">
        <f>IFERROR(INDEX(ShipPartShape!$A:$A,MATCH(AB40,ShipPartShape!$B:$B,0)),"-")</f>
        <v>-</v>
      </c>
      <c r="AD40" s="4"/>
      <c r="AE40" s="11" t="str">
        <f>IFERROR(INDEX(ShipPartShape!$A:$A,MATCH(AD40,ShipPartShape!$B:$B,0)),"-")</f>
        <v>-</v>
      </c>
      <c r="AF40" s="4"/>
      <c r="AG40" s="11" t="str">
        <f>IFERROR(INDEX(ShipPartShape!$A:$A,MATCH(AF40,ShipPartShape!$B:$B,0)),"-")</f>
        <v>-</v>
      </c>
      <c r="AH40" s="11" t="s">
        <v>802</v>
      </c>
      <c r="AI40" s="11" t="s">
        <v>802</v>
      </c>
      <c r="AJ40" s="11" t="s">
        <v>802</v>
      </c>
      <c r="AK40" s="11" t="s">
        <v>0</v>
      </c>
      <c r="AL40" s="11" t="s">
        <v>0</v>
      </c>
      <c r="AM40" s="11" t="s">
        <v>0</v>
      </c>
      <c r="AN40" s="11" t="s">
        <v>0</v>
      </c>
      <c r="AO40" s="11" t="s">
        <v>0</v>
      </c>
      <c r="AP40" s="11" t="s">
        <v>0</v>
      </c>
      <c r="AQ40" s="11" t="s">
        <v>0</v>
      </c>
      <c r="AR40" s="11" t="s">
        <v>0</v>
      </c>
    </row>
    <row r="41" spans="1:44" ht="15">
      <c r="A41" s="10">
        <f>A40+1</f>
        <v>45000031</v>
      </c>
      <c r="B41" s="22" t="s">
        <v>181</v>
      </c>
      <c r="C41" s="11" t="s">
        <v>242</v>
      </c>
      <c r="D41" s="4" t="s">
        <v>153</v>
      </c>
      <c r="E41" s="11">
        <v>600</v>
      </c>
      <c r="F41" s="11">
        <v>50</v>
      </c>
      <c r="G41" s="11">
        <f>IFERROR(INDEX(ShipPartShape!$A:$A,MATCH(D41,ShipPartShape!$B:$B,0)),"-")</f>
        <v>46000032</v>
      </c>
      <c r="H41" s="4" t="s">
        <v>71</v>
      </c>
      <c r="I41" s="11">
        <f>IFERROR(INDEX(ShipPartShape!$A:$A,MATCH(H41,ShipPartShape!$B:$B,0)),"-")</f>
        <v>46700001</v>
      </c>
      <c r="J41" s="4"/>
      <c r="K41" s="11" t="str">
        <f>IFERROR(INDEX(ShipPartShape!$A:$A,MATCH(J41,ShipPartShape!$B:$B,0)),"-")</f>
        <v>-</v>
      </c>
      <c r="L41" s="4"/>
      <c r="M41" s="11" t="str">
        <f>IFERROR(INDEX(ShipPartShape!$A:$A,MATCH(L41,ShipPartShape!$B:$B,0)),"-")</f>
        <v>-</v>
      </c>
      <c r="N41" s="4"/>
      <c r="O41" s="11" t="str">
        <f>IFERROR(INDEX(ShipPartShape!$A:$A,MATCH(N41,ShipPartShape!$B:$B,0)),"-")</f>
        <v>-</v>
      </c>
      <c r="P41" s="4"/>
      <c r="Q41" s="11" t="str">
        <f>IFERROR(INDEX(ShipPartShape!$A:$A,MATCH(P41,ShipPartShape!$B:$B,0)),"-")</f>
        <v>-</v>
      </c>
      <c r="R41" s="4" t="s">
        <v>917</v>
      </c>
      <c r="S41" s="11">
        <f>IFERROR(INDEX(ShipPartShape!$A:$A,MATCH(R41,ShipPartShape!$B:$B,0)),"-")</f>
        <v>46600002</v>
      </c>
      <c r="T41" s="4" t="s">
        <v>923</v>
      </c>
      <c r="U41" s="11">
        <f>IFERROR(INDEX(ShipPartShape!$A:$A,MATCH(T41,ShipPartShape!$B:$B,0)),"-")</f>
        <v>46600004</v>
      </c>
      <c r="V41" s="4" t="s">
        <v>920</v>
      </c>
      <c r="W41" s="11">
        <f>IFERROR(INDEX(ShipPartShape!$A:$A,MATCH(V41,ShipPartShape!$B:$B,0)),"-")</f>
        <v>46600009</v>
      </c>
      <c r="X41" s="4" t="s">
        <v>918</v>
      </c>
      <c r="Y41" s="11">
        <f>IFERROR(INDEX(ShipPartShape!$A:$A,MATCH(X41,ShipPartShape!$B:$B,0)),"-")</f>
        <v>46600007</v>
      </c>
      <c r="Z41" s="4"/>
      <c r="AA41" s="11" t="str">
        <f>IFERROR(INDEX(ShipPartShape!$A:$A,MATCH(Z41,ShipPartShape!$B:$B,0)),"-")</f>
        <v>-</v>
      </c>
      <c r="AB41" s="4" t="s">
        <v>1823</v>
      </c>
      <c r="AC41" s="11">
        <f>IFERROR(INDEX(ShipPartShape!$A:$A,MATCH(AB41,ShipPartShape!$B:$B,0)),"-")</f>
        <v>46100023</v>
      </c>
      <c r="AD41" s="4"/>
      <c r="AE41" s="11" t="str">
        <f>IFERROR(INDEX(ShipPartShape!$A:$A,MATCH(AD41,ShipPartShape!$B:$B,0)),"-")</f>
        <v>-</v>
      </c>
      <c r="AF41" s="4"/>
      <c r="AG41" s="11" t="str">
        <f>IFERROR(INDEX(ShipPartShape!$A:$A,MATCH(AF41,ShipPartShape!$B:$B,0)),"-")</f>
        <v>-</v>
      </c>
      <c r="AH41" s="11" t="s">
        <v>802</v>
      </c>
      <c r="AI41" s="11" t="s">
        <v>802</v>
      </c>
      <c r="AJ41" s="11" t="s">
        <v>802</v>
      </c>
      <c r="AK41" s="11" t="s">
        <v>105</v>
      </c>
      <c r="AL41" s="11" t="s">
        <v>0</v>
      </c>
      <c r="AM41" s="11" t="s">
        <v>0</v>
      </c>
      <c r="AN41" s="11" t="s">
        <v>0</v>
      </c>
      <c r="AO41" s="11" t="s">
        <v>0</v>
      </c>
      <c r="AP41" s="11" t="s">
        <v>0</v>
      </c>
      <c r="AQ41" s="11" t="s">
        <v>0</v>
      </c>
      <c r="AR41" s="11" t="s">
        <v>0</v>
      </c>
    </row>
    <row r="42" spans="1:44" ht="15">
      <c r="A42" s="10">
        <f t="shared" ref="A42:A43" si="5">A41+1</f>
        <v>45000032</v>
      </c>
      <c r="B42" s="4" t="s">
        <v>188</v>
      </c>
      <c r="C42" s="11" t="s">
        <v>242</v>
      </c>
      <c r="D42" s="4" t="s">
        <v>155</v>
      </c>
      <c r="E42" s="11">
        <v>600</v>
      </c>
      <c r="F42" s="11">
        <v>50</v>
      </c>
      <c r="G42" s="11">
        <f>IFERROR(INDEX(ShipPartShape!$A:$A,MATCH(D42,ShipPartShape!$B:$B,0)),"-")</f>
        <v>46000033</v>
      </c>
      <c r="H42" s="4" t="s">
        <v>70</v>
      </c>
      <c r="I42" s="11">
        <f>IFERROR(INDEX(ShipPartShape!$A:$A,MATCH(H42,ShipPartShape!$B:$B,0)),"-")</f>
        <v>46300001</v>
      </c>
      <c r="J42" s="4" t="s">
        <v>71</v>
      </c>
      <c r="K42" s="11">
        <f>IFERROR(INDEX(ShipPartShape!$A:$A,MATCH(J42,ShipPartShape!$B:$B,0)),"-")</f>
        <v>46700001</v>
      </c>
      <c r="L42" s="4"/>
      <c r="M42" s="11" t="str">
        <f>IFERROR(INDEX(ShipPartShape!$A:$A,MATCH(L42,ShipPartShape!$B:$B,0)),"-")</f>
        <v>-</v>
      </c>
      <c r="N42" s="4"/>
      <c r="O42" s="11" t="str">
        <f>IFERROR(INDEX(ShipPartShape!$A:$A,MATCH(N42,ShipPartShape!$B:$B,0)),"-")</f>
        <v>-</v>
      </c>
      <c r="P42" s="4"/>
      <c r="Q42" s="11" t="str">
        <f>IFERROR(INDEX(ShipPartShape!$A:$A,MATCH(P42,ShipPartShape!$B:$B,0)),"-")</f>
        <v>-</v>
      </c>
      <c r="R42" s="4"/>
      <c r="S42" s="11" t="str">
        <f>IFERROR(INDEX(ShipPartShape!$A:$A,MATCH(R42,ShipPartShape!$B:$B,0)),"-")</f>
        <v>-</v>
      </c>
      <c r="T42" s="4"/>
      <c r="U42" s="11" t="str">
        <f>IFERROR(INDEX(ShipPartShape!$A:$A,MATCH(T42,ShipPartShape!$B:$B,0)),"-")</f>
        <v>-</v>
      </c>
      <c r="V42" s="4"/>
      <c r="W42" s="11" t="str">
        <f>IFERROR(INDEX(ShipPartShape!$A:$A,MATCH(V42,ShipPartShape!$B:$B,0)),"-")</f>
        <v>-</v>
      </c>
      <c r="X42" s="4"/>
      <c r="Y42" s="11" t="str">
        <f>IFERROR(INDEX(ShipPartShape!$A:$A,MATCH(X42,ShipPartShape!$B:$B,0)),"-")</f>
        <v>-</v>
      </c>
      <c r="Z42" s="4"/>
      <c r="AA42" s="11" t="str">
        <f>IFERROR(INDEX(ShipPartShape!$A:$A,MATCH(Z42,ShipPartShape!$B:$B,0)),"-")</f>
        <v>-</v>
      </c>
      <c r="AB42" s="4"/>
      <c r="AC42" s="11" t="str">
        <f>IFERROR(INDEX(ShipPartShape!$A:$A,MATCH(AB42,ShipPartShape!$B:$B,0)),"-")</f>
        <v>-</v>
      </c>
      <c r="AD42" s="4"/>
      <c r="AE42" s="11" t="str">
        <f>IFERROR(INDEX(ShipPartShape!$A:$A,MATCH(AD42,ShipPartShape!$B:$B,0)),"-")</f>
        <v>-</v>
      </c>
      <c r="AF42" s="4"/>
      <c r="AG42" s="11" t="str">
        <f>IFERROR(INDEX(ShipPartShape!$A:$A,MATCH(AF42,ShipPartShape!$B:$B,0)),"-")</f>
        <v>-</v>
      </c>
      <c r="AH42" s="11" t="s">
        <v>802</v>
      </c>
      <c r="AI42" s="11" t="s">
        <v>802</v>
      </c>
      <c r="AJ42" s="11" t="s">
        <v>802</v>
      </c>
      <c r="AK42" s="11" t="s">
        <v>0</v>
      </c>
      <c r="AL42" s="11" t="s">
        <v>0</v>
      </c>
      <c r="AM42" s="11" t="s">
        <v>0</v>
      </c>
      <c r="AN42" s="11" t="s">
        <v>0</v>
      </c>
      <c r="AO42" s="11" t="s">
        <v>0</v>
      </c>
      <c r="AP42" s="11" t="s">
        <v>0</v>
      </c>
      <c r="AQ42" s="11" t="s">
        <v>0</v>
      </c>
      <c r="AR42" s="11" t="s">
        <v>0</v>
      </c>
    </row>
    <row r="43" spans="1:44" ht="15">
      <c r="A43" s="10">
        <f t="shared" si="5"/>
        <v>45000033</v>
      </c>
      <c r="B43" s="4" t="s">
        <v>189</v>
      </c>
      <c r="C43" s="11" t="s">
        <v>242</v>
      </c>
      <c r="D43" s="4" t="s">
        <v>157</v>
      </c>
      <c r="E43" s="11">
        <v>600</v>
      </c>
      <c r="F43" s="11">
        <v>50</v>
      </c>
      <c r="G43" s="11">
        <f>IFERROR(INDEX(ShipPartShape!$A:$A,MATCH(D43,ShipPartShape!$B:$B,0)),"-")</f>
        <v>46000034</v>
      </c>
      <c r="H43" s="4" t="s">
        <v>1170</v>
      </c>
      <c r="I43" s="11">
        <f>IFERROR(INDEX(ShipPartShape!$A:$A,MATCH(H43,ShipPartShape!$B:$B,0)),"-")</f>
        <v>46100002</v>
      </c>
      <c r="J43" s="4" t="s">
        <v>106</v>
      </c>
      <c r="K43" s="11">
        <f>IFERROR(INDEX(ShipPartShape!$A:$A,MATCH(J43,ShipPartShape!$B:$B,0)),"-")</f>
        <v>46200001</v>
      </c>
      <c r="L43" s="4" t="s">
        <v>70</v>
      </c>
      <c r="M43" s="11">
        <f>IFERROR(INDEX(ShipPartShape!$A:$A,MATCH(L43,ShipPartShape!$B:$B,0)),"-")</f>
        <v>46300001</v>
      </c>
      <c r="N43" s="4"/>
      <c r="O43" s="11" t="str">
        <f>IFERROR(INDEX(ShipPartShape!$A:$A,MATCH(N43,ShipPartShape!$B:$B,0)),"-")</f>
        <v>-</v>
      </c>
      <c r="P43" s="4"/>
      <c r="Q43" s="11" t="str">
        <f>IFERROR(INDEX(ShipPartShape!$A:$A,MATCH(P43,ShipPartShape!$B:$B,0)),"-")</f>
        <v>-</v>
      </c>
      <c r="R43" s="4"/>
      <c r="S43" s="11" t="str">
        <f>IFERROR(INDEX(ShipPartShape!$A:$A,MATCH(R43,ShipPartShape!$B:$B,0)),"-")</f>
        <v>-</v>
      </c>
      <c r="T43" s="4"/>
      <c r="U43" s="11" t="str">
        <f>IFERROR(INDEX(ShipPartShape!$A:$A,MATCH(T43,ShipPartShape!$B:$B,0)),"-")</f>
        <v>-</v>
      </c>
      <c r="V43" s="4"/>
      <c r="W43" s="11" t="str">
        <f>IFERROR(INDEX(ShipPartShape!$A:$A,MATCH(V43,ShipPartShape!$B:$B,0)),"-")</f>
        <v>-</v>
      </c>
      <c r="X43" s="4"/>
      <c r="Y43" s="11" t="str">
        <f>IFERROR(INDEX(ShipPartShape!$A:$A,MATCH(X43,ShipPartShape!$B:$B,0)),"-")</f>
        <v>-</v>
      </c>
      <c r="Z43" s="4"/>
      <c r="AA43" s="11" t="str">
        <f>IFERROR(INDEX(ShipPartShape!$A:$A,MATCH(Z43,ShipPartShape!$B:$B,0)),"-")</f>
        <v>-</v>
      </c>
      <c r="AB43" s="4"/>
      <c r="AC43" s="11" t="str">
        <f>IFERROR(INDEX(ShipPartShape!$A:$A,MATCH(AB43,ShipPartShape!$B:$B,0)),"-")</f>
        <v>-</v>
      </c>
      <c r="AD43" s="4"/>
      <c r="AE43" s="11" t="str">
        <f>IFERROR(INDEX(ShipPartShape!$A:$A,MATCH(AD43,ShipPartShape!$B:$B,0)),"-")</f>
        <v>-</v>
      </c>
      <c r="AF43" s="4"/>
      <c r="AG43" s="11" t="str">
        <f>IFERROR(INDEX(ShipPartShape!$A:$A,MATCH(AF43,ShipPartShape!$B:$B,0)),"-")</f>
        <v>-</v>
      </c>
      <c r="AH43" s="11" t="s">
        <v>802</v>
      </c>
      <c r="AI43" s="11" t="s">
        <v>802</v>
      </c>
      <c r="AJ43" s="11" t="s">
        <v>802</v>
      </c>
      <c r="AK43" s="11" t="s">
        <v>0</v>
      </c>
      <c r="AL43" s="11" t="s">
        <v>0</v>
      </c>
      <c r="AM43" s="11" t="s">
        <v>0</v>
      </c>
      <c r="AN43" s="11" t="s">
        <v>0</v>
      </c>
      <c r="AO43" s="11" t="s">
        <v>0</v>
      </c>
      <c r="AP43" s="11" t="s">
        <v>0</v>
      </c>
      <c r="AQ43" s="11" t="s">
        <v>0</v>
      </c>
      <c r="AR43" s="11" t="s">
        <v>0</v>
      </c>
    </row>
    <row r="44" spans="1:44" ht="15">
      <c r="A44" s="10">
        <f t="shared" ref="A44:A56" si="6">A43+1</f>
        <v>45000034</v>
      </c>
      <c r="B44" s="4" t="s">
        <v>190</v>
      </c>
      <c r="C44" s="11" t="s">
        <v>242</v>
      </c>
      <c r="D44" s="4" t="s">
        <v>159</v>
      </c>
      <c r="E44" s="11">
        <v>600</v>
      </c>
      <c r="F44" s="11">
        <v>50</v>
      </c>
      <c r="G44" s="11">
        <f>IFERROR(INDEX(ShipPartShape!$A:$A,MATCH(D44,ShipPartShape!$B:$B,0)),"-")</f>
        <v>46000035</v>
      </c>
      <c r="H44" s="4" t="s">
        <v>106</v>
      </c>
      <c r="I44" s="11">
        <f>IFERROR(INDEX(ShipPartShape!$A:$A,MATCH(H44,ShipPartShape!$B:$B,0)),"-")</f>
        <v>46200001</v>
      </c>
      <c r="J44" s="4" t="s">
        <v>70</v>
      </c>
      <c r="K44" s="11">
        <f>IFERROR(INDEX(ShipPartShape!$A:$A,MATCH(J44,ShipPartShape!$B:$B,0)),"-")</f>
        <v>46300001</v>
      </c>
      <c r="L44" s="4" t="s">
        <v>71</v>
      </c>
      <c r="M44" s="11">
        <f>IFERROR(INDEX(ShipPartShape!$A:$A,MATCH(L44,ShipPartShape!$B:$B,0)),"-")</f>
        <v>46700001</v>
      </c>
      <c r="N44" s="4"/>
      <c r="O44" s="11" t="str">
        <f>IFERROR(INDEX(ShipPartShape!$A:$A,MATCH(N44,ShipPartShape!$B:$B,0)),"-")</f>
        <v>-</v>
      </c>
      <c r="P44" s="4"/>
      <c r="Q44" s="11" t="str">
        <f>IFERROR(INDEX(ShipPartShape!$A:$A,MATCH(P44,ShipPartShape!$B:$B,0)),"-")</f>
        <v>-</v>
      </c>
      <c r="R44" s="4"/>
      <c r="S44" s="11" t="str">
        <f>IFERROR(INDEX(ShipPartShape!$A:$A,MATCH(R44,ShipPartShape!$B:$B,0)),"-")</f>
        <v>-</v>
      </c>
      <c r="T44" s="4"/>
      <c r="U44" s="11" t="str">
        <f>IFERROR(INDEX(ShipPartShape!$A:$A,MATCH(T44,ShipPartShape!$B:$B,0)),"-")</f>
        <v>-</v>
      </c>
      <c r="V44" s="4"/>
      <c r="W44" s="11" t="str">
        <f>IFERROR(INDEX(ShipPartShape!$A:$A,MATCH(V44,ShipPartShape!$B:$B,0)),"-")</f>
        <v>-</v>
      </c>
      <c r="X44" s="4"/>
      <c r="Y44" s="11" t="str">
        <f>IFERROR(INDEX(ShipPartShape!$A:$A,MATCH(X44,ShipPartShape!$B:$B,0)),"-")</f>
        <v>-</v>
      </c>
      <c r="Z44" s="4"/>
      <c r="AA44" s="11" t="str">
        <f>IFERROR(INDEX(ShipPartShape!$A:$A,MATCH(Z44,ShipPartShape!$B:$B,0)),"-")</f>
        <v>-</v>
      </c>
      <c r="AB44" s="4"/>
      <c r="AC44" s="11" t="str">
        <f>IFERROR(INDEX(ShipPartShape!$A:$A,MATCH(AB44,ShipPartShape!$B:$B,0)),"-")</f>
        <v>-</v>
      </c>
      <c r="AD44" s="4"/>
      <c r="AE44" s="11" t="str">
        <f>IFERROR(INDEX(ShipPartShape!$A:$A,MATCH(AD44,ShipPartShape!$B:$B,0)),"-")</f>
        <v>-</v>
      </c>
      <c r="AF44" s="4"/>
      <c r="AG44" s="11" t="str">
        <f>IFERROR(INDEX(ShipPartShape!$A:$A,MATCH(AF44,ShipPartShape!$B:$B,0)),"-")</f>
        <v>-</v>
      </c>
      <c r="AH44" s="11" t="s">
        <v>802</v>
      </c>
      <c r="AI44" s="11" t="s">
        <v>802</v>
      </c>
      <c r="AJ44" s="11" t="s">
        <v>802</v>
      </c>
      <c r="AK44" s="11" t="s">
        <v>0</v>
      </c>
      <c r="AL44" s="11" t="s">
        <v>0</v>
      </c>
      <c r="AM44" s="11" t="s">
        <v>0</v>
      </c>
      <c r="AN44" s="11" t="s">
        <v>0</v>
      </c>
      <c r="AO44" s="11" t="s">
        <v>0</v>
      </c>
      <c r="AP44" s="11" t="s">
        <v>0</v>
      </c>
      <c r="AQ44" s="11" t="s">
        <v>0</v>
      </c>
      <c r="AR44" s="11" t="s">
        <v>0</v>
      </c>
    </row>
    <row r="45" spans="1:44" ht="15">
      <c r="A45" s="10">
        <f t="shared" si="6"/>
        <v>45000035</v>
      </c>
      <c r="B45" s="4" t="s">
        <v>191</v>
      </c>
      <c r="C45" s="11" t="s">
        <v>242</v>
      </c>
      <c r="D45" s="4" t="s">
        <v>161</v>
      </c>
      <c r="E45" s="11">
        <v>600</v>
      </c>
      <c r="F45" s="11">
        <v>50</v>
      </c>
      <c r="G45" s="11">
        <f>IFERROR(INDEX(ShipPartShape!$A:$A,MATCH(D45,ShipPartShape!$B:$B,0)),"-")</f>
        <v>46000036</v>
      </c>
      <c r="H45" s="4" t="s">
        <v>106</v>
      </c>
      <c r="I45" s="11">
        <f>IFERROR(INDEX(ShipPartShape!$A:$A,MATCH(H45,ShipPartShape!$B:$B,0)),"-")</f>
        <v>46200001</v>
      </c>
      <c r="J45" s="4" t="s">
        <v>70</v>
      </c>
      <c r="K45" s="11">
        <f>IFERROR(INDEX(ShipPartShape!$A:$A,MATCH(J45,ShipPartShape!$B:$B,0)),"-")</f>
        <v>46300001</v>
      </c>
      <c r="L45" s="4" t="s">
        <v>71</v>
      </c>
      <c r="M45" s="11">
        <f>IFERROR(INDEX(ShipPartShape!$A:$A,MATCH(L45,ShipPartShape!$B:$B,0)),"-")</f>
        <v>46700001</v>
      </c>
      <c r="N45" s="4"/>
      <c r="O45" s="11" t="str">
        <f>IFERROR(INDEX(ShipPartShape!$A:$A,MATCH(N45,ShipPartShape!$B:$B,0)),"-")</f>
        <v>-</v>
      </c>
      <c r="P45" s="4"/>
      <c r="Q45" s="11" t="str">
        <f>IFERROR(INDEX(ShipPartShape!$A:$A,MATCH(P45,ShipPartShape!$B:$B,0)),"-")</f>
        <v>-</v>
      </c>
      <c r="R45" s="4"/>
      <c r="S45" s="11" t="str">
        <f>IFERROR(INDEX(ShipPartShape!$A:$A,MATCH(R45,ShipPartShape!$B:$B,0)),"-")</f>
        <v>-</v>
      </c>
      <c r="T45" s="4"/>
      <c r="U45" s="11" t="str">
        <f>IFERROR(INDEX(ShipPartShape!$A:$A,MATCH(T45,ShipPartShape!$B:$B,0)),"-")</f>
        <v>-</v>
      </c>
      <c r="V45" s="4"/>
      <c r="W45" s="11" t="str">
        <f>IFERROR(INDEX(ShipPartShape!$A:$A,MATCH(V45,ShipPartShape!$B:$B,0)),"-")</f>
        <v>-</v>
      </c>
      <c r="X45" s="4"/>
      <c r="Y45" s="11" t="str">
        <f>IFERROR(INDEX(ShipPartShape!$A:$A,MATCH(X45,ShipPartShape!$B:$B,0)),"-")</f>
        <v>-</v>
      </c>
      <c r="Z45" s="4"/>
      <c r="AA45" s="11" t="str">
        <f>IFERROR(INDEX(ShipPartShape!$A:$A,MATCH(Z45,ShipPartShape!$B:$B,0)),"-")</f>
        <v>-</v>
      </c>
      <c r="AB45" s="4"/>
      <c r="AC45" s="11" t="str">
        <f>IFERROR(INDEX(ShipPartShape!$A:$A,MATCH(AB45,ShipPartShape!$B:$B,0)),"-")</f>
        <v>-</v>
      </c>
      <c r="AD45" s="4"/>
      <c r="AE45" s="11" t="str">
        <f>IFERROR(INDEX(ShipPartShape!$A:$A,MATCH(AD45,ShipPartShape!$B:$B,0)),"-")</f>
        <v>-</v>
      </c>
      <c r="AF45" s="4"/>
      <c r="AG45" s="11" t="str">
        <f>IFERROR(INDEX(ShipPartShape!$A:$A,MATCH(AF45,ShipPartShape!$B:$B,0)),"-")</f>
        <v>-</v>
      </c>
      <c r="AH45" s="11" t="s">
        <v>802</v>
      </c>
      <c r="AI45" s="11" t="s">
        <v>802</v>
      </c>
      <c r="AJ45" s="11" t="s">
        <v>802</v>
      </c>
      <c r="AK45" s="11" t="s">
        <v>0</v>
      </c>
      <c r="AL45" s="11" t="s">
        <v>0</v>
      </c>
      <c r="AM45" s="11" t="s">
        <v>0</v>
      </c>
      <c r="AN45" s="11" t="s">
        <v>0</v>
      </c>
      <c r="AO45" s="11" t="s">
        <v>0</v>
      </c>
      <c r="AP45" s="11" t="s">
        <v>0</v>
      </c>
      <c r="AQ45" s="11" t="s">
        <v>0</v>
      </c>
      <c r="AR45" s="11" t="s">
        <v>0</v>
      </c>
    </row>
    <row r="46" spans="1:44" ht="15">
      <c r="A46" s="10">
        <f t="shared" si="6"/>
        <v>45000036</v>
      </c>
      <c r="B46" s="4" t="s">
        <v>182</v>
      </c>
      <c r="C46" s="11" t="s">
        <v>242</v>
      </c>
      <c r="D46" s="4" t="s">
        <v>163</v>
      </c>
      <c r="E46" s="11">
        <v>600</v>
      </c>
      <c r="F46" s="11">
        <v>50</v>
      </c>
      <c r="G46" s="11">
        <f>IFERROR(INDEX(ShipPartShape!$A:$A,MATCH(D46,ShipPartShape!$B:$B,0)),"-")</f>
        <v>46000037</v>
      </c>
      <c r="H46" s="4" t="s">
        <v>106</v>
      </c>
      <c r="I46" s="11">
        <f>IFERROR(INDEX(ShipPartShape!$A:$A,MATCH(H46,ShipPartShape!$B:$B,0)),"-")</f>
        <v>46200001</v>
      </c>
      <c r="J46" s="4" t="s">
        <v>70</v>
      </c>
      <c r="K46" s="11">
        <f>IFERROR(INDEX(ShipPartShape!$A:$A,MATCH(J46,ShipPartShape!$B:$B,0)),"-")</f>
        <v>46300001</v>
      </c>
      <c r="L46" s="4" t="s">
        <v>71</v>
      </c>
      <c r="M46" s="11">
        <f>IFERROR(INDEX(ShipPartShape!$A:$A,MATCH(L46,ShipPartShape!$B:$B,0)),"-")</f>
        <v>46700001</v>
      </c>
      <c r="N46" s="4"/>
      <c r="O46" s="11" t="str">
        <f>IFERROR(INDEX(ShipPartShape!$A:$A,MATCH(N46,ShipPartShape!$B:$B,0)),"-")</f>
        <v>-</v>
      </c>
      <c r="P46" s="4"/>
      <c r="Q46" s="11" t="str">
        <f>IFERROR(INDEX(ShipPartShape!$A:$A,MATCH(P46,ShipPartShape!$B:$B,0)),"-")</f>
        <v>-</v>
      </c>
      <c r="R46" s="4"/>
      <c r="S46" s="11" t="str">
        <f>IFERROR(INDEX(ShipPartShape!$A:$A,MATCH(R46,ShipPartShape!$B:$B,0)),"-")</f>
        <v>-</v>
      </c>
      <c r="T46" s="4"/>
      <c r="U46" s="11" t="str">
        <f>IFERROR(INDEX(ShipPartShape!$A:$A,MATCH(T46,ShipPartShape!$B:$B,0)),"-")</f>
        <v>-</v>
      </c>
      <c r="V46" s="4"/>
      <c r="W46" s="11" t="str">
        <f>IFERROR(INDEX(ShipPartShape!$A:$A,MATCH(V46,ShipPartShape!$B:$B,0)),"-")</f>
        <v>-</v>
      </c>
      <c r="X46" s="4"/>
      <c r="Y46" s="11" t="str">
        <f>IFERROR(INDEX(ShipPartShape!$A:$A,MATCH(X46,ShipPartShape!$B:$B,0)),"-")</f>
        <v>-</v>
      </c>
      <c r="Z46" s="4"/>
      <c r="AA46" s="11" t="str">
        <f>IFERROR(INDEX(ShipPartShape!$A:$A,MATCH(Z46,ShipPartShape!$B:$B,0)),"-")</f>
        <v>-</v>
      </c>
      <c r="AB46" s="4"/>
      <c r="AC46" s="11" t="str">
        <f>IFERROR(INDEX(ShipPartShape!$A:$A,MATCH(AB46,ShipPartShape!$B:$B,0)),"-")</f>
        <v>-</v>
      </c>
      <c r="AD46" s="4"/>
      <c r="AE46" s="11" t="str">
        <f>IFERROR(INDEX(ShipPartShape!$A:$A,MATCH(AD46,ShipPartShape!$B:$B,0)),"-")</f>
        <v>-</v>
      </c>
      <c r="AF46" s="4"/>
      <c r="AG46" s="11" t="str">
        <f>IFERROR(INDEX(ShipPartShape!$A:$A,MATCH(AF46,ShipPartShape!$B:$B,0)),"-")</f>
        <v>-</v>
      </c>
      <c r="AH46" s="11" t="s">
        <v>802</v>
      </c>
      <c r="AI46" s="11" t="s">
        <v>802</v>
      </c>
      <c r="AJ46" s="11" t="s">
        <v>802</v>
      </c>
      <c r="AK46" s="11" t="s">
        <v>0</v>
      </c>
      <c r="AL46" s="11" t="s">
        <v>0</v>
      </c>
      <c r="AM46" s="11" t="s">
        <v>0</v>
      </c>
      <c r="AN46" s="11" t="s">
        <v>0</v>
      </c>
      <c r="AO46" s="11" t="s">
        <v>0</v>
      </c>
      <c r="AP46" s="11" t="s">
        <v>0</v>
      </c>
      <c r="AQ46" s="11" t="s">
        <v>0</v>
      </c>
      <c r="AR46" s="11" t="s">
        <v>0</v>
      </c>
    </row>
    <row r="47" spans="1:44" ht="15">
      <c r="A47" s="10">
        <f t="shared" si="6"/>
        <v>45000037</v>
      </c>
      <c r="B47" s="4" t="s">
        <v>239</v>
      </c>
      <c r="C47" s="11" t="s">
        <v>243</v>
      </c>
      <c r="D47" s="4" t="s">
        <v>192</v>
      </c>
      <c r="E47" s="11">
        <v>500</v>
      </c>
      <c r="F47" s="11">
        <v>200</v>
      </c>
      <c r="G47" s="11">
        <f>IFERROR(INDEX(ShipPartShape!$A:$A,MATCH(D47,ShipPartShape!$B:$B,0)),"-")</f>
        <v>46000038</v>
      </c>
      <c r="H47" s="4" t="s">
        <v>209</v>
      </c>
      <c r="I47" s="11">
        <f>IFERROR(INDEX(ShipPartShape!$A:$A,MATCH(H47,ShipPartShape!$B:$B,0)),"-")</f>
        <v>46700002</v>
      </c>
      <c r="J47" s="4" t="s">
        <v>194</v>
      </c>
      <c r="K47" s="11">
        <f>IFERROR(INDEX(ShipPartShape!$A:$A,MATCH(J47,ShipPartShape!$B:$B,0)),"-")</f>
        <v>46550001</v>
      </c>
      <c r="L47" s="4" t="s">
        <v>70</v>
      </c>
      <c r="M47" s="11">
        <f>IFERROR(INDEX(ShipPartShape!$A:$A,MATCH(L47,ShipPartShape!$B:$B,0)),"-")</f>
        <v>46300001</v>
      </c>
      <c r="N47" s="4"/>
      <c r="O47" s="11" t="str">
        <f>IFERROR(INDEX(ShipPartShape!$A:$A,MATCH(N47,ShipPartShape!$B:$B,0)),"-")</f>
        <v>-</v>
      </c>
      <c r="P47" s="4"/>
      <c r="Q47" s="11" t="str">
        <f>IFERROR(INDEX(ShipPartShape!$A:$A,MATCH(P47,ShipPartShape!$B:$B,0)),"-")</f>
        <v>-</v>
      </c>
      <c r="R47" s="4"/>
      <c r="S47" s="11" t="str">
        <f>IFERROR(INDEX(ShipPartShape!$A:$A,MATCH(R47,ShipPartShape!$B:$B,0)),"-")</f>
        <v>-</v>
      </c>
      <c r="T47" s="4"/>
      <c r="U47" s="11" t="str">
        <f>IFERROR(INDEX(ShipPartShape!$A:$A,MATCH(T47,ShipPartShape!$B:$B,0)),"-")</f>
        <v>-</v>
      </c>
      <c r="V47" s="4"/>
      <c r="W47" s="11" t="str">
        <f>IFERROR(INDEX(ShipPartShape!$A:$A,MATCH(V47,ShipPartShape!$B:$B,0)),"-")</f>
        <v>-</v>
      </c>
      <c r="X47" s="4"/>
      <c r="Y47" s="11" t="str">
        <f>IFERROR(INDEX(ShipPartShape!$A:$A,MATCH(X47,ShipPartShape!$B:$B,0)),"-")</f>
        <v>-</v>
      </c>
      <c r="Z47" s="4"/>
      <c r="AA47" s="11" t="str">
        <f>IFERROR(INDEX(ShipPartShape!$A:$A,MATCH(Z47,ShipPartShape!$B:$B,0)),"-")</f>
        <v>-</v>
      </c>
      <c r="AB47" s="4"/>
      <c r="AC47" s="11" t="str">
        <f>IFERROR(INDEX(ShipPartShape!$A:$A,MATCH(AB47,ShipPartShape!$B:$B,0)),"-")</f>
        <v>-</v>
      </c>
      <c r="AD47" s="4"/>
      <c r="AE47" s="11" t="str">
        <f>IFERROR(INDEX(ShipPartShape!$A:$A,MATCH(AD47,ShipPartShape!$B:$B,0)),"-")</f>
        <v>-</v>
      </c>
      <c r="AF47" s="4"/>
      <c r="AG47" s="11" t="str">
        <f>IFERROR(INDEX(ShipPartShape!$A:$A,MATCH(AF47,ShipPartShape!$B:$B,0)),"-")</f>
        <v>-</v>
      </c>
      <c r="AH47" s="11" t="s">
        <v>802</v>
      </c>
      <c r="AI47" s="11" t="s">
        <v>802</v>
      </c>
      <c r="AJ47" s="11" t="s">
        <v>802</v>
      </c>
      <c r="AK47" s="11" t="s">
        <v>105</v>
      </c>
      <c r="AL47" s="11" t="s">
        <v>0</v>
      </c>
      <c r="AM47" s="11" t="s">
        <v>0</v>
      </c>
      <c r="AN47" s="11" t="s">
        <v>0</v>
      </c>
      <c r="AO47" s="11" t="s">
        <v>0</v>
      </c>
      <c r="AP47" s="11" t="s">
        <v>0</v>
      </c>
      <c r="AQ47" s="11" t="s">
        <v>0</v>
      </c>
      <c r="AR47" s="11" t="s">
        <v>0</v>
      </c>
    </row>
    <row r="48" spans="1:44" ht="15">
      <c r="A48" s="10">
        <f t="shared" si="6"/>
        <v>45000038</v>
      </c>
      <c r="B48" s="22" t="s">
        <v>211</v>
      </c>
      <c r="C48" s="11" t="s">
        <v>293</v>
      </c>
      <c r="D48" s="4" t="s">
        <v>192</v>
      </c>
      <c r="E48" s="11">
        <v>500</v>
      </c>
      <c r="F48" s="11">
        <v>200</v>
      </c>
      <c r="G48" s="11">
        <f>IFERROR(INDEX(ShipPartShape!$A:$A,MATCH(D48,ShipPartShape!$B:$B,0)),"-")</f>
        <v>46000038</v>
      </c>
      <c r="H48" s="4" t="s">
        <v>204</v>
      </c>
      <c r="I48" s="11">
        <f>IFERROR(INDEX(ShipPartShape!$A:$A,MATCH(H48,ShipPartShape!$B:$B,0)),"-")</f>
        <v>46700003</v>
      </c>
      <c r="J48" s="4" t="s">
        <v>194</v>
      </c>
      <c r="K48" s="11">
        <f>IFERROR(INDEX(ShipPartShape!$A:$A,MATCH(J48,ShipPartShape!$B:$B,0)),"-")</f>
        <v>46550001</v>
      </c>
      <c r="L48" s="4" t="s">
        <v>70</v>
      </c>
      <c r="M48" s="11">
        <f>IFERROR(INDEX(ShipPartShape!$A:$A,MATCH(L48,ShipPartShape!$B:$B,0)),"-")</f>
        <v>46300001</v>
      </c>
      <c r="N48" s="4"/>
      <c r="O48" s="11" t="str">
        <f>IFERROR(INDEX(ShipPartShape!$A:$A,MATCH(N48,ShipPartShape!$B:$B,0)),"-")</f>
        <v>-</v>
      </c>
      <c r="P48" s="4"/>
      <c r="Q48" s="11" t="str">
        <f>IFERROR(INDEX(ShipPartShape!$A:$A,MATCH(P48,ShipPartShape!$B:$B,0)),"-")</f>
        <v>-</v>
      </c>
      <c r="R48" s="4"/>
      <c r="S48" s="11" t="str">
        <f>IFERROR(INDEX(ShipPartShape!$A:$A,MATCH(R48,ShipPartShape!$B:$B,0)),"-")</f>
        <v>-</v>
      </c>
      <c r="T48" s="4"/>
      <c r="U48" s="11" t="str">
        <f>IFERROR(INDEX(ShipPartShape!$A:$A,MATCH(T48,ShipPartShape!$B:$B,0)),"-")</f>
        <v>-</v>
      </c>
      <c r="V48" s="4"/>
      <c r="W48" s="11" t="str">
        <f>IFERROR(INDEX(ShipPartShape!$A:$A,MATCH(V48,ShipPartShape!$B:$B,0)),"-")</f>
        <v>-</v>
      </c>
      <c r="X48" s="4"/>
      <c r="Y48" s="11" t="str">
        <f>IFERROR(INDEX(ShipPartShape!$A:$A,MATCH(X48,ShipPartShape!$B:$B,0)),"-")</f>
        <v>-</v>
      </c>
      <c r="Z48" s="4"/>
      <c r="AA48" s="11" t="str">
        <f>IFERROR(INDEX(ShipPartShape!$A:$A,MATCH(Z48,ShipPartShape!$B:$B,0)),"-")</f>
        <v>-</v>
      </c>
      <c r="AB48" s="4" t="s">
        <v>1824</v>
      </c>
      <c r="AC48" s="11">
        <f>IFERROR(INDEX(ShipPartShape!$A:$A,MATCH(AB48,ShipPartShape!$B:$B,0)),"-")</f>
        <v>46100024</v>
      </c>
      <c r="AD48" s="4"/>
      <c r="AE48" s="11" t="str">
        <f>IFERROR(INDEX(ShipPartShape!$A:$A,MATCH(AD48,ShipPartShape!$B:$B,0)),"-")</f>
        <v>-</v>
      </c>
      <c r="AF48" s="4"/>
      <c r="AG48" s="11" t="str">
        <f>IFERROR(INDEX(ShipPartShape!$A:$A,MATCH(AF48,ShipPartShape!$B:$B,0)),"-")</f>
        <v>-</v>
      </c>
      <c r="AH48" s="11" t="s">
        <v>802</v>
      </c>
      <c r="AI48" s="11" t="s">
        <v>802</v>
      </c>
      <c r="AJ48" s="11" t="s">
        <v>802</v>
      </c>
      <c r="AK48" s="11" t="s">
        <v>13</v>
      </c>
      <c r="AL48" s="11" t="s">
        <v>0</v>
      </c>
      <c r="AM48" s="11" t="s">
        <v>0</v>
      </c>
      <c r="AN48" s="11" t="s">
        <v>0</v>
      </c>
      <c r="AO48" s="11" t="s">
        <v>0</v>
      </c>
      <c r="AP48" s="11" t="s">
        <v>0</v>
      </c>
      <c r="AQ48" s="11" t="s">
        <v>0</v>
      </c>
      <c r="AR48" s="11" t="s">
        <v>0</v>
      </c>
    </row>
    <row r="49" spans="1:44" ht="15">
      <c r="A49" s="10">
        <f t="shared" si="6"/>
        <v>45000039</v>
      </c>
      <c r="B49" s="22" t="s">
        <v>238</v>
      </c>
      <c r="C49" s="11" t="s">
        <v>244</v>
      </c>
      <c r="D49" s="4" t="s">
        <v>213</v>
      </c>
      <c r="E49" s="11">
        <v>600</v>
      </c>
      <c r="F49" s="11">
        <v>50</v>
      </c>
      <c r="G49" s="11">
        <f>IFERROR(INDEX(ShipPartShape!$A:$A,MATCH(D49,ShipPartShape!$B:$B,0)),"-")</f>
        <v>46000008</v>
      </c>
      <c r="H49" s="4" t="s">
        <v>71</v>
      </c>
      <c r="I49" s="11">
        <f>IFERROR(INDEX(ShipPartShape!$A:$A,MATCH(H49,ShipPartShape!$B:$B,0)),"-")</f>
        <v>46700001</v>
      </c>
      <c r="J49" s="4"/>
      <c r="K49" s="11" t="str">
        <f>IFERROR(INDEX(ShipPartShape!$A:$A,MATCH(J49,ShipPartShape!$B:$B,0)),"-")</f>
        <v>-</v>
      </c>
      <c r="L49" s="4"/>
      <c r="M49" s="11" t="str">
        <f>IFERROR(INDEX(ShipPartShape!$A:$A,MATCH(L49,ShipPartShape!$B:$B,0)),"-")</f>
        <v>-</v>
      </c>
      <c r="N49" s="4"/>
      <c r="O49" s="11" t="str">
        <f>IFERROR(INDEX(ShipPartShape!$A:$A,MATCH(N49,ShipPartShape!$B:$B,0)),"-")</f>
        <v>-</v>
      </c>
      <c r="P49" s="4"/>
      <c r="Q49" s="11" t="str">
        <f>IFERROR(INDEX(ShipPartShape!$A:$A,MATCH(P49,ShipPartShape!$B:$B,0)),"-")</f>
        <v>-</v>
      </c>
      <c r="R49" s="4" t="s">
        <v>917</v>
      </c>
      <c r="S49" s="11">
        <f>IFERROR(INDEX(ShipPartShape!$A:$A,MATCH(R49,ShipPartShape!$B:$B,0)),"-")</f>
        <v>46600002</v>
      </c>
      <c r="T49" s="4" t="s">
        <v>920</v>
      </c>
      <c r="U49" s="11">
        <f>IFERROR(INDEX(ShipPartShape!$A:$A,MATCH(T49,ShipPartShape!$B:$B,0)),"-")</f>
        <v>46600009</v>
      </c>
      <c r="V49" s="4" t="s">
        <v>921</v>
      </c>
      <c r="W49" s="11">
        <f>IFERROR(INDEX(ShipPartShape!$A:$A,MATCH(V49,ShipPartShape!$B:$B,0)),"-")</f>
        <v>46600003</v>
      </c>
      <c r="X49" s="4" t="s">
        <v>918</v>
      </c>
      <c r="Y49" s="11">
        <f>IFERROR(INDEX(ShipPartShape!$A:$A,MATCH(X49,ShipPartShape!$B:$B,0)),"-")</f>
        <v>46600007</v>
      </c>
      <c r="Z49" s="4"/>
      <c r="AA49" s="11" t="str">
        <f>IFERROR(INDEX(ShipPartShape!$A:$A,MATCH(Z49,ShipPartShape!$B:$B,0)),"-")</f>
        <v>-</v>
      </c>
      <c r="AB49" s="4" t="s">
        <v>1826</v>
      </c>
      <c r="AC49" s="11">
        <f>IFERROR(INDEX(ShipPartShape!$A:$A,MATCH(AB49,ShipPartShape!$B:$B,0)),"-")</f>
        <v>46100025</v>
      </c>
      <c r="AD49" s="4"/>
      <c r="AE49" s="11" t="str">
        <f>IFERROR(INDEX(ShipPartShape!$A:$A,MATCH(AD49,ShipPartShape!$B:$B,0)),"-")</f>
        <v>-</v>
      </c>
      <c r="AF49" s="4"/>
      <c r="AG49" s="11" t="str">
        <f>IFERROR(INDEX(ShipPartShape!$A:$A,MATCH(AF49,ShipPartShape!$B:$B,0)),"-")</f>
        <v>-</v>
      </c>
      <c r="AH49" s="11" t="s">
        <v>802</v>
      </c>
      <c r="AI49" s="11" t="s">
        <v>802</v>
      </c>
      <c r="AJ49" s="11" t="s">
        <v>802</v>
      </c>
      <c r="AK49" s="11" t="s">
        <v>95</v>
      </c>
      <c r="AL49" s="11" t="s">
        <v>0</v>
      </c>
      <c r="AM49" s="11" t="s">
        <v>0</v>
      </c>
      <c r="AN49" s="11" t="s">
        <v>0</v>
      </c>
      <c r="AO49" s="11" t="s">
        <v>0</v>
      </c>
      <c r="AP49" s="11" t="s">
        <v>0</v>
      </c>
      <c r="AQ49" s="11" t="s">
        <v>0</v>
      </c>
      <c r="AR49" s="11" t="s">
        <v>0</v>
      </c>
    </row>
    <row r="50" spans="1:44" ht="15">
      <c r="A50" s="10">
        <f t="shared" si="6"/>
        <v>45000040</v>
      </c>
      <c r="B50" s="4" t="s">
        <v>236</v>
      </c>
      <c r="C50" s="11" t="s">
        <v>244</v>
      </c>
      <c r="D50" s="4" t="s">
        <v>213</v>
      </c>
      <c r="E50" s="11">
        <v>600</v>
      </c>
      <c r="F50" s="11">
        <v>50</v>
      </c>
      <c r="G50" s="11">
        <f>IFERROR(INDEX(ShipPartShape!$A:$A,MATCH(D50,ShipPartShape!$B:$B,0)),"-")</f>
        <v>46000008</v>
      </c>
      <c r="H50" s="4" t="s">
        <v>71</v>
      </c>
      <c r="I50" s="11">
        <f>IFERROR(INDEX(ShipPartShape!$A:$A,MATCH(H50,ShipPartShape!$B:$B,0)),"-")</f>
        <v>46700001</v>
      </c>
      <c r="J50" s="4"/>
      <c r="K50" s="11" t="str">
        <f>IFERROR(INDEX(ShipPartShape!$A:$A,MATCH(J50,ShipPartShape!$B:$B,0)),"-")</f>
        <v>-</v>
      </c>
      <c r="L50" s="4"/>
      <c r="M50" s="11" t="str">
        <f>IFERROR(INDEX(ShipPartShape!$A:$A,MATCH(L50,ShipPartShape!$B:$B,0)),"-")</f>
        <v>-</v>
      </c>
      <c r="N50" s="4"/>
      <c r="O50" s="11" t="str">
        <f>IFERROR(INDEX(ShipPartShape!$A:$A,MATCH(N50,ShipPartShape!$B:$B,0)),"-")</f>
        <v>-</v>
      </c>
      <c r="P50" s="4"/>
      <c r="Q50" s="11" t="str">
        <f>IFERROR(INDEX(ShipPartShape!$A:$A,MATCH(P50,ShipPartShape!$B:$B,0)),"-")</f>
        <v>-</v>
      </c>
      <c r="R50" s="4"/>
      <c r="S50" s="11" t="str">
        <f>IFERROR(INDEX(ShipPartShape!$A:$A,MATCH(R50,ShipPartShape!$B:$B,0)),"-")</f>
        <v>-</v>
      </c>
      <c r="T50" s="4"/>
      <c r="U50" s="11" t="str">
        <f>IFERROR(INDEX(ShipPartShape!$A:$A,MATCH(T50,ShipPartShape!$B:$B,0)),"-")</f>
        <v>-</v>
      </c>
      <c r="V50" s="4"/>
      <c r="W50" s="11" t="str">
        <f>IFERROR(INDEX(ShipPartShape!$A:$A,MATCH(V50,ShipPartShape!$B:$B,0)),"-")</f>
        <v>-</v>
      </c>
      <c r="X50" s="4"/>
      <c r="Y50" s="11" t="str">
        <f>IFERROR(INDEX(ShipPartShape!$A:$A,MATCH(X50,ShipPartShape!$B:$B,0)),"-")</f>
        <v>-</v>
      </c>
      <c r="Z50" s="4"/>
      <c r="AA50" s="11" t="str">
        <f>IFERROR(INDEX(ShipPartShape!$A:$A,MATCH(Z50,ShipPartShape!$B:$B,0)),"-")</f>
        <v>-</v>
      </c>
      <c r="AB50" s="4"/>
      <c r="AC50" s="11" t="str">
        <f>IFERROR(INDEX(ShipPartShape!$A:$A,MATCH(AB50,ShipPartShape!$B:$B,0)),"-")</f>
        <v>-</v>
      </c>
      <c r="AD50" s="4"/>
      <c r="AE50" s="11" t="str">
        <f>IFERROR(INDEX(ShipPartShape!$A:$A,MATCH(AD50,ShipPartShape!$B:$B,0)),"-")</f>
        <v>-</v>
      </c>
      <c r="AF50" s="4"/>
      <c r="AG50" s="11" t="str">
        <f>IFERROR(INDEX(ShipPartShape!$A:$A,MATCH(AF50,ShipPartShape!$B:$B,0)),"-")</f>
        <v>-</v>
      </c>
      <c r="AH50" s="11" t="s">
        <v>802</v>
      </c>
      <c r="AI50" s="11" t="s">
        <v>802</v>
      </c>
      <c r="AJ50" s="11" t="s">
        <v>802</v>
      </c>
      <c r="AK50" s="11" t="s">
        <v>0</v>
      </c>
      <c r="AL50" s="11" t="s">
        <v>0</v>
      </c>
      <c r="AM50" s="11" t="s">
        <v>0</v>
      </c>
      <c r="AN50" s="11" t="s">
        <v>0</v>
      </c>
      <c r="AO50" s="11" t="s">
        <v>0</v>
      </c>
      <c r="AP50" s="11" t="s">
        <v>0</v>
      </c>
      <c r="AQ50" s="11" t="s">
        <v>0</v>
      </c>
      <c r="AR50" s="11" t="s">
        <v>0</v>
      </c>
    </row>
    <row r="51" spans="1:44" ht="15">
      <c r="A51" s="10">
        <f t="shared" si="6"/>
        <v>45000041</v>
      </c>
      <c r="B51" s="4" t="s">
        <v>237</v>
      </c>
      <c r="C51" s="11" t="s">
        <v>244</v>
      </c>
      <c r="D51" s="4" t="s">
        <v>225</v>
      </c>
      <c r="E51" s="11">
        <v>600</v>
      </c>
      <c r="F51" s="11">
        <v>50</v>
      </c>
      <c r="G51" s="11">
        <f>IFERROR(INDEX(ShipPartShape!$A:$A,MATCH(D51,ShipPartShape!$B:$B,0)),"-")</f>
        <v>46000014</v>
      </c>
      <c r="H51" s="4" t="s">
        <v>71</v>
      </c>
      <c r="I51" s="11">
        <f>IFERROR(INDEX(ShipPartShape!$A:$A,MATCH(H51,ShipPartShape!$B:$B,0)),"-")</f>
        <v>46700001</v>
      </c>
      <c r="J51" s="4" t="s">
        <v>70</v>
      </c>
      <c r="K51" s="11">
        <f>IFERROR(INDEX(ShipPartShape!$A:$A,MATCH(J51,ShipPartShape!$B:$B,0)),"-")</f>
        <v>46300001</v>
      </c>
      <c r="L51" s="4"/>
      <c r="M51" s="11" t="str">
        <f>IFERROR(INDEX(ShipPartShape!$A:$A,MATCH(L51,ShipPartShape!$B:$B,0)),"-")</f>
        <v>-</v>
      </c>
      <c r="N51" s="4"/>
      <c r="O51" s="11" t="str">
        <f>IFERROR(INDEX(ShipPartShape!$A:$A,MATCH(N51,ShipPartShape!$B:$B,0)),"-")</f>
        <v>-</v>
      </c>
      <c r="P51" s="4"/>
      <c r="Q51" s="11" t="str">
        <f>IFERROR(INDEX(ShipPartShape!$A:$A,MATCH(P51,ShipPartShape!$B:$B,0)),"-")</f>
        <v>-</v>
      </c>
      <c r="R51" s="4"/>
      <c r="S51" s="11" t="str">
        <f>IFERROR(INDEX(ShipPartShape!$A:$A,MATCH(R51,ShipPartShape!$B:$B,0)),"-")</f>
        <v>-</v>
      </c>
      <c r="T51" s="4"/>
      <c r="U51" s="11" t="str">
        <f>IFERROR(INDEX(ShipPartShape!$A:$A,MATCH(T51,ShipPartShape!$B:$B,0)),"-")</f>
        <v>-</v>
      </c>
      <c r="V51" s="4"/>
      <c r="W51" s="11" t="str">
        <f>IFERROR(INDEX(ShipPartShape!$A:$A,MATCH(V51,ShipPartShape!$B:$B,0)),"-")</f>
        <v>-</v>
      </c>
      <c r="X51" s="4"/>
      <c r="Y51" s="11" t="str">
        <f>IFERROR(INDEX(ShipPartShape!$A:$A,MATCH(X51,ShipPartShape!$B:$B,0)),"-")</f>
        <v>-</v>
      </c>
      <c r="Z51" s="4"/>
      <c r="AA51" s="11" t="str">
        <f>IFERROR(INDEX(ShipPartShape!$A:$A,MATCH(Z51,ShipPartShape!$B:$B,0)),"-")</f>
        <v>-</v>
      </c>
      <c r="AB51" s="4"/>
      <c r="AC51" s="11" t="str">
        <f>IFERROR(INDEX(ShipPartShape!$A:$A,MATCH(AB51,ShipPartShape!$B:$B,0)),"-")</f>
        <v>-</v>
      </c>
      <c r="AD51" s="4"/>
      <c r="AE51" s="11" t="str">
        <f>IFERROR(INDEX(ShipPartShape!$A:$A,MATCH(AD51,ShipPartShape!$B:$B,0)),"-")</f>
        <v>-</v>
      </c>
      <c r="AF51" s="4"/>
      <c r="AG51" s="11" t="str">
        <f>IFERROR(INDEX(ShipPartShape!$A:$A,MATCH(AF51,ShipPartShape!$B:$B,0)),"-")</f>
        <v>-</v>
      </c>
      <c r="AH51" s="11" t="s">
        <v>802</v>
      </c>
      <c r="AI51" s="11" t="s">
        <v>802</v>
      </c>
      <c r="AJ51" s="11" t="s">
        <v>802</v>
      </c>
      <c r="AK51" s="11" t="s">
        <v>95</v>
      </c>
      <c r="AL51" s="11" t="s">
        <v>0</v>
      </c>
      <c r="AM51" s="11" t="s">
        <v>0</v>
      </c>
      <c r="AN51" s="11" t="s">
        <v>0</v>
      </c>
      <c r="AO51" s="11" t="s">
        <v>0</v>
      </c>
      <c r="AP51" s="11" t="s">
        <v>0</v>
      </c>
      <c r="AQ51" s="11" t="s">
        <v>0</v>
      </c>
      <c r="AR51" s="11" t="s">
        <v>0</v>
      </c>
    </row>
    <row r="52" spans="1:44" ht="15">
      <c r="A52" s="10">
        <f t="shared" si="6"/>
        <v>45000042</v>
      </c>
      <c r="B52" s="22" t="s">
        <v>269</v>
      </c>
      <c r="C52" s="11" t="s">
        <v>261</v>
      </c>
      <c r="D52" s="4" t="s">
        <v>262</v>
      </c>
      <c r="E52" s="11">
        <v>700</v>
      </c>
      <c r="F52" s="11">
        <v>80</v>
      </c>
      <c r="G52" s="11">
        <f>IFERROR(INDEX(ShipPartShape!$A:$A,MATCH(D52,ShipPartShape!$B:$B,0)),"-")</f>
        <v>46000039</v>
      </c>
      <c r="H52" s="4" t="s">
        <v>71</v>
      </c>
      <c r="I52" s="11">
        <f>IFERROR(INDEX(ShipPartShape!$A:$A,MATCH(H52,ShipPartShape!$B:$B,0)),"-")</f>
        <v>46700001</v>
      </c>
      <c r="J52" s="4" t="s">
        <v>70</v>
      </c>
      <c r="K52" s="11">
        <f>IFERROR(INDEX(ShipPartShape!$A:$A,MATCH(J52,ShipPartShape!$B:$B,0)),"-")</f>
        <v>46300001</v>
      </c>
      <c r="L52" s="4"/>
      <c r="M52" s="11" t="str">
        <f>IFERROR(INDEX(ShipPartShape!$A:$A,MATCH(L52,ShipPartShape!$B:$B,0)),"-")</f>
        <v>-</v>
      </c>
      <c r="N52" s="4"/>
      <c r="O52" s="11" t="str">
        <f>IFERROR(INDEX(ShipPartShape!$A:$A,MATCH(N52,ShipPartShape!$B:$B,0)),"-")</f>
        <v>-</v>
      </c>
      <c r="P52" s="4"/>
      <c r="Q52" s="11" t="str">
        <f>IFERROR(INDEX(ShipPartShape!$A:$A,MATCH(P52,ShipPartShape!$B:$B,0)),"-")</f>
        <v>-</v>
      </c>
      <c r="R52" s="4" t="s">
        <v>917</v>
      </c>
      <c r="S52" s="11">
        <f>IFERROR(INDEX(ShipPartShape!$A:$A,MATCH(R52,ShipPartShape!$B:$B,0)),"-")</f>
        <v>46600002</v>
      </c>
      <c r="T52" s="4" t="s">
        <v>921</v>
      </c>
      <c r="U52" s="11">
        <f>IFERROR(INDEX(ShipPartShape!$A:$A,MATCH(T52,ShipPartShape!$B:$B,0)),"-")</f>
        <v>46600003</v>
      </c>
      <c r="V52" s="4" t="s">
        <v>919</v>
      </c>
      <c r="W52" s="11">
        <f>IFERROR(INDEX(ShipPartShape!$A:$A,MATCH(V52,ShipPartShape!$B:$B,0)),"-")</f>
        <v>46600005</v>
      </c>
      <c r="X52" s="4" t="s">
        <v>924</v>
      </c>
      <c r="Y52" s="11">
        <f>IFERROR(INDEX(ShipPartShape!$A:$A,MATCH(X52,ShipPartShape!$B:$B,0)),"-")</f>
        <v>46600011</v>
      </c>
      <c r="Z52" s="4"/>
      <c r="AA52" s="11" t="str">
        <f>IFERROR(INDEX(ShipPartShape!$A:$A,MATCH(Z52,ShipPartShape!$B:$B,0)),"-")</f>
        <v>-</v>
      </c>
      <c r="AB52" s="4" t="s">
        <v>1828</v>
      </c>
      <c r="AC52" s="11">
        <f>IFERROR(INDEX(ShipPartShape!$A:$A,MATCH(AB52,ShipPartShape!$B:$B,0)),"-")</f>
        <v>46100026</v>
      </c>
      <c r="AD52" s="4"/>
      <c r="AE52" s="11" t="str">
        <f>IFERROR(INDEX(ShipPartShape!$A:$A,MATCH(AD52,ShipPartShape!$B:$B,0)),"-")</f>
        <v>-</v>
      </c>
      <c r="AF52" s="4"/>
      <c r="AG52" s="11" t="str">
        <f>IFERROR(INDEX(ShipPartShape!$A:$A,MATCH(AF52,ShipPartShape!$B:$B,0)),"-")</f>
        <v>-</v>
      </c>
      <c r="AH52" s="11" t="s">
        <v>802</v>
      </c>
      <c r="AI52" s="11" t="s">
        <v>802</v>
      </c>
      <c r="AJ52" s="11" t="s">
        <v>802</v>
      </c>
      <c r="AK52" s="11" t="s">
        <v>95</v>
      </c>
      <c r="AL52" s="11" t="s">
        <v>0</v>
      </c>
      <c r="AM52" s="11" t="s">
        <v>0</v>
      </c>
      <c r="AN52" s="11" t="s">
        <v>0</v>
      </c>
      <c r="AO52" s="11" t="s">
        <v>0</v>
      </c>
      <c r="AP52" s="11" t="s">
        <v>0</v>
      </c>
      <c r="AQ52" s="11" t="s">
        <v>0</v>
      </c>
      <c r="AR52" s="11" t="s">
        <v>0</v>
      </c>
    </row>
    <row r="53" spans="1:44" ht="15">
      <c r="A53" s="10">
        <f t="shared" si="6"/>
        <v>45000043</v>
      </c>
      <c r="B53" s="22" t="s">
        <v>270</v>
      </c>
      <c r="C53" s="11" t="s">
        <v>261</v>
      </c>
      <c r="D53" s="4" t="s">
        <v>264</v>
      </c>
      <c r="E53" s="11">
        <v>700</v>
      </c>
      <c r="F53" s="11">
        <v>80</v>
      </c>
      <c r="G53" s="11">
        <f>IFERROR(INDEX(ShipPartShape!$A:$A,MATCH(D53,ShipPartShape!$B:$B,0)),"-")</f>
        <v>46000040</v>
      </c>
      <c r="H53" s="4" t="s">
        <v>71</v>
      </c>
      <c r="I53" s="11">
        <f>IFERROR(INDEX(ShipPartShape!$A:$A,MATCH(H53,ShipPartShape!$B:$B,0)),"-")</f>
        <v>46700001</v>
      </c>
      <c r="J53" s="4" t="s">
        <v>70</v>
      </c>
      <c r="K53" s="11">
        <f>IFERROR(INDEX(ShipPartShape!$A:$A,MATCH(J53,ShipPartShape!$B:$B,0)),"-")</f>
        <v>46300001</v>
      </c>
      <c r="L53" s="4"/>
      <c r="M53" s="11" t="str">
        <f>IFERROR(INDEX(ShipPartShape!$A:$A,MATCH(L53,ShipPartShape!$B:$B,0)),"-")</f>
        <v>-</v>
      </c>
      <c r="N53" s="4"/>
      <c r="O53" s="11" t="str">
        <f>IFERROR(INDEX(ShipPartShape!$A:$A,MATCH(N53,ShipPartShape!$B:$B,0)),"-")</f>
        <v>-</v>
      </c>
      <c r="P53" s="4"/>
      <c r="Q53" s="11" t="str">
        <f>IFERROR(INDEX(ShipPartShape!$A:$A,MATCH(P53,ShipPartShape!$B:$B,0)),"-")</f>
        <v>-</v>
      </c>
      <c r="R53" s="4" t="s">
        <v>917</v>
      </c>
      <c r="S53" s="11">
        <f>IFERROR(INDEX(ShipPartShape!$A:$A,MATCH(R53,ShipPartShape!$B:$B,0)),"-")</f>
        <v>46600002</v>
      </c>
      <c r="T53" s="4" t="s">
        <v>921</v>
      </c>
      <c r="U53" s="11">
        <f>IFERROR(INDEX(ShipPartShape!$A:$A,MATCH(T53,ShipPartShape!$B:$B,0)),"-")</f>
        <v>46600003</v>
      </c>
      <c r="V53" s="4" t="s">
        <v>919</v>
      </c>
      <c r="W53" s="11">
        <f>IFERROR(INDEX(ShipPartShape!$A:$A,MATCH(V53,ShipPartShape!$B:$B,0)),"-")</f>
        <v>46600005</v>
      </c>
      <c r="X53" s="4" t="s">
        <v>924</v>
      </c>
      <c r="Y53" s="11">
        <f>IFERROR(INDEX(ShipPartShape!$A:$A,MATCH(X53,ShipPartShape!$B:$B,0)),"-")</f>
        <v>46600011</v>
      </c>
      <c r="Z53" s="4"/>
      <c r="AA53" s="11" t="str">
        <f>IFERROR(INDEX(ShipPartShape!$A:$A,MATCH(Z53,ShipPartShape!$B:$B,0)),"-")</f>
        <v>-</v>
      </c>
      <c r="AB53" s="4" t="s">
        <v>1829</v>
      </c>
      <c r="AC53" s="11">
        <f>IFERROR(INDEX(ShipPartShape!$A:$A,MATCH(AB53,ShipPartShape!$B:$B,0)),"-")</f>
        <v>46100027</v>
      </c>
      <c r="AD53" s="4"/>
      <c r="AE53" s="11" t="str">
        <f>IFERROR(INDEX(ShipPartShape!$A:$A,MATCH(AD53,ShipPartShape!$B:$B,0)),"-")</f>
        <v>-</v>
      </c>
      <c r="AF53" s="4"/>
      <c r="AG53" s="11" t="str">
        <f>IFERROR(INDEX(ShipPartShape!$A:$A,MATCH(AF53,ShipPartShape!$B:$B,0)),"-")</f>
        <v>-</v>
      </c>
      <c r="AH53" s="11" t="s">
        <v>802</v>
      </c>
      <c r="AI53" s="11" t="s">
        <v>802</v>
      </c>
      <c r="AJ53" s="11" t="s">
        <v>802</v>
      </c>
      <c r="AK53" s="11" t="s">
        <v>95</v>
      </c>
      <c r="AL53" s="11" t="s">
        <v>0</v>
      </c>
      <c r="AM53" s="11" t="s">
        <v>0</v>
      </c>
      <c r="AN53" s="11" t="s">
        <v>0</v>
      </c>
      <c r="AO53" s="11" t="s">
        <v>0</v>
      </c>
      <c r="AP53" s="11" t="s">
        <v>0</v>
      </c>
      <c r="AQ53" s="11" t="s">
        <v>0</v>
      </c>
      <c r="AR53" s="11" t="s">
        <v>0</v>
      </c>
    </row>
    <row r="54" spans="1:44" ht="15">
      <c r="A54" s="10">
        <f t="shared" si="6"/>
        <v>45000044</v>
      </c>
      <c r="B54" s="22" t="s">
        <v>275</v>
      </c>
      <c r="C54" s="11" t="s">
        <v>271</v>
      </c>
      <c r="D54" s="4" t="s">
        <v>272</v>
      </c>
      <c r="E54" s="11">
        <v>600</v>
      </c>
      <c r="F54" s="11">
        <v>50</v>
      </c>
      <c r="G54" s="11">
        <f>IFERROR(INDEX(ShipPartShape!$A:$A,MATCH(D54,ShipPartShape!$B:$B,0)),"-")</f>
        <v>46000041</v>
      </c>
      <c r="H54" s="4" t="s">
        <v>71</v>
      </c>
      <c r="I54" s="11">
        <f>IFERROR(INDEX(ShipPartShape!$A:$A,MATCH(H54,ShipPartShape!$B:$B,0)),"-")</f>
        <v>46700001</v>
      </c>
      <c r="J54" s="4" t="s">
        <v>70</v>
      </c>
      <c r="K54" s="11">
        <f>IFERROR(INDEX(ShipPartShape!$A:$A,MATCH(J54,ShipPartShape!$B:$B,0)),"-")</f>
        <v>46300001</v>
      </c>
      <c r="L54" s="4"/>
      <c r="M54" s="11" t="str">
        <f>IFERROR(INDEX(ShipPartShape!$A:$A,MATCH(L54,ShipPartShape!$B:$B,0)),"-")</f>
        <v>-</v>
      </c>
      <c r="N54" s="4"/>
      <c r="O54" s="11" t="str">
        <f>IFERROR(INDEX(ShipPartShape!$A:$A,MATCH(N54,ShipPartShape!$B:$B,0)),"-")</f>
        <v>-</v>
      </c>
      <c r="P54" s="4"/>
      <c r="Q54" s="11" t="str">
        <f>IFERROR(INDEX(ShipPartShape!$A:$A,MATCH(P54,ShipPartShape!$B:$B,0)),"-")</f>
        <v>-</v>
      </c>
      <c r="R54" s="4" t="s">
        <v>923</v>
      </c>
      <c r="S54" s="11">
        <f>IFERROR(INDEX(ShipPartShape!$A:$A,MATCH(R54,ShipPartShape!$B:$B,0)),"-")</f>
        <v>46600004</v>
      </c>
      <c r="T54" s="4" t="s">
        <v>918</v>
      </c>
      <c r="U54" s="11">
        <f>IFERROR(INDEX(ShipPartShape!$A:$A,MATCH(T54,ShipPartShape!$B:$B,0)),"-")</f>
        <v>46600007</v>
      </c>
      <c r="V54" s="4" t="s">
        <v>926</v>
      </c>
      <c r="W54" s="11">
        <f>IFERROR(INDEX(ShipPartShape!$A:$A,MATCH(V54,ShipPartShape!$B:$B,0)),"-")</f>
        <v>46600010</v>
      </c>
      <c r="X54" s="4"/>
      <c r="Y54" s="11" t="str">
        <f>IFERROR(INDEX(ShipPartShape!$A:$A,MATCH(X54,ShipPartShape!$B:$B,0)),"-")</f>
        <v>-</v>
      </c>
      <c r="Z54" s="4"/>
      <c r="AA54" s="11" t="str">
        <f>IFERROR(INDEX(ShipPartShape!$A:$A,MATCH(Z54,ShipPartShape!$B:$B,0)),"-")</f>
        <v>-</v>
      </c>
      <c r="AB54" s="4" t="s">
        <v>1830</v>
      </c>
      <c r="AC54" s="11">
        <f>IFERROR(INDEX(ShipPartShape!$A:$A,MATCH(AB54,ShipPartShape!$B:$B,0)),"-")</f>
        <v>46100028</v>
      </c>
      <c r="AD54" s="4"/>
      <c r="AE54" s="11" t="str">
        <f>IFERROR(INDEX(ShipPartShape!$A:$A,MATCH(AD54,ShipPartShape!$B:$B,0)),"-")</f>
        <v>-</v>
      </c>
      <c r="AF54" s="4"/>
      <c r="AG54" s="11" t="str">
        <f>IFERROR(INDEX(ShipPartShape!$A:$A,MATCH(AF54,ShipPartShape!$B:$B,0)),"-")</f>
        <v>-</v>
      </c>
      <c r="AH54" s="11" t="s">
        <v>802</v>
      </c>
      <c r="AI54" s="11" t="s">
        <v>802</v>
      </c>
      <c r="AJ54" s="11" t="s">
        <v>802</v>
      </c>
      <c r="AK54" s="11" t="s">
        <v>24</v>
      </c>
      <c r="AL54" s="11" t="s">
        <v>0</v>
      </c>
      <c r="AM54" s="11" t="s">
        <v>0</v>
      </c>
      <c r="AN54" s="11" t="s">
        <v>0</v>
      </c>
      <c r="AO54" s="11" t="s">
        <v>0</v>
      </c>
      <c r="AP54" s="11" t="s">
        <v>0</v>
      </c>
      <c r="AQ54" s="11" t="s">
        <v>0</v>
      </c>
      <c r="AR54" s="11" t="s">
        <v>0</v>
      </c>
    </row>
    <row r="55" spans="1:44" ht="15">
      <c r="A55" s="10">
        <f t="shared" si="6"/>
        <v>45000045</v>
      </c>
      <c r="B55" s="22" t="s">
        <v>280</v>
      </c>
      <c r="C55" s="11" t="s">
        <v>281</v>
      </c>
      <c r="D55" s="4" t="s">
        <v>276</v>
      </c>
      <c r="E55" s="11">
        <v>600</v>
      </c>
      <c r="F55" s="11">
        <v>50</v>
      </c>
      <c r="G55" s="11">
        <f>IFERROR(INDEX(ShipPartShape!$A:$A,MATCH(D55,ShipPartShape!$B:$B,0)),"-")</f>
        <v>46000042</v>
      </c>
      <c r="H55" s="4" t="s">
        <v>71</v>
      </c>
      <c r="I55" s="11">
        <f>IFERROR(INDEX(ShipPartShape!$A:$A,MATCH(H55,ShipPartShape!$B:$B,0)),"-")</f>
        <v>46700001</v>
      </c>
      <c r="J55" s="4" t="s">
        <v>70</v>
      </c>
      <c r="K55" s="11">
        <f>IFERROR(INDEX(ShipPartShape!$A:$A,MATCH(J55,ShipPartShape!$B:$B,0)),"-")</f>
        <v>46300001</v>
      </c>
      <c r="L55" s="4"/>
      <c r="M55" s="11" t="str">
        <f>IFERROR(INDEX(ShipPartShape!$A:$A,MATCH(L55,ShipPartShape!$B:$B,0)),"-")</f>
        <v>-</v>
      </c>
      <c r="N55" s="4"/>
      <c r="O55" s="11" t="str">
        <f>IFERROR(INDEX(ShipPartShape!$A:$A,MATCH(N55,ShipPartShape!$B:$B,0)),"-")</f>
        <v>-</v>
      </c>
      <c r="P55" s="4"/>
      <c r="Q55" s="11" t="str">
        <f>IFERROR(INDEX(ShipPartShape!$A:$A,MATCH(P55,ShipPartShape!$B:$B,0)),"-")</f>
        <v>-</v>
      </c>
      <c r="R55" s="4" t="s">
        <v>916</v>
      </c>
      <c r="S55" s="11">
        <f>IFERROR(INDEX(ShipPartShape!$A:$A,MATCH(R55,ShipPartShape!$B:$B,0)),"-")</f>
        <v>46600001</v>
      </c>
      <c r="T55" s="4" t="s">
        <v>917</v>
      </c>
      <c r="U55" s="11">
        <f>IFERROR(INDEX(ShipPartShape!$A:$A,MATCH(T55,ShipPartShape!$B:$B,0)),"-")</f>
        <v>46600002</v>
      </c>
      <c r="V55" s="4" t="s">
        <v>919</v>
      </c>
      <c r="W55" s="11">
        <f>IFERROR(INDEX(ShipPartShape!$A:$A,MATCH(V55,ShipPartShape!$B:$B,0)),"-")</f>
        <v>46600005</v>
      </c>
      <c r="X55" s="4" t="s">
        <v>924</v>
      </c>
      <c r="Y55" s="11">
        <f>IFERROR(INDEX(ShipPartShape!$A:$A,MATCH(X55,ShipPartShape!$B:$B,0)),"-")</f>
        <v>46600011</v>
      </c>
      <c r="Z55" s="4"/>
      <c r="AA55" s="11" t="str">
        <f>IFERROR(INDEX(ShipPartShape!$A:$A,MATCH(Z55,ShipPartShape!$B:$B,0)),"-")</f>
        <v>-</v>
      </c>
      <c r="AB55" s="4" t="s">
        <v>1831</v>
      </c>
      <c r="AC55" s="11">
        <f>IFERROR(INDEX(ShipPartShape!$A:$A,MATCH(AB55,ShipPartShape!$B:$B,0)),"-")</f>
        <v>46100029</v>
      </c>
      <c r="AD55" s="4"/>
      <c r="AE55" s="11" t="str">
        <f>IFERROR(INDEX(ShipPartShape!$A:$A,MATCH(AD55,ShipPartShape!$B:$B,0)),"-")</f>
        <v>-</v>
      </c>
      <c r="AF55" s="4"/>
      <c r="AG55" s="11" t="str">
        <f>IFERROR(INDEX(ShipPartShape!$A:$A,MATCH(AF55,ShipPartShape!$B:$B,0)),"-")</f>
        <v>-</v>
      </c>
      <c r="AH55" s="11" t="s">
        <v>802</v>
      </c>
      <c r="AI55" s="11" t="s">
        <v>802</v>
      </c>
      <c r="AJ55" s="11" t="s">
        <v>802</v>
      </c>
      <c r="AK55" s="11" t="s">
        <v>24</v>
      </c>
      <c r="AL55" s="11" t="s">
        <v>0</v>
      </c>
      <c r="AM55" s="11" t="s">
        <v>0</v>
      </c>
      <c r="AN55" s="11" t="s">
        <v>0</v>
      </c>
      <c r="AO55" s="11" t="s">
        <v>0</v>
      </c>
      <c r="AP55" s="11" t="s">
        <v>0</v>
      </c>
      <c r="AQ55" s="11" t="s">
        <v>0</v>
      </c>
      <c r="AR55" s="11" t="s">
        <v>0</v>
      </c>
    </row>
    <row r="56" spans="1:44" ht="15">
      <c r="A56" s="10">
        <f t="shared" si="6"/>
        <v>45000046</v>
      </c>
      <c r="B56" s="22" t="s">
        <v>288</v>
      </c>
      <c r="C56" s="11" t="s">
        <v>287</v>
      </c>
      <c r="D56" s="4" t="s">
        <v>289</v>
      </c>
      <c r="E56" s="11">
        <v>600</v>
      </c>
      <c r="F56" s="11">
        <v>50</v>
      </c>
      <c r="G56" s="11">
        <f>IFERROR(INDEX(ShipPartShape!$A:$A,MATCH(D56,ShipPartShape!$B:$B,0)),"-")</f>
        <v>46000043</v>
      </c>
      <c r="H56" s="4" t="s">
        <v>71</v>
      </c>
      <c r="I56" s="11">
        <f>IFERROR(INDEX(ShipPartShape!$A:$A,MATCH(H56,ShipPartShape!$B:$B,0)),"-")</f>
        <v>46700001</v>
      </c>
      <c r="J56" s="4" t="s">
        <v>70</v>
      </c>
      <c r="K56" s="11">
        <f>IFERROR(INDEX(ShipPartShape!$A:$A,MATCH(J56,ShipPartShape!$B:$B,0)),"-")</f>
        <v>46300001</v>
      </c>
      <c r="L56" s="4"/>
      <c r="M56" s="11" t="str">
        <f>IFERROR(INDEX(ShipPartShape!$A:$A,MATCH(L56,ShipPartShape!$B:$B,0)),"-")</f>
        <v>-</v>
      </c>
      <c r="N56" s="4"/>
      <c r="O56" s="11" t="str">
        <f>IFERROR(INDEX(ShipPartShape!$A:$A,MATCH(N56,ShipPartShape!$B:$B,0)),"-")</f>
        <v>-</v>
      </c>
      <c r="P56" s="4"/>
      <c r="Q56" s="11" t="str">
        <f>IFERROR(INDEX(ShipPartShape!$A:$A,MATCH(P56,ShipPartShape!$B:$B,0)),"-")</f>
        <v>-</v>
      </c>
      <c r="R56" s="4" t="s">
        <v>917</v>
      </c>
      <c r="S56" s="11">
        <f>IFERROR(INDEX(ShipPartShape!$A:$A,MATCH(R56,ShipPartShape!$B:$B,0)),"-")</f>
        <v>46600002</v>
      </c>
      <c r="T56" s="4" t="s">
        <v>921</v>
      </c>
      <c r="U56" s="11">
        <f>IFERROR(INDEX(ShipPartShape!$A:$A,MATCH(T56,ShipPartShape!$B:$B,0)),"-")</f>
        <v>46600003</v>
      </c>
      <c r="V56" s="4" t="s">
        <v>925</v>
      </c>
      <c r="W56" s="11">
        <f>IFERROR(INDEX(ShipPartShape!$A:$A,MATCH(V56,ShipPartShape!$B:$B,0)),"-")</f>
        <v>46600006</v>
      </c>
      <c r="X56" s="4" t="s">
        <v>918</v>
      </c>
      <c r="Y56" s="11">
        <f>IFERROR(INDEX(ShipPartShape!$A:$A,MATCH(X56,ShipPartShape!$B:$B,0)),"-")</f>
        <v>46600007</v>
      </c>
      <c r="Z56" s="4"/>
      <c r="AA56" s="11" t="str">
        <f>IFERROR(INDEX(ShipPartShape!$A:$A,MATCH(Z56,ShipPartShape!$B:$B,0)),"-")</f>
        <v>-</v>
      </c>
      <c r="AB56" s="4" t="s">
        <v>1832</v>
      </c>
      <c r="AC56" s="11">
        <f>IFERROR(INDEX(ShipPartShape!$A:$A,MATCH(AB56,ShipPartShape!$B:$B,0)),"-")</f>
        <v>46100030</v>
      </c>
      <c r="AD56" s="4"/>
      <c r="AE56" s="11" t="str">
        <f>IFERROR(INDEX(ShipPartShape!$A:$A,MATCH(AD56,ShipPartShape!$B:$B,0)),"-")</f>
        <v>-</v>
      </c>
      <c r="AF56" s="4"/>
      <c r="AG56" s="11" t="str">
        <f>IFERROR(INDEX(ShipPartShape!$A:$A,MATCH(AF56,ShipPartShape!$B:$B,0)),"-")</f>
        <v>-</v>
      </c>
      <c r="AH56" s="11" t="s">
        <v>802</v>
      </c>
      <c r="AI56" s="11" t="s">
        <v>802</v>
      </c>
      <c r="AJ56" s="11" t="s">
        <v>802</v>
      </c>
      <c r="AK56" s="11" t="s">
        <v>24</v>
      </c>
      <c r="AL56" s="11" t="s">
        <v>0</v>
      </c>
      <c r="AM56" s="11" t="s">
        <v>0</v>
      </c>
      <c r="AN56" s="11" t="s">
        <v>0</v>
      </c>
      <c r="AO56" s="11" t="s">
        <v>0</v>
      </c>
      <c r="AP56" s="11" t="s">
        <v>0</v>
      </c>
      <c r="AQ56" s="11" t="s">
        <v>0</v>
      </c>
      <c r="AR56" s="11" t="s">
        <v>0</v>
      </c>
    </row>
    <row r="57" spans="1:44" ht="15">
      <c r="A57" s="10">
        <f t="shared" ref="A57:A72" si="7">A56+1</f>
        <v>45000047</v>
      </c>
      <c r="B57" s="22" t="s">
        <v>294</v>
      </c>
      <c r="C57" s="11" t="s">
        <v>295</v>
      </c>
      <c r="D57" s="4" t="s">
        <v>296</v>
      </c>
      <c r="E57" s="11">
        <v>600</v>
      </c>
      <c r="F57" s="11">
        <v>80</v>
      </c>
      <c r="G57" s="11">
        <f>IFERROR(INDEX(ShipPartShape!$A:$A,MATCH(D57,ShipPartShape!$B:$B,0)),"-")</f>
        <v>46000044</v>
      </c>
      <c r="H57" s="4" t="s">
        <v>71</v>
      </c>
      <c r="I57" s="11">
        <f>IFERROR(INDEX(ShipPartShape!$A:$A,MATCH(H57,ShipPartShape!$B:$B,0)),"-")</f>
        <v>46700001</v>
      </c>
      <c r="J57" s="4" t="s">
        <v>70</v>
      </c>
      <c r="K57" s="11">
        <f>IFERROR(INDEX(ShipPartShape!$A:$A,MATCH(J57,ShipPartShape!$B:$B,0)),"-")</f>
        <v>46300001</v>
      </c>
      <c r="L57" s="4"/>
      <c r="M57" s="11" t="str">
        <f>IFERROR(INDEX(ShipPartShape!$A:$A,MATCH(L57,ShipPartShape!$B:$B,0)),"-")</f>
        <v>-</v>
      </c>
      <c r="N57" s="4"/>
      <c r="O57" s="11" t="str">
        <f>IFERROR(INDEX(ShipPartShape!$A:$A,MATCH(N57,ShipPartShape!$B:$B,0)),"-")</f>
        <v>-</v>
      </c>
      <c r="P57" s="4"/>
      <c r="Q57" s="11" t="str">
        <f>IFERROR(INDEX(ShipPartShape!$A:$A,MATCH(P57,ShipPartShape!$B:$B,0)),"-")</f>
        <v>-</v>
      </c>
      <c r="R57" s="4" t="s">
        <v>917</v>
      </c>
      <c r="S57" s="11">
        <f>IFERROR(INDEX(ShipPartShape!$A:$A,MATCH(R57,ShipPartShape!$B:$B,0)),"-")</f>
        <v>46600002</v>
      </c>
      <c r="T57" s="4" t="s">
        <v>919</v>
      </c>
      <c r="U57" s="11">
        <f>IFERROR(INDEX(ShipPartShape!$A:$A,MATCH(T57,ShipPartShape!$B:$B,0)),"-")</f>
        <v>46600005</v>
      </c>
      <c r="V57" s="4" t="s">
        <v>923</v>
      </c>
      <c r="W57" s="11">
        <f>IFERROR(INDEX(ShipPartShape!$A:$A,MATCH(V57,ShipPartShape!$B:$B,0)),"-")</f>
        <v>46600004</v>
      </c>
      <c r="X57" s="4" t="s">
        <v>920</v>
      </c>
      <c r="Y57" s="11">
        <f>IFERROR(INDEX(ShipPartShape!$A:$A,MATCH(X57,ShipPartShape!$B:$B,0)),"-")</f>
        <v>46600009</v>
      </c>
      <c r="Z57" s="4" t="s">
        <v>925</v>
      </c>
      <c r="AA57" s="11">
        <f>IFERROR(INDEX(ShipPartShape!$A:$A,MATCH(Z57,ShipPartShape!$B:$B,0)),"-")</f>
        <v>46600006</v>
      </c>
      <c r="AB57" s="4" t="s">
        <v>1833</v>
      </c>
      <c r="AC57" s="11">
        <f>IFERROR(INDEX(ShipPartShape!$A:$A,MATCH(AB57,ShipPartShape!$B:$B,0)),"-")</f>
        <v>46100031</v>
      </c>
      <c r="AD57" s="4"/>
      <c r="AE57" s="11" t="str">
        <f>IFERROR(INDEX(ShipPartShape!$A:$A,MATCH(AD57,ShipPartShape!$B:$B,0)),"-")</f>
        <v>-</v>
      </c>
      <c r="AF57" s="4"/>
      <c r="AG57" s="11" t="str">
        <f>IFERROR(INDEX(ShipPartShape!$A:$A,MATCH(AF57,ShipPartShape!$B:$B,0)),"-")</f>
        <v>-</v>
      </c>
      <c r="AH57" s="11" t="s">
        <v>802</v>
      </c>
      <c r="AI57" s="11" t="s">
        <v>802</v>
      </c>
      <c r="AJ57" s="11" t="s">
        <v>802</v>
      </c>
      <c r="AK57" s="11" t="s">
        <v>0</v>
      </c>
      <c r="AL57" s="11" t="s">
        <v>0</v>
      </c>
      <c r="AM57" s="11" t="s">
        <v>0</v>
      </c>
      <c r="AN57" s="11" t="s">
        <v>0</v>
      </c>
      <c r="AO57" s="11" t="s">
        <v>0</v>
      </c>
      <c r="AP57" s="11" t="s">
        <v>0</v>
      </c>
      <c r="AQ57" s="11" t="s">
        <v>0</v>
      </c>
      <c r="AR57" s="11" t="s">
        <v>0</v>
      </c>
    </row>
    <row r="58" spans="1:44" ht="15">
      <c r="A58" s="10">
        <f t="shared" si="7"/>
        <v>45000048</v>
      </c>
      <c r="B58" s="22" t="s">
        <v>299</v>
      </c>
      <c r="C58" s="11" t="s">
        <v>300</v>
      </c>
      <c r="D58" s="4" t="s">
        <v>302</v>
      </c>
      <c r="E58" s="11">
        <v>600</v>
      </c>
      <c r="F58" s="11">
        <v>80</v>
      </c>
      <c r="G58" s="11">
        <f>IFERROR(INDEX(ShipPartShape!$A:$A,MATCH(D58,ShipPartShape!$B:$B,0)),"-")</f>
        <v>46000045</v>
      </c>
      <c r="H58" s="4" t="s">
        <v>71</v>
      </c>
      <c r="I58" s="11">
        <f>IFERROR(INDEX(ShipPartShape!$A:$A,MATCH(H58,ShipPartShape!$B:$B,0)),"-")</f>
        <v>46700001</v>
      </c>
      <c r="J58" s="4" t="s">
        <v>70</v>
      </c>
      <c r="K58" s="11">
        <f>IFERROR(INDEX(ShipPartShape!$A:$A,MATCH(J58,ShipPartShape!$B:$B,0)),"-")</f>
        <v>46300001</v>
      </c>
      <c r="L58" s="4"/>
      <c r="M58" s="11" t="str">
        <f>IFERROR(INDEX(ShipPartShape!$A:$A,MATCH(L58,ShipPartShape!$B:$B,0)),"-")</f>
        <v>-</v>
      </c>
      <c r="N58" s="4"/>
      <c r="O58" s="11" t="str">
        <f>IFERROR(INDEX(ShipPartShape!$A:$A,MATCH(N58,ShipPartShape!$B:$B,0)),"-")</f>
        <v>-</v>
      </c>
      <c r="P58" s="4"/>
      <c r="Q58" s="11" t="str">
        <f>IFERROR(INDEX(ShipPartShape!$A:$A,MATCH(P58,ShipPartShape!$B:$B,0)),"-")</f>
        <v>-</v>
      </c>
      <c r="R58" s="4" t="s">
        <v>917</v>
      </c>
      <c r="S58" s="11">
        <f>IFERROR(INDEX(ShipPartShape!$A:$A,MATCH(R58,ShipPartShape!$B:$B,0)),"-")</f>
        <v>46600002</v>
      </c>
      <c r="T58" s="4" t="s">
        <v>923</v>
      </c>
      <c r="U58" s="11">
        <f>IFERROR(INDEX(ShipPartShape!$A:$A,MATCH(T58,ShipPartShape!$B:$B,0)),"-")</f>
        <v>46600004</v>
      </c>
      <c r="V58" s="4" t="s">
        <v>926</v>
      </c>
      <c r="W58" s="11">
        <f>IFERROR(INDEX(ShipPartShape!$A:$A,MATCH(V58,ShipPartShape!$B:$B,0)),"-")</f>
        <v>46600010</v>
      </c>
      <c r="X58" s="4" t="s">
        <v>920</v>
      </c>
      <c r="Y58" s="11">
        <f>IFERROR(INDEX(ShipPartShape!$A:$A,MATCH(X58,ShipPartShape!$B:$B,0)),"-")</f>
        <v>46600009</v>
      </c>
      <c r="Z58" s="4"/>
      <c r="AA58" s="11" t="str">
        <f>IFERROR(INDEX(ShipPartShape!$A:$A,MATCH(Z58,ShipPartShape!$B:$B,0)),"-")</f>
        <v>-</v>
      </c>
      <c r="AB58" s="4" t="s">
        <v>1834</v>
      </c>
      <c r="AC58" s="11">
        <f>IFERROR(INDEX(ShipPartShape!$A:$A,MATCH(AB58,ShipPartShape!$B:$B,0)),"-")</f>
        <v>46100032</v>
      </c>
      <c r="AD58" s="4"/>
      <c r="AE58" s="11" t="str">
        <f>IFERROR(INDEX(ShipPartShape!$A:$A,MATCH(AD58,ShipPartShape!$B:$B,0)),"-")</f>
        <v>-</v>
      </c>
      <c r="AF58" s="4"/>
      <c r="AG58" s="11" t="str">
        <f>IFERROR(INDEX(ShipPartShape!$A:$A,MATCH(AF58,ShipPartShape!$B:$B,0)),"-")</f>
        <v>-</v>
      </c>
      <c r="AH58" s="11" t="s">
        <v>802</v>
      </c>
      <c r="AI58" s="11" t="s">
        <v>802</v>
      </c>
      <c r="AJ58" s="11" t="s">
        <v>802</v>
      </c>
      <c r="AK58" s="11" t="s">
        <v>0</v>
      </c>
      <c r="AL58" s="11" t="s">
        <v>0</v>
      </c>
      <c r="AM58" s="11" t="s">
        <v>0</v>
      </c>
      <c r="AN58" s="11" t="s">
        <v>0</v>
      </c>
      <c r="AO58" s="11" t="s">
        <v>0</v>
      </c>
      <c r="AP58" s="11" t="s">
        <v>0</v>
      </c>
      <c r="AQ58" s="11" t="s">
        <v>0</v>
      </c>
      <c r="AR58" s="11" t="s">
        <v>0</v>
      </c>
    </row>
    <row r="59" spans="1:44" ht="15">
      <c r="A59" s="10">
        <f t="shared" si="7"/>
        <v>45000049</v>
      </c>
      <c r="B59" s="22" t="s">
        <v>402</v>
      </c>
      <c r="C59" s="11" t="s">
        <v>321</v>
      </c>
      <c r="D59" s="4" t="s">
        <v>322</v>
      </c>
      <c r="E59" s="11">
        <v>600</v>
      </c>
      <c r="F59" s="11">
        <v>50</v>
      </c>
      <c r="G59" s="11">
        <f>IFERROR(INDEX(ShipPartShape!$A:$A,MATCH(D59,ShipPartShape!$B:$B,0)),"-")</f>
        <v>46000046</v>
      </c>
      <c r="H59" s="4" t="s">
        <v>71</v>
      </c>
      <c r="I59" s="11">
        <f>IFERROR(INDEX(ShipPartShape!$A:$A,MATCH(H59,ShipPartShape!$B:$B,0)),"-")</f>
        <v>46700001</v>
      </c>
      <c r="J59" s="4" t="s">
        <v>326</v>
      </c>
      <c r="K59" s="11">
        <f>IFERROR(INDEX(ShipPartShape!$A:$A,MATCH(J59,ShipPartShape!$B:$B,0)),"-")</f>
        <v>46500001</v>
      </c>
      <c r="L59" s="4"/>
      <c r="M59" s="11" t="str">
        <f>IFERROR(INDEX(ShipPartShape!$A:$A,MATCH(L59,ShipPartShape!$B:$B,0)),"-")</f>
        <v>-</v>
      </c>
      <c r="N59" s="4"/>
      <c r="O59" s="11" t="str">
        <f>IFERROR(INDEX(ShipPartShape!$A:$A,MATCH(N59,ShipPartShape!$B:$B,0)),"-")</f>
        <v>-</v>
      </c>
      <c r="P59" s="4"/>
      <c r="Q59" s="11" t="str">
        <f>IFERROR(INDEX(ShipPartShape!$A:$A,MATCH(P59,ShipPartShape!$B:$B,0)),"-")</f>
        <v>-</v>
      </c>
      <c r="R59" s="4" t="s">
        <v>916</v>
      </c>
      <c r="S59" s="11">
        <f>IFERROR(INDEX(ShipPartShape!$A:$A,MATCH(R59,ShipPartShape!$B:$B,0)),"-")</f>
        <v>46600001</v>
      </c>
      <c r="T59" s="4" t="s">
        <v>923</v>
      </c>
      <c r="U59" s="11">
        <f>IFERROR(INDEX(ShipPartShape!$A:$A,MATCH(T59,ShipPartShape!$B:$B,0)),"-")</f>
        <v>46600004</v>
      </c>
      <c r="V59" s="4" t="s">
        <v>924</v>
      </c>
      <c r="W59" s="11">
        <f>IFERROR(INDEX(ShipPartShape!$A:$A,MATCH(V59,ShipPartShape!$B:$B,0)),"-")</f>
        <v>46600011</v>
      </c>
      <c r="X59" s="4"/>
      <c r="Y59" s="11" t="str">
        <f>IFERROR(INDEX(ShipPartShape!$A:$A,MATCH(X59,ShipPartShape!$B:$B,0)),"-")</f>
        <v>-</v>
      </c>
      <c r="Z59" s="4"/>
      <c r="AA59" s="11" t="str">
        <f>IFERROR(INDEX(ShipPartShape!$A:$A,MATCH(Z59,ShipPartShape!$B:$B,0)),"-")</f>
        <v>-</v>
      </c>
      <c r="AB59" s="4" t="s">
        <v>1835</v>
      </c>
      <c r="AC59" s="11">
        <f>IFERROR(INDEX(ShipPartShape!$A:$A,MATCH(AB59,ShipPartShape!$B:$B,0)),"-")</f>
        <v>46100033</v>
      </c>
      <c r="AD59" s="4"/>
      <c r="AE59" s="11" t="str">
        <f>IFERROR(INDEX(ShipPartShape!$A:$A,MATCH(AD59,ShipPartShape!$B:$B,0)),"-")</f>
        <v>-</v>
      </c>
      <c r="AF59" s="4"/>
      <c r="AG59" s="11" t="str">
        <f>IFERROR(INDEX(ShipPartShape!$A:$A,MATCH(AF59,ShipPartShape!$B:$B,0)),"-")</f>
        <v>-</v>
      </c>
      <c r="AH59" s="11" t="s">
        <v>802</v>
      </c>
      <c r="AI59" s="11" t="s">
        <v>802</v>
      </c>
      <c r="AJ59" s="11" t="s">
        <v>802</v>
      </c>
      <c r="AK59" s="11" t="s">
        <v>0</v>
      </c>
      <c r="AL59" s="11" t="s">
        <v>0</v>
      </c>
      <c r="AM59" s="11" t="s">
        <v>0</v>
      </c>
      <c r="AN59" s="11" t="s">
        <v>0</v>
      </c>
      <c r="AO59" s="11" t="s">
        <v>0</v>
      </c>
      <c r="AP59" s="11" t="s">
        <v>0</v>
      </c>
      <c r="AQ59" s="11" t="s">
        <v>0</v>
      </c>
      <c r="AR59" s="11" t="s">
        <v>0</v>
      </c>
    </row>
    <row r="60" spans="1:44" ht="15">
      <c r="A60" s="10">
        <f t="shared" si="7"/>
        <v>45000050</v>
      </c>
      <c r="B60" s="22" t="s">
        <v>336</v>
      </c>
      <c r="C60" s="11" t="s">
        <v>337</v>
      </c>
      <c r="D60" s="4" t="s">
        <v>338</v>
      </c>
      <c r="E60" s="11">
        <v>700</v>
      </c>
      <c r="F60" s="11">
        <v>80</v>
      </c>
      <c r="G60" s="11">
        <f>IFERROR(INDEX(ShipPartShape!$A:$A,MATCH(D60,ShipPartShape!$B:$B,0)),"-")</f>
        <v>46000047</v>
      </c>
      <c r="H60" s="4" t="s">
        <v>71</v>
      </c>
      <c r="I60" s="11">
        <f>IFERROR(INDEX(ShipPartShape!$A:$A,MATCH(H60,ShipPartShape!$B:$B,0)),"-")</f>
        <v>46700001</v>
      </c>
      <c r="J60" s="4" t="s">
        <v>342</v>
      </c>
      <c r="K60" s="11">
        <f>IFERROR(INDEX(ShipPartShape!$A:$A,MATCH(J60,ShipPartShape!$B:$B,0)),"-")</f>
        <v>46500002</v>
      </c>
      <c r="L60" s="4"/>
      <c r="M60" s="11" t="str">
        <f>IFERROR(INDEX(ShipPartShape!$A:$A,MATCH(L60,ShipPartShape!$B:$B,0)),"-")</f>
        <v>-</v>
      </c>
      <c r="N60" s="4"/>
      <c r="O60" s="11" t="str">
        <f>IFERROR(INDEX(ShipPartShape!$A:$A,MATCH(N60,ShipPartShape!$B:$B,0)),"-")</f>
        <v>-</v>
      </c>
      <c r="P60" s="4"/>
      <c r="Q60" s="11" t="str">
        <f>IFERROR(INDEX(ShipPartShape!$A:$A,MATCH(P60,ShipPartShape!$B:$B,0)),"-")</f>
        <v>-</v>
      </c>
      <c r="R60" s="4"/>
      <c r="S60" s="11" t="str">
        <f>IFERROR(INDEX(ShipPartShape!$A:$A,MATCH(R60,ShipPartShape!$B:$B,0)),"-")</f>
        <v>-</v>
      </c>
      <c r="T60" s="4"/>
      <c r="U60" s="11" t="str">
        <f>IFERROR(INDEX(ShipPartShape!$A:$A,MATCH(T60,ShipPartShape!$B:$B,0)),"-")</f>
        <v>-</v>
      </c>
      <c r="V60" s="4"/>
      <c r="W60" s="11" t="str">
        <f>IFERROR(INDEX(ShipPartShape!$A:$A,MATCH(V60,ShipPartShape!$B:$B,0)),"-")</f>
        <v>-</v>
      </c>
      <c r="X60" s="4"/>
      <c r="Y60" s="11" t="str">
        <f>IFERROR(INDEX(ShipPartShape!$A:$A,MATCH(X60,ShipPartShape!$B:$B,0)),"-")</f>
        <v>-</v>
      </c>
      <c r="Z60" s="4"/>
      <c r="AA60" s="11" t="str">
        <f>IFERROR(INDEX(ShipPartShape!$A:$A,MATCH(Z60,ShipPartShape!$B:$B,0)),"-")</f>
        <v>-</v>
      </c>
      <c r="AB60" s="4" t="s">
        <v>1836</v>
      </c>
      <c r="AC60" s="11">
        <f>IFERROR(INDEX(ShipPartShape!$A:$A,MATCH(AB60,ShipPartShape!$B:$B,0)),"-")</f>
        <v>46100034</v>
      </c>
      <c r="AD60" s="4"/>
      <c r="AE60" s="11" t="str">
        <f>IFERROR(INDEX(ShipPartShape!$A:$A,MATCH(AD60,ShipPartShape!$B:$B,0)),"-")</f>
        <v>-</v>
      </c>
      <c r="AF60" s="4"/>
      <c r="AG60" s="11" t="str">
        <f>IFERROR(INDEX(ShipPartShape!$A:$A,MATCH(AF60,ShipPartShape!$B:$B,0)),"-")</f>
        <v>-</v>
      </c>
      <c r="AH60" s="11" t="s">
        <v>802</v>
      </c>
      <c r="AI60" s="11" t="s">
        <v>802</v>
      </c>
      <c r="AJ60" s="11" t="s">
        <v>802</v>
      </c>
      <c r="AK60" s="11" t="s">
        <v>0</v>
      </c>
      <c r="AL60" s="11" t="s">
        <v>0</v>
      </c>
      <c r="AM60" s="11" t="s">
        <v>0</v>
      </c>
      <c r="AN60" s="11" t="s">
        <v>0</v>
      </c>
      <c r="AO60" s="11" t="s">
        <v>0</v>
      </c>
      <c r="AP60" s="11" t="s">
        <v>0</v>
      </c>
      <c r="AQ60" s="11" t="s">
        <v>0</v>
      </c>
      <c r="AR60" s="11" t="s">
        <v>0</v>
      </c>
    </row>
    <row r="61" spans="1:44" ht="15">
      <c r="A61" s="10">
        <f t="shared" si="7"/>
        <v>45000051</v>
      </c>
      <c r="B61" s="22" t="s">
        <v>347</v>
      </c>
      <c r="C61" s="11" t="s">
        <v>348</v>
      </c>
      <c r="D61" s="4" t="s">
        <v>411</v>
      </c>
      <c r="E61" s="11">
        <v>700</v>
      </c>
      <c r="F61" s="11">
        <v>80</v>
      </c>
      <c r="G61" s="11">
        <f>IFERROR(INDEX(ShipPartShape!$A:$A,MATCH(D61,ShipPartShape!$B:$B,0)),"-")</f>
        <v>46000048</v>
      </c>
      <c r="H61" s="4" t="s">
        <v>71</v>
      </c>
      <c r="I61" s="11">
        <f>IFERROR(INDEX(ShipPartShape!$A:$A,MATCH(H61,ShipPartShape!$B:$B,0)),"-")</f>
        <v>46700001</v>
      </c>
      <c r="J61" s="4" t="s">
        <v>350</v>
      </c>
      <c r="K61" s="11">
        <f>IFERROR(INDEX(ShipPartShape!$A:$A,MATCH(J61,ShipPartShape!$B:$B,0)),"-")</f>
        <v>46500003</v>
      </c>
      <c r="L61" s="4"/>
      <c r="M61" s="11" t="str">
        <f>IFERROR(INDEX(ShipPartShape!$A:$A,MATCH(L61,ShipPartShape!$B:$B,0)),"-")</f>
        <v>-</v>
      </c>
      <c r="N61" s="4"/>
      <c r="O61" s="11" t="str">
        <f>IFERROR(INDEX(ShipPartShape!$A:$A,MATCH(N61,ShipPartShape!$B:$B,0)),"-")</f>
        <v>-</v>
      </c>
      <c r="P61" s="4"/>
      <c r="Q61" s="11" t="str">
        <f>IFERROR(INDEX(ShipPartShape!$A:$A,MATCH(P61,ShipPartShape!$B:$B,0)),"-")</f>
        <v>-</v>
      </c>
      <c r="R61" s="4"/>
      <c r="S61" s="11" t="str">
        <f>IFERROR(INDEX(ShipPartShape!$A:$A,MATCH(R61,ShipPartShape!$B:$B,0)),"-")</f>
        <v>-</v>
      </c>
      <c r="T61" s="4"/>
      <c r="U61" s="11" t="str">
        <f>IFERROR(INDEX(ShipPartShape!$A:$A,MATCH(T61,ShipPartShape!$B:$B,0)),"-")</f>
        <v>-</v>
      </c>
      <c r="V61" s="4"/>
      <c r="W61" s="11" t="str">
        <f>IFERROR(INDEX(ShipPartShape!$A:$A,MATCH(V61,ShipPartShape!$B:$B,0)),"-")</f>
        <v>-</v>
      </c>
      <c r="X61" s="4"/>
      <c r="Y61" s="11" t="str">
        <f>IFERROR(INDEX(ShipPartShape!$A:$A,MATCH(X61,ShipPartShape!$B:$B,0)),"-")</f>
        <v>-</v>
      </c>
      <c r="Z61" s="4"/>
      <c r="AA61" s="11" t="str">
        <f>IFERROR(INDEX(ShipPartShape!$A:$A,MATCH(Z61,ShipPartShape!$B:$B,0)),"-")</f>
        <v>-</v>
      </c>
      <c r="AB61" s="4" t="s">
        <v>1838</v>
      </c>
      <c r="AC61" s="11">
        <f>IFERROR(INDEX(ShipPartShape!$A:$A,MATCH(AB61,ShipPartShape!$B:$B,0)),"-")</f>
        <v>46100035</v>
      </c>
      <c r="AD61" s="4"/>
      <c r="AE61" s="11" t="str">
        <f>IFERROR(INDEX(ShipPartShape!$A:$A,MATCH(AD61,ShipPartShape!$B:$B,0)),"-")</f>
        <v>-</v>
      </c>
      <c r="AF61" s="4"/>
      <c r="AG61" s="11" t="str">
        <f>IFERROR(INDEX(ShipPartShape!$A:$A,MATCH(AF61,ShipPartShape!$B:$B,0)),"-")</f>
        <v>-</v>
      </c>
      <c r="AH61" s="11" t="s">
        <v>802</v>
      </c>
      <c r="AI61" s="11" t="s">
        <v>802</v>
      </c>
      <c r="AJ61" s="11" t="s">
        <v>802</v>
      </c>
      <c r="AK61" s="11" t="s">
        <v>0</v>
      </c>
      <c r="AL61" s="11" t="s">
        <v>0</v>
      </c>
      <c r="AM61" s="11" t="s">
        <v>0</v>
      </c>
      <c r="AN61" s="11" t="s">
        <v>0</v>
      </c>
      <c r="AO61" s="11" t="s">
        <v>0</v>
      </c>
      <c r="AP61" s="11" t="s">
        <v>0</v>
      </c>
      <c r="AQ61" s="11" t="s">
        <v>0</v>
      </c>
      <c r="AR61" s="11" t="s">
        <v>0</v>
      </c>
    </row>
    <row r="62" spans="1:44" ht="15">
      <c r="A62" s="10">
        <f t="shared" si="7"/>
        <v>45000052</v>
      </c>
      <c r="B62" s="22" t="s">
        <v>359</v>
      </c>
      <c r="C62" s="11" t="s">
        <v>360</v>
      </c>
      <c r="D62" s="4" t="s">
        <v>355</v>
      </c>
      <c r="E62" s="11">
        <v>700</v>
      </c>
      <c r="F62" s="11">
        <v>80</v>
      </c>
      <c r="G62" s="11">
        <f>IFERROR(INDEX(ShipPartShape!$A:$A,MATCH(D62,ShipPartShape!$B:$B,0)),"-")</f>
        <v>46000049</v>
      </c>
      <c r="H62" s="4" t="s">
        <v>71</v>
      </c>
      <c r="I62" s="11">
        <f>IFERROR(INDEX(ShipPartShape!$A:$A,MATCH(H62,ShipPartShape!$B:$B,0)),"-")</f>
        <v>46700001</v>
      </c>
      <c r="J62" s="4"/>
      <c r="K62" s="11" t="str">
        <f>IFERROR(INDEX(ShipPartShape!$A:$A,MATCH(J62,ShipPartShape!$B:$B,0)),"-")</f>
        <v>-</v>
      </c>
      <c r="L62" s="4"/>
      <c r="M62" s="11" t="str">
        <f>IFERROR(INDEX(ShipPartShape!$A:$A,MATCH(L62,ShipPartShape!$B:$B,0)),"-")</f>
        <v>-</v>
      </c>
      <c r="N62" s="4"/>
      <c r="O62" s="11" t="str">
        <f>IFERROR(INDEX(ShipPartShape!$A:$A,MATCH(N62,ShipPartShape!$B:$B,0)),"-")</f>
        <v>-</v>
      </c>
      <c r="P62" s="4"/>
      <c r="Q62" s="11" t="str">
        <f>IFERROR(INDEX(ShipPartShape!$A:$A,MATCH(P62,ShipPartShape!$B:$B,0)),"-")</f>
        <v>-</v>
      </c>
      <c r="R62" s="4" t="s">
        <v>919</v>
      </c>
      <c r="S62" s="11">
        <f>IFERROR(INDEX(ShipPartShape!$A:$A,MATCH(R62,ShipPartShape!$B:$B,0)),"-")</f>
        <v>46600005</v>
      </c>
      <c r="T62" s="4" t="s">
        <v>926</v>
      </c>
      <c r="U62" s="11">
        <f>IFERROR(INDEX(ShipPartShape!$A:$A,MATCH(T62,ShipPartShape!$B:$B,0)),"-")</f>
        <v>46600010</v>
      </c>
      <c r="V62" s="4"/>
      <c r="W62" s="11" t="str">
        <f>IFERROR(INDEX(ShipPartShape!$A:$A,MATCH(V62,ShipPartShape!$B:$B,0)),"-")</f>
        <v>-</v>
      </c>
      <c r="X62" s="4"/>
      <c r="Y62" s="11" t="str">
        <f>IFERROR(INDEX(ShipPartShape!$A:$A,MATCH(X62,ShipPartShape!$B:$B,0)),"-")</f>
        <v>-</v>
      </c>
      <c r="Z62" s="4"/>
      <c r="AA62" s="11" t="str">
        <f>IFERROR(INDEX(ShipPartShape!$A:$A,MATCH(Z62,ShipPartShape!$B:$B,0)),"-")</f>
        <v>-</v>
      </c>
      <c r="AB62" s="4" t="s">
        <v>1840</v>
      </c>
      <c r="AC62" s="11">
        <f>IFERROR(INDEX(ShipPartShape!$A:$A,MATCH(AB62,ShipPartShape!$B:$B,0)),"-")</f>
        <v>46100036</v>
      </c>
      <c r="AD62" s="4"/>
      <c r="AE62" s="11" t="str">
        <f>IFERROR(INDEX(ShipPartShape!$A:$A,MATCH(AD62,ShipPartShape!$B:$B,0)),"-")</f>
        <v>-</v>
      </c>
      <c r="AF62" s="4"/>
      <c r="AG62" s="11" t="str">
        <f>IFERROR(INDEX(ShipPartShape!$A:$A,MATCH(AF62,ShipPartShape!$B:$B,0)),"-")</f>
        <v>-</v>
      </c>
      <c r="AH62" s="11" t="s">
        <v>802</v>
      </c>
      <c r="AI62" s="11" t="s">
        <v>802</v>
      </c>
      <c r="AJ62" s="11" t="s">
        <v>802</v>
      </c>
      <c r="AK62" s="11" t="s">
        <v>0</v>
      </c>
      <c r="AL62" s="11" t="s">
        <v>0</v>
      </c>
      <c r="AM62" s="11" t="s">
        <v>0</v>
      </c>
      <c r="AN62" s="11" t="s">
        <v>0</v>
      </c>
      <c r="AO62" s="11" t="s">
        <v>0</v>
      </c>
      <c r="AP62" s="11" t="s">
        <v>0</v>
      </c>
      <c r="AQ62" s="11" t="s">
        <v>0</v>
      </c>
      <c r="AR62" s="11" t="s">
        <v>0</v>
      </c>
    </row>
    <row r="63" spans="1:44" ht="15">
      <c r="A63" s="10">
        <f t="shared" si="7"/>
        <v>45000053</v>
      </c>
      <c r="B63" s="22" t="s">
        <v>403</v>
      </c>
      <c r="C63" s="11" t="s">
        <v>365</v>
      </c>
      <c r="D63" s="4" t="s">
        <v>361</v>
      </c>
      <c r="E63" s="11">
        <v>700</v>
      </c>
      <c r="F63" s="11">
        <v>80</v>
      </c>
      <c r="G63" s="11">
        <f>IFERROR(INDEX(ShipPartShape!$A:$A,MATCH(D63,ShipPartShape!$B:$B,0)),"-")</f>
        <v>46000050</v>
      </c>
      <c r="H63" s="4" t="s">
        <v>71</v>
      </c>
      <c r="I63" s="11">
        <f>IFERROR(INDEX(ShipPartShape!$A:$A,MATCH(H63,ShipPartShape!$B:$B,0)),"-")</f>
        <v>46700001</v>
      </c>
      <c r="J63" s="4"/>
      <c r="K63" s="11" t="str">
        <f>IFERROR(INDEX(ShipPartShape!$A:$A,MATCH(J63,ShipPartShape!$B:$B,0)),"-")</f>
        <v>-</v>
      </c>
      <c r="L63" s="4"/>
      <c r="M63" s="11" t="str">
        <f>IFERROR(INDEX(ShipPartShape!$A:$A,MATCH(L63,ShipPartShape!$B:$B,0)),"-")</f>
        <v>-</v>
      </c>
      <c r="N63" s="4"/>
      <c r="O63" s="11" t="str">
        <f>IFERROR(INDEX(ShipPartShape!$A:$A,MATCH(N63,ShipPartShape!$B:$B,0)),"-")</f>
        <v>-</v>
      </c>
      <c r="P63" s="4"/>
      <c r="Q63" s="11" t="str">
        <f>IFERROR(INDEX(ShipPartShape!$A:$A,MATCH(P63,ShipPartShape!$B:$B,0)),"-")</f>
        <v>-</v>
      </c>
      <c r="R63" s="4" t="s">
        <v>919</v>
      </c>
      <c r="S63" s="11">
        <f>IFERROR(INDEX(ShipPartShape!$A:$A,MATCH(R63,ShipPartShape!$B:$B,0)),"-")</f>
        <v>46600005</v>
      </c>
      <c r="T63" s="4" t="s">
        <v>918</v>
      </c>
      <c r="U63" s="11">
        <f>IFERROR(INDEX(ShipPartShape!$A:$A,MATCH(T63,ShipPartShape!$B:$B,0)),"-")</f>
        <v>46600007</v>
      </c>
      <c r="V63" s="4" t="s">
        <v>924</v>
      </c>
      <c r="W63" s="11">
        <f>IFERROR(INDEX(ShipPartShape!$A:$A,MATCH(V63,ShipPartShape!$B:$B,0)),"-")</f>
        <v>46600011</v>
      </c>
      <c r="X63" s="4" t="s">
        <v>920</v>
      </c>
      <c r="Y63" s="11">
        <f>IFERROR(INDEX(ShipPartShape!$A:$A,MATCH(X63,ShipPartShape!$B:$B,0)),"-")</f>
        <v>46600009</v>
      </c>
      <c r="Z63" s="4"/>
      <c r="AA63" s="11" t="str">
        <f>IFERROR(INDEX(ShipPartShape!$A:$A,MATCH(Z63,ShipPartShape!$B:$B,0)),"-")</f>
        <v>-</v>
      </c>
      <c r="AB63" s="4" t="s">
        <v>1841</v>
      </c>
      <c r="AC63" s="11">
        <f>IFERROR(INDEX(ShipPartShape!$A:$A,MATCH(AB63,ShipPartShape!$B:$B,0)),"-")</f>
        <v>46100037</v>
      </c>
      <c r="AD63" s="4"/>
      <c r="AE63" s="11" t="str">
        <f>IFERROR(INDEX(ShipPartShape!$A:$A,MATCH(AD63,ShipPartShape!$B:$B,0)),"-")</f>
        <v>-</v>
      </c>
      <c r="AF63" s="4"/>
      <c r="AG63" s="11" t="str">
        <f>IFERROR(INDEX(ShipPartShape!$A:$A,MATCH(AF63,ShipPartShape!$B:$B,0)),"-")</f>
        <v>-</v>
      </c>
      <c r="AH63" s="11" t="s">
        <v>802</v>
      </c>
      <c r="AI63" s="11" t="s">
        <v>802</v>
      </c>
      <c r="AJ63" s="11" t="s">
        <v>802</v>
      </c>
      <c r="AK63" s="11" t="s">
        <v>0</v>
      </c>
      <c r="AL63" s="11" t="s">
        <v>0</v>
      </c>
      <c r="AM63" s="11" t="s">
        <v>0</v>
      </c>
      <c r="AN63" s="11" t="s">
        <v>0</v>
      </c>
      <c r="AO63" s="11" t="s">
        <v>0</v>
      </c>
      <c r="AP63" s="11" t="s">
        <v>0</v>
      </c>
      <c r="AQ63" s="11" t="s">
        <v>0</v>
      </c>
      <c r="AR63" s="11" t="s">
        <v>0</v>
      </c>
    </row>
    <row r="64" spans="1:44" ht="15">
      <c r="A64" s="10">
        <f t="shared" si="7"/>
        <v>45000054</v>
      </c>
      <c r="B64" s="22" t="s">
        <v>404</v>
      </c>
      <c r="C64" s="11" t="s">
        <v>370</v>
      </c>
      <c r="D64" s="4" t="s">
        <v>366</v>
      </c>
      <c r="E64" s="11">
        <v>700</v>
      </c>
      <c r="F64" s="11">
        <v>80</v>
      </c>
      <c r="G64" s="11">
        <f>IFERROR(INDEX(ShipPartShape!$A:$A,MATCH(D64,ShipPartShape!$B:$B,0)),"-")</f>
        <v>46000051</v>
      </c>
      <c r="H64" s="4" t="s">
        <v>71</v>
      </c>
      <c r="I64" s="11">
        <f>IFERROR(INDEX(ShipPartShape!$A:$A,MATCH(H64,ShipPartShape!$B:$B,0)),"-")</f>
        <v>46700001</v>
      </c>
      <c r="J64" s="4"/>
      <c r="K64" s="11" t="str">
        <f>IFERROR(INDEX(ShipPartShape!$A:$A,MATCH(J64,ShipPartShape!$B:$B,0)),"-")</f>
        <v>-</v>
      </c>
      <c r="L64" s="4"/>
      <c r="M64" s="11" t="str">
        <f>IFERROR(INDEX(ShipPartShape!$A:$A,MATCH(L64,ShipPartShape!$B:$B,0)),"-")</f>
        <v>-</v>
      </c>
      <c r="N64" s="4"/>
      <c r="O64" s="11" t="str">
        <f>IFERROR(INDEX(ShipPartShape!$A:$A,MATCH(N64,ShipPartShape!$B:$B,0)),"-")</f>
        <v>-</v>
      </c>
      <c r="P64" s="4"/>
      <c r="Q64" s="11" t="str">
        <f>IFERROR(INDEX(ShipPartShape!$A:$A,MATCH(P64,ShipPartShape!$B:$B,0)),"-")</f>
        <v>-</v>
      </c>
      <c r="R64" s="4" t="s">
        <v>916</v>
      </c>
      <c r="S64" s="11">
        <f>IFERROR(INDEX(ShipPartShape!$A:$A,MATCH(R64,ShipPartShape!$B:$B,0)),"-")</f>
        <v>46600001</v>
      </c>
      <c r="T64" s="4" t="s">
        <v>918</v>
      </c>
      <c r="U64" s="11">
        <f>IFERROR(INDEX(ShipPartShape!$A:$A,MATCH(T64,ShipPartShape!$B:$B,0)),"-")</f>
        <v>46600007</v>
      </c>
      <c r="V64" s="4" t="s">
        <v>924</v>
      </c>
      <c r="W64" s="11">
        <f>IFERROR(INDEX(ShipPartShape!$A:$A,MATCH(V64,ShipPartShape!$B:$B,0)),"-")</f>
        <v>46600011</v>
      </c>
      <c r="X64" s="4" t="s">
        <v>926</v>
      </c>
      <c r="Y64" s="11">
        <f>IFERROR(INDEX(ShipPartShape!$A:$A,MATCH(X64,ShipPartShape!$B:$B,0)),"-")</f>
        <v>46600010</v>
      </c>
      <c r="Z64" s="4" t="s">
        <v>920</v>
      </c>
      <c r="AA64" s="11">
        <f>IFERROR(INDEX(ShipPartShape!$A:$A,MATCH(Z64,ShipPartShape!$B:$B,0)),"-")</f>
        <v>46600009</v>
      </c>
      <c r="AB64" s="4" t="s">
        <v>1842</v>
      </c>
      <c r="AC64" s="11">
        <f>IFERROR(INDEX(ShipPartShape!$A:$A,MATCH(AB64,ShipPartShape!$B:$B,0)),"-")</f>
        <v>46100038</v>
      </c>
      <c r="AD64" s="4"/>
      <c r="AE64" s="11" t="str">
        <f>IFERROR(INDEX(ShipPartShape!$A:$A,MATCH(AD64,ShipPartShape!$B:$B,0)),"-")</f>
        <v>-</v>
      </c>
      <c r="AF64" s="4"/>
      <c r="AG64" s="11" t="str">
        <f>IFERROR(INDEX(ShipPartShape!$A:$A,MATCH(AF64,ShipPartShape!$B:$B,0)),"-")</f>
        <v>-</v>
      </c>
      <c r="AH64" s="11" t="s">
        <v>802</v>
      </c>
      <c r="AI64" s="11" t="s">
        <v>802</v>
      </c>
      <c r="AJ64" s="11" t="s">
        <v>802</v>
      </c>
      <c r="AK64" s="11" t="s">
        <v>0</v>
      </c>
      <c r="AL64" s="11" t="s">
        <v>0</v>
      </c>
      <c r="AM64" s="11" t="s">
        <v>0</v>
      </c>
      <c r="AN64" s="11" t="s">
        <v>0</v>
      </c>
      <c r="AO64" s="11" t="s">
        <v>0</v>
      </c>
      <c r="AP64" s="11" t="s">
        <v>0</v>
      </c>
      <c r="AQ64" s="11" t="s">
        <v>0</v>
      </c>
      <c r="AR64" s="11" t="s">
        <v>0</v>
      </c>
    </row>
    <row r="65" spans="1:44" ht="15">
      <c r="A65" s="10">
        <f t="shared" si="7"/>
        <v>45000055</v>
      </c>
      <c r="B65" s="22" t="s">
        <v>405</v>
      </c>
      <c r="C65" s="11" t="s">
        <v>375</v>
      </c>
      <c r="D65" s="4" t="s">
        <v>372</v>
      </c>
      <c r="E65" s="11">
        <v>700</v>
      </c>
      <c r="F65" s="11">
        <v>80</v>
      </c>
      <c r="G65" s="11">
        <f>IFERROR(INDEX(ShipPartShape!$A:$A,MATCH(D65,ShipPartShape!$B:$B,0)),"-")</f>
        <v>46000052</v>
      </c>
      <c r="H65" s="4" t="s">
        <v>71</v>
      </c>
      <c r="I65" s="11">
        <f>IFERROR(INDEX(ShipPartShape!$A:$A,MATCH(H65,ShipPartShape!$B:$B,0)),"-")</f>
        <v>46700001</v>
      </c>
      <c r="J65" s="4"/>
      <c r="K65" s="11" t="str">
        <f>IFERROR(INDEX(ShipPartShape!$A:$A,MATCH(J65,ShipPartShape!$B:$B,0)),"-")</f>
        <v>-</v>
      </c>
      <c r="L65" s="4"/>
      <c r="M65" s="11" t="str">
        <f>IFERROR(INDEX(ShipPartShape!$A:$A,MATCH(L65,ShipPartShape!$B:$B,0)),"-")</f>
        <v>-</v>
      </c>
      <c r="N65" s="4"/>
      <c r="O65" s="11" t="str">
        <f>IFERROR(INDEX(ShipPartShape!$A:$A,MATCH(N65,ShipPartShape!$B:$B,0)),"-")</f>
        <v>-</v>
      </c>
      <c r="P65" s="4"/>
      <c r="Q65" s="11" t="str">
        <f>IFERROR(INDEX(ShipPartShape!$A:$A,MATCH(P65,ShipPartShape!$B:$B,0)),"-")</f>
        <v>-</v>
      </c>
      <c r="R65" s="4" t="s">
        <v>916</v>
      </c>
      <c r="S65" s="11">
        <f>IFERROR(INDEX(ShipPartShape!$A:$A,MATCH(R65,ShipPartShape!$B:$B,0)),"-")</f>
        <v>46600001</v>
      </c>
      <c r="T65" s="4"/>
      <c r="U65" s="11" t="str">
        <f>IFERROR(INDEX(ShipPartShape!$A:$A,MATCH(T65,ShipPartShape!$B:$B,0)),"-")</f>
        <v>-</v>
      </c>
      <c r="V65" s="4"/>
      <c r="W65" s="11" t="str">
        <f>IFERROR(INDEX(ShipPartShape!$A:$A,MATCH(V65,ShipPartShape!$B:$B,0)),"-")</f>
        <v>-</v>
      </c>
      <c r="X65" s="4"/>
      <c r="Y65" s="11" t="str">
        <f>IFERROR(INDEX(ShipPartShape!$A:$A,MATCH(X65,ShipPartShape!$B:$B,0)),"-")</f>
        <v>-</v>
      </c>
      <c r="Z65" s="4"/>
      <c r="AA65" s="11" t="str">
        <f>IFERROR(INDEX(ShipPartShape!$A:$A,MATCH(Z65,ShipPartShape!$B:$B,0)),"-")</f>
        <v>-</v>
      </c>
      <c r="AB65" s="4" t="s">
        <v>1844</v>
      </c>
      <c r="AC65" s="11">
        <f>IFERROR(INDEX(ShipPartShape!$A:$A,MATCH(AB65,ShipPartShape!$B:$B,0)),"-")</f>
        <v>46100039</v>
      </c>
      <c r="AD65" s="4"/>
      <c r="AE65" s="11" t="str">
        <f>IFERROR(INDEX(ShipPartShape!$A:$A,MATCH(AD65,ShipPartShape!$B:$B,0)),"-")</f>
        <v>-</v>
      </c>
      <c r="AF65" s="4"/>
      <c r="AG65" s="11" t="str">
        <f>IFERROR(INDEX(ShipPartShape!$A:$A,MATCH(AF65,ShipPartShape!$B:$B,0)),"-")</f>
        <v>-</v>
      </c>
      <c r="AH65" s="11" t="s">
        <v>802</v>
      </c>
      <c r="AI65" s="11" t="s">
        <v>802</v>
      </c>
      <c r="AJ65" s="11" t="s">
        <v>802</v>
      </c>
      <c r="AK65" s="11" t="s">
        <v>0</v>
      </c>
      <c r="AL65" s="11" t="s">
        <v>0</v>
      </c>
      <c r="AM65" s="11" t="s">
        <v>0</v>
      </c>
      <c r="AN65" s="11" t="s">
        <v>0</v>
      </c>
      <c r="AO65" s="11" t="s">
        <v>0</v>
      </c>
      <c r="AP65" s="11" t="s">
        <v>0</v>
      </c>
      <c r="AQ65" s="11" t="s">
        <v>0</v>
      </c>
      <c r="AR65" s="11" t="s">
        <v>0</v>
      </c>
    </row>
    <row r="66" spans="1:44" ht="15">
      <c r="A66" s="10">
        <f t="shared" si="7"/>
        <v>45000056</v>
      </c>
      <c r="B66" s="22" t="s">
        <v>380</v>
      </c>
      <c r="C66" s="11" t="s">
        <v>381</v>
      </c>
      <c r="D66" s="4" t="s">
        <v>376</v>
      </c>
      <c r="E66" s="11">
        <v>700</v>
      </c>
      <c r="F66" s="11">
        <v>80</v>
      </c>
      <c r="G66" s="11">
        <f>IFERROR(INDEX(ShipPartShape!$A:$A,MATCH(D66,ShipPartShape!$B:$B,0)),"-")</f>
        <v>46000053</v>
      </c>
      <c r="H66" s="4" t="s">
        <v>71</v>
      </c>
      <c r="I66" s="11">
        <f>IFERROR(INDEX(ShipPartShape!$A:$A,MATCH(H66,ShipPartShape!$B:$B,0)),"-")</f>
        <v>46700001</v>
      </c>
      <c r="J66" s="4" t="s">
        <v>382</v>
      </c>
      <c r="K66" s="11">
        <f>IFERROR(INDEX(ShipPartShape!$A:$A,MATCH(J66,ShipPartShape!$B:$B,0)),"-")</f>
        <v>46500004</v>
      </c>
      <c r="L66" s="4"/>
      <c r="M66" s="11" t="str">
        <f>IFERROR(INDEX(ShipPartShape!$A:$A,MATCH(L66,ShipPartShape!$B:$B,0)),"-")</f>
        <v>-</v>
      </c>
      <c r="N66" s="4"/>
      <c r="O66" s="11" t="str">
        <f>IFERROR(INDEX(ShipPartShape!$A:$A,MATCH(N66,ShipPartShape!$B:$B,0)),"-")</f>
        <v>-</v>
      </c>
      <c r="P66" s="4"/>
      <c r="Q66" s="11" t="str">
        <f>IFERROR(INDEX(ShipPartShape!$A:$A,MATCH(P66,ShipPartShape!$B:$B,0)),"-")</f>
        <v>-</v>
      </c>
      <c r="R66" s="4" t="s">
        <v>917</v>
      </c>
      <c r="S66" s="11">
        <f>IFERROR(INDEX(ShipPartShape!$A:$A,MATCH(R66,ShipPartShape!$B:$B,0)),"-")</f>
        <v>46600002</v>
      </c>
      <c r="T66" s="4" t="s">
        <v>921</v>
      </c>
      <c r="U66" s="11">
        <f>IFERROR(INDEX(ShipPartShape!$A:$A,MATCH(T66,ShipPartShape!$B:$B,0)),"-")</f>
        <v>46600003</v>
      </c>
      <c r="V66" s="4" t="s">
        <v>920</v>
      </c>
      <c r="W66" s="11">
        <f>IFERROR(INDEX(ShipPartShape!$A:$A,MATCH(V66,ShipPartShape!$B:$B,0)),"-")</f>
        <v>46600009</v>
      </c>
      <c r="X66" s="4" t="s">
        <v>926</v>
      </c>
      <c r="Y66" s="11">
        <f>IFERROR(INDEX(ShipPartShape!$A:$A,MATCH(X66,ShipPartShape!$B:$B,0)),"-")</f>
        <v>46600010</v>
      </c>
      <c r="Z66" s="4"/>
      <c r="AA66" s="11" t="str">
        <f>IFERROR(INDEX(ShipPartShape!$A:$A,MATCH(Z66,ShipPartShape!$B:$B,0)),"-")</f>
        <v>-</v>
      </c>
      <c r="AB66" s="4" t="s">
        <v>1845</v>
      </c>
      <c r="AC66" s="11">
        <f>IFERROR(INDEX(ShipPartShape!$A:$A,MATCH(AB66,ShipPartShape!$B:$B,0)),"-")</f>
        <v>46100040</v>
      </c>
      <c r="AD66" s="4"/>
      <c r="AE66" s="11" t="str">
        <f>IFERROR(INDEX(ShipPartShape!$A:$A,MATCH(AD66,ShipPartShape!$B:$B,0)),"-")</f>
        <v>-</v>
      </c>
      <c r="AF66" s="4"/>
      <c r="AG66" s="11" t="str">
        <f>IFERROR(INDEX(ShipPartShape!$A:$A,MATCH(AF66,ShipPartShape!$B:$B,0)),"-")</f>
        <v>-</v>
      </c>
      <c r="AH66" s="11" t="s">
        <v>802</v>
      </c>
      <c r="AI66" s="11" t="s">
        <v>802</v>
      </c>
      <c r="AJ66" s="11" t="s">
        <v>802</v>
      </c>
      <c r="AK66" s="11" t="s">
        <v>0</v>
      </c>
      <c r="AL66" s="11" t="s">
        <v>0</v>
      </c>
      <c r="AM66" s="11" t="s">
        <v>0</v>
      </c>
      <c r="AN66" s="11" t="s">
        <v>0</v>
      </c>
      <c r="AO66" s="11" t="s">
        <v>0</v>
      </c>
      <c r="AP66" s="11" t="s">
        <v>0</v>
      </c>
      <c r="AQ66" s="11" t="s">
        <v>0</v>
      </c>
      <c r="AR66" s="11" t="s">
        <v>0</v>
      </c>
    </row>
    <row r="67" spans="1:44" ht="15">
      <c r="A67" s="10">
        <f t="shared" si="7"/>
        <v>45000057</v>
      </c>
      <c r="B67" s="23" t="s">
        <v>406</v>
      </c>
      <c r="C67" s="11" t="s">
        <v>394</v>
      </c>
      <c r="D67" s="4" t="s">
        <v>386</v>
      </c>
      <c r="E67" s="11">
        <v>700</v>
      </c>
      <c r="F67" s="11">
        <v>80</v>
      </c>
      <c r="G67" s="11">
        <f>IFERROR(INDEX(ShipPartShape!$A:$A,MATCH(D67,ShipPartShape!$B:$B,0)),"-")</f>
        <v>46000054</v>
      </c>
      <c r="H67" s="4" t="s">
        <v>71</v>
      </c>
      <c r="I67" s="11">
        <f>IFERROR(INDEX(ShipPartShape!$A:$A,MATCH(H67,ShipPartShape!$B:$B,0)),"-")</f>
        <v>46700001</v>
      </c>
      <c r="J67" s="4" t="s">
        <v>391</v>
      </c>
      <c r="K67" s="11">
        <f>IFERROR(INDEX(ShipPartShape!$A:$A,MATCH(J67,ShipPartShape!$B:$B,0)),"-")</f>
        <v>46500005</v>
      </c>
      <c r="L67" s="4"/>
      <c r="M67" s="11" t="str">
        <f>IFERROR(INDEX(ShipPartShape!$A:$A,MATCH(L67,ShipPartShape!$B:$B,0)),"-")</f>
        <v>-</v>
      </c>
      <c r="N67" s="4"/>
      <c r="O67" s="11" t="str">
        <f>IFERROR(INDEX(ShipPartShape!$A:$A,MATCH(N67,ShipPartShape!$B:$B,0)),"-")</f>
        <v>-</v>
      </c>
      <c r="P67" s="4"/>
      <c r="Q67" s="11" t="str">
        <f>IFERROR(INDEX(ShipPartShape!$A:$A,MATCH(P67,ShipPartShape!$B:$B,0)),"-")</f>
        <v>-</v>
      </c>
      <c r="R67" s="4" t="s">
        <v>923</v>
      </c>
      <c r="S67" s="11">
        <f>IFERROR(INDEX(ShipPartShape!$A:$A,MATCH(R67,ShipPartShape!$B:$B,0)),"-")</f>
        <v>46600004</v>
      </c>
      <c r="T67" s="4" t="s">
        <v>925</v>
      </c>
      <c r="U67" s="11">
        <f>IFERROR(INDEX(ShipPartShape!$A:$A,MATCH(T67,ShipPartShape!$B:$B,0)),"-")</f>
        <v>46600006</v>
      </c>
      <c r="V67" s="4" t="s">
        <v>920</v>
      </c>
      <c r="W67" s="11">
        <f>IFERROR(INDEX(ShipPartShape!$A:$A,MATCH(V67,ShipPartShape!$B:$B,0)),"-")</f>
        <v>46600009</v>
      </c>
      <c r="X67" s="4" t="s">
        <v>926</v>
      </c>
      <c r="Y67" s="11">
        <f>IFERROR(INDEX(ShipPartShape!$A:$A,MATCH(X67,ShipPartShape!$B:$B,0)),"-")</f>
        <v>46600010</v>
      </c>
      <c r="Z67" s="4"/>
      <c r="AA67" s="11" t="str">
        <f>IFERROR(INDEX(ShipPartShape!$A:$A,MATCH(Z67,ShipPartShape!$B:$B,0)),"-")</f>
        <v>-</v>
      </c>
      <c r="AB67" s="4" t="s">
        <v>1846</v>
      </c>
      <c r="AC67" s="11">
        <f>IFERROR(INDEX(ShipPartShape!$A:$A,MATCH(AB67,ShipPartShape!$B:$B,0)),"-")</f>
        <v>46100041</v>
      </c>
      <c r="AD67" s="4"/>
      <c r="AE67" s="11" t="str">
        <f>IFERROR(INDEX(ShipPartShape!$A:$A,MATCH(AD67,ShipPartShape!$B:$B,0)),"-")</f>
        <v>-</v>
      </c>
      <c r="AF67" s="4"/>
      <c r="AG67" s="11" t="str">
        <f>IFERROR(INDEX(ShipPartShape!$A:$A,MATCH(AF67,ShipPartShape!$B:$B,0)),"-")</f>
        <v>-</v>
      </c>
      <c r="AH67" s="11" t="s">
        <v>802</v>
      </c>
      <c r="AI67" s="11" t="s">
        <v>802</v>
      </c>
      <c r="AJ67" s="11" t="s">
        <v>802</v>
      </c>
      <c r="AK67" s="11" t="s">
        <v>0</v>
      </c>
      <c r="AL67" s="11" t="s">
        <v>0</v>
      </c>
      <c r="AM67" s="11" t="s">
        <v>0</v>
      </c>
      <c r="AN67" s="11" t="s">
        <v>0</v>
      </c>
      <c r="AO67" s="11" t="s">
        <v>0</v>
      </c>
      <c r="AP67" s="11" t="s">
        <v>0</v>
      </c>
      <c r="AQ67" s="11" t="s">
        <v>0</v>
      </c>
      <c r="AR67" s="11" t="s">
        <v>0</v>
      </c>
    </row>
    <row r="68" spans="1:44" ht="15">
      <c r="A68" s="10">
        <f t="shared" si="7"/>
        <v>45000058</v>
      </c>
      <c r="B68" s="23" t="s">
        <v>407</v>
      </c>
      <c r="C68" s="11" t="s">
        <v>401</v>
      </c>
      <c r="D68" s="4" t="s">
        <v>395</v>
      </c>
      <c r="E68" s="11">
        <v>700</v>
      </c>
      <c r="F68" s="11">
        <v>80</v>
      </c>
      <c r="G68" s="11">
        <f>IFERROR(INDEX(ShipPartShape!$A:$A,MATCH(D68,ShipPartShape!$B:$B,0)),"-")</f>
        <v>46000055</v>
      </c>
      <c r="H68" s="4" t="s">
        <v>71</v>
      </c>
      <c r="I68" s="11">
        <f>IFERROR(INDEX(ShipPartShape!$A:$A,MATCH(H68,ShipPartShape!$B:$B,0)),"-")</f>
        <v>46700001</v>
      </c>
      <c r="J68" s="4" t="s">
        <v>397</v>
      </c>
      <c r="K68" s="11">
        <f>IFERROR(INDEX(ShipPartShape!$A:$A,MATCH(J68,ShipPartShape!$B:$B,0)),"-")</f>
        <v>46500006</v>
      </c>
      <c r="L68" s="4"/>
      <c r="M68" s="11" t="str">
        <f>IFERROR(INDEX(ShipPartShape!$A:$A,MATCH(L68,ShipPartShape!$B:$B,0)),"-")</f>
        <v>-</v>
      </c>
      <c r="N68" s="4"/>
      <c r="O68" s="11" t="str">
        <f>IFERROR(INDEX(ShipPartShape!$A:$A,MATCH(N68,ShipPartShape!$B:$B,0)),"-")</f>
        <v>-</v>
      </c>
      <c r="P68" s="4"/>
      <c r="Q68" s="11" t="str">
        <f>IFERROR(INDEX(ShipPartShape!$A:$A,MATCH(P68,ShipPartShape!$B:$B,0)),"-")</f>
        <v>-</v>
      </c>
      <c r="R68" s="4" t="s">
        <v>917</v>
      </c>
      <c r="S68" s="11">
        <f>IFERROR(INDEX(ShipPartShape!$A:$A,MATCH(R68,ShipPartShape!$B:$B,0)),"-")</f>
        <v>46600002</v>
      </c>
      <c r="T68" s="4" t="s">
        <v>923</v>
      </c>
      <c r="U68" s="11">
        <f>IFERROR(INDEX(ShipPartShape!$A:$A,MATCH(T68,ShipPartShape!$B:$B,0)),"-")</f>
        <v>46600004</v>
      </c>
      <c r="V68" s="4" t="s">
        <v>919</v>
      </c>
      <c r="W68" s="11">
        <f>IFERROR(INDEX(ShipPartShape!$A:$A,MATCH(V68,ShipPartShape!$B:$B,0)),"-")</f>
        <v>46600005</v>
      </c>
      <c r="X68" s="4" t="s">
        <v>918</v>
      </c>
      <c r="Y68" s="11">
        <f>IFERROR(INDEX(ShipPartShape!$A:$A,MATCH(X68,ShipPartShape!$B:$B,0)),"-")</f>
        <v>46600007</v>
      </c>
      <c r="Z68" s="4"/>
      <c r="AA68" s="11" t="str">
        <f>IFERROR(INDEX(ShipPartShape!$A:$A,MATCH(Z68,ShipPartShape!$B:$B,0)),"-")</f>
        <v>-</v>
      </c>
      <c r="AB68" s="4" t="s">
        <v>1847</v>
      </c>
      <c r="AC68" s="11">
        <f>IFERROR(INDEX(ShipPartShape!$A:$A,MATCH(AB68,ShipPartShape!$B:$B,0)),"-")</f>
        <v>46100042</v>
      </c>
      <c r="AD68" s="4"/>
      <c r="AE68" s="11" t="str">
        <f>IFERROR(INDEX(ShipPartShape!$A:$A,MATCH(AD68,ShipPartShape!$B:$B,0)),"-")</f>
        <v>-</v>
      </c>
      <c r="AF68" s="4"/>
      <c r="AG68" s="11" t="str">
        <f>IFERROR(INDEX(ShipPartShape!$A:$A,MATCH(AF68,ShipPartShape!$B:$B,0)),"-")</f>
        <v>-</v>
      </c>
      <c r="AH68" s="11" t="s">
        <v>802</v>
      </c>
      <c r="AI68" s="11" t="s">
        <v>802</v>
      </c>
      <c r="AJ68" s="11" t="s">
        <v>802</v>
      </c>
      <c r="AK68" s="11" t="s">
        <v>0</v>
      </c>
      <c r="AL68" s="11" t="s">
        <v>0</v>
      </c>
      <c r="AM68" s="11" t="s">
        <v>0</v>
      </c>
      <c r="AN68" s="11" t="s">
        <v>0</v>
      </c>
      <c r="AO68" s="11" t="s">
        <v>0</v>
      </c>
      <c r="AP68" s="11" t="s">
        <v>0</v>
      </c>
      <c r="AQ68" s="11" t="s">
        <v>0</v>
      </c>
      <c r="AR68" s="11" t="s">
        <v>0</v>
      </c>
    </row>
    <row r="69" spans="1:44" ht="15">
      <c r="A69" s="10">
        <f t="shared" si="7"/>
        <v>45000059</v>
      </c>
      <c r="B69" s="23" t="s">
        <v>834</v>
      </c>
      <c r="C69" s="11" t="s">
        <v>495</v>
      </c>
      <c r="D69" s="4" t="s">
        <v>492</v>
      </c>
      <c r="E69" s="11">
        <v>700</v>
      </c>
      <c r="F69" s="11">
        <v>80</v>
      </c>
      <c r="G69" s="11">
        <f>IFERROR(INDEX(ShipPartShape!$A:$A,MATCH(D69,ShipPartShape!$B:$B,0)),"-")</f>
        <v>46000056</v>
      </c>
      <c r="H69" s="4" t="s">
        <v>71</v>
      </c>
      <c r="I69" s="11">
        <f>IFERROR(INDEX(ShipPartShape!$A:$A,MATCH(H69,ShipPartShape!$B:$B,0)),"-")</f>
        <v>46700001</v>
      </c>
      <c r="J69" s="4" t="s">
        <v>70</v>
      </c>
      <c r="K69" s="11">
        <f>IFERROR(INDEX(ShipPartShape!$A:$A,MATCH(J69,ShipPartShape!$B:$B,0)),"-")</f>
        <v>46300001</v>
      </c>
      <c r="L69" s="4"/>
      <c r="M69" s="11" t="str">
        <f>IFERROR(INDEX(ShipPartShape!$A:$A,MATCH(L69,ShipPartShape!$B:$B,0)),"-")</f>
        <v>-</v>
      </c>
      <c r="N69" s="4"/>
      <c r="O69" s="11" t="str">
        <f>IFERROR(INDEX(ShipPartShape!$A:$A,MATCH(N69,ShipPartShape!$B:$B,0)),"-")</f>
        <v>-</v>
      </c>
      <c r="P69" s="4"/>
      <c r="Q69" s="11" t="str">
        <f>IFERROR(INDEX(ShipPartShape!$A:$A,MATCH(P69,ShipPartShape!$B:$B,0)),"-")</f>
        <v>-</v>
      </c>
      <c r="R69" s="4"/>
      <c r="S69" s="11" t="str">
        <f>IFERROR(INDEX(ShipPartShape!$A:$A,MATCH(R69,ShipPartShape!$B:$B,0)),"-")</f>
        <v>-</v>
      </c>
      <c r="T69" s="4"/>
      <c r="U69" s="11" t="str">
        <f>IFERROR(INDEX(ShipPartShape!$A:$A,MATCH(T69,ShipPartShape!$B:$B,0)),"-")</f>
        <v>-</v>
      </c>
      <c r="V69" s="4"/>
      <c r="W69" s="11" t="str">
        <f>IFERROR(INDEX(ShipPartShape!$A:$A,MATCH(V69,ShipPartShape!$B:$B,0)),"-")</f>
        <v>-</v>
      </c>
      <c r="X69" s="4"/>
      <c r="Y69" s="11" t="str">
        <f>IFERROR(INDEX(ShipPartShape!$A:$A,MATCH(X69,ShipPartShape!$B:$B,0)),"-")</f>
        <v>-</v>
      </c>
      <c r="Z69" s="4"/>
      <c r="AA69" s="11" t="str">
        <f>IFERROR(INDEX(ShipPartShape!$A:$A,MATCH(Z69,ShipPartShape!$B:$B,0)),"-")</f>
        <v>-</v>
      </c>
      <c r="AB69" s="4" t="s">
        <v>1849</v>
      </c>
      <c r="AC69" s="11">
        <f>IFERROR(INDEX(ShipPartShape!$A:$A,MATCH(AB69,ShipPartShape!$B:$B,0)),"-")</f>
        <v>46100043</v>
      </c>
      <c r="AD69" s="4"/>
      <c r="AE69" s="11" t="str">
        <f>IFERROR(INDEX(ShipPartShape!$A:$A,MATCH(AD69,ShipPartShape!$B:$B,0)),"-")</f>
        <v>-</v>
      </c>
      <c r="AF69" s="4"/>
      <c r="AG69" s="11" t="str">
        <f>IFERROR(INDEX(ShipPartShape!$A:$A,MATCH(AF69,ShipPartShape!$B:$B,0)),"-")</f>
        <v>-</v>
      </c>
      <c r="AH69" s="11" t="s">
        <v>802</v>
      </c>
      <c r="AI69" s="11" t="s">
        <v>802</v>
      </c>
      <c r="AJ69" s="11" t="s">
        <v>802</v>
      </c>
      <c r="AK69" s="11" t="s">
        <v>0</v>
      </c>
      <c r="AL69" s="11" t="s">
        <v>0</v>
      </c>
      <c r="AM69" s="11" t="s">
        <v>0</v>
      </c>
      <c r="AN69" s="11" t="s">
        <v>0</v>
      </c>
      <c r="AO69" s="11" t="s">
        <v>0</v>
      </c>
      <c r="AP69" s="11" t="s">
        <v>0</v>
      </c>
      <c r="AQ69" s="11" t="s">
        <v>0</v>
      </c>
      <c r="AR69" s="11" t="s">
        <v>0</v>
      </c>
    </row>
    <row r="70" spans="1:44" ht="15">
      <c r="A70" s="10">
        <f t="shared" si="7"/>
        <v>45000060</v>
      </c>
      <c r="B70" s="24" t="s">
        <v>497</v>
      </c>
      <c r="C70" s="11" t="s">
        <v>243</v>
      </c>
      <c r="D70" s="4" t="s">
        <v>192</v>
      </c>
      <c r="E70" s="11">
        <v>700</v>
      </c>
      <c r="F70" s="11">
        <v>80</v>
      </c>
      <c r="G70" s="11">
        <f>IFERROR(INDEX(ShipPartShape!$A:$A,MATCH(D70,ShipPartShape!$B:$B,0)),"-")</f>
        <v>46000038</v>
      </c>
      <c r="H70" s="4" t="s">
        <v>209</v>
      </c>
      <c r="I70" s="11">
        <f>IFERROR(INDEX(ShipPartShape!$A:$A,MATCH(H70,ShipPartShape!$B:$B,0)),"-")</f>
        <v>46700002</v>
      </c>
      <c r="J70" s="4" t="s">
        <v>194</v>
      </c>
      <c r="K70" s="11">
        <f>IFERROR(INDEX(ShipPartShape!$A:$A,MATCH(J70,ShipPartShape!$B:$B,0)),"-")</f>
        <v>46550001</v>
      </c>
      <c r="L70" s="4" t="s">
        <v>70</v>
      </c>
      <c r="M70" s="11">
        <f>IFERROR(INDEX(ShipPartShape!$A:$A,MATCH(L70,ShipPartShape!$B:$B,0)),"-")</f>
        <v>46300001</v>
      </c>
      <c r="N70" s="4"/>
      <c r="O70" s="11" t="str">
        <f>IFERROR(INDEX(ShipPartShape!$A:$A,MATCH(N70,ShipPartShape!$B:$B,0)),"-")</f>
        <v>-</v>
      </c>
      <c r="P70" s="4"/>
      <c r="Q70" s="11" t="str">
        <f>IFERROR(INDEX(ShipPartShape!$A:$A,MATCH(P70,ShipPartShape!$B:$B,0)),"-")</f>
        <v>-</v>
      </c>
      <c r="R70" s="4"/>
      <c r="S70" s="11" t="str">
        <f>IFERROR(INDEX(ShipPartShape!$A:$A,MATCH(R70,ShipPartShape!$B:$B,0)),"-")</f>
        <v>-</v>
      </c>
      <c r="T70" s="4"/>
      <c r="U70" s="11" t="str">
        <f>IFERROR(INDEX(ShipPartShape!$A:$A,MATCH(T70,ShipPartShape!$B:$B,0)),"-")</f>
        <v>-</v>
      </c>
      <c r="V70" s="4"/>
      <c r="W70" s="11" t="str">
        <f>IFERROR(INDEX(ShipPartShape!$A:$A,MATCH(V70,ShipPartShape!$B:$B,0)),"-")</f>
        <v>-</v>
      </c>
      <c r="X70" s="4"/>
      <c r="Y70" s="11" t="str">
        <f>IFERROR(INDEX(ShipPartShape!$A:$A,MATCH(X70,ShipPartShape!$B:$B,0)),"-")</f>
        <v>-</v>
      </c>
      <c r="Z70" s="4"/>
      <c r="AA70" s="11" t="str">
        <f>IFERROR(INDEX(ShipPartShape!$A:$A,MATCH(Z70,ShipPartShape!$B:$B,0)),"-")</f>
        <v>-</v>
      </c>
      <c r="AB70" s="4"/>
      <c r="AC70" s="11" t="str">
        <f>IFERROR(INDEX(ShipPartShape!$A:$A,MATCH(AB70,ShipPartShape!$B:$B,0)),"-")</f>
        <v>-</v>
      </c>
      <c r="AD70" s="4"/>
      <c r="AE70" s="11" t="str">
        <f>IFERROR(INDEX(ShipPartShape!$A:$A,MATCH(AD70,ShipPartShape!$B:$B,0)),"-")</f>
        <v>-</v>
      </c>
      <c r="AF70" s="4"/>
      <c r="AG70" s="11" t="str">
        <f>IFERROR(INDEX(ShipPartShape!$A:$A,MATCH(AF70,ShipPartShape!$B:$B,0)),"-")</f>
        <v>-</v>
      </c>
      <c r="AH70" s="11" t="s">
        <v>802</v>
      </c>
      <c r="AI70" s="11" t="s">
        <v>802</v>
      </c>
      <c r="AJ70" s="11" t="s">
        <v>802</v>
      </c>
      <c r="AK70" s="11" t="s">
        <v>0</v>
      </c>
      <c r="AL70" s="11" t="s">
        <v>0</v>
      </c>
      <c r="AM70" s="11" t="s">
        <v>0</v>
      </c>
      <c r="AN70" s="11" t="s">
        <v>0</v>
      </c>
      <c r="AO70" s="11" t="s">
        <v>0</v>
      </c>
      <c r="AP70" s="11" t="s">
        <v>0</v>
      </c>
      <c r="AQ70" s="11" t="s">
        <v>0</v>
      </c>
      <c r="AR70" s="11" t="s">
        <v>0</v>
      </c>
    </row>
    <row r="71" spans="1:44" ht="15">
      <c r="A71" s="10">
        <f t="shared" si="7"/>
        <v>45000061</v>
      </c>
      <c r="B71" s="24" t="s">
        <v>498</v>
      </c>
      <c r="C71" s="11" t="s">
        <v>293</v>
      </c>
      <c r="D71" s="4" t="s">
        <v>503</v>
      </c>
      <c r="E71" s="11">
        <v>700</v>
      </c>
      <c r="F71" s="11">
        <v>80</v>
      </c>
      <c r="G71" s="11">
        <f>IFERROR(INDEX(ShipPartShape!$A:$A,MATCH(D71,ShipPartShape!$B:$B,0)),"-")</f>
        <v>46000057</v>
      </c>
      <c r="H71" s="4" t="s">
        <v>204</v>
      </c>
      <c r="I71" s="11">
        <f>IFERROR(INDEX(ShipPartShape!$A:$A,MATCH(H71,ShipPartShape!$B:$B,0)),"-")</f>
        <v>46700003</v>
      </c>
      <c r="J71" s="4" t="s">
        <v>194</v>
      </c>
      <c r="K71" s="11">
        <f>IFERROR(INDEX(ShipPartShape!$A:$A,MATCH(J71,ShipPartShape!$B:$B,0)),"-")</f>
        <v>46550001</v>
      </c>
      <c r="L71" s="4" t="s">
        <v>70</v>
      </c>
      <c r="M71" s="11">
        <f>IFERROR(INDEX(ShipPartShape!$A:$A,MATCH(L71,ShipPartShape!$B:$B,0)),"-")</f>
        <v>46300001</v>
      </c>
      <c r="N71" s="4"/>
      <c r="O71" s="11" t="str">
        <f>IFERROR(INDEX(ShipPartShape!$A:$A,MATCH(N71,ShipPartShape!$B:$B,0)),"-")</f>
        <v>-</v>
      </c>
      <c r="P71" s="4" t="s">
        <v>1451</v>
      </c>
      <c r="Q71" s="11">
        <f>IFERROR(INDEX(ShipPartShape!$A:$A,MATCH(P71,ShipPartShape!$B:$B,0)),"-")</f>
        <v>46100003</v>
      </c>
      <c r="R71" s="4"/>
      <c r="S71" s="11" t="str">
        <f>IFERROR(INDEX(ShipPartShape!$A:$A,MATCH(R71,ShipPartShape!$B:$B,0)),"-")</f>
        <v>-</v>
      </c>
      <c r="T71" s="4"/>
      <c r="U71" s="11" t="str">
        <f>IFERROR(INDEX(ShipPartShape!$A:$A,MATCH(T71,ShipPartShape!$B:$B,0)),"-")</f>
        <v>-</v>
      </c>
      <c r="V71" s="4"/>
      <c r="W71" s="11" t="str">
        <f>IFERROR(INDEX(ShipPartShape!$A:$A,MATCH(V71,ShipPartShape!$B:$B,0)),"-")</f>
        <v>-</v>
      </c>
      <c r="X71" s="4"/>
      <c r="Y71" s="11" t="str">
        <f>IFERROR(INDEX(ShipPartShape!$A:$A,MATCH(X71,ShipPartShape!$B:$B,0)),"-")</f>
        <v>-</v>
      </c>
      <c r="Z71" s="4"/>
      <c r="AA71" s="11" t="str">
        <f>IFERROR(INDEX(ShipPartShape!$A:$A,MATCH(Z71,ShipPartShape!$B:$B,0)),"-")</f>
        <v>-</v>
      </c>
      <c r="AB71" s="4"/>
      <c r="AC71" s="11" t="str">
        <f>IFERROR(INDEX(ShipPartShape!$A:$A,MATCH(AB71,ShipPartShape!$B:$B,0)),"-")</f>
        <v>-</v>
      </c>
      <c r="AD71" s="4"/>
      <c r="AE71" s="11" t="str">
        <f>IFERROR(INDEX(ShipPartShape!$A:$A,MATCH(AD71,ShipPartShape!$B:$B,0)),"-")</f>
        <v>-</v>
      </c>
      <c r="AF71" s="4"/>
      <c r="AG71" s="11" t="str">
        <f>IFERROR(INDEX(ShipPartShape!$A:$A,MATCH(AF71,ShipPartShape!$B:$B,0)),"-")</f>
        <v>-</v>
      </c>
      <c r="AH71" s="11" t="s">
        <v>802</v>
      </c>
      <c r="AI71" s="11" t="s">
        <v>802</v>
      </c>
      <c r="AJ71" s="11" t="s">
        <v>802</v>
      </c>
      <c r="AK71" s="11" t="s">
        <v>0</v>
      </c>
      <c r="AL71" s="11" t="s">
        <v>0</v>
      </c>
      <c r="AM71" s="11" t="s">
        <v>0</v>
      </c>
      <c r="AN71" s="11" t="s">
        <v>0</v>
      </c>
      <c r="AO71" s="11" t="s">
        <v>0</v>
      </c>
      <c r="AP71" s="11" t="s">
        <v>0</v>
      </c>
      <c r="AQ71" s="11" t="s">
        <v>0</v>
      </c>
      <c r="AR71" s="11" t="s">
        <v>0</v>
      </c>
    </row>
    <row r="72" spans="1:44" ht="15">
      <c r="A72" s="10">
        <f t="shared" si="7"/>
        <v>45000062</v>
      </c>
      <c r="B72" s="24" t="s">
        <v>737</v>
      </c>
      <c r="C72" s="11" t="s">
        <v>271</v>
      </c>
      <c r="D72" s="4" t="s">
        <v>738</v>
      </c>
      <c r="E72" s="11">
        <v>700</v>
      </c>
      <c r="F72" s="11">
        <v>80</v>
      </c>
      <c r="G72" s="11">
        <f>IFERROR(INDEX(ShipPartShape!$A:$A,MATCH(D72,ShipPartShape!$B:$B,0)),"-")</f>
        <v>46000058</v>
      </c>
      <c r="H72" s="4" t="s">
        <v>71</v>
      </c>
      <c r="I72" s="11">
        <f>IFERROR(INDEX(ShipPartShape!$A:$A,MATCH(H72,ShipPartShape!$B:$B,0)),"-")</f>
        <v>46700001</v>
      </c>
      <c r="J72" s="4" t="s">
        <v>518</v>
      </c>
      <c r="K72" s="11">
        <f>IFERROR(INDEX(ShipPartShape!$A:$A,MATCH(J72,ShipPartShape!$B:$B,0)),"-")</f>
        <v>46200005</v>
      </c>
      <c r="L72" s="4" t="s">
        <v>1166</v>
      </c>
      <c r="M72" s="11">
        <f>IFERROR(INDEX(ShipPartShape!$A:$A,MATCH(L72,ShipPartShape!$B:$B,0)),"-")</f>
        <v>46100005</v>
      </c>
      <c r="N72" s="4"/>
      <c r="O72" s="11" t="str">
        <f>IFERROR(INDEX(ShipPartShape!$A:$A,MATCH(N72,ShipPartShape!$B:$B,0)),"-")</f>
        <v>-</v>
      </c>
      <c r="P72" s="4"/>
      <c r="Q72" s="11" t="str">
        <f>IFERROR(INDEX(ShipPartShape!$A:$A,MATCH(P72,ShipPartShape!$B:$B,0)),"-")</f>
        <v>-</v>
      </c>
      <c r="R72" s="4"/>
      <c r="S72" s="11" t="str">
        <f>IFERROR(INDEX(ShipPartShape!$A:$A,MATCH(R72,ShipPartShape!$B:$B,0)),"-")</f>
        <v>-</v>
      </c>
      <c r="T72" s="4"/>
      <c r="U72" s="11" t="str">
        <f>IFERROR(INDEX(ShipPartShape!$A:$A,MATCH(T72,ShipPartShape!$B:$B,0)),"-")</f>
        <v>-</v>
      </c>
      <c r="V72" s="4"/>
      <c r="W72" s="11" t="str">
        <f>IFERROR(INDEX(ShipPartShape!$A:$A,MATCH(V72,ShipPartShape!$B:$B,0)),"-")</f>
        <v>-</v>
      </c>
      <c r="X72" s="4"/>
      <c r="Y72" s="11" t="str">
        <f>IFERROR(INDEX(ShipPartShape!$A:$A,MATCH(X72,ShipPartShape!$B:$B,0)),"-")</f>
        <v>-</v>
      </c>
      <c r="Z72" s="4"/>
      <c r="AA72" s="11" t="str">
        <f>IFERROR(INDEX(ShipPartShape!$A:$A,MATCH(Z72,ShipPartShape!$B:$B,0)),"-")</f>
        <v>-</v>
      </c>
      <c r="AB72" s="4"/>
      <c r="AC72" s="11" t="str">
        <f>IFERROR(INDEX(ShipPartShape!$A:$A,MATCH(AB72,ShipPartShape!$B:$B,0)),"-")</f>
        <v>-</v>
      </c>
      <c r="AD72" s="4"/>
      <c r="AE72" s="11" t="str">
        <f>IFERROR(INDEX(ShipPartShape!$A:$A,MATCH(AD72,ShipPartShape!$B:$B,0)),"-")</f>
        <v>-</v>
      </c>
      <c r="AF72" s="4"/>
      <c r="AG72" s="11" t="str">
        <f>IFERROR(INDEX(ShipPartShape!$A:$A,MATCH(AF72,ShipPartShape!$B:$B,0)),"-")</f>
        <v>-</v>
      </c>
      <c r="AH72" s="11" t="s">
        <v>802</v>
      </c>
      <c r="AI72" s="11" t="s">
        <v>802</v>
      </c>
      <c r="AJ72" s="11" t="s">
        <v>802</v>
      </c>
      <c r="AK72" s="11" t="s">
        <v>0</v>
      </c>
      <c r="AL72" s="11" t="s">
        <v>0</v>
      </c>
      <c r="AM72" s="11" t="s">
        <v>0</v>
      </c>
      <c r="AN72" s="11" t="s">
        <v>0</v>
      </c>
      <c r="AO72" s="11" t="s">
        <v>0</v>
      </c>
      <c r="AP72" s="11" t="s">
        <v>0</v>
      </c>
      <c r="AQ72" s="11" t="s">
        <v>0</v>
      </c>
      <c r="AR72" s="11" t="s">
        <v>0</v>
      </c>
    </row>
    <row r="73" spans="1:44" ht="15">
      <c r="A73" s="10">
        <f t="shared" ref="A73:A114" si="8">A72+1</f>
        <v>45000063</v>
      </c>
      <c r="B73" s="24" t="s">
        <v>499</v>
      </c>
      <c r="C73" s="11" t="s">
        <v>287</v>
      </c>
      <c r="D73" s="4" t="s">
        <v>506</v>
      </c>
      <c r="E73" s="11">
        <v>700</v>
      </c>
      <c r="F73" s="11">
        <v>80</v>
      </c>
      <c r="G73" s="11">
        <f>IFERROR(INDEX(ShipPartShape!$A:$A,MATCH(D73,ShipPartShape!$B:$B,0)),"-")</f>
        <v>46000059</v>
      </c>
      <c r="H73" s="4" t="s">
        <v>71</v>
      </c>
      <c r="I73" s="11">
        <f>IFERROR(INDEX(ShipPartShape!$A:$A,MATCH(H73,ShipPartShape!$B:$B,0)),"-")</f>
        <v>46700001</v>
      </c>
      <c r="J73" s="4" t="s">
        <v>70</v>
      </c>
      <c r="K73" s="11">
        <f>IFERROR(INDEX(ShipPartShape!$A:$A,MATCH(J73,ShipPartShape!$B:$B,0)),"-")</f>
        <v>46300001</v>
      </c>
      <c r="L73" s="4" t="s">
        <v>519</v>
      </c>
      <c r="M73" s="11">
        <f>IFERROR(INDEX(ShipPartShape!$A:$A,MATCH(L73,ShipPartShape!$B:$B,0)),"-")</f>
        <v>46200003</v>
      </c>
      <c r="N73" s="4" t="s">
        <v>1168</v>
      </c>
      <c r="O73" s="11">
        <f>IFERROR(INDEX(ShipPartShape!$A:$A,MATCH(N73,ShipPartShape!$B:$B,0)),"-")</f>
        <v>46100006</v>
      </c>
      <c r="P73" s="4"/>
      <c r="Q73" s="11" t="str">
        <f>IFERROR(INDEX(ShipPartShape!$A:$A,MATCH(P73,ShipPartShape!$B:$B,0)),"-")</f>
        <v>-</v>
      </c>
      <c r="R73" s="4"/>
      <c r="S73" s="11" t="str">
        <f>IFERROR(INDEX(ShipPartShape!$A:$A,MATCH(R73,ShipPartShape!$B:$B,0)),"-")</f>
        <v>-</v>
      </c>
      <c r="T73" s="4"/>
      <c r="U73" s="11" t="str">
        <f>IFERROR(INDEX(ShipPartShape!$A:$A,MATCH(T73,ShipPartShape!$B:$B,0)),"-")</f>
        <v>-</v>
      </c>
      <c r="V73" s="4"/>
      <c r="W73" s="11" t="str">
        <f>IFERROR(INDEX(ShipPartShape!$A:$A,MATCH(V73,ShipPartShape!$B:$B,0)),"-")</f>
        <v>-</v>
      </c>
      <c r="X73" s="4"/>
      <c r="Y73" s="11" t="str">
        <f>IFERROR(INDEX(ShipPartShape!$A:$A,MATCH(X73,ShipPartShape!$B:$B,0)),"-")</f>
        <v>-</v>
      </c>
      <c r="Z73" s="4"/>
      <c r="AA73" s="11" t="str">
        <f>IFERROR(INDEX(ShipPartShape!$A:$A,MATCH(Z73,ShipPartShape!$B:$B,0)),"-")</f>
        <v>-</v>
      </c>
      <c r="AB73" s="4"/>
      <c r="AC73" s="11" t="str">
        <f>IFERROR(INDEX(ShipPartShape!$A:$A,MATCH(AB73,ShipPartShape!$B:$B,0)),"-")</f>
        <v>-</v>
      </c>
      <c r="AD73" s="4"/>
      <c r="AE73" s="11" t="str">
        <f>IFERROR(INDEX(ShipPartShape!$A:$A,MATCH(AD73,ShipPartShape!$B:$B,0)),"-")</f>
        <v>-</v>
      </c>
      <c r="AF73" s="4"/>
      <c r="AG73" s="11" t="str">
        <f>IFERROR(INDEX(ShipPartShape!$A:$A,MATCH(AF73,ShipPartShape!$B:$B,0)),"-")</f>
        <v>-</v>
      </c>
      <c r="AH73" s="11" t="s">
        <v>802</v>
      </c>
      <c r="AI73" s="11" t="s">
        <v>802</v>
      </c>
      <c r="AJ73" s="11" t="s">
        <v>802</v>
      </c>
      <c r="AK73" s="11" t="s">
        <v>0</v>
      </c>
      <c r="AL73" s="11" t="s">
        <v>0</v>
      </c>
      <c r="AM73" s="11" t="s">
        <v>0</v>
      </c>
      <c r="AN73" s="11" t="s">
        <v>0</v>
      </c>
      <c r="AO73" s="11" t="s">
        <v>0</v>
      </c>
      <c r="AP73" s="11" t="s">
        <v>0</v>
      </c>
      <c r="AQ73" s="11" t="s">
        <v>0</v>
      </c>
      <c r="AR73" s="11" t="s">
        <v>0</v>
      </c>
    </row>
    <row r="74" spans="1:44" ht="15">
      <c r="A74" s="10">
        <f t="shared" si="8"/>
        <v>45000064</v>
      </c>
      <c r="B74" s="24" t="s">
        <v>501</v>
      </c>
      <c r="C74" s="11" t="s">
        <v>321</v>
      </c>
      <c r="D74" s="4" t="s">
        <v>509</v>
      </c>
      <c r="E74" s="11">
        <v>700</v>
      </c>
      <c r="F74" s="11">
        <v>80</v>
      </c>
      <c r="G74" s="11">
        <f>IFERROR(INDEX(ShipPartShape!$A:$A,MATCH(D74,ShipPartShape!$B:$B,0)),"-")</f>
        <v>46000060</v>
      </c>
      <c r="H74" s="4" t="s">
        <v>71</v>
      </c>
      <c r="I74" s="11">
        <f>IFERROR(INDEX(ShipPartShape!$A:$A,MATCH(H74,ShipPartShape!$B:$B,0)),"-")</f>
        <v>46700001</v>
      </c>
      <c r="J74" s="4" t="s">
        <v>326</v>
      </c>
      <c r="K74" s="11">
        <f>IFERROR(INDEX(ShipPartShape!$A:$A,MATCH(J74,ShipPartShape!$B:$B,0)),"-")</f>
        <v>46500001</v>
      </c>
      <c r="L74" s="4" t="s">
        <v>517</v>
      </c>
      <c r="M74" s="11">
        <f>IFERROR(INDEX(ShipPartShape!$A:$A,MATCH(L74,ShipPartShape!$B:$B,0)),"-")</f>
        <v>46200007</v>
      </c>
      <c r="N74" s="4" t="s">
        <v>1168</v>
      </c>
      <c r="O74" s="11">
        <f>IFERROR(INDEX(ShipPartShape!$A:$A,MATCH(N74,ShipPartShape!$B:$B,0)),"-")</f>
        <v>46100006</v>
      </c>
      <c r="P74" s="4"/>
      <c r="Q74" s="11" t="str">
        <f>IFERROR(INDEX(ShipPartShape!$A:$A,MATCH(P74,ShipPartShape!$B:$B,0)),"-")</f>
        <v>-</v>
      </c>
      <c r="R74" s="4"/>
      <c r="S74" s="11" t="str">
        <f>IFERROR(INDEX(ShipPartShape!$A:$A,MATCH(R74,ShipPartShape!$B:$B,0)),"-")</f>
        <v>-</v>
      </c>
      <c r="T74" s="4"/>
      <c r="U74" s="11" t="str">
        <f>IFERROR(INDEX(ShipPartShape!$A:$A,MATCH(T74,ShipPartShape!$B:$B,0)),"-")</f>
        <v>-</v>
      </c>
      <c r="V74" s="4"/>
      <c r="W74" s="11" t="str">
        <f>IFERROR(INDEX(ShipPartShape!$A:$A,MATCH(V74,ShipPartShape!$B:$B,0)),"-")</f>
        <v>-</v>
      </c>
      <c r="X74" s="4"/>
      <c r="Y74" s="11" t="str">
        <f>IFERROR(INDEX(ShipPartShape!$A:$A,MATCH(X74,ShipPartShape!$B:$B,0)),"-")</f>
        <v>-</v>
      </c>
      <c r="Z74" s="4"/>
      <c r="AA74" s="11" t="str">
        <f>IFERROR(INDEX(ShipPartShape!$A:$A,MATCH(Z74,ShipPartShape!$B:$B,0)),"-")</f>
        <v>-</v>
      </c>
      <c r="AB74" s="4"/>
      <c r="AC74" s="11" t="str">
        <f>IFERROR(INDEX(ShipPartShape!$A:$A,MATCH(AB74,ShipPartShape!$B:$B,0)),"-")</f>
        <v>-</v>
      </c>
      <c r="AD74" s="4"/>
      <c r="AE74" s="11" t="str">
        <f>IFERROR(INDEX(ShipPartShape!$A:$A,MATCH(AD74,ShipPartShape!$B:$B,0)),"-")</f>
        <v>-</v>
      </c>
      <c r="AF74" s="4"/>
      <c r="AG74" s="11" t="str">
        <f>IFERROR(INDEX(ShipPartShape!$A:$A,MATCH(AF74,ShipPartShape!$B:$B,0)),"-")</f>
        <v>-</v>
      </c>
      <c r="AH74" s="11" t="s">
        <v>802</v>
      </c>
      <c r="AI74" s="11" t="s">
        <v>802</v>
      </c>
      <c r="AJ74" s="11" t="s">
        <v>802</v>
      </c>
      <c r="AK74" s="11" t="s">
        <v>0</v>
      </c>
      <c r="AL74" s="11" t="s">
        <v>0</v>
      </c>
      <c r="AM74" s="11" t="s">
        <v>0</v>
      </c>
      <c r="AN74" s="11" t="s">
        <v>0</v>
      </c>
      <c r="AO74" s="11" t="s">
        <v>0</v>
      </c>
      <c r="AP74" s="11" t="s">
        <v>0</v>
      </c>
      <c r="AQ74" s="11" t="s">
        <v>0</v>
      </c>
      <c r="AR74" s="11" t="s">
        <v>0</v>
      </c>
    </row>
    <row r="75" spans="1:44" ht="15">
      <c r="A75" s="10">
        <f t="shared" si="8"/>
        <v>45000065</v>
      </c>
      <c r="B75" s="24" t="s">
        <v>500</v>
      </c>
      <c r="C75" s="11" t="s">
        <v>321</v>
      </c>
      <c r="D75" s="4" t="s">
        <v>511</v>
      </c>
      <c r="E75" s="11">
        <v>700</v>
      </c>
      <c r="F75" s="11">
        <v>80</v>
      </c>
      <c r="G75" s="11">
        <f>IFERROR(INDEX(ShipPartShape!$A:$A,MATCH(D75,ShipPartShape!$B:$B,0)),"-")</f>
        <v>46000061</v>
      </c>
      <c r="H75" s="4" t="s">
        <v>71</v>
      </c>
      <c r="I75" s="11">
        <f>IFERROR(INDEX(ShipPartShape!$A:$A,MATCH(H75,ShipPartShape!$B:$B,0)),"-")</f>
        <v>46700001</v>
      </c>
      <c r="J75" s="4" t="s">
        <v>326</v>
      </c>
      <c r="K75" s="11">
        <f>IFERROR(INDEX(ShipPartShape!$A:$A,MATCH(J75,ShipPartShape!$B:$B,0)),"-")</f>
        <v>46500001</v>
      </c>
      <c r="L75" s="4" t="s">
        <v>517</v>
      </c>
      <c r="M75" s="11">
        <f>IFERROR(INDEX(ShipPartShape!$A:$A,MATCH(L75,ShipPartShape!$B:$B,0)),"-")</f>
        <v>46200007</v>
      </c>
      <c r="N75" s="4"/>
      <c r="O75" s="11" t="str">
        <f>IFERROR(INDEX(ShipPartShape!$A:$A,MATCH(N75,ShipPartShape!$B:$B,0)),"-")</f>
        <v>-</v>
      </c>
      <c r="P75" s="4"/>
      <c r="Q75" s="11" t="str">
        <f>IFERROR(INDEX(ShipPartShape!$A:$A,MATCH(P75,ShipPartShape!$B:$B,0)),"-")</f>
        <v>-</v>
      </c>
      <c r="R75" s="4"/>
      <c r="S75" s="11" t="str">
        <f>IFERROR(INDEX(ShipPartShape!$A:$A,MATCH(R75,ShipPartShape!$B:$B,0)),"-")</f>
        <v>-</v>
      </c>
      <c r="T75" s="4"/>
      <c r="U75" s="11" t="str">
        <f>IFERROR(INDEX(ShipPartShape!$A:$A,MATCH(T75,ShipPartShape!$B:$B,0)),"-")</f>
        <v>-</v>
      </c>
      <c r="V75" s="4"/>
      <c r="W75" s="11" t="str">
        <f>IFERROR(INDEX(ShipPartShape!$A:$A,MATCH(V75,ShipPartShape!$B:$B,0)),"-")</f>
        <v>-</v>
      </c>
      <c r="X75" s="4"/>
      <c r="Y75" s="11" t="str">
        <f>IFERROR(INDEX(ShipPartShape!$A:$A,MATCH(X75,ShipPartShape!$B:$B,0)),"-")</f>
        <v>-</v>
      </c>
      <c r="Z75" s="4"/>
      <c r="AA75" s="11" t="str">
        <f>IFERROR(INDEX(ShipPartShape!$A:$A,MATCH(Z75,ShipPartShape!$B:$B,0)),"-")</f>
        <v>-</v>
      </c>
      <c r="AB75" s="4"/>
      <c r="AC75" s="11" t="str">
        <f>IFERROR(INDEX(ShipPartShape!$A:$A,MATCH(AB75,ShipPartShape!$B:$B,0)),"-")</f>
        <v>-</v>
      </c>
      <c r="AD75" s="4"/>
      <c r="AE75" s="11" t="str">
        <f>IFERROR(INDEX(ShipPartShape!$A:$A,MATCH(AD75,ShipPartShape!$B:$B,0)),"-")</f>
        <v>-</v>
      </c>
      <c r="AF75" s="4"/>
      <c r="AG75" s="11" t="str">
        <f>IFERROR(INDEX(ShipPartShape!$A:$A,MATCH(AF75,ShipPartShape!$B:$B,0)),"-")</f>
        <v>-</v>
      </c>
      <c r="AH75" s="11" t="s">
        <v>802</v>
      </c>
      <c r="AI75" s="11" t="s">
        <v>802</v>
      </c>
      <c r="AJ75" s="11" t="s">
        <v>802</v>
      </c>
      <c r="AK75" s="11" t="s">
        <v>0</v>
      </c>
      <c r="AL75" s="11" t="s">
        <v>0</v>
      </c>
      <c r="AM75" s="11" t="s">
        <v>0</v>
      </c>
      <c r="AN75" s="11" t="s">
        <v>0</v>
      </c>
      <c r="AO75" s="11" t="s">
        <v>0</v>
      </c>
      <c r="AP75" s="11" t="s">
        <v>0</v>
      </c>
      <c r="AQ75" s="11" t="s">
        <v>0</v>
      </c>
      <c r="AR75" s="11" t="s">
        <v>0</v>
      </c>
    </row>
    <row r="76" spans="1:44" ht="15">
      <c r="A76" s="10">
        <f t="shared" si="8"/>
        <v>45000066</v>
      </c>
      <c r="B76" s="24" t="s">
        <v>502</v>
      </c>
      <c r="C76" s="11" t="s">
        <v>852</v>
      </c>
      <c r="D76" s="4" t="s">
        <v>514</v>
      </c>
      <c r="E76" s="11">
        <v>700</v>
      </c>
      <c r="F76" s="11">
        <v>80</v>
      </c>
      <c r="G76" s="11">
        <f>IFERROR(INDEX(ShipPartShape!$A:$A,MATCH(D76,ShipPartShape!$B:$B,0)),"-")</f>
        <v>46000062</v>
      </c>
      <c r="H76" s="4" t="s">
        <v>71</v>
      </c>
      <c r="I76" s="11">
        <f>IFERROR(INDEX(ShipPartShape!$A:$A,MATCH(H76,ShipPartShape!$B:$B,0)),"-")</f>
        <v>46700001</v>
      </c>
      <c r="J76" s="4" t="s">
        <v>516</v>
      </c>
      <c r="K76" s="11">
        <f>IFERROR(INDEX(ShipPartShape!$A:$A,MATCH(J76,ShipPartShape!$B:$B,0)),"-")</f>
        <v>46200010</v>
      </c>
      <c r="L76" s="4" t="s">
        <v>1164</v>
      </c>
      <c r="M76" s="11">
        <f>IFERROR(INDEX(ShipPartShape!$A:$A,MATCH(L76,ShipPartShape!$B:$B,0)),"-")</f>
        <v>46100004</v>
      </c>
      <c r="N76" s="4" t="s">
        <v>70</v>
      </c>
      <c r="O76" s="11">
        <f>IFERROR(INDEX(ShipPartShape!$A:$A,MATCH(N76,ShipPartShape!$B:$B,0)),"-")</f>
        <v>46300001</v>
      </c>
      <c r="P76" s="4"/>
      <c r="Q76" s="11" t="str">
        <f>IFERROR(INDEX(ShipPartShape!$A:$A,MATCH(P76,ShipPartShape!$B:$B,0)),"-")</f>
        <v>-</v>
      </c>
      <c r="R76" s="4"/>
      <c r="S76" s="11" t="str">
        <f>IFERROR(INDEX(ShipPartShape!$A:$A,MATCH(R76,ShipPartShape!$B:$B,0)),"-")</f>
        <v>-</v>
      </c>
      <c r="T76" s="4"/>
      <c r="U76" s="11" t="str">
        <f>IFERROR(INDEX(ShipPartShape!$A:$A,MATCH(T76,ShipPartShape!$B:$B,0)),"-")</f>
        <v>-</v>
      </c>
      <c r="V76" s="4"/>
      <c r="W76" s="11" t="str">
        <f>IFERROR(INDEX(ShipPartShape!$A:$A,MATCH(V76,ShipPartShape!$B:$B,0)),"-")</f>
        <v>-</v>
      </c>
      <c r="X76" s="4"/>
      <c r="Y76" s="11" t="str">
        <f>IFERROR(INDEX(ShipPartShape!$A:$A,MATCH(X76,ShipPartShape!$B:$B,0)),"-")</f>
        <v>-</v>
      </c>
      <c r="Z76" s="4"/>
      <c r="AA76" s="11" t="str">
        <f>IFERROR(INDEX(ShipPartShape!$A:$A,MATCH(Z76,ShipPartShape!$B:$B,0)),"-")</f>
        <v>-</v>
      </c>
      <c r="AB76" s="4"/>
      <c r="AC76" s="11" t="str">
        <f>IFERROR(INDEX(ShipPartShape!$A:$A,MATCH(AB76,ShipPartShape!$B:$B,0)),"-")</f>
        <v>-</v>
      </c>
      <c r="AD76" s="4"/>
      <c r="AE76" s="11" t="str">
        <f>IFERROR(INDEX(ShipPartShape!$A:$A,MATCH(AD76,ShipPartShape!$B:$B,0)),"-")</f>
        <v>-</v>
      </c>
      <c r="AF76" s="4"/>
      <c r="AG76" s="11" t="str">
        <f>IFERROR(INDEX(ShipPartShape!$A:$A,MATCH(AF76,ShipPartShape!$B:$B,0)),"-")</f>
        <v>-</v>
      </c>
      <c r="AH76" s="11" t="s">
        <v>802</v>
      </c>
      <c r="AI76" s="11" t="s">
        <v>802</v>
      </c>
      <c r="AJ76" s="11" t="s">
        <v>802</v>
      </c>
      <c r="AK76" s="11" t="s">
        <v>0</v>
      </c>
      <c r="AL76" s="11" t="s">
        <v>0</v>
      </c>
      <c r="AM76" s="11" t="s">
        <v>0</v>
      </c>
      <c r="AN76" s="11" t="s">
        <v>0</v>
      </c>
      <c r="AO76" s="11" t="s">
        <v>0</v>
      </c>
      <c r="AP76" s="11" t="s">
        <v>0</v>
      </c>
      <c r="AQ76" s="11" t="s">
        <v>0</v>
      </c>
      <c r="AR76" s="11" t="s">
        <v>0</v>
      </c>
    </row>
    <row r="77" spans="1:44" ht="15">
      <c r="A77" s="10">
        <f t="shared" si="8"/>
        <v>45000067</v>
      </c>
      <c r="B77" s="24" t="s">
        <v>776</v>
      </c>
      <c r="C77" s="11" t="s">
        <v>295</v>
      </c>
      <c r="D77" s="4" t="s">
        <v>296</v>
      </c>
      <c r="E77" s="11">
        <v>700</v>
      </c>
      <c r="F77" s="11">
        <v>80</v>
      </c>
      <c r="G77" s="11">
        <f>IFERROR(INDEX(ShipPartShape!$A:$A,MATCH(D77,ShipPartShape!$B:$B,0)),"-")</f>
        <v>46000044</v>
      </c>
      <c r="H77" s="4" t="s">
        <v>71</v>
      </c>
      <c r="I77" s="11">
        <f>IFERROR(INDEX(ShipPartShape!$A:$A,MATCH(H77,ShipPartShape!$B:$B,0)),"-")</f>
        <v>46700001</v>
      </c>
      <c r="J77" s="4" t="s">
        <v>1168</v>
      </c>
      <c r="K77" s="11">
        <f>IFERROR(INDEX(ShipPartShape!$A:$A,MATCH(J77,ShipPartShape!$B:$B,0)),"-")</f>
        <v>46100006</v>
      </c>
      <c r="L77" s="4" t="s">
        <v>519</v>
      </c>
      <c r="M77" s="11">
        <f>IFERROR(INDEX(ShipPartShape!$A:$A,MATCH(L77,ShipPartShape!$B:$B,0)),"-")</f>
        <v>46200003</v>
      </c>
      <c r="N77" s="4" t="s">
        <v>70</v>
      </c>
      <c r="O77" s="11">
        <f>IFERROR(INDEX(ShipPartShape!$A:$A,MATCH(N77,ShipPartShape!$B:$B,0)),"-")</f>
        <v>46300001</v>
      </c>
      <c r="P77" s="4" t="s">
        <v>741</v>
      </c>
      <c r="Q77" s="11">
        <f>IFERROR(INDEX(ShipPartShape!$A:$A,MATCH(P77,ShipPartShape!$B:$B,0)),"-")</f>
        <v>46400003</v>
      </c>
      <c r="R77" s="4"/>
      <c r="S77" s="11" t="str">
        <f>IFERROR(INDEX(ShipPartShape!$A:$A,MATCH(R77,ShipPartShape!$B:$B,0)),"-")</f>
        <v>-</v>
      </c>
      <c r="T77" s="4"/>
      <c r="U77" s="11" t="str">
        <f>IFERROR(INDEX(ShipPartShape!$A:$A,MATCH(T77,ShipPartShape!$B:$B,0)),"-")</f>
        <v>-</v>
      </c>
      <c r="V77" s="4"/>
      <c r="W77" s="11" t="str">
        <f>IFERROR(INDEX(ShipPartShape!$A:$A,MATCH(V77,ShipPartShape!$B:$B,0)),"-")</f>
        <v>-</v>
      </c>
      <c r="X77" s="4"/>
      <c r="Y77" s="11" t="str">
        <f>IFERROR(INDEX(ShipPartShape!$A:$A,MATCH(X77,ShipPartShape!$B:$B,0)),"-")</f>
        <v>-</v>
      </c>
      <c r="Z77" s="4"/>
      <c r="AA77" s="11" t="str">
        <f>IFERROR(INDEX(ShipPartShape!$A:$A,MATCH(Z77,ShipPartShape!$B:$B,0)),"-")</f>
        <v>-</v>
      </c>
      <c r="AB77" s="4"/>
      <c r="AC77" s="11" t="str">
        <f>IFERROR(INDEX(ShipPartShape!$A:$A,MATCH(AB77,ShipPartShape!$B:$B,0)),"-")</f>
        <v>-</v>
      </c>
      <c r="AD77" s="4"/>
      <c r="AE77" s="11" t="str">
        <f>IFERROR(INDEX(ShipPartShape!$A:$A,MATCH(AD77,ShipPartShape!$B:$B,0)),"-")</f>
        <v>-</v>
      </c>
      <c r="AF77" s="4"/>
      <c r="AG77" s="11" t="str">
        <f>IFERROR(INDEX(ShipPartShape!$A:$A,MATCH(AF77,ShipPartShape!$B:$B,0)),"-")</f>
        <v>-</v>
      </c>
      <c r="AH77" s="11" t="s">
        <v>802</v>
      </c>
      <c r="AI77" s="11" t="s">
        <v>802</v>
      </c>
      <c r="AJ77" s="11" t="s">
        <v>802</v>
      </c>
      <c r="AK77" s="11" t="s">
        <v>0</v>
      </c>
      <c r="AL77" s="11" t="s">
        <v>0</v>
      </c>
      <c r="AM77" s="11" t="s">
        <v>0</v>
      </c>
      <c r="AN77" s="11" t="s">
        <v>0</v>
      </c>
      <c r="AO77" s="11" t="s">
        <v>0</v>
      </c>
      <c r="AP77" s="11" t="s">
        <v>0</v>
      </c>
      <c r="AQ77" s="11" t="s">
        <v>0</v>
      </c>
      <c r="AR77" s="11" t="s">
        <v>0</v>
      </c>
    </row>
    <row r="78" spans="1:44" ht="15">
      <c r="A78" s="10">
        <f t="shared" si="8"/>
        <v>45000068</v>
      </c>
      <c r="B78" s="24" t="s">
        <v>777</v>
      </c>
      <c r="C78" s="11" t="s">
        <v>295</v>
      </c>
      <c r="D78" s="4" t="s">
        <v>822</v>
      </c>
      <c r="E78" s="11">
        <v>700</v>
      </c>
      <c r="F78" s="11">
        <v>80</v>
      </c>
      <c r="G78" s="11">
        <f>IFERROR(INDEX(ShipPartShape!$A:$A,MATCH(D78,ShipPartShape!$B:$B,0)),"-")</f>
        <v>46000063</v>
      </c>
      <c r="H78" s="4" t="s">
        <v>71</v>
      </c>
      <c r="I78" s="11">
        <f>IFERROR(INDEX(ShipPartShape!$A:$A,MATCH(H78,ShipPartShape!$B:$B,0)),"-")</f>
        <v>46700001</v>
      </c>
      <c r="J78" s="4" t="s">
        <v>1166</v>
      </c>
      <c r="K78" s="11">
        <f>IFERROR(INDEX(ShipPartShape!$A:$A,MATCH(J78,ShipPartShape!$B:$B,0)),"-")</f>
        <v>46100005</v>
      </c>
      <c r="L78" s="4" t="s">
        <v>792</v>
      </c>
      <c r="M78" s="11">
        <f>IFERROR(INDEX(ShipPartShape!$A:$A,MATCH(L78,ShipPartShape!$B:$B,0)),"-")</f>
        <v>46200004</v>
      </c>
      <c r="N78" s="4" t="s">
        <v>70</v>
      </c>
      <c r="O78" s="11">
        <f>IFERROR(INDEX(ShipPartShape!$A:$A,MATCH(N78,ShipPartShape!$B:$B,0)),"-")</f>
        <v>46300001</v>
      </c>
      <c r="P78" s="4" t="s">
        <v>742</v>
      </c>
      <c r="Q78" s="11">
        <f>IFERROR(INDEX(ShipPartShape!$A:$A,MATCH(P78,ShipPartShape!$B:$B,0)),"-")</f>
        <v>46400004</v>
      </c>
      <c r="R78" s="4"/>
      <c r="S78" s="11" t="str">
        <f>IFERROR(INDEX(ShipPartShape!$A:$A,MATCH(R78,ShipPartShape!$B:$B,0)),"-")</f>
        <v>-</v>
      </c>
      <c r="T78" s="4"/>
      <c r="U78" s="11" t="str">
        <f>IFERROR(INDEX(ShipPartShape!$A:$A,MATCH(T78,ShipPartShape!$B:$B,0)),"-")</f>
        <v>-</v>
      </c>
      <c r="V78" s="4"/>
      <c r="W78" s="11" t="str">
        <f>IFERROR(INDEX(ShipPartShape!$A:$A,MATCH(V78,ShipPartShape!$B:$B,0)),"-")</f>
        <v>-</v>
      </c>
      <c r="X78" s="4"/>
      <c r="Y78" s="11" t="str">
        <f>IFERROR(INDEX(ShipPartShape!$A:$A,MATCH(X78,ShipPartShape!$B:$B,0)),"-")</f>
        <v>-</v>
      </c>
      <c r="Z78" s="4"/>
      <c r="AA78" s="11" t="str">
        <f>IFERROR(INDEX(ShipPartShape!$A:$A,MATCH(Z78,ShipPartShape!$B:$B,0)),"-")</f>
        <v>-</v>
      </c>
      <c r="AB78" s="4"/>
      <c r="AC78" s="11" t="str">
        <f>IFERROR(INDEX(ShipPartShape!$A:$A,MATCH(AB78,ShipPartShape!$B:$B,0)),"-")</f>
        <v>-</v>
      </c>
      <c r="AD78" s="4"/>
      <c r="AE78" s="11" t="str">
        <f>IFERROR(INDEX(ShipPartShape!$A:$A,MATCH(AD78,ShipPartShape!$B:$B,0)),"-")</f>
        <v>-</v>
      </c>
      <c r="AF78" s="4"/>
      <c r="AG78" s="11" t="str">
        <f>IFERROR(INDEX(ShipPartShape!$A:$A,MATCH(AF78,ShipPartShape!$B:$B,0)),"-")</f>
        <v>-</v>
      </c>
      <c r="AH78" s="11" t="s">
        <v>802</v>
      </c>
      <c r="AI78" s="11" t="s">
        <v>802</v>
      </c>
      <c r="AJ78" s="11" t="s">
        <v>802</v>
      </c>
      <c r="AK78" s="11" t="s">
        <v>0</v>
      </c>
      <c r="AL78" s="11" t="s">
        <v>0</v>
      </c>
      <c r="AM78" s="11" t="s">
        <v>0</v>
      </c>
      <c r="AN78" s="11" t="s">
        <v>0</v>
      </c>
      <c r="AO78" s="11" t="s">
        <v>0</v>
      </c>
      <c r="AP78" s="11" t="s">
        <v>0</v>
      </c>
      <c r="AQ78" s="11" t="s">
        <v>0</v>
      </c>
      <c r="AR78" s="11" t="s">
        <v>0</v>
      </c>
    </row>
    <row r="79" spans="1:44" ht="15">
      <c r="A79" s="10">
        <f t="shared" si="8"/>
        <v>45000069</v>
      </c>
      <c r="B79" s="24" t="s">
        <v>778</v>
      </c>
      <c r="C79" s="11" t="s">
        <v>300</v>
      </c>
      <c r="D79" s="4" t="s">
        <v>302</v>
      </c>
      <c r="E79" s="11">
        <v>700</v>
      </c>
      <c r="F79" s="11">
        <v>80</v>
      </c>
      <c r="G79" s="11">
        <f>IFERROR(INDEX(ShipPartShape!$A:$A,MATCH(D79,ShipPartShape!$B:$B,0)),"-")</f>
        <v>46000045</v>
      </c>
      <c r="H79" s="4" t="s">
        <v>71</v>
      </c>
      <c r="I79" s="11">
        <f>IFERROR(INDEX(ShipPartShape!$A:$A,MATCH(H79,ShipPartShape!$B:$B,0)),"-")</f>
        <v>46700001</v>
      </c>
      <c r="J79" s="4" t="s">
        <v>1168</v>
      </c>
      <c r="K79" s="11">
        <f>IFERROR(INDEX(ShipPartShape!$A:$A,MATCH(J79,ShipPartShape!$B:$B,0)),"-")</f>
        <v>46100006</v>
      </c>
      <c r="L79" s="4" t="s">
        <v>518</v>
      </c>
      <c r="M79" s="11">
        <f>IFERROR(INDEX(ShipPartShape!$A:$A,MATCH(L79,ShipPartShape!$B:$B,0)),"-")</f>
        <v>46200005</v>
      </c>
      <c r="N79" s="4" t="s">
        <v>70</v>
      </c>
      <c r="O79" s="11">
        <f>IFERROR(INDEX(ShipPartShape!$A:$A,MATCH(N79,ShipPartShape!$B:$B,0)),"-")</f>
        <v>46300001</v>
      </c>
      <c r="P79" s="4" t="s">
        <v>743</v>
      </c>
      <c r="Q79" s="11">
        <f>IFERROR(INDEX(ShipPartShape!$A:$A,MATCH(P79,ShipPartShape!$B:$B,0)),"-")</f>
        <v>46400005</v>
      </c>
      <c r="R79" s="4"/>
      <c r="S79" s="11" t="str">
        <f>IFERROR(INDEX(ShipPartShape!$A:$A,MATCH(R79,ShipPartShape!$B:$B,0)),"-")</f>
        <v>-</v>
      </c>
      <c r="T79" s="4"/>
      <c r="U79" s="11" t="str">
        <f>IFERROR(INDEX(ShipPartShape!$A:$A,MATCH(T79,ShipPartShape!$B:$B,0)),"-")</f>
        <v>-</v>
      </c>
      <c r="V79" s="4"/>
      <c r="W79" s="11" t="str">
        <f>IFERROR(INDEX(ShipPartShape!$A:$A,MATCH(V79,ShipPartShape!$B:$B,0)),"-")</f>
        <v>-</v>
      </c>
      <c r="X79" s="4"/>
      <c r="Y79" s="11" t="str">
        <f>IFERROR(INDEX(ShipPartShape!$A:$A,MATCH(X79,ShipPartShape!$B:$B,0)),"-")</f>
        <v>-</v>
      </c>
      <c r="Z79" s="4"/>
      <c r="AA79" s="11" t="str">
        <f>IFERROR(INDEX(ShipPartShape!$A:$A,MATCH(Z79,ShipPartShape!$B:$B,0)),"-")</f>
        <v>-</v>
      </c>
      <c r="AB79" s="4"/>
      <c r="AC79" s="11" t="str">
        <f>IFERROR(INDEX(ShipPartShape!$A:$A,MATCH(AB79,ShipPartShape!$B:$B,0)),"-")</f>
        <v>-</v>
      </c>
      <c r="AD79" s="4"/>
      <c r="AE79" s="11" t="str">
        <f>IFERROR(INDEX(ShipPartShape!$A:$A,MATCH(AD79,ShipPartShape!$B:$B,0)),"-")</f>
        <v>-</v>
      </c>
      <c r="AF79" s="4"/>
      <c r="AG79" s="11" t="str">
        <f>IFERROR(INDEX(ShipPartShape!$A:$A,MATCH(AF79,ShipPartShape!$B:$B,0)),"-")</f>
        <v>-</v>
      </c>
      <c r="AH79" s="11" t="s">
        <v>802</v>
      </c>
      <c r="AI79" s="11" t="s">
        <v>802</v>
      </c>
      <c r="AJ79" s="11" t="s">
        <v>802</v>
      </c>
      <c r="AK79" s="11" t="s">
        <v>0</v>
      </c>
      <c r="AL79" s="11" t="s">
        <v>0</v>
      </c>
      <c r="AM79" s="11" t="s">
        <v>0</v>
      </c>
      <c r="AN79" s="11" t="s">
        <v>0</v>
      </c>
      <c r="AO79" s="11" t="s">
        <v>0</v>
      </c>
      <c r="AP79" s="11" t="s">
        <v>0</v>
      </c>
      <c r="AQ79" s="11" t="s">
        <v>0</v>
      </c>
      <c r="AR79" s="11" t="s">
        <v>0</v>
      </c>
    </row>
    <row r="80" spans="1:44" ht="15">
      <c r="A80" s="10">
        <f t="shared" si="8"/>
        <v>45000070</v>
      </c>
      <c r="B80" s="24" t="s">
        <v>779</v>
      </c>
      <c r="C80" s="11" t="s">
        <v>300</v>
      </c>
      <c r="D80" s="4" t="s">
        <v>823</v>
      </c>
      <c r="E80" s="11">
        <v>700</v>
      </c>
      <c r="F80" s="11">
        <v>80</v>
      </c>
      <c r="G80" s="11">
        <f>IFERROR(INDEX(ShipPartShape!$A:$A,MATCH(D80,ShipPartShape!$B:$B,0)),"-")</f>
        <v>46000064</v>
      </c>
      <c r="H80" s="4" t="s">
        <v>71</v>
      </c>
      <c r="I80" s="11">
        <f>IFERROR(INDEX(ShipPartShape!$A:$A,MATCH(H80,ShipPartShape!$B:$B,0)),"-")</f>
        <v>46700001</v>
      </c>
      <c r="J80" s="4" t="s">
        <v>1166</v>
      </c>
      <c r="K80" s="11">
        <f>IFERROR(INDEX(ShipPartShape!$A:$A,MATCH(J80,ShipPartShape!$B:$B,0)),"-")</f>
        <v>46100005</v>
      </c>
      <c r="L80" s="4" t="s">
        <v>793</v>
      </c>
      <c r="M80" s="11">
        <f>IFERROR(INDEX(ShipPartShape!$A:$A,MATCH(L80,ShipPartShape!$B:$B,0)),"-")</f>
        <v>46200006</v>
      </c>
      <c r="N80" s="4" t="s">
        <v>70</v>
      </c>
      <c r="O80" s="11">
        <f>IFERROR(INDEX(ShipPartShape!$A:$A,MATCH(N80,ShipPartShape!$B:$B,0)),"-")</f>
        <v>46300001</v>
      </c>
      <c r="P80" s="4" t="s">
        <v>744</v>
      </c>
      <c r="Q80" s="11">
        <f>IFERROR(INDEX(ShipPartShape!$A:$A,MATCH(P80,ShipPartShape!$B:$B,0)),"-")</f>
        <v>46400006</v>
      </c>
      <c r="R80" s="4"/>
      <c r="S80" s="11" t="str">
        <f>IFERROR(INDEX(ShipPartShape!$A:$A,MATCH(R80,ShipPartShape!$B:$B,0)),"-")</f>
        <v>-</v>
      </c>
      <c r="T80" s="4"/>
      <c r="U80" s="11" t="str">
        <f>IFERROR(INDEX(ShipPartShape!$A:$A,MATCH(T80,ShipPartShape!$B:$B,0)),"-")</f>
        <v>-</v>
      </c>
      <c r="V80" s="4"/>
      <c r="W80" s="11" t="str">
        <f>IFERROR(INDEX(ShipPartShape!$A:$A,MATCH(V80,ShipPartShape!$B:$B,0)),"-")</f>
        <v>-</v>
      </c>
      <c r="X80" s="4"/>
      <c r="Y80" s="11" t="str">
        <f>IFERROR(INDEX(ShipPartShape!$A:$A,MATCH(X80,ShipPartShape!$B:$B,0)),"-")</f>
        <v>-</v>
      </c>
      <c r="Z80" s="4"/>
      <c r="AA80" s="11" t="str">
        <f>IFERROR(INDEX(ShipPartShape!$A:$A,MATCH(Z80,ShipPartShape!$B:$B,0)),"-")</f>
        <v>-</v>
      </c>
      <c r="AB80" s="4"/>
      <c r="AC80" s="11" t="str">
        <f>IFERROR(INDEX(ShipPartShape!$A:$A,MATCH(AB80,ShipPartShape!$B:$B,0)),"-")</f>
        <v>-</v>
      </c>
      <c r="AD80" s="4"/>
      <c r="AE80" s="11" t="str">
        <f>IFERROR(INDEX(ShipPartShape!$A:$A,MATCH(AD80,ShipPartShape!$B:$B,0)),"-")</f>
        <v>-</v>
      </c>
      <c r="AF80" s="4"/>
      <c r="AG80" s="11" t="str">
        <f>IFERROR(INDEX(ShipPartShape!$A:$A,MATCH(AF80,ShipPartShape!$B:$B,0)),"-")</f>
        <v>-</v>
      </c>
      <c r="AH80" s="11" t="s">
        <v>802</v>
      </c>
      <c r="AI80" s="11" t="s">
        <v>802</v>
      </c>
      <c r="AJ80" s="11" t="s">
        <v>802</v>
      </c>
      <c r="AK80" s="11" t="s">
        <v>0</v>
      </c>
      <c r="AL80" s="11" t="s">
        <v>0</v>
      </c>
      <c r="AM80" s="11" t="s">
        <v>0</v>
      </c>
      <c r="AN80" s="11" t="s">
        <v>0</v>
      </c>
      <c r="AO80" s="11" t="s">
        <v>0</v>
      </c>
      <c r="AP80" s="11" t="s">
        <v>0</v>
      </c>
      <c r="AQ80" s="11" t="s">
        <v>0</v>
      </c>
      <c r="AR80" s="11" t="s">
        <v>0</v>
      </c>
    </row>
    <row r="81" spans="1:44" ht="15">
      <c r="A81" s="10">
        <f t="shared" si="8"/>
        <v>45000071</v>
      </c>
      <c r="B81" s="24" t="s">
        <v>780</v>
      </c>
      <c r="C81" s="11" t="s">
        <v>245</v>
      </c>
      <c r="D81" s="4" t="s">
        <v>213</v>
      </c>
      <c r="E81" s="11">
        <v>700</v>
      </c>
      <c r="F81" s="11">
        <v>80</v>
      </c>
      <c r="G81" s="11">
        <f>IFERROR(INDEX(ShipPartShape!$A:$A,MATCH(D81,ShipPartShape!$B:$B,0)),"-")</f>
        <v>46000008</v>
      </c>
      <c r="H81" s="4" t="s">
        <v>71</v>
      </c>
      <c r="I81" s="11">
        <f>IFERROR(INDEX(ShipPartShape!$A:$A,MATCH(H81,ShipPartShape!$B:$B,0)),"-")</f>
        <v>46700001</v>
      </c>
      <c r="J81" s="4" t="s">
        <v>1168</v>
      </c>
      <c r="K81" s="11">
        <f>IFERROR(INDEX(ShipPartShape!$A:$A,MATCH(J81,ShipPartShape!$B:$B,0)),"-")</f>
        <v>46100006</v>
      </c>
      <c r="L81" s="4" t="s">
        <v>517</v>
      </c>
      <c r="M81" s="11">
        <f>IFERROR(INDEX(ShipPartShape!$A:$A,MATCH(L81,ShipPartShape!$B:$B,0)),"-")</f>
        <v>46200007</v>
      </c>
      <c r="N81" s="4" t="s">
        <v>70</v>
      </c>
      <c r="O81" s="11">
        <f>IFERROR(INDEX(ShipPartShape!$A:$A,MATCH(N81,ShipPartShape!$B:$B,0)),"-")</f>
        <v>46300001</v>
      </c>
      <c r="P81" s="4" t="s">
        <v>741</v>
      </c>
      <c r="Q81" s="11">
        <f>IFERROR(INDEX(ShipPartShape!$A:$A,MATCH(P81,ShipPartShape!$B:$B,0)),"-")</f>
        <v>46400003</v>
      </c>
      <c r="R81" s="4"/>
      <c r="S81" s="11" t="str">
        <f>IFERROR(INDEX(ShipPartShape!$A:$A,MATCH(R81,ShipPartShape!$B:$B,0)),"-")</f>
        <v>-</v>
      </c>
      <c r="T81" s="4"/>
      <c r="U81" s="11" t="str">
        <f>IFERROR(INDEX(ShipPartShape!$A:$A,MATCH(T81,ShipPartShape!$B:$B,0)),"-")</f>
        <v>-</v>
      </c>
      <c r="V81" s="4"/>
      <c r="W81" s="11" t="str">
        <f>IFERROR(INDEX(ShipPartShape!$A:$A,MATCH(V81,ShipPartShape!$B:$B,0)),"-")</f>
        <v>-</v>
      </c>
      <c r="X81" s="4"/>
      <c r="Y81" s="11" t="str">
        <f>IFERROR(INDEX(ShipPartShape!$A:$A,MATCH(X81,ShipPartShape!$B:$B,0)),"-")</f>
        <v>-</v>
      </c>
      <c r="Z81" s="4"/>
      <c r="AA81" s="11" t="str">
        <f>IFERROR(INDEX(ShipPartShape!$A:$A,MATCH(Z81,ShipPartShape!$B:$B,0)),"-")</f>
        <v>-</v>
      </c>
      <c r="AB81" s="4"/>
      <c r="AC81" s="11" t="str">
        <f>IFERROR(INDEX(ShipPartShape!$A:$A,MATCH(AB81,ShipPartShape!$B:$B,0)),"-")</f>
        <v>-</v>
      </c>
      <c r="AD81" s="4"/>
      <c r="AE81" s="11" t="str">
        <f>IFERROR(INDEX(ShipPartShape!$A:$A,MATCH(AD81,ShipPartShape!$B:$B,0)),"-")</f>
        <v>-</v>
      </c>
      <c r="AF81" s="4"/>
      <c r="AG81" s="11" t="str">
        <f>IFERROR(INDEX(ShipPartShape!$A:$A,MATCH(AF81,ShipPartShape!$B:$B,0)),"-")</f>
        <v>-</v>
      </c>
      <c r="AH81" s="11" t="s">
        <v>802</v>
      </c>
      <c r="AI81" s="11" t="s">
        <v>802</v>
      </c>
      <c r="AJ81" s="11" t="s">
        <v>802</v>
      </c>
      <c r="AK81" s="11" t="s">
        <v>0</v>
      </c>
      <c r="AL81" s="11" t="s">
        <v>0</v>
      </c>
      <c r="AM81" s="11" t="s">
        <v>0</v>
      </c>
      <c r="AN81" s="11" t="s">
        <v>0</v>
      </c>
      <c r="AO81" s="11" t="s">
        <v>0</v>
      </c>
      <c r="AP81" s="11" t="s">
        <v>0</v>
      </c>
      <c r="AQ81" s="11" t="s">
        <v>0</v>
      </c>
      <c r="AR81" s="11" t="s">
        <v>0</v>
      </c>
    </row>
    <row r="82" spans="1:44" ht="15">
      <c r="A82" s="10">
        <f t="shared" si="8"/>
        <v>45000072</v>
      </c>
      <c r="B82" s="24" t="s">
        <v>781</v>
      </c>
      <c r="C82" s="11" t="s">
        <v>245</v>
      </c>
      <c r="D82" s="4" t="s">
        <v>832</v>
      </c>
      <c r="E82" s="11">
        <v>700</v>
      </c>
      <c r="F82" s="11">
        <v>80</v>
      </c>
      <c r="G82" s="11">
        <f>IFERROR(INDEX(ShipPartShape!$A:$A,MATCH(D82,ShipPartShape!$B:$B,0)),"-")</f>
        <v>46000065</v>
      </c>
      <c r="H82" s="4" t="s">
        <v>71</v>
      </c>
      <c r="I82" s="11">
        <f>IFERROR(INDEX(ShipPartShape!$A:$A,MATCH(H82,ShipPartShape!$B:$B,0)),"-")</f>
        <v>46700001</v>
      </c>
      <c r="J82" s="4" t="s">
        <v>1166</v>
      </c>
      <c r="K82" s="11">
        <f>IFERROR(INDEX(ShipPartShape!$A:$A,MATCH(J82,ShipPartShape!$B:$B,0)),"-")</f>
        <v>46100005</v>
      </c>
      <c r="L82" s="4" t="s">
        <v>794</v>
      </c>
      <c r="M82" s="11">
        <f>IFERROR(INDEX(ShipPartShape!$A:$A,MATCH(L82,ShipPartShape!$B:$B,0)),"-")</f>
        <v>46200008</v>
      </c>
      <c r="N82" s="4" t="s">
        <v>70</v>
      </c>
      <c r="O82" s="11">
        <f>IFERROR(INDEX(ShipPartShape!$A:$A,MATCH(N82,ShipPartShape!$B:$B,0)),"-")</f>
        <v>46300001</v>
      </c>
      <c r="P82" s="4" t="s">
        <v>742</v>
      </c>
      <c r="Q82" s="11">
        <f>IFERROR(INDEX(ShipPartShape!$A:$A,MATCH(P82,ShipPartShape!$B:$B,0)),"-")</f>
        <v>46400004</v>
      </c>
      <c r="R82" s="4"/>
      <c r="S82" s="11" t="str">
        <f>IFERROR(INDEX(ShipPartShape!$A:$A,MATCH(R82,ShipPartShape!$B:$B,0)),"-")</f>
        <v>-</v>
      </c>
      <c r="T82" s="4"/>
      <c r="U82" s="11" t="str">
        <f>IFERROR(INDEX(ShipPartShape!$A:$A,MATCH(T82,ShipPartShape!$B:$B,0)),"-")</f>
        <v>-</v>
      </c>
      <c r="V82" s="4"/>
      <c r="W82" s="11" t="str">
        <f>IFERROR(INDEX(ShipPartShape!$A:$A,MATCH(V82,ShipPartShape!$B:$B,0)),"-")</f>
        <v>-</v>
      </c>
      <c r="X82" s="4"/>
      <c r="Y82" s="11" t="str">
        <f>IFERROR(INDEX(ShipPartShape!$A:$A,MATCH(X82,ShipPartShape!$B:$B,0)),"-")</f>
        <v>-</v>
      </c>
      <c r="Z82" s="4"/>
      <c r="AA82" s="11" t="str">
        <f>IFERROR(INDEX(ShipPartShape!$A:$A,MATCH(Z82,ShipPartShape!$B:$B,0)),"-")</f>
        <v>-</v>
      </c>
      <c r="AB82" s="4"/>
      <c r="AC82" s="11" t="str">
        <f>IFERROR(INDEX(ShipPartShape!$A:$A,MATCH(AB82,ShipPartShape!$B:$B,0)),"-")</f>
        <v>-</v>
      </c>
      <c r="AD82" s="4"/>
      <c r="AE82" s="11" t="str">
        <f>IFERROR(INDEX(ShipPartShape!$A:$A,MATCH(AD82,ShipPartShape!$B:$B,0)),"-")</f>
        <v>-</v>
      </c>
      <c r="AF82" s="4"/>
      <c r="AG82" s="11" t="str">
        <f>IFERROR(INDEX(ShipPartShape!$A:$A,MATCH(AF82,ShipPartShape!$B:$B,0)),"-")</f>
        <v>-</v>
      </c>
      <c r="AH82" s="11" t="s">
        <v>802</v>
      </c>
      <c r="AI82" s="11" t="s">
        <v>802</v>
      </c>
      <c r="AJ82" s="11" t="s">
        <v>802</v>
      </c>
      <c r="AK82" s="11" t="s">
        <v>0</v>
      </c>
      <c r="AL82" s="11" t="s">
        <v>0</v>
      </c>
      <c r="AM82" s="11" t="s">
        <v>0</v>
      </c>
      <c r="AN82" s="11" t="s">
        <v>0</v>
      </c>
      <c r="AO82" s="11" t="s">
        <v>0</v>
      </c>
      <c r="AP82" s="11" t="s">
        <v>0</v>
      </c>
      <c r="AQ82" s="11" t="s">
        <v>0</v>
      </c>
      <c r="AR82" s="11" t="s">
        <v>0</v>
      </c>
    </row>
    <row r="83" spans="1:44" ht="15">
      <c r="A83" s="10">
        <f t="shared" si="8"/>
        <v>45000073</v>
      </c>
      <c r="B83" s="24" t="s">
        <v>782</v>
      </c>
      <c r="C83" s="11" t="s">
        <v>244</v>
      </c>
      <c r="D83" s="4" t="s">
        <v>225</v>
      </c>
      <c r="E83" s="11">
        <v>700</v>
      </c>
      <c r="F83" s="11">
        <v>80</v>
      </c>
      <c r="G83" s="11">
        <f>IFERROR(INDEX(ShipPartShape!$A:$A,MATCH(D83,ShipPartShape!$B:$B,0)),"-")</f>
        <v>46000014</v>
      </c>
      <c r="H83" s="4" t="s">
        <v>71</v>
      </c>
      <c r="I83" s="11">
        <f>IFERROR(INDEX(ShipPartShape!$A:$A,MATCH(H83,ShipPartShape!$B:$B,0)),"-")</f>
        <v>46700001</v>
      </c>
      <c r="J83" s="4" t="s">
        <v>1168</v>
      </c>
      <c r="K83" s="11">
        <f>IFERROR(INDEX(ShipPartShape!$A:$A,MATCH(J83,ShipPartShape!$B:$B,0)),"-")</f>
        <v>46100006</v>
      </c>
      <c r="L83" s="4" t="s">
        <v>795</v>
      </c>
      <c r="M83" s="11">
        <f>IFERROR(INDEX(ShipPartShape!$A:$A,MATCH(L83,ShipPartShape!$B:$B,0)),"-")</f>
        <v>46200009</v>
      </c>
      <c r="N83" s="4" t="s">
        <v>70</v>
      </c>
      <c r="O83" s="11">
        <f>IFERROR(INDEX(ShipPartShape!$A:$A,MATCH(N83,ShipPartShape!$B:$B,0)),"-")</f>
        <v>46300001</v>
      </c>
      <c r="P83" s="4" t="s">
        <v>743</v>
      </c>
      <c r="Q83" s="11">
        <f>IFERROR(INDEX(ShipPartShape!$A:$A,MATCH(P83,ShipPartShape!$B:$B,0)),"-")</f>
        <v>46400005</v>
      </c>
      <c r="R83" s="4"/>
      <c r="S83" s="11" t="str">
        <f>IFERROR(INDEX(ShipPartShape!$A:$A,MATCH(R83,ShipPartShape!$B:$B,0)),"-")</f>
        <v>-</v>
      </c>
      <c r="T83" s="4"/>
      <c r="U83" s="11" t="str">
        <f>IFERROR(INDEX(ShipPartShape!$A:$A,MATCH(T83,ShipPartShape!$B:$B,0)),"-")</f>
        <v>-</v>
      </c>
      <c r="V83" s="4"/>
      <c r="W83" s="11" t="str">
        <f>IFERROR(INDEX(ShipPartShape!$A:$A,MATCH(V83,ShipPartShape!$B:$B,0)),"-")</f>
        <v>-</v>
      </c>
      <c r="X83" s="4"/>
      <c r="Y83" s="11" t="str">
        <f>IFERROR(INDEX(ShipPartShape!$A:$A,MATCH(X83,ShipPartShape!$B:$B,0)),"-")</f>
        <v>-</v>
      </c>
      <c r="Z83" s="4"/>
      <c r="AA83" s="11" t="str">
        <f>IFERROR(INDEX(ShipPartShape!$A:$A,MATCH(Z83,ShipPartShape!$B:$B,0)),"-")</f>
        <v>-</v>
      </c>
      <c r="AB83" s="4"/>
      <c r="AC83" s="11" t="str">
        <f>IFERROR(INDEX(ShipPartShape!$A:$A,MATCH(AB83,ShipPartShape!$B:$B,0)),"-")</f>
        <v>-</v>
      </c>
      <c r="AD83" s="4"/>
      <c r="AE83" s="11" t="str">
        <f>IFERROR(INDEX(ShipPartShape!$A:$A,MATCH(AD83,ShipPartShape!$B:$B,0)),"-")</f>
        <v>-</v>
      </c>
      <c r="AF83" s="4"/>
      <c r="AG83" s="11" t="str">
        <f>IFERROR(INDEX(ShipPartShape!$A:$A,MATCH(AF83,ShipPartShape!$B:$B,0)),"-")</f>
        <v>-</v>
      </c>
      <c r="AH83" s="11" t="s">
        <v>802</v>
      </c>
      <c r="AI83" s="11" t="s">
        <v>802</v>
      </c>
      <c r="AJ83" s="11" t="s">
        <v>802</v>
      </c>
      <c r="AK83" s="11" t="s">
        <v>0</v>
      </c>
      <c r="AL83" s="11" t="s">
        <v>0</v>
      </c>
      <c r="AM83" s="11" t="s">
        <v>0</v>
      </c>
      <c r="AN83" s="11" t="s">
        <v>0</v>
      </c>
      <c r="AO83" s="11" t="s">
        <v>0</v>
      </c>
      <c r="AP83" s="11" t="s">
        <v>0</v>
      </c>
      <c r="AQ83" s="11" t="s">
        <v>0</v>
      </c>
      <c r="AR83" s="11" t="s">
        <v>0</v>
      </c>
    </row>
    <row r="84" spans="1:44" ht="15">
      <c r="A84" s="10">
        <f t="shared" si="8"/>
        <v>45000074</v>
      </c>
      <c r="B84" s="24" t="s">
        <v>783</v>
      </c>
      <c r="C84" s="11" t="s">
        <v>244</v>
      </c>
      <c r="D84" s="4" t="s">
        <v>833</v>
      </c>
      <c r="E84" s="11">
        <v>700</v>
      </c>
      <c r="F84" s="11">
        <v>80</v>
      </c>
      <c r="G84" s="11">
        <f>IFERROR(INDEX(ShipPartShape!$A:$A,MATCH(D84,ShipPartShape!$B:$B,0)),"-")</f>
        <v>46000066</v>
      </c>
      <c r="H84" s="4" t="s">
        <v>71</v>
      </c>
      <c r="I84" s="11">
        <f>IFERROR(INDEX(ShipPartShape!$A:$A,MATCH(H84,ShipPartShape!$B:$B,0)),"-")</f>
        <v>46700001</v>
      </c>
      <c r="J84" s="4" t="s">
        <v>1166</v>
      </c>
      <c r="K84" s="11">
        <f>IFERROR(INDEX(ShipPartShape!$A:$A,MATCH(J84,ShipPartShape!$B:$B,0)),"-")</f>
        <v>46100005</v>
      </c>
      <c r="L84" s="4" t="s">
        <v>516</v>
      </c>
      <c r="M84" s="11">
        <f>IFERROR(INDEX(ShipPartShape!$A:$A,MATCH(L84,ShipPartShape!$B:$B,0)),"-")</f>
        <v>46200010</v>
      </c>
      <c r="N84" s="4" t="s">
        <v>70</v>
      </c>
      <c r="O84" s="11">
        <f>IFERROR(INDEX(ShipPartShape!$A:$A,MATCH(N84,ShipPartShape!$B:$B,0)),"-")</f>
        <v>46300001</v>
      </c>
      <c r="P84" s="4" t="s">
        <v>744</v>
      </c>
      <c r="Q84" s="11">
        <f>IFERROR(INDEX(ShipPartShape!$A:$A,MATCH(P84,ShipPartShape!$B:$B,0)),"-")</f>
        <v>46400006</v>
      </c>
      <c r="R84" s="4"/>
      <c r="S84" s="11" t="str">
        <f>IFERROR(INDEX(ShipPartShape!$A:$A,MATCH(R84,ShipPartShape!$B:$B,0)),"-")</f>
        <v>-</v>
      </c>
      <c r="T84" s="4"/>
      <c r="U84" s="11" t="str">
        <f>IFERROR(INDEX(ShipPartShape!$A:$A,MATCH(T84,ShipPartShape!$B:$B,0)),"-")</f>
        <v>-</v>
      </c>
      <c r="V84" s="4"/>
      <c r="W84" s="11" t="str">
        <f>IFERROR(INDEX(ShipPartShape!$A:$A,MATCH(V84,ShipPartShape!$B:$B,0)),"-")</f>
        <v>-</v>
      </c>
      <c r="X84" s="4"/>
      <c r="Y84" s="11" t="str">
        <f>IFERROR(INDEX(ShipPartShape!$A:$A,MATCH(X84,ShipPartShape!$B:$B,0)),"-")</f>
        <v>-</v>
      </c>
      <c r="Z84" s="4"/>
      <c r="AA84" s="11" t="str">
        <f>IFERROR(INDEX(ShipPartShape!$A:$A,MATCH(Z84,ShipPartShape!$B:$B,0)),"-")</f>
        <v>-</v>
      </c>
      <c r="AB84" s="4"/>
      <c r="AC84" s="11" t="str">
        <f>IFERROR(INDEX(ShipPartShape!$A:$A,MATCH(AB84,ShipPartShape!$B:$B,0)),"-")</f>
        <v>-</v>
      </c>
      <c r="AD84" s="4"/>
      <c r="AE84" s="11" t="str">
        <f>IFERROR(INDEX(ShipPartShape!$A:$A,MATCH(AD84,ShipPartShape!$B:$B,0)),"-")</f>
        <v>-</v>
      </c>
      <c r="AF84" s="4"/>
      <c r="AG84" s="11" t="str">
        <f>IFERROR(INDEX(ShipPartShape!$A:$A,MATCH(AF84,ShipPartShape!$B:$B,0)),"-")</f>
        <v>-</v>
      </c>
      <c r="AH84" s="11" t="s">
        <v>802</v>
      </c>
      <c r="AI84" s="11" t="s">
        <v>802</v>
      </c>
      <c r="AJ84" s="11" t="s">
        <v>802</v>
      </c>
      <c r="AK84" s="11" t="s">
        <v>0</v>
      </c>
      <c r="AL84" s="11" t="s">
        <v>0</v>
      </c>
      <c r="AM84" s="11" t="s">
        <v>0</v>
      </c>
      <c r="AN84" s="11" t="s">
        <v>0</v>
      </c>
      <c r="AO84" s="11" t="s">
        <v>0</v>
      </c>
      <c r="AP84" s="11" t="s">
        <v>0</v>
      </c>
      <c r="AQ84" s="11" t="s">
        <v>0</v>
      </c>
      <c r="AR84" s="11" t="s">
        <v>0</v>
      </c>
    </row>
    <row r="85" spans="1:44" ht="15">
      <c r="A85" s="10">
        <f t="shared" si="8"/>
        <v>45000075</v>
      </c>
      <c r="B85" s="24" t="s">
        <v>784</v>
      </c>
      <c r="C85" s="11" t="s">
        <v>293</v>
      </c>
      <c r="D85" s="4" t="s">
        <v>192</v>
      </c>
      <c r="E85" s="11">
        <v>700</v>
      </c>
      <c r="F85" s="11">
        <v>80</v>
      </c>
      <c r="G85" s="11">
        <f>IFERROR(INDEX(ShipPartShape!$A:$A,MATCH(D85,ShipPartShape!$B:$B,0)),"-")</f>
        <v>46000038</v>
      </c>
      <c r="H85" s="4" t="s">
        <v>71</v>
      </c>
      <c r="I85" s="11">
        <f>IFERROR(INDEX(ShipPartShape!$A:$A,MATCH(H85,ShipPartShape!$B:$B,0)),"-")</f>
        <v>46700001</v>
      </c>
      <c r="J85" s="4" t="s">
        <v>1168</v>
      </c>
      <c r="K85" s="11">
        <f>IFERROR(INDEX(ShipPartShape!$A:$A,MATCH(J85,ShipPartShape!$B:$B,0)),"-")</f>
        <v>46100006</v>
      </c>
      <c r="L85" s="4" t="s">
        <v>799</v>
      </c>
      <c r="M85" s="11">
        <f>IFERROR(INDEX(ShipPartShape!$A:$A,MATCH(L85,ShipPartShape!$B:$B,0)),"-")</f>
        <v>46200017</v>
      </c>
      <c r="N85" s="4" t="s">
        <v>70</v>
      </c>
      <c r="O85" s="11">
        <f>IFERROR(INDEX(ShipPartShape!$A:$A,MATCH(N85,ShipPartShape!$B:$B,0)),"-")</f>
        <v>46300001</v>
      </c>
      <c r="P85" s="4" t="s">
        <v>741</v>
      </c>
      <c r="Q85" s="11">
        <f>IFERROR(INDEX(ShipPartShape!$A:$A,MATCH(P85,ShipPartShape!$B:$B,0)),"-")</f>
        <v>46400003</v>
      </c>
      <c r="R85" s="4"/>
      <c r="S85" s="11" t="str">
        <f>IFERROR(INDEX(ShipPartShape!$A:$A,MATCH(R85,ShipPartShape!$B:$B,0)),"-")</f>
        <v>-</v>
      </c>
      <c r="T85" s="4"/>
      <c r="U85" s="11" t="str">
        <f>IFERROR(INDEX(ShipPartShape!$A:$A,MATCH(T85,ShipPartShape!$B:$B,0)),"-")</f>
        <v>-</v>
      </c>
      <c r="V85" s="4"/>
      <c r="W85" s="11" t="str">
        <f>IFERROR(INDEX(ShipPartShape!$A:$A,MATCH(V85,ShipPartShape!$B:$B,0)),"-")</f>
        <v>-</v>
      </c>
      <c r="X85" s="4"/>
      <c r="Y85" s="11" t="str">
        <f>IFERROR(INDEX(ShipPartShape!$A:$A,MATCH(X85,ShipPartShape!$B:$B,0)),"-")</f>
        <v>-</v>
      </c>
      <c r="Z85" s="4"/>
      <c r="AA85" s="11" t="str">
        <f>IFERROR(INDEX(ShipPartShape!$A:$A,MATCH(Z85,ShipPartShape!$B:$B,0)),"-")</f>
        <v>-</v>
      </c>
      <c r="AB85" s="4"/>
      <c r="AC85" s="11" t="str">
        <f>IFERROR(INDEX(ShipPartShape!$A:$A,MATCH(AB85,ShipPartShape!$B:$B,0)),"-")</f>
        <v>-</v>
      </c>
      <c r="AD85" s="4"/>
      <c r="AE85" s="11" t="str">
        <f>IFERROR(INDEX(ShipPartShape!$A:$A,MATCH(AD85,ShipPartShape!$B:$B,0)),"-")</f>
        <v>-</v>
      </c>
      <c r="AF85" s="4"/>
      <c r="AG85" s="11" t="str">
        <f>IFERROR(INDEX(ShipPartShape!$A:$A,MATCH(AF85,ShipPartShape!$B:$B,0)),"-")</f>
        <v>-</v>
      </c>
      <c r="AH85" s="11" t="s">
        <v>802</v>
      </c>
      <c r="AI85" s="11" t="s">
        <v>802</v>
      </c>
      <c r="AJ85" s="11" t="s">
        <v>802</v>
      </c>
      <c r="AK85" s="11" t="s">
        <v>0</v>
      </c>
      <c r="AL85" s="11" t="s">
        <v>0</v>
      </c>
      <c r="AM85" s="11" t="s">
        <v>0</v>
      </c>
      <c r="AN85" s="11" t="s">
        <v>0</v>
      </c>
      <c r="AO85" s="11" t="s">
        <v>0</v>
      </c>
      <c r="AP85" s="11" t="s">
        <v>0</v>
      </c>
      <c r="AQ85" s="11" t="s">
        <v>0</v>
      </c>
      <c r="AR85" s="11" t="s">
        <v>0</v>
      </c>
    </row>
    <row r="86" spans="1:44" ht="15">
      <c r="A86" s="10">
        <f t="shared" si="8"/>
        <v>45000076</v>
      </c>
      <c r="B86" s="24" t="s">
        <v>785</v>
      </c>
      <c r="C86" s="11" t="s">
        <v>293</v>
      </c>
      <c r="D86" s="4" t="s">
        <v>824</v>
      </c>
      <c r="E86" s="11">
        <v>700</v>
      </c>
      <c r="F86" s="11">
        <v>80</v>
      </c>
      <c r="G86" s="11">
        <f>IFERROR(INDEX(ShipPartShape!$A:$A,MATCH(D86,ShipPartShape!$B:$B,0)),"-")</f>
        <v>46000067</v>
      </c>
      <c r="H86" s="4" t="s">
        <v>71</v>
      </c>
      <c r="I86" s="11">
        <f>IFERROR(INDEX(ShipPartShape!$A:$A,MATCH(H86,ShipPartShape!$B:$B,0)),"-")</f>
        <v>46700001</v>
      </c>
      <c r="J86" s="4" t="s">
        <v>1166</v>
      </c>
      <c r="K86" s="11">
        <f>IFERROR(INDEX(ShipPartShape!$A:$A,MATCH(J86,ShipPartShape!$B:$B,0)),"-")</f>
        <v>46100005</v>
      </c>
      <c r="L86" s="4" t="s">
        <v>796</v>
      </c>
      <c r="M86" s="11">
        <f>IFERROR(INDEX(ShipPartShape!$A:$A,MATCH(L86,ShipPartShape!$B:$B,0)),"-")</f>
        <v>46200012</v>
      </c>
      <c r="N86" s="4" t="s">
        <v>70</v>
      </c>
      <c r="O86" s="11">
        <f>IFERROR(INDEX(ShipPartShape!$A:$A,MATCH(N86,ShipPartShape!$B:$B,0)),"-")</f>
        <v>46300001</v>
      </c>
      <c r="P86" s="4" t="s">
        <v>742</v>
      </c>
      <c r="Q86" s="11">
        <f>IFERROR(INDEX(ShipPartShape!$A:$A,MATCH(P86,ShipPartShape!$B:$B,0)),"-")</f>
        <v>46400004</v>
      </c>
      <c r="R86" s="4"/>
      <c r="S86" s="11" t="str">
        <f>IFERROR(INDEX(ShipPartShape!$A:$A,MATCH(R86,ShipPartShape!$B:$B,0)),"-")</f>
        <v>-</v>
      </c>
      <c r="T86" s="4"/>
      <c r="U86" s="11" t="str">
        <f>IFERROR(INDEX(ShipPartShape!$A:$A,MATCH(T86,ShipPartShape!$B:$B,0)),"-")</f>
        <v>-</v>
      </c>
      <c r="V86" s="4"/>
      <c r="W86" s="11" t="str">
        <f>IFERROR(INDEX(ShipPartShape!$A:$A,MATCH(V86,ShipPartShape!$B:$B,0)),"-")</f>
        <v>-</v>
      </c>
      <c r="X86" s="4"/>
      <c r="Y86" s="11" t="str">
        <f>IFERROR(INDEX(ShipPartShape!$A:$A,MATCH(X86,ShipPartShape!$B:$B,0)),"-")</f>
        <v>-</v>
      </c>
      <c r="Z86" s="4"/>
      <c r="AA86" s="11" t="str">
        <f>IFERROR(INDEX(ShipPartShape!$A:$A,MATCH(Z86,ShipPartShape!$B:$B,0)),"-")</f>
        <v>-</v>
      </c>
      <c r="AB86" s="4"/>
      <c r="AC86" s="11" t="str">
        <f>IFERROR(INDEX(ShipPartShape!$A:$A,MATCH(AB86,ShipPartShape!$B:$B,0)),"-")</f>
        <v>-</v>
      </c>
      <c r="AD86" s="4"/>
      <c r="AE86" s="11" t="str">
        <f>IFERROR(INDEX(ShipPartShape!$A:$A,MATCH(AD86,ShipPartShape!$B:$B,0)),"-")</f>
        <v>-</v>
      </c>
      <c r="AF86" s="4"/>
      <c r="AG86" s="11" t="str">
        <f>IFERROR(INDEX(ShipPartShape!$A:$A,MATCH(AF86,ShipPartShape!$B:$B,0)),"-")</f>
        <v>-</v>
      </c>
      <c r="AH86" s="11" t="s">
        <v>802</v>
      </c>
      <c r="AI86" s="11" t="s">
        <v>802</v>
      </c>
      <c r="AJ86" s="11" t="s">
        <v>802</v>
      </c>
      <c r="AK86" s="11" t="s">
        <v>0</v>
      </c>
      <c r="AL86" s="11" t="s">
        <v>0</v>
      </c>
      <c r="AM86" s="11" t="s">
        <v>0</v>
      </c>
      <c r="AN86" s="11" t="s">
        <v>0</v>
      </c>
      <c r="AO86" s="11" t="s">
        <v>0</v>
      </c>
      <c r="AP86" s="11" t="s">
        <v>0</v>
      </c>
      <c r="AQ86" s="11" t="s">
        <v>0</v>
      </c>
      <c r="AR86" s="11" t="s">
        <v>0</v>
      </c>
    </row>
    <row r="87" spans="1:44" ht="15">
      <c r="A87" s="10">
        <f t="shared" si="8"/>
        <v>45000077</v>
      </c>
      <c r="B87" s="24" t="s">
        <v>786</v>
      </c>
      <c r="C87" s="11" t="s">
        <v>287</v>
      </c>
      <c r="D87" s="4" t="s">
        <v>289</v>
      </c>
      <c r="E87" s="11">
        <v>700</v>
      </c>
      <c r="F87" s="11">
        <v>80</v>
      </c>
      <c r="G87" s="11">
        <f>IFERROR(INDEX(ShipPartShape!$A:$A,MATCH(D87,ShipPartShape!$B:$B,0)),"-")</f>
        <v>46000043</v>
      </c>
      <c r="H87" s="4" t="s">
        <v>71</v>
      </c>
      <c r="I87" s="11">
        <f>IFERROR(INDEX(ShipPartShape!$A:$A,MATCH(H87,ShipPartShape!$B:$B,0)),"-")</f>
        <v>46700001</v>
      </c>
      <c r="J87" s="4" t="s">
        <v>1168</v>
      </c>
      <c r="K87" s="11">
        <f>IFERROR(INDEX(ShipPartShape!$A:$A,MATCH(J87,ShipPartShape!$B:$B,0)),"-")</f>
        <v>46100006</v>
      </c>
      <c r="L87" s="4" t="s">
        <v>797</v>
      </c>
      <c r="M87" s="11">
        <f>IFERROR(INDEX(ShipPartShape!$A:$A,MATCH(L87,ShipPartShape!$B:$B,0)),"-")</f>
        <v>46200013</v>
      </c>
      <c r="N87" s="4" t="s">
        <v>70</v>
      </c>
      <c r="O87" s="11">
        <f>IFERROR(INDEX(ShipPartShape!$A:$A,MATCH(N87,ShipPartShape!$B:$B,0)),"-")</f>
        <v>46300001</v>
      </c>
      <c r="P87" s="4" t="s">
        <v>743</v>
      </c>
      <c r="Q87" s="11">
        <f>IFERROR(INDEX(ShipPartShape!$A:$A,MATCH(P87,ShipPartShape!$B:$B,0)),"-")</f>
        <v>46400005</v>
      </c>
      <c r="R87" s="4"/>
      <c r="S87" s="11" t="str">
        <f>IFERROR(INDEX(ShipPartShape!$A:$A,MATCH(R87,ShipPartShape!$B:$B,0)),"-")</f>
        <v>-</v>
      </c>
      <c r="T87" s="4"/>
      <c r="U87" s="11" t="str">
        <f>IFERROR(INDEX(ShipPartShape!$A:$A,MATCH(T87,ShipPartShape!$B:$B,0)),"-")</f>
        <v>-</v>
      </c>
      <c r="V87" s="4"/>
      <c r="W87" s="11" t="str">
        <f>IFERROR(INDEX(ShipPartShape!$A:$A,MATCH(V87,ShipPartShape!$B:$B,0)),"-")</f>
        <v>-</v>
      </c>
      <c r="X87" s="4"/>
      <c r="Y87" s="11" t="str">
        <f>IFERROR(INDEX(ShipPartShape!$A:$A,MATCH(X87,ShipPartShape!$B:$B,0)),"-")</f>
        <v>-</v>
      </c>
      <c r="Z87" s="4"/>
      <c r="AA87" s="11" t="str">
        <f>IFERROR(INDEX(ShipPartShape!$A:$A,MATCH(Z87,ShipPartShape!$B:$B,0)),"-")</f>
        <v>-</v>
      </c>
      <c r="AB87" s="4"/>
      <c r="AC87" s="11" t="str">
        <f>IFERROR(INDEX(ShipPartShape!$A:$A,MATCH(AB87,ShipPartShape!$B:$B,0)),"-")</f>
        <v>-</v>
      </c>
      <c r="AD87" s="4"/>
      <c r="AE87" s="11" t="str">
        <f>IFERROR(INDEX(ShipPartShape!$A:$A,MATCH(AD87,ShipPartShape!$B:$B,0)),"-")</f>
        <v>-</v>
      </c>
      <c r="AF87" s="4"/>
      <c r="AG87" s="11" t="str">
        <f>IFERROR(INDEX(ShipPartShape!$A:$A,MATCH(AF87,ShipPartShape!$B:$B,0)),"-")</f>
        <v>-</v>
      </c>
      <c r="AH87" s="11" t="s">
        <v>802</v>
      </c>
      <c r="AI87" s="11" t="s">
        <v>802</v>
      </c>
      <c r="AJ87" s="11" t="s">
        <v>802</v>
      </c>
      <c r="AK87" s="11" t="s">
        <v>0</v>
      </c>
      <c r="AL87" s="11" t="s">
        <v>0</v>
      </c>
      <c r="AM87" s="11" t="s">
        <v>0</v>
      </c>
      <c r="AN87" s="11" t="s">
        <v>0</v>
      </c>
      <c r="AO87" s="11" t="s">
        <v>0</v>
      </c>
      <c r="AP87" s="11" t="s">
        <v>0</v>
      </c>
      <c r="AQ87" s="11" t="s">
        <v>0</v>
      </c>
      <c r="AR87" s="11" t="s">
        <v>0</v>
      </c>
    </row>
    <row r="88" spans="1:44" ht="15">
      <c r="A88" s="10">
        <f t="shared" si="8"/>
        <v>45000078</v>
      </c>
      <c r="B88" s="24" t="s">
        <v>787</v>
      </c>
      <c r="C88" s="11" t="s">
        <v>287</v>
      </c>
      <c r="D88" s="4" t="s">
        <v>825</v>
      </c>
      <c r="E88" s="11">
        <v>700</v>
      </c>
      <c r="F88" s="11">
        <v>80</v>
      </c>
      <c r="G88" s="11">
        <f>IFERROR(INDEX(ShipPartShape!$A:$A,MATCH(D88,ShipPartShape!$B:$B,0)),"-")</f>
        <v>46000068</v>
      </c>
      <c r="H88" s="4" t="s">
        <v>71</v>
      </c>
      <c r="I88" s="11">
        <f>IFERROR(INDEX(ShipPartShape!$A:$A,MATCH(H88,ShipPartShape!$B:$B,0)),"-")</f>
        <v>46700001</v>
      </c>
      <c r="J88" s="4" t="s">
        <v>1166</v>
      </c>
      <c r="K88" s="11">
        <f>IFERROR(INDEX(ShipPartShape!$A:$A,MATCH(J88,ShipPartShape!$B:$B,0)),"-")</f>
        <v>46100005</v>
      </c>
      <c r="L88" s="4" t="s">
        <v>798</v>
      </c>
      <c r="M88" s="11">
        <f>IFERROR(INDEX(ShipPartShape!$A:$A,MATCH(L88,ShipPartShape!$B:$B,0)),"-")</f>
        <v>46200014</v>
      </c>
      <c r="N88" s="4" t="s">
        <v>70</v>
      </c>
      <c r="O88" s="11">
        <f>IFERROR(INDEX(ShipPartShape!$A:$A,MATCH(N88,ShipPartShape!$B:$B,0)),"-")</f>
        <v>46300001</v>
      </c>
      <c r="P88" s="4" t="s">
        <v>744</v>
      </c>
      <c r="Q88" s="11">
        <f>IFERROR(INDEX(ShipPartShape!$A:$A,MATCH(P88,ShipPartShape!$B:$B,0)),"-")</f>
        <v>46400006</v>
      </c>
      <c r="R88" s="4"/>
      <c r="S88" s="11" t="str">
        <f>IFERROR(INDEX(ShipPartShape!$A:$A,MATCH(R88,ShipPartShape!$B:$B,0)),"-")</f>
        <v>-</v>
      </c>
      <c r="T88" s="4"/>
      <c r="U88" s="11" t="str">
        <f>IFERROR(INDEX(ShipPartShape!$A:$A,MATCH(T88,ShipPartShape!$B:$B,0)),"-")</f>
        <v>-</v>
      </c>
      <c r="V88" s="4"/>
      <c r="W88" s="11" t="str">
        <f>IFERROR(INDEX(ShipPartShape!$A:$A,MATCH(V88,ShipPartShape!$B:$B,0)),"-")</f>
        <v>-</v>
      </c>
      <c r="X88" s="4"/>
      <c r="Y88" s="11" t="str">
        <f>IFERROR(INDEX(ShipPartShape!$A:$A,MATCH(X88,ShipPartShape!$B:$B,0)),"-")</f>
        <v>-</v>
      </c>
      <c r="Z88" s="4"/>
      <c r="AA88" s="11" t="str">
        <f>IFERROR(INDEX(ShipPartShape!$A:$A,MATCH(Z88,ShipPartShape!$B:$B,0)),"-")</f>
        <v>-</v>
      </c>
      <c r="AB88" s="4"/>
      <c r="AC88" s="11" t="str">
        <f>IFERROR(INDEX(ShipPartShape!$A:$A,MATCH(AB88,ShipPartShape!$B:$B,0)),"-")</f>
        <v>-</v>
      </c>
      <c r="AD88" s="4"/>
      <c r="AE88" s="11" t="str">
        <f>IFERROR(INDEX(ShipPartShape!$A:$A,MATCH(AD88,ShipPartShape!$B:$B,0)),"-")</f>
        <v>-</v>
      </c>
      <c r="AF88" s="4"/>
      <c r="AG88" s="11" t="str">
        <f>IFERROR(INDEX(ShipPartShape!$A:$A,MATCH(AF88,ShipPartShape!$B:$B,0)),"-")</f>
        <v>-</v>
      </c>
      <c r="AH88" s="11" t="s">
        <v>802</v>
      </c>
      <c r="AI88" s="11" t="s">
        <v>802</v>
      </c>
      <c r="AJ88" s="11" t="s">
        <v>802</v>
      </c>
      <c r="AK88" s="11" t="s">
        <v>0</v>
      </c>
      <c r="AL88" s="11" t="s">
        <v>0</v>
      </c>
      <c r="AM88" s="11" t="s">
        <v>0</v>
      </c>
      <c r="AN88" s="11" t="s">
        <v>0</v>
      </c>
      <c r="AO88" s="11" t="s">
        <v>0</v>
      </c>
      <c r="AP88" s="11" t="s">
        <v>0</v>
      </c>
      <c r="AQ88" s="11" t="s">
        <v>0</v>
      </c>
      <c r="AR88" s="11" t="s">
        <v>0</v>
      </c>
    </row>
    <row r="89" spans="1:44" ht="15">
      <c r="A89" s="10">
        <f t="shared" si="8"/>
        <v>45000079</v>
      </c>
      <c r="B89" s="24" t="s">
        <v>788</v>
      </c>
      <c r="C89" s="11" t="s">
        <v>375</v>
      </c>
      <c r="D89" s="4" t="s">
        <v>372</v>
      </c>
      <c r="E89" s="11">
        <v>700</v>
      </c>
      <c r="F89" s="11">
        <v>80</v>
      </c>
      <c r="G89" s="11">
        <f>IFERROR(INDEX(ShipPartShape!$A:$A,MATCH(D89,ShipPartShape!$B:$B,0)),"-")</f>
        <v>46000052</v>
      </c>
      <c r="H89" s="4" t="s">
        <v>71</v>
      </c>
      <c r="I89" s="11">
        <f>IFERROR(INDEX(ShipPartShape!$A:$A,MATCH(H89,ShipPartShape!$B:$B,0)),"-")</f>
        <v>46700001</v>
      </c>
      <c r="J89" s="4" t="s">
        <v>1168</v>
      </c>
      <c r="K89" s="11">
        <f>IFERROR(INDEX(ShipPartShape!$A:$A,MATCH(J89,ShipPartShape!$B:$B,0)),"-")</f>
        <v>46100006</v>
      </c>
      <c r="L89" s="4" t="s">
        <v>457</v>
      </c>
      <c r="M89" s="11">
        <f>IFERROR(INDEX(ShipPartShape!$A:$A,MATCH(L89,ShipPartShape!$B:$B,0)),"-")</f>
        <v>46200020</v>
      </c>
      <c r="N89" s="4" t="s">
        <v>70</v>
      </c>
      <c r="O89" s="11">
        <f>IFERROR(INDEX(ShipPartShape!$A:$A,MATCH(N89,ShipPartShape!$B:$B,0)),"-")</f>
        <v>46300001</v>
      </c>
      <c r="P89" s="4" t="s">
        <v>741</v>
      </c>
      <c r="Q89" s="11">
        <f>IFERROR(INDEX(ShipPartShape!$A:$A,MATCH(P89,ShipPartShape!$B:$B,0)),"-")</f>
        <v>46400003</v>
      </c>
      <c r="R89" s="4"/>
      <c r="S89" s="11" t="str">
        <f>IFERROR(INDEX(ShipPartShape!$A:$A,MATCH(R89,ShipPartShape!$B:$B,0)),"-")</f>
        <v>-</v>
      </c>
      <c r="T89" s="4"/>
      <c r="U89" s="11" t="str">
        <f>IFERROR(INDEX(ShipPartShape!$A:$A,MATCH(T89,ShipPartShape!$B:$B,0)),"-")</f>
        <v>-</v>
      </c>
      <c r="V89" s="4"/>
      <c r="W89" s="11" t="str">
        <f>IFERROR(INDEX(ShipPartShape!$A:$A,MATCH(V89,ShipPartShape!$B:$B,0)),"-")</f>
        <v>-</v>
      </c>
      <c r="X89" s="4"/>
      <c r="Y89" s="11" t="str">
        <f>IFERROR(INDEX(ShipPartShape!$A:$A,MATCH(X89,ShipPartShape!$B:$B,0)),"-")</f>
        <v>-</v>
      </c>
      <c r="Z89" s="4"/>
      <c r="AA89" s="11" t="str">
        <f>IFERROR(INDEX(ShipPartShape!$A:$A,MATCH(Z89,ShipPartShape!$B:$B,0)),"-")</f>
        <v>-</v>
      </c>
      <c r="AB89" s="4"/>
      <c r="AC89" s="11" t="str">
        <f>IFERROR(INDEX(ShipPartShape!$A:$A,MATCH(AB89,ShipPartShape!$B:$B,0)),"-")</f>
        <v>-</v>
      </c>
      <c r="AD89" s="4"/>
      <c r="AE89" s="11" t="str">
        <f>IFERROR(INDEX(ShipPartShape!$A:$A,MATCH(AD89,ShipPartShape!$B:$B,0)),"-")</f>
        <v>-</v>
      </c>
      <c r="AF89" s="4"/>
      <c r="AG89" s="11" t="str">
        <f>IFERROR(INDEX(ShipPartShape!$A:$A,MATCH(AF89,ShipPartShape!$B:$B,0)),"-")</f>
        <v>-</v>
      </c>
      <c r="AH89" s="11" t="s">
        <v>802</v>
      </c>
      <c r="AI89" s="11" t="s">
        <v>802</v>
      </c>
      <c r="AJ89" s="11" t="s">
        <v>802</v>
      </c>
      <c r="AK89" s="11" t="s">
        <v>0</v>
      </c>
      <c r="AL89" s="11" t="s">
        <v>0</v>
      </c>
      <c r="AM89" s="11" t="s">
        <v>0</v>
      </c>
      <c r="AN89" s="11" t="s">
        <v>0</v>
      </c>
      <c r="AO89" s="11" t="s">
        <v>0</v>
      </c>
      <c r="AP89" s="11" t="s">
        <v>0</v>
      </c>
      <c r="AQ89" s="11" t="s">
        <v>0</v>
      </c>
      <c r="AR89" s="11" t="s">
        <v>0</v>
      </c>
    </row>
    <row r="90" spans="1:44" ht="15">
      <c r="A90" s="10">
        <f t="shared" si="8"/>
        <v>45000080</v>
      </c>
      <c r="B90" s="24" t="s">
        <v>789</v>
      </c>
      <c r="C90" s="11" t="s">
        <v>370</v>
      </c>
      <c r="D90" s="4" t="s">
        <v>366</v>
      </c>
      <c r="E90" s="11">
        <v>700</v>
      </c>
      <c r="F90" s="11">
        <v>80</v>
      </c>
      <c r="G90" s="11">
        <f>IFERROR(INDEX(ShipPartShape!$A:$A,MATCH(D90,ShipPartShape!$B:$B,0)),"-")</f>
        <v>46000051</v>
      </c>
      <c r="H90" s="4" t="s">
        <v>71</v>
      </c>
      <c r="I90" s="11">
        <f>IFERROR(INDEX(ShipPartShape!$A:$A,MATCH(H90,ShipPartShape!$B:$B,0)),"-")</f>
        <v>46700001</v>
      </c>
      <c r="J90" s="4" t="s">
        <v>1166</v>
      </c>
      <c r="K90" s="11">
        <f>IFERROR(INDEX(ShipPartShape!$A:$A,MATCH(J90,ShipPartShape!$B:$B,0)),"-")</f>
        <v>46100005</v>
      </c>
      <c r="L90" s="4" t="s">
        <v>460</v>
      </c>
      <c r="M90" s="11">
        <f>IFERROR(INDEX(ShipPartShape!$A:$A,MATCH(L90,ShipPartShape!$B:$B,0)),"-")</f>
        <v>46200021</v>
      </c>
      <c r="N90" s="4" t="s">
        <v>70</v>
      </c>
      <c r="O90" s="11">
        <f>IFERROR(INDEX(ShipPartShape!$A:$A,MATCH(N90,ShipPartShape!$B:$B,0)),"-")</f>
        <v>46300001</v>
      </c>
      <c r="P90" s="4" t="s">
        <v>742</v>
      </c>
      <c r="Q90" s="11">
        <f>IFERROR(INDEX(ShipPartShape!$A:$A,MATCH(P90,ShipPartShape!$B:$B,0)),"-")</f>
        <v>46400004</v>
      </c>
      <c r="R90" s="4"/>
      <c r="S90" s="11" t="str">
        <f>IFERROR(INDEX(ShipPartShape!$A:$A,MATCH(R90,ShipPartShape!$B:$B,0)),"-")</f>
        <v>-</v>
      </c>
      <c r="T90" s="4"/>
      <c r="U90" s="11" t="str">
        <f>IFERROR(INDEX(ShipPartShape!$A:$A,MATCH(T90,ShipPartShape!$B:$B,0)),"-")</f>
        <v>-</v>
      </c>
      <c r="V90" s="4"/>
      <c r="W90" s="11" t="str">
        <f>IFERROR(INDEX(ShipPartShape!$A:$A,MATCH(V90,ShipPartShape!$B:$B,0)),"-")</f>
        <v>-</v>
      </c>
      <c r="X90" s="4"/>
      <c r="Y90" s="11" t="str">
        <f>IFERROR(INDEX(ShipPartShape!$A:$A,MATCH(X90,ShipPartShape!$B:$B,0)),"-")</f>
        <v>-</v>
      </c>
      <c r="Z90" s="4"/>
      <c r="AA90" s="11" t="str">
        <f>IFERROR(INDEX(ShipPartShape!$A:$A,MATCH(Z90,ShipPartShape!$B:$B,0)),"-")</f>
        <v>-</v>
      </c>
      <c r="AB90" s="4"/>
      <c r="AC90" s="11" t="str">
        <f>IFERROR(INDEX(ShipPartShape!$A:$A,MATCH(AB90,ShipPartShape!$B:$B,0)),"-")</f>
        <v>-</v>
      </c>
      <c r="AD90" s="4"/>
      <c r="AE90" s="11" t="str">
        <f>IFERROR(INDEX(ShipPartShape!$A:$A,MATCH(AD90,ShipPartShape!$B:$B,0)),"-")</f>
        <v>-</v>
      </c>
      <c r="AF90" s="4"/>
      <c r="AG90" s="11" t="str">
        <f>IFERROR(INDEX(ShipPartShape!$A:$A,MATCH(AF90,ShipPartShape!$B:$B,0)),"-")</f>
        <v>-</v>
      </c>
      <c r="AH90" s="11" t="s">
        <v>802</v>
      </c>
      <c r="AI90" s="11" t="s">
        <v>802</v>
      </c>
      <c r="AJ90" s="11" t="s">
        <v>802</v>
      </c>
      <c r="AK90" s="11" t="s">
        <v>0</v>
      </c>
      <c r="AL90" s="11" t="s">
        <v>0</v>
      </c>
      <c r="AM90" s="11" t="s">
        <v>0</v>
      </c>
      <c r="AN90" s="11" t="s">
        <v>0</v>
      </c>
      <c r="AO90" s="11" t="s">
        <v>0</v>
      </c>
      <c r="AP90" s="11" t="s">
        <v>0</v>
      </c>
      <c r="AQ90" s="11" t="s">
        <v>0</v>
      </c>
      <c r="AR90" s="11" t="s">
        <v>0</v>
      </c>
    </row>
    <row r="91" spans="1:44" ht="15">
      <c r="A91" s="10">
        <f t="shared" si="8"/>
        <v>45000081</v>
      </c>
      <c r="B91" s="24" t="s">
        <v>790</v>
      </c>
      <c r="C91" s="11" t="s">
        <v>370</v>
      </c>
      <c r="D91" s="4" t="s">
        <v>826</v>
      </c>
      <c r="E91" s="11">
        <v>700</v>
      </c>
      <c r="F91" s="11">
        <v>80</v>
      </c>
      <c r="G91" s="11">
        <f>IFERROR(INDEX(ShipPartShape!$A:$A,MATCH(D91,ShipPartShape!$B:$B,0)),"-")</f>
        <v>46000069</v>
      </c>
      <c r="H91" s="4" t="s">
        <v>71</v>
      </c>
      <c r="I91" s="11">
        <f>IFERROR(INDEX(ShipPartShape!$A:$A,MATCH(H91,ShipPartShape!$B:$B,0)),"-")</f>
        <v>46700001</v>
      </c>
      <c r="J91" s="4" t="s">
        <v>1168</v>
      </c>
      <c r="K91" s="11">
        <f>IFERROR(INDEX(ShipPartShape!$A:$A,MATCH(J91,ShipPartShape!$B:$B,0)),"-")</f>
        <v>46100006</v>
      </c>
      <c r="L91" s="4" t="s">
        <v>479</v>
      </c>
      <c r="M91" s="11">
        <f>IFERROR(INDEX(ShipPartShape!$A:$A,MATCH(L91,ShipPartShape!$B:$B,0)),"-")</f>
        <v>46200028</v>
      </c>
      <c r="N91" s="4" t="s">
        <v>70</v>
      </c>
      <c r="O91" s="11">
        <f>IFERROR(INDEX(ShipPartShape!$A:$A,MATCH(N91,ShipPartShape!$B:$B,0)),"-")</f>
        <v>46300001</v>
      </c>
      <c r="P91" s="4" t="s">
        <v>743</v>
      </c>
      <c r="Q91" s="11">
        <f>IFERROR(INDEX(ShipPartShape!$A:$A,MATCH(P91,ShipPartShape!$B:$B,0)),"-")</f>
        <v>46400005</v>
      </c>
      <c r="R91" s="4"/>
      <c r="S91" s="11" t="str">
        <f>IFERROR(INDEX(ShipPartShape!$A:$A,MATCH(R91,ShipPartShape!$B:$B,0)),"-")</f>
        <v>-</v>
      </c>
      <c r="T91" s="4"/>
      <c r="U91" s="11" t="str">
        <f>IFERROR(INDEX(ShipPartShape!$A:$A,MATCH(T91,ShipPartShape!$B:$B,0)),"-")</f>
        <v>-</v>
      </c>
      <c r="V91" s="4"/>
      <c r="W91" s="11" t="str">
        <f>IFERROR(INDEX(ShipPartShape!$A:$A,MATCH(V91,ShipPartShape!$B:$B,0)),"-")</f>
        <v>-</v>
      </c>
      <c r="X91" s="4"/>
      <c r="Y91" s="11" t="str">
        <f>IFERROR(INDEX(ShipPartShape!$A:$A,MATCH(X91,ShipPartShape!$B:$B,0)),"-")</f>
        <v>-</v>
      </c>
      <c r="Z91" s="4"/>
      <c r="AA91" s="11" t="str">
        <f>IFERROR(INDEX(ShipPartShape!$A:$A,MATCH(Z91,ShipPartShape!$B:$B,0)),"-")</f>
        <v>-</v>
      </c>
      <c r="AB91" s="4"/>
      <c r="AC91" s="11" t="str">
        <f>IFERROR(INDEX(ShipPartShape!$A:$A,MATCH(AB91,ShipPartShape!$B:$B,0)),"-")</f>
        <v>-</v>
      </c>
      <c r="AD91" s="4"/>
      <c r="AE91" s="11" t="str">
        <f>IFERROR(INDEX(ShipPartShape!$A:$A,MATCH(AD91,ShipPartShape!$B:$B,0)),"-")</f>
        <v>-</v>
      </c>
      <c r="AF91" s="4"/>
      <c r="AG91" s="11" t="str">
        <f>IFERROR(INDEX(ShipPartShape!$A:$A,MATCH(AF91,ShipPartShape!$B:$B,0)),"-")</f>
        <v>-</v>
      </c>
      <c r="AH91" s="11" t="s">
        <v>802</v>
      </c>
      <c r="AI91" s="11" t="s">
        <v>802</v>
      </c>
      <c r="AJ91" s="11" t="s">
        <v>802</v>
      </c>
      <c r="AK91" s="11" t="s">
        <v>0</v>
      </c>
      <c r="AL91" s="11" t="s">
        <v>0</v>
      </c>
      <c r="AM91" s="11" t="s">
        <v>0</v>
      </c>
      <c r="AN91" s="11" t="s">
        <v>0</v>
      </c>
      <c r="AO91" s="11" t="s">
        <v>0</v>
      </c>
      <c r="AP91" s="11" t="s">
        <v>0</v>
      </c>
      <c r="AQ91" s="11" t="s">
        <v>0</v>
      </c>
      <c r="AR91" s="11" t="s">
        <v>0</v>
      </c>
    </row>
    <row r="92" spans="1:44" ht="15">
      <c r="A92" s="10">
        <f t="shared" si="8"/>
        <v>45000082</v>
      </c>
      <c r="B92" s="23" t="s">
        <v>862</v>
      </c>
      <c r="C92" s="11" t="s">
        <v>863</v>
      </c>
      <c r="D92" s="4" t="s">
        <v>854</v>
      </c>
      <c r="E92" s="11">
        <v>700</v>
      </c>
      <c r="F92" s="11">
        <v>80</v>
      </c>
      <c r="G92" s="11">
        <f>IFERROR(INDEX(ShipPartShape!$A:$A,MATCH(D92,ShipPartShape!$B:$B,0)),"-")</f>
        <v>46000070</v>
      </c>
      <c r="H92" s="4" t="s">
        <v>71</v>
      </c>
      <c r="I92" s="11">
        <f>IFERROR(INDEX(ShipPartShape!$A:$A,MATCH(H92,ShipPartShape!$B:$B,0)),"-")</f>
        <v>46700001</v>
      </c>
      <c r="J92" s="4" t="s">
        <v>858</v>
      </c>
      <c r="K92" s="11">
        <f>IFERROR(INDEX(ShipPartShape!$A:$A,MATCH(J92,ShipPartShape!$B:$B,0)),"-")</f>
        <v>46500007</v>
      </c>
      <c r="L92" s="4" t="s">
        <v>70</v>
      </c>
      <c r="M92" s="11">
        <f>IFERROR(INDEX(ShipPartShape!$A:$A,MATCH(L92,ShipPartShape!$B:$B,0)),"-")</f>
        <v>46300001</v>
      </c>
      <c r="N92" s="4"/>
      <c r="O92" s="11" t="str">
        <f>IFERROR(INDEX(ShipPartShape!$A:$A,MATCH(N92,ShipPartShape!$B:$B,0)),"-")</f>
        <v>-</v>
      </c>
      <c r="P92" s="4"/>
      <c r="Q92" s="11" t="str">
        <f>IFERROR(INDEX(ShipPartShape!$A:$A,MATCH(P92,ShipPartShape!$B:$B,0)),"-")</f>
        <v>-</v>
      </c>
      <c r="R92" s="4" t="s">
        <v>916</v>
      </c>
      <c r="S92" s="11">
        <f>IFERROR(INDEX(ShipPartShape!$A:$A,MATCH(R92,ShipPartShape!$B:$B,0)),"-")</f>
        <v>46600001</v>
      </c>
      <c r="T92" s="4" t="s">
        <v>925</v>
      </c>
      <c r="U92" s="11">
        <f>IFERROR(INDEX(ShipPartShape!$A:$A,MATCH(T92,ShipPartShape!$B:$B,0)),"-")</f>
        <v>46600006</v>
      </c>
      <c r="V92" s="4"/>
      <c r="W92" s="11" t="str">
        <f>IFERROR(INDEX(ShipPartShape!$A:$A,MATCH(V92,ShipPartShape!$B:$B,0)),"-")</f>
        <v>-</v>
      </c>
      <c r="X92" s="4"/>
      <c r="Y92" s="11" t="str">
        <f>IFERROR(INDEX(ShipPartShape!$A:$A,MATCH(X92,ShipPartShape!$B:$B,0)),"-")</f>
        <v>-</v>
      </c>
      <c r="Z92" s="4"/>
      <c r="AA92" s="11" t="str">
        <f>IFERROR(INDEX(ShipPartShape!$A:$A,MATCH(Z92,ShipPartShape!$B:$B,0)),"-")</f>
        <v>-</v>
      </c>
      <c r="AB92" s="4" t="s">
        <v>1850</v>
      </c>
      <c r="AC92" s="11">
        <f>IFERROR(INDEX(ShipPartShape!$A:$A,MATCH(AB92,ShipPartShape!$B:$B,0)),"-")</f>
        <v>46100044</v>
      </c>
      <c r="AD92" s="4"/>
      <c r="AE92" s="11" t="s">
        <v>0</v>
      </c>
      <c r="AF92" s="4"/>
      <c r="AG92" s="11" t="s">
        <v>0</v>
      </c>
      <c r="AH92" s="11" t="s">
        <v>0</v>
      </c>
      <c r="AI92" s="11" t="s">
        <v>0</v>
      </c>
      <c r="AJ92" s="11" t="s">
        <v>0</v>
      </c>
      <c r="AK92" s="11" t="s">
        <v>0</v>
      </c>
      <c r="AL92" s="11" t="s">
        <v>0</v>
      </c>
      <c r="AM92" s="11" t="s">
        <v>0</v>
      </c>
      <c r="AN92" s="11" t="s">
        <v>0</v>
      </c>
      <c r="AO92" s="11" t="s">
        <v>0</v>
      </c>
      <c r="AP92" s="11" t="s">
        <v>0</v>
      </c>
      <c r="AQ92" s="11" t="s">
        <v>0</v>
      </c>
      <c r="AR92" s="11" t="s">
        <v>0</v>
      </c>
    </row>
    <row r="93" spans="1:44" ht="15">
      <c r="A93" s="10">
        <f t="shared" si="8"/>
        <v>45000083</v>
      </c>
      <c r="B93" s="23" t="s">
        <v>1038</v>
      </c>
      <c r="C93" s="11" t="s">
        <v>1042</v>
      </c>
      <c r="D93" s="4" t="s">
        <v>1034</v>
      </c>
      <c r="E93" s="11">
        <v>700</v>
      </c>
      <c r="F93" s="11">
        <v>80</v>
      </c>
      <c r="G93" s="11">
        <f>IFERROR(INDEX(ShipPartShape!$A:$A,MATCH(D93,ShipPartShape!$B:$B,0)),"-")</f>
        <v>46000071</v>
      </c>
      <c r="H93" s="4" t="s">
        <v>71</v>
      </c>
      <c r="I93" s="11">
        <f>IFERROR(INDEX(ShipPartShape!$A:$A,MATCH(H93,ShipPartShape!$B:$B,0)),"-")</f>
        <v>46700001</v>
      </c>
      <c r="J93" s="4" t="s">
        <v>70</v>
      </c>
      <c r="K93" s="11">
        <f>IFERROR(INDEX(ShipPartShape!$A:$A,MATCH(J93,ShipPartShape!$B:$B,0)),"-")</f>
        <v>46300001</v>
      </c>
      <c r="L93" s="4"/>
      <c r="M93" s="11" t="str">
        <f>IFERROR(INDEX(ShipPartShape!$A:$A,MATCH(L93,ShipPartShape!$B:$B,0)),"-")</f>
        <v>-</v>
      </c>
      <c r="N93" s="4"/>
      <c r="O93" s="11" t="str">
        <f>IFERROR(INDEX(ShipPartShape!$A:$A,MATCH(N93,ShipPartShape!$B:$B,0)),"-")</f>
        <v>-</v>
      </c>
      <c r="P93" s="4"/>
      <c r="Q93" s="11" t="str">
        <f>IFERROR(INDEX(ShipPartShape!$A:$A,MATCH(P93,ShipPartShape!$B:$B,0)),"-")</f>
        <v>-</v>
      </c>
      <c r="R93" s="4" t="s">
        <v>923</v>
      </c>
      <c r="S93" s="11">
        <f>IFERROR(INDEX(ShipPartShape!$A:$A,MATCH(R93,ShipPartShape!$B:$B,0)),"-")</f>
        <v>46600004</v>
      </c>
      <c r="T93" s="4" t="s">
        <v>919</v>
      </c>
      <c r="U93" s="11">
        <f>IFERROR(INDEX(ShipPartShape!$A:$A,MATCH(T93,ShipPartShape!$B:$B,0)),"-")</f>
        <v>46600005</v>
      </c>
      <c r="V93" s="4" t="s">
        <v>918</v>
      </c>
      <c r="W93" s="11">
        <f>IFERROR(INDEX(ShipPartShape!$A:$A,MATCH(V93,ShipPartShape!$B:$B,0)),"-")</f>
        <v>46600007</v>
      </c>
      <c r="X93" s="4" t="s">
        <v>920</v>
      </c>
      <c r="Y93" s="11">
        <f>IFERROR(INDEX(ShipPartShape!$A:$A,MATCH(X93,ShipPartShape!$B:$B,0)),"-")</f>
        <v>46600009</v>
      </c>
      <c r="Z93" s="4" t="s">
        <v>926</v>
      </c>
      <c r="AA93" s="11">
        <f>IFERROR(INDEX(ShipPartShape!$A:$A,MATCH(Z93,ShipPartShape!$B:$B,0)),"-")</f>
        <v>46600010</v>
      </c>
      <c r="AB93" s="4" t="s">
        <v>1851</v>
      </c>
      <c r="AC93" s="11">
        <f>IFERROR(INDEX(ShipPartShape!$A:$A,MATCH(AB93,ShipPartShape!$B:$B,0)),"-")</f>
        <v>46100045</v>
      </c>
      <c r="AD93" s="4"/>
      <c r="AE93" s="11" t="s">
        <v>0</v>
      </c>
      <c r="AF93" s="4"/>
      <c r="AG93" s="11" t="s">
        <v>0</v>
      </c>
      <c r="AH93" s="11" t="s">
        <v>0</v>
      </c>
      <c r="AI93" s="11" t="s">
        <v>0</v>
      </c>
      <c r="AJ93" s="11" t="s">
        <v>0</v>
      </c>
      <c r="AK93" s="11" t="s">
        <v>0</v>
      </c>
      <c r="AL93" s="11" t="s">
        <v>0</v>
      </c>
      <c r="AM93" s="11" t="s">
        <v>0</v>
      </c>
      <c r="AN93" s="11" t="s">
        <v>0</v>
      </c>
      <c r="AO93" s="11" t="s">
        <v>0</v>
      </c>
      <c r="AP93" s="11" t="s">
        <v>0</v>
      </c>
      <c r="AQ93" s="11" t="s">
        <v>0</v>
      </c>
      <c r="AR93" s="11" t="s">
        <v>0</v>
      </c>
    </row>
    <row r="94" spans="1:44" ht="15">
      <c r="A94" s="10">
        <f t="shared" si="8"/>
        <v>45000084</v>
      </c>
      <c r="B94" s="23" t="s">
        <v>1045</v>
      </c>
      <c r="C94" s="11" t="s">
        <v>1039</v>
      </c>
      <c r="D94" s="4" t="s">
        <v>1043</v>
      </c>
      <c r="E94" s="11">
        <v>700</v>
      </c>
      <c r="F94" s="11">
        <v>80</v>
      </c>
      <c r="G94" s="11">
        <f>IFERROR(INDEX(ShipPartShape!$A:$A,MATCH(D94,ShipPartShape!$B:$B,0)),"-")</f>
        <v>46000072</v>
      </c>
      <c r="H94" s="4" t="s">
        <v>71</v>
      </c>
      <c r="I94" s="11">
        <f>IFERROR(INDEX(ShipPartShape!$A:$A,MATCH(H94,ShipPartShape!$B:$B,0)),"-")</f>
        <v>46700001</v>
      </c>
      <c r="J94" s="4" t="s">
        <v>70</v>
      </c>
      <c r="K94" s="11">
        <f>IFERROR(INDEX(ShipPartShape!$A:$A,MATCH(J94,ShipPartShape!$B:$B,0)),"-")</f>
        <v>46300001</v>
      </c>
      <c r="L94" s="4" t="s">
        <v>194</v>
      </c>
      <c r="M94" s="11">
        <f>IFERROR(INDEX(ShipPartShape!$A:$A,MATCH(L94,ShipPartShape!$B:$B,0)),"-")</f>
        <v>46550001</v>
      </c>
      <c r="N94" s="4"/>
      <c r="O94" s="11" t="str">
        <f>IFERROR(INDEX(ShipPartShape!$A:$A,MATCH(N94,ShipPartShape!$B:$B,0)),"-")</f>
        <v>-</v>
      </c>
      <c r="P94" s="4"/>
      <c r="Q94" s="11" t="str">
        <f>IFERROR(INDEX(ShipPartShape!$A:$A,MATCH(P94,ShipPartShape!$B:$B,0)),"-")</f>
        <v>-</v>
      </c>
      <c r="R94" s="4"/>
      <c r="S94" s="11" t="str">
        <f>IFERROR(INDEX(ShipPartShape!$A:$A,MATCH(R94,ShipPartShape!$B:$B,0)),"-")</f>
        <v>-</v>
      </c>
      <c r="T94" s="4"/>
      <c r="U94" s="11" t="str">
        <f>IFERROR(INDEX(ShipPartShape!$A:$A,MATCH(T94,ShipPartShape!$B:$B,0)),"-")</f>
        <v>-</v>
      </c>
      <c r="V94" s="4"/>
      <c r="W94" s="11" t="str">
        <f>IFERROR(INDEX(ShipPartShape!$A:$A,MATCH(V94,ShipPartShape!$B:$B,0)),"-")</f>
        <v>-</v>
      </c>
      <c r="X94" s="4"/>
      <c r="Y94" s="11" t="str">
        <f>IFERROR(INDEX(ShipPartShape!$A:$A,MATCH(X94,ShipPartShape!$B:$B,0)),"-")</f>
        <v>-</v>
      </c>
      <c r="Z94" s="4"/>
      <c r="AA94" s="11" t="str">
        <f>IFERROR(INDEX(ShipPartShape!$A:$A,MATCH(Z94,ShipPartShape!$B:$B,0)),"-")</f>
        <v>-</v>
      </c>
      <c r="AB94" s="4" t="s">
        <v>1852</v>
      </c>
      <c r="AC94" s="11">
        <f>IFERROR(INDEX(ShipPartShape!$A:$A,MATCH(AB94,ShipPartShape!$B:$B,0)),"-")</f>
        <v>46100046</v>
      </c>
      <c r="AD94" s="4"/>
      <c r="AE94" s="11" t="s">
        <v>0</v>
      </c>
      <c r="AF94" s="4"/>
      <c r="AG94" s="11" t="s">
        <v>0</v>
      </c>
      <c r="AH94" s="11" t="s">
        <v>0</v>
      </c>
      <c r="AI94" s="11" t="s">
        <v>0</v>
      </c>
      <c r="AJ94" s="11" t="s">
        <v>0</v>
      </c>
      <c r="AK94" s="11" t="s">
        <v>0</v>
      </c>
      <c r="AL94" s="11" t="s">
        <v>0</v>
      </c>
      <c r="AM94" s="11" t="s">
        <v>0</v>
      </c>
      <c r="AN94" s="11" t="s">
        <v>0</v>
      </c>
      <c r="AO94" s="11" t="s">
        <v>0</v>
      </c>
      <c r="AP94" s="11" t="s">
        <v>0</v>
      </c>
      <c r="AQ94" s="11" t="s">
        <v>0</v>
      </c>
      <c r="AR94" s="11" t="s">
        <v>0</v>
      </c>
    </row>
    <row r="95" spans="1:44" ht="15">
      <c r="A95" s="10">
        <f t="shared" si="8"/>
        <v>45000085</v>
      </c>
      <c r="B95" s="23" t="s">
        <v>1050</v>
      </c>
      <c r="C95" s="11" t="s">
        <v>1051</v>
      </c>
      <c r="D95" s="4" t="s">
        <v>1046</v>
      </c>
      <c r="E95" s="11">
        <v>700</v>
      </c>
      <c r="F95" s="11">
        <v>80</v>
      </c>
      <c r="G95" s="11">
        <f>IFERROR(INDEX(ShipPartShape!$A:$A,MATCH(D95,ShipPartShape!$B:$B,0)),"-")</f>
        <v>46000073</v>
      </c>
      <c r="H95" s="4" t="s">
        <v>71</v>
      </c>
      <c r="I95" s="11">
        <f>IFERROR(INDEX(ShipPartShape!$A:$A,MATCH(H95,ShipPartShape!$B:$B,0)),"-")</f>
        <v>46700001</v>
      </c>
      <c r="J95" s="4" t="s">
        <v>70</v>
      </c>
      <c r="K95" s="11">
        <f>IFERROR(INDEX(ShipPartShape!$A:$A,MATCH(J95,ShipPartShape!$B:$B,0)),"-")</f>
        <v>46300001</v>
      </c>
      <c r="L95" s="4"/>
      <c r="M95" s="11" t="str">
        <f>IFERROR(INDEX(ShipPartShape!$A:$A,MATCH(L95,ShipPartShape!$B:$B,0)),"-")</f>
        <v>-</v>
      </c>
      <c r="N95" s="4"/>
      <c r="O95" s="11" t="str">
        <f>IFERROR(INDEX(ShipPartShape!$A:$A,MATCH(N95,ShipPartShape!$B:$B,0)),"-")</f>
        <v>-</v>
      </c>
      <c r="P95" s="4"/>
      <c r="Q95" s="11" t="str">
        <f>IFERROR(INDEX(ShipPartShape!$A:$A,MATCH(P95,ShipPartShape!$B:$B,0)),"-")</f>
        <v>-</v>
      </c>
      <c r="R95" s="4" t="s">
        <v>916</v>
      </c>
      <c r="S95" s="11">
        <f>IFERROR(INDEX(ShipPartShape!$A:$A,MATCH(R95,ShipPartShape!$B:$B,0)),"-")</f>
        <v>46600001</v>
      </c>
      <c r="T95" s="4" t="s">
        <v>917</v>
      </c>
      <c r="U95" s="11">
        <f>IFERROR(INDEX(ShipPartShape!$A:$A,MATCH(T95,ShipPartShape!$B:$B,0)),"-")</f>
        <v>46600002</v>
      </c>
      <c r="V95" s="4" t="s">
        <v>919</v>
      </c>
      <c r="W95" s="11">
        <f>IFERROR(INDEX(ShipPartShape!$A:$A,MATCH(V95,ShipPartShape!$B:$B,0)),"-")</f>
        <v>46600005</v>
      </c>
      <c r="X95" s="4"/>
      <c r="Y95" s="11" t="str">
        <f>IFERROR(INDEX(ShipPartShape!$A:$A,MATCH(X95,ShipPartShape!$B:$B,0)),"-")</f>
        <v>-</v>
      </c>
      <c r="Z95" s="4"/>
      <c r="AA95" s="11" t="str">
        <f>IFERROR(INDEX(ShipPartShape!$A:$A,MATCH(Z95,ShipPartShape!$B:$B,0)),"-")</f>
        <v>-</v>
      </c>
      <c r="AB95" s="4" t="s">
        <v>1853</v>
      </c>
      <c r="AC95" s="11">
        <f>IFERROR(INDEX(ShipPartShape!$A:$A,MATCH(AB95,ShipPartShape!$B:$B,0)),"-")</f>
        <v>46100047</v>
      </c>
      <c r="AD95" s="4"/>
      <c r="AE95" s="11" t="s">
        <v>0</v>
      </c>
      <c r="AF95" s="4"/>
      <c r="AG95" s="11" t="s">
        <v>0</v>
      </c>
      <c r="AH95" s="11" t="s">
        <v>0</v>
      </c>
      <c r="AI95" s="11" t="s">
        <v>0</v>
      </c>
      <c r="AJ95" s="11" t="s">
        <v>0</v>
      </c>
      <c r="AK95" s="11" t="s">
        <v>0</v>
      </c>
      <c r="AL95" s="11" t="s">
        <v>0</v>
      </c>
      <c r="AM95" s="11" t="s">
        <v>0</v>
      </c>
      <c r="AN95" s="11" t="s">
        <v>0</v>
      </c>
      <c r="AO95" s="11" t="s">
        <v>0</v>
      </c>
      <c r="AP95" s="11" t="s">
        <v>0</v>
      </c>
      <c r="AQ95" s="11" t="s">
        <v>0</v>
      </c>
      <c r="AR95" s="11" t="s">
        <v>0</v>
      </c>
    </row>
    <row r="96" spans="1:44" ht="15">
      <c r="A96" s="10">
        <f t="shared" si="8"/>
        <v>45000086</v>
      </c>
      <c r="B96" s="23" t="s">
        <v>1057</v>
      </c>
      <c r="C96" s="11" t="s">
        <v>1056</v>
      </c>
      <c r="D96" s="4" t="s">
        <v>1054</v>
      </c>
      <c r="E96" s="11">
        <v>700</v>
      </c>
      <c r="F96" s="11">
        <v>80</v>
      </c>
      <c r="G96" s="11">
        <f>IFERROR(INDEX(ShipPartShape!$A:$A,MATCH(D96,ShipPartShape!$B:$B,0)),"-")</f>
        <v>46000074</v>
      </c>
      <c r="H96" s="4" t="s">
        <v>71</v>
      </c>
      <c r="I96" s="11">
        <f>IFERROR(INDEX(ShipPartShape!$A:$A,MATCH(H96,ShipPartShape!$B:$B,0)),"-")</f>
        <v>46700001</v>
      </c>
      <c r="J96" s="4" t="s">
        <v>70</v>
      </c>
      <c r="K96" s="11">
        <f>IFERROR(INDEX(ShipPartShape!$A:$A,MATCH(J96,ShipPartShape!$B:$B,0)),"-")</f>
        <v>46300001</v>
      </c>
      <c r="L96" s="4"/>
      <c r="M96" s="11" t="str">
        <f>IFERROR(INDEX(ShipPartShape!$A:$A,MATCH(L96,ShipPartShape!$B:$B,0)),"-")</f>
        <v>-</v>
      </c>
      <c r="N96" s="4"/>
      <c r="O96" s="11" t="str">
        <f>IFERROR(INDEX(ShipPartShape!$A:$A,MATCH(N96,ShipPartShape!$B:$B,0)),"-")</f>
        <v>-</v>
      </c>
      <c r="P96" s="4"/>
      <c r="Q96" s="11" t="str">
        <f>IFERROR(INDEX(ShipPartShape!$A:$A,MATCH(P96,ShipPartShape!$B:$B,0)),"-")</f>
        <v>-</v>
      </c>
      <c r="R96" s="4" t="s">
        <v>917</v>
      </c>
      <c r="S96" s="11">
        <f>IFERROR(INDEX(ShipPartShape!$A:$A,MATCH(R96,ShipPartShape!$B:$B,0)),"-")</f>
        <v>46600002</v>
      </c>
      <c r="T96" s="4" t="s">
        <v>921</v>
      </c>
      <c r="U96" s="11">
        <f>IFERROR(INDEX(ShipPartShape!$A:$A,MATCH(T96,ShipPartShape!$B:$B,0)),"-")</f>
        <v>46600003</v>
      </c>
      <c r="V96" s="4" t="s">
        <v>923</v>
      </c>
      <c r="W96" s="11">
        <f>IFERROR(INDEX(ShipPartShape!$A:$A,MATCH(V96,ShipPartShape!$B:$B,0)),"-")</f>
        <v>46600004</v>
      </c>
      <c r="X96" s="4" t="s">
        <v>918</v>
      </c>
      <c r="Y96" s="11">
        <f>IFERROR(INDEX(ShipPartShape!$A:$A,MATCH(X96,ShipPartShape!$B:$B,0)),"-")</f>
        <v>46600007</v>
      </c>
      <c r="Z96" s="4"/>
      <c r="AA96" s="11" t="str">
        <f>IFERROR(INDEX(ShipPartShape!$A:$A,MATCH(Z96,ShipPartShape!$B:$B,0)),"-")</f>
        <v>-</v>
      </c>
      <c r="AB96" s="4" t="s">
        <v>1854</v>
      </c>
      <c r="AC96" s="11">
        <f>IFERROR(INDEX(ShipPartShape!$A:$A,MATCH(AB96,ShipPartShape!$B:$B,0)),"-")</f>
        <v>46100048</v>
      </c>
      <c r="AD96" s="4"/>
      <c r="AE96" s="11" t="s">
        <v>0</v>
      </c>
      <c r="AF96" s="4"/>
      <c r="AG96" s="11" t="s">
        <v>0</v>
      </c>
      <c r="AH96" s="11" t="s">
        <v>0</v>
      </c>
      <c r="AI96" s="11" t="s">
        <v>0</v>
      </c>
      <c r="AJ96" s="11" t="s">
        <v>0</v>
      </c>
      <c r="AK96" s="11" t="s">
        <v>0</v>
      </c>
      <c r="AL96" s="11" t="s">
        <v>0</v>
      </c>
      <c r="AM96" s="11" t="s">
        <v>0</v>
      </c>
      <c r="AN96" s="11" t="s">
        <v>0</v>
      </c>
      <c r="AO96" s="11" t="s">
        <v>0</v>
      </c>
      <c r="AP96" s="11" t="s">
        <v>0</v>
      </c>
      <c r="AQ96" s="11" t="s">
        <v>0</v>
      </c>
      <c r="AR96" s="11" t="s">
        <v>0</v>
      </c>
    </row>
    <row r="97" spans="1:44" ht="15">
      <c r="A97" s="10">
        <f t="shared" si="8"/>
        <v>45000087</v>
      </c>
      <c r="B97" s="23" t="s">
        <v>1075</v>
      </c>
      <c r="C97" s="11" t="s">
        <v>1078</v>
      </c>
      <c r="D97" s="4" t="s">
        <v>1079</v>
      </c>
      <c r="E97" s="11">
        <v>700</v>
      </c>
      <c r="F97" s="11">
        <v>80</v>
      </c>
      <c r="G97" s="11">
        <f>IFERROR(INDEX(ShipPartShape!$A:$A,MATCH(D97,ShipPartShape!$B:$B,0)),"-")</f>
        <v>46000075</v>
      </c>
      <c r="H97" s="4" t="s">
        <v>71</v>
      </c>
      <c r="I97" s="11">
        <f>IFERROR(INDEX(ShipPartShape!$A:$A,MATCH(H97,ShipPartShape!$B:$B,0)),"-")</f>
        <v>46700001</v>
      </c>
      <c r="J97" s="4" t="s">
        <v>70</v>
      </c>
      <c r="K97" s="11">
        <f>IFERROR(INDEX(ShipPartShape!$A:$A,MATCH(J97,ShipPartShape!$B:$B,0)),"-")</f>
        <v>46300001</v>
      </c>
      <c r="L97" s="4"/>
      <c r="M97" s="11" t="str">
        <f>IFERROR(INDEX(ShipPartShape!$A:$A,MATCH(L97,ShipPartShape!$B:$B,0)),"-")</f>
        <v>-</v>
      </c>
      <c r="N97" s="4"/>
      <c r="O97" s="11" t="str">
        <f>IFERROR(INDEX(ShipPartShape!$A:$A,MATCH(N97,ShipPartShape!$B:$B,0)),"-")</f>
        <v>-</v>
      </c>
      <c r="P97" s="4"/>
      <c r="Q97" s="11" t="str">
        <f>IFERROR(INDEX(ShipPartShape!$A:$A,MATCH(P97,ShipPartShape!$B:$B,0)),"-")</f>
        <v>-</v>
      </c>
      <c r="R97" s="4" t="s">
        <v>923</v>
      </c>
      <c r="S97" s="11">
        <f>IFERROR(INDEX(ShipPartShape!$A:$A,MATCH(R97,ShipPartShape!$B:$B,0)),"-")</f>
        <v>46600004</v>
      </c>
      <c r="T97" s="4" t="s">
        <v>925</v>
      </c>
      <c r="U97" s="11">
        <f>IFERROR(INDEX(ShipPartShape!$A:$A,MATCH(T97,ShipPartShape!$B:$B,0)),"-")</f>
        <v>46600006</v>
      </c>
      <c r="V97" s="4" t="s">
        <v>918</v>
      </c>
      <c r="W97" s="11">
        <f>IFERROR(INDEX(ShipPartShape!$A:$A,MATCH(V97,ShipPartShape!$B:$B,0)),"-")</f>
        <v>46600007</v>
      </c>
      <c r="X97" s="4"/>
      <c r="Y97" s="11" t="str">
        <f>IFERROR(INDEX(ShipPartShape!$A:$A,MATCH(X97,ShipPartShape!$B:$B,0)),"-")</f>
        <v>-</v>
      </c>
      <c r="Z97" s="4"/>
      <c r="AA97" s="11" t="str">
        <f>IFERROR(INDEX(ShipPartShape!$A:$A,MATCH(Z97,ShipPartShape!$B:$B,0)),"-")</f>
        <v>-</v>
      </c>
      <c r="AB97" s="4" t="s">
        <v>1855</v>
      </c>
      <c r="AC97" s="11">
        <f>IFERROR(INDEX(ShipPartShape!$A:$A,MATCH(AB97,ShipPartShape!$B:$B,0)),"-")</f>
        <v>46100049</v>
      </c>
      <c r="AD97" s="4"/>
      <c r="AE97" s="11" t="s">
        <v>0</v>
      </c>
      <c r="AF97" s="4"/>
      <c r="AG97" s="11" t="s">
        <v>0</v>
      </c>
      <c r="AH97" s="11" t="s">
        <v>0</v>
      </c>
      <c r="AI97" s="11" t="s">
        <v>0</v>
      </c>
      <c r="AJ97" s="11" t="s">
        <v>0</v>
      </c>
      <c r="AK97" s="11" t="s">
        <v>0</v>
      </c>
      <c r="AL97" s="11" t="s">
        <v>0</v>
      </c>
      <c r="AM97" s="11" t="s">
        <v>0</v>
      </c>
      <c r="AN97" s="11" t="s">
        <v>0</v>
      </c>
      <c r="AO97" s="11" t="s">
        <v>0</v>
      </c>
      <c r="AP97" s="11" t="s">
        <v>0</v>
      </c>
      <c r="AQ97" s="11" t="s">
        <v>0</v>
      </c>
      <c r="AR97" s="11" t="s">
        <v>0</v>
      </c>
    </row>
    <row r="98" spans="1:44" ht="15">
      <c r="A98" s="10">
        <f t="shared" si="8"/>
        <v>45000088</v>
      </c>
      <c r="B98" s="23" t="s">
        <v>1112</v>
      </c>
      <c r="C98" s="11" t="s">
        <v>1113</v>
      </c>
      <c r="D98" s="4" t="s">
        <v>1108</v>
      </c>
      <c r="E98" s="11">
        <v>700</v>
      </c>
      <c r="F98" s="11">
        <v>80</v>
      </c>
      <c r="G98" s="11">
        <f>IFERROR(INDEX(ShipPartShape!$A:$A,MATCH(D98,ShipPartShape!$B:$B,0)),"-")</f>
        <v>46000076</v>
      </c>
      <c r="H98" s="4" t="s">
        <v>71</v>
      </c>
      <c r="I98" s="11">
        <f>IFERROR(INDEX(ShipPartShape!$A:$A,MATCH(H98,ShipPartShape!$B:$B,0)),"-")</f>
        <v>46700001</v>
      </c>
      <c r="J98" s="4" t="s">
        <v>70</v>
      </c>
      <c r="K98" s="11">
        <f>IFERROR(INDEX(ShipPartShape!$A:$A,MATCH(J98,ShipPartShape!$B:$B,0)),"-")</f>
        <v>46300001</v>
      </c>
      <c r="L98" s="4"/>
      <c r="M98" s="11" t="str">
        <f>IFERROR(INDEX(ShipPartShape!$A:$A,MATCH(L98,ShipPartShape!$B:$B,0)),"-")</f>
        <v>-</v>
      </c>
      <c r="N98" s="4"/>
      <c r="O98" s="11" t="str">
        <f>IFERROR(INDEX(ShipPartShape!$A:$A,MATCH(N98,ShipPartShape!$B:$B,0)),"-")</f>
        <v>-</v>
      </c>
      <c r="P98" s="4"/>
      <c r="Q98" s="11" t="str">
        <f>IFERROR(INDEX(ShipPartShape!$A:$A,MATCH(P98,ShipPartShape!$B:$B,0)),"-")</f>
        <v>-</v>
      </c>
      <c r="R98" s="4" t="s">
        <v>916</v>
      </c>
      <c r="S98" s="11">
        <f>IFERROR(INDEX(ShipPartShape!$A:$A,MATCH(R98,ShipPartShape!$B:$B,0)),"-")</f>
        <v>46600001</v>
      </c>
      <c r="T98" s="4" t="s">
        <v>921</v>
      </c>
      <c r="U98" s="11">
        <f>IFERROR(INDEX(ShipPartShape!$A:$A,MATCH(T98,ShipPartShape!$B:$B,0)),"-")</f>
        <v>46600003</v>
      </c>
      <c r="V98" s="4" t="s">
        <v>919</v>
      </c>
      <c r="W98" s="11">
        <f>IFERROR(INDEX(ShipPartShape!$A:$A,MATCH(V98,ShipPartShape!$B:$B,0)),"-")</f>
        <v>46600005</v>
      </c>
      <c r="X98" s="4" t="s">
        <v>925</v>
      </c>
      <c r="Y98" s="11">
        <f>IFERROR(INDEX(ShipPartShape!$A:$A,MATCH(X98,ShipPartShape!$B:$B,0)),"-")</f>
        <v>46600006</v>
      </c>
      <c r="Z98" s="4" t="s">
        <v>922</v>
      </c>
      <c r="AA98" s="11">
        <f>IFERROR(INDEX(ShipPartShape!$A:$A,MATCH(Z98,ShipPartShape!$B:$B,0)),"-")</f>
        <v>46600008</v>
      </c>
      <c r="AB98" s="4" t="s">
        <v>1856</v>
      </c>
      <c r="AC98" s="11">
        <f>IFERROR(INDEX(ShipPartShape!$A:$A,MATCH(AB98,ShipPartShape!$B:$B,0)),"-")</f>
        <v>46100050</v>
      </c>
      <c r="AD98" s="4"/>
      <c r="AE98" s="11" t="s">
        <v>0</v>
      </c>
      <c r="AF98" s="4"/>
      <c r="AG98" s="11" t="s">
        <v>0</v>
      </c>
      <c r="AH98" s="11" t="s">
        <v>0</v>
      </c>
      <c r="AI98" s="11" t="s">
        <v>0</v>
      </c>
      <c r="AJ98" s="11" t="s">
        <v>0</v>
      </c>
      <c r="AK98" s="11" t="s">
        <v>0</v>
      </c>
      <c r="AL98" s="11" t="s">
        <v>0</v>
      </c>
      <c r="AM98" s="11" t="s">
        <v>0</v>
      </c>
      <c r="AN98" s="11" t="s">
        <v>0</v>
      </c>
      <c r="AO98" s="11" t="s">
        <v>0</v>
      </c>
      <c r="AP98" s="11" t="s">
        <v>0</v>
      </c>
      <c r="AQ98" s="11" t="s">
        <v>0</v>
      </c>
      <c r="AR98" s="11" t="s">
        <v>0</v>
      </c>
    </row>
    <row r="99" spans="1:44" ht="15">
      <c r="A99" s="10">
        <f t="shared" si="8"/>
        <v>45000089</v>
      </c>
      <c r="B99" s="23" t="s">
        <v>1288</v>
      </c>
      <c r="C99" s="11" t="s">
        <v>1287</v>
      </c>
      <c r="D99" s="4" t="s">
        <v>1283</v>
      </c>
      <c r="E99" s="11">
        <v>700</v>
      </c>
      <c r="F99" s="11">
        <v>80</v>
      </c>
      <c r="G99" s="11">
        <f>IFERROR(INDEX(ShipPartShape!$A:$A,MATCH(D99,ShipPartShape!$B:$B,0)),"-")</f>
        <v>46000077</v>
      </c>
      <c r="H99" s="4" t="s">
        <v>71</v>
      </c>
      <c r="I99" s="11">
        <f>IFERROR(INDEX(ShipPartShape!$A:$A,MATCH(H99,ShipPartShape!$B:$B,0)),"-")</f>
        <v>46700001</v>
      </c>
      <c r="J99" s="4"/>
      <c r="K99" s="11" t="str">
        <f>IFERROR(INDEX(ShipPartShape!$A:$A,MATCH(J99,ShipPartShape!$B:$B,0)),"-")</f>
        <v>-</v>
      </c>
      <c r="L99" s="4"/>
      <c r="M99" s="11" t="str">
        <f>IFERROR(INDEX(ShipPartShape!$A:$A,MATCH(L99,ShipPartShape!$B:$B,0)),"-")</f>
        <v>-</v>
      </c>
      <c r="N99" s="4"/>
      <c r="O99" s="11" t="str">
        <f>IFERROR(INDEX(ShipPartShape!$A:$A,MATCH(N99,ShipPartShape!$B:$B,0)),"-")</f>
        <v>-</v>
      </c>
      <c r="P99" s="4"/>
      <c r="Q99" s="11" t="str">
        <f>IFERROR(INDEX(ShipPartShape!$A:$A,MATCH(P99,ShipPartShape!$B:$B,0)),"-")</f>
        <v>-</v>
      </c>
      <c r="R99" s="4" t="s">
        <v>921</v>
      </c>
      <c r="S99" s="11">
        <f>IFERROR(INDEX(ShipPartShape!$A:$A,MATCH(R99,ShipPartShape!$B:$B,0)),"-")</f>
        <v>46600003</v>
      </c>
      <c r="T99" s="4" t="s">
        <v>923</v>
      </c>
      <c r="U99" s="11">
        <f>IFERROR(INDEX(ShipPartShape!$A:$A,MATCH(T99,ShipPartShape!$B:$B,0)),"-")</f>
        <v>46600004</v>
      </c>
      <c r="V99" s="4" t="s">
        <v>918</v>
      </c>
      <c r="W99" s="11">
        <f>IFERROR(INDEX(ShipPartShape!$A:$A,MATCH(V99,ShipPartShape!$B:$B,0)),"-")</f>
        <v>46600007</v>
      </c>
      <c r="X99" s="4" t="s">
        <v>926</v>
      </c>
      <c r="Y99" s="11">
        <f>IFERROR(INDEX(ShipPartShape!$A:$A,MATCH(X99,ShipPartShape!$B:$B,0)),"-")</f>
        <v>46600010</v>
      </c>
      <c r="Z99" s="4"/>
      <c r="AA99" s="11" t="str">
        <f>IFERROR(INDEX(ShipPartShape!$A:$A,MATCH(Z99,ShipPartShape!$B:$B,0)),"-")</f>
        <v>-</v>
      </c>
      <c r="AB99" s="4" t="s">
        <v>1858</v>
      </c>
      <c r="AC99" s="11">
        <f>IFERROR(INDEX(ShipPartShape!$A:$A,MATCH(AB99,ShipPartShape!$B:$B,0)),"-")</f>
        <v>46100051</v>
      </c>
      <c r="AD99" s="4"/>
      <c r="AE99" s="11" t="s">
        <v>0</v>
      </c>
      <c r="AF99" s="4"/>
      <c r="AG99" s="11" t="s">
        <v>0</v>
      </c>
      <c r="AH99" s="11" t="s">
        <v>0</v>
      </c>
      <c r="AI99" s="11" t="s">
        <v>0</v>
      </c>
      <c r="AJ99" s="11" t="s">
        <v>0</v>
      </c>
      <c r="AK99" s="11" t="s">
        <v>0</v>
      </c>
      <c r="AL99" s="11" t="s">
        <v>0</v>
      </c>
      <c r="AM99" s="11" t="s">
        <v>0</v>
      </c>
      <c r="AN99" s="11" t="s">
        <v>0</v>
      </c>
      <c r="AO99" s="11" t="s">
        <v>0</v>
      </c>
      <c r="AP99" s="11" t="s">
        <v>0</v>
      </c>
      <c r="AQ99" s="11" t="s">
        <v>0</v>
      </c>
      <c r="AR99" s="11" t="s">
        <v>0</v>
      </c>
    </row>
    <row r="100" spans="1:44" ht="15">
      <c r="A100" s="10">
        <f t="shared" si="8"/>
        <v>45000090</v>
      </c>
      <c r="B100" s="23" t="s">
        <v>1434</v>
      </c>
      <c r="C100" s="11" t="s">
        <v>1435</v>
      </c>
      <c r="D100" s="4" t="s">
        <v>1430</v>
      </c>
      <c r="E100" s="11">
        <v>700</v>
      </c>
      <c r="F100" s="11">
        <v>80</v>
      </c>
      <c r="G100" s="11">
        <f>IFERROR(INDEX(ShipPartShape!$A:$A,MATCH(D100,ShipPartShape!$B:$B,0)),"-")</f>
        <v>46000078</v>
      </c>
      <c r="H100" s="4" t="s">
        <v>71</v>
      </c>
      <c r="I100" s="11">
        <f>IFERROR(INDEX(ShipPartShape!$A:$A,MATCH(H100,ShipPartShape!$B:$B,0)),"-")</f>
        <v>46700001</v>
      </c>
      <c r="J100" s="4" t="s">
        <v>70</v>
      </c>
      <c r="K100" s="11">
        <f>IFERROR(INDEX(ShipPartShape!$A:$A,MATCH(J100,ShipPartShape!$B:$B,0)),"-")</f>
        <v>46300001</v>
      </c>
      <c r="L100" s="4"/>
      <c r="M100" s="11" t="str">
        <f>IFERROR(INDEX(ShipPartShape!$A:$A,MATCH(L100,ShipPartShape!$B:$B,0)),"-")</f>
        <v>-</v>
      </c>
      <c r="N100" s="4"/>
      <c r="O100" s="11" t="str">
        <f>IFERROR(INDEX(ShipPartShape!$A:$A,MATCH(N100,ShipPartShape!$B:$B,0)),"-")</f>
        <v>-</v>
      </c>
      <c r="P100" s="4"/>
      <c r="Q100" s="11" t="str">
        <f>IFERROR(INDEX(ShipPartShape!$A:$A,MATCH(P100,ShipPartShape!$B:$B,0)),"-")</f>
        <v>-</v>
      </c>
      <c r="R100" s="4" t="s">
        <v>916</v>
      </c>
      <c r="S100" s="11">
        <f>IFERROR(INDEX(ShipPartShape!$A:$A,MATCH(R100,ShipPartShape!$B:$B,0)),"-")</f>
        <v>46600001</v>
      </c>
      <c r="T100" s="4" t="s">
        <v>919</v>
      </c>
      <c r="U100" s="11">
        <f>IFERROR(INDEX(ShipPartShape!$A:$A,MATCH(T100,ShipPartShape!$B:$B,0)),"-")</f>
        <v>46600005</v>
      </c>
      <c r="V100" s="4" t="s">
        <v>918</v>
      </c>
      <c r="W100" s="11">
        <f>IFERROR(INDEX(ShipPartShape!$A:$A,MATCH(V100,ShipPartShape!$B:$B,0)),"-")</f>
        <v>46600007</v>
      </c>
      <c r="X100" s="4"/>
      <c r="Y100" s="11" t="str">
        <f>IFERROR(INDEX(ShipPartShape!$A:$A,MATCH(X100,ShipPartShape!$B:$B,0)),"-")</f>
        <v>-</v>
      </c>
      <c r="Z100" s="4"/>
      <c r="AA100" s="11" t="str">
        <f>IFERROR(INDEX(ShipPartShape!$A:$A,MATCH(Z100,ShipPartShape!$B:$B,0)),"-")</f>
        <v>-</v>
      </c>
      <c r="AB100" s="4" t="s">
        <v>1859</v>
      </c>
      <c r="AC100" s="11">
        <f>IFERROR(INDEX(ShipPartShape!$A:$A,MATCH(AB100,ShipPartShape!$B:$B,0)),"-")</f>
        <v>46100052</v>
      </c>
      <c r="AD100" s="4"/>
      <c r="AE100" s="11" t="s">
        <v>0</v>
      </c>
      <c r="AF100" s="4"/>
      <c r="AG100" s="11" t="s">
        <v>0</v>
      </c>
      <c r="AH100" s="11" t="s">
        <v>0</v>
      </c>
      <c r="AI100" s="11" t="s">
        <v>0</v>
      </c>
      <c r="AJ100" s="11" t="s">
        <v>0</v>
      </c>
      <c r="AK100" s="11" t="s">
        <v>0</v>
      </c>
      <c r="AL100" s="11" t="s">
        <v>0</v>
      </c>
      <c r="AM100" s="11" t="s">
        <v>0</v>
      </c>
      <c r="AN100" s="11" t="s">
        <v>0</v>
      </c>
      <c r="AO100" s="11" t="s">
        <v>0</v>
      </c>
      <c r="AP100" s="11" t="s">
        <v>0</v>
      </c>
      <c r="AQ100" s="11" t="s">
        <v>0</v>
      </c>
      <c r="AR100" s="11" t="s">
        <v>0</v>
      </c>
    </row>
    <row r="101" spans="1:44" ht="15">
      <c r="A101" s="10">
        <f t="shared" si="8"/>
        <v>45000091</v>
      </c>
      <c r="B101" s="23" t="s">
        <v>1440</v>
      </c>
      <c r="C101" s="11" t="s">
        <v>1441</v>
      </c>
      <c r="D101" s="4" t="s">
        <v>1436</v>
      </c>
      <c r="E101" s="11">
        <v>700</v>
      </c>
      <c r="F101" s="11">
        <v>80</v>
      </c>
      <c r="G101" s="11">
        <f>IFERROR(INDEX(ShipPartShape!$A:$A,MATCH(D101,ShipPartShape!$B:$B,0)),"-")</f>
        <v>46000079</v>
      </c>
      <c r="H101" s="4" t="s">
        <v>71</v>
      </c>
      <c r="I101" s="11">
        <f>IFERROR(INDEX(ShipPartShape!$A:$A,MATCH(H101,ShipPartShape!$B:$B,0)),"-")</f>
        <v>46700001</v>
      </c>
      <c r="J101" s="4" t="s">
        <v>70</v>
      </c>
      <c r="K101" s="11">
        <f>IFERROR(INDEX(ShipPartShape!$A:$A,MATCH(J101,ShipPartShape!$B:$B,0)),"-")</f>
        <v>46300001</v>
      </c>
      <c r="L101" s="4"/>
      <c r="M101" s="11" t="str">
        <f>IFERROR(INDEX(ShipPartShape!$A:$A,MATCH(L101,ShipPartShape!$B:$B,0)),"-")</f>
        <v>-</v>
      </c>
      <c r="N101" s="4"/>
      <c r="O101" s="11" t="str">
        <f>IFERROR(INDEX(ShipPartShape!$A:$A,MATCH(N101,ShipPartShape!$B:$B,0)),"-")</f>
        <v>-</v>
      </c>
      <c r="P101" s="4"/>
      <c r="Q101" s="11" t="str">
        <f>IFERROR(INDEX(ShipPartShape!$A:$A,MATCH(P101,ShipPartShape!$B:$B,0)),"-")</f>
        <v>-</v>
      </c>
      <c r="R101" s="4" t="s">
        <v>917</v>
      </c>
      <c r="S101" s="11">
        <f>IFERROR(INDEX(ShipPartShape!$A:$A,MATCH(R101,ShipPartShape!$B:$B,0)),"-")</f>
        <v>46600002</v>
      </c>
      <c r="T101" s="4" t="s">
        <v>919</v>
      </c>
      <c r="U101" s="11">
        <f>IFERROR(INDEX(ShipPartShape!$A:$A,MATCH(T101,ShipPartShape!$B:$B,0)),"-")</f>
        <v>46600005</v>
      </c>
      <c r="V101" s="4" t="s">
        <v>918</v>
      </c>
      <c r="W101" s="11">
        <f>IFERROR(INDEX(ShipPartShape!$A:$A,MATCH(V101,ShipPartShape!$B:$B,0)),"-")</f>
        <v>46600007</v>
      </c>
      <c r="X101" s="4"/>
      <c r="Y101" s="11" t="str">
        <f>IFERROR(INDEX(ShipPartShape!$A:$A,MATCH(X101,ShipPartShape!$B:$B,0)),"-")</f>
        <v>-</v>
      </c>
      <c r="Z101" s="4"/>
      <c r="AA101" s="11" t="str">
        <f>IFERROR(INDEX(ShipPartShape!$A:$A,MATCH(Z101,ShipPartShape!$B:$B,0)),"-")</f>
        <v>-</v>
      </c>
      <c r="AB101" s="4" t="s">
        <v>1860</v>
      </c>
      <c r="AC101" s="11">
        <f>IFERROR(INDEX(ShipPartShape!$A:$A,MATCH(AB101,ShipPartShape!$B:$B,0)),"-")</f>
        <v>46100053</v>
      </c>
      <c r="AD101" s="4"/>
      <c r="AE101" s="11" t="s">
        <v>0</v>
      </c>
      <c r="AF101" s="4"/>
      <c r="AG101" s="11" t="s">
        <v>0</v>
      </c>
      <c r="AH101" s="11" t="s">
        <v>0</v>
      </c>
      <c r="AI101" s="11" t="s">
        <v>0</v>
      </c>
      <c r="AJ101" s="11" t="s">
        <v>0</v>
      </c>
      <c r="AK101" s="11" t="s">
        <v>0</v>
      </c>
      <c r="AL101" s="11" t="s">
        <v>0</v>
      </c>
      <c r="AM101" s="11" t="s">
        <v>0</v>
      </c>
      <c r="AN101" s="11" t="s">
        <v>0</v>
      </c>
      <c r="AO101" s="11" t="s">
        <v>0</v>
      </c>
      <c r="AP101" s="11" t="s">
        <v>0</v>
      </c>
      <c r="AQ101" s="11" t="s">
        <v>0</v>
      </c>
      <c r="AR101" s="11" t="s">
        <v>0</v>
      </c>
    </row>
    <row r="102" spans="1:44" ht="15">
      <c r="A102" s="10">
        <f t="shared" si="8"/>
        <v>45000092</v>
      </c>
      <c r="B102" s="23" t="s">
        <v>1448</v>
      </c>
      <c r="C102" s="11" t="s">
        <v>1449</v>
      </c>
      <c r="D102" s="4" t="s">
        <v>1442</v>
      </c>
      <c r="E102" s="11">
        <v>700</v>
      </c>
      <c r="F102" s="11">
        <v>80</v>
      </c>
      <c r="G102" s="11">
        <f>IFERROR(INDEX(ShipPartShape!$A:$A,MATCH(D102,ShipPartShape!$B:$B,0)),"-")</f>
        <v>46000080</v>
      </c>
      <c r="H102" s="4" t="s">
        <v>71</v>
      </c>
      <c r="I102" s="11">
        <f>IFERROR(INDEX(ShipPartShape!$A:$A,MATCH(H102,ShipPartShape!$B:$B,0)),"-")</f>
        <v>46700001</v>
      </c>
      <c r="J102" s="4" t="s">
        <v>70</v>
      </c>
      <c r="K102" s="11">
        <f>IFERROR(INDEX(ShipPartShape!$A:$A,MATCH(J102,ShipPartShape!$B:$B,0)),"-")</f>
        <v>46300001</v>
      </c>
      <c r="L102" s="4"/>
      <c r="M102" s="11" t="str">
        <f>IFERROR(INDEX(ShipPartShape!$A:$A,MATCH(L102,ShipPartShape!$B:$B,0)),"-")</f>
        <v>-</v>
      </c>
      <c r="N102" s="4"/>
      <c r="O102" s="11" t="str">
        <f>IFERROR(INDEX(ShipPartShape!$A:$A,MATCH(N102,ShipPartShape!$B:$B,0)),"-")</f>
        <v>-</v>
      </c>
      <c r="P102" s="4"/>
      <c r="Q102" s="11" t="str">
        <f>IFERROR(INDEX(ShipPartShape!$A:$A,MATCH(P102,ShipPartShape!$B:$B,0)),"-")</f>
        <v>-</v>
      </c>
      <c r="R102" s="4" t="s">
        <v>916</v>
      </c>
      <c r="S102" s="11">
        <f>IFERROR(INDEX(ShipPartShape!$A:$A,MATCH(R102,ShipPartShape!$B:$B,0)),"-")</f>
        <v>46600001</v>
      </c>
      <c r="T102" s="4" t="s">
        <v>925</v>
      </c>
      <c r="U102" s="11">
        <f>IFERROR(INDEX(ShipPartShape!$A:$A,MATCH(T102,ShipPartShape!$B:$B,0)),"-")</f>
        <v>46600006</v>
      </c>
      <c r="V102" s="4" t="s">
        <v>926</v>
      </c>
      <c r="W102" s="11">
        <f>IFERROR(INDEX(ShipPartShape!$A:$A,MATCH(V102,ShipPartShape!$B:$B,0)),"-")</f>
        <v>46600010</v>
      </c>
      <c r="X102" s="4"/>
      <c r="Y102" s="11" t="str">
        <f>IFERROR(INDEX(ShipPartShape!$A:$A,MATCH(X102,ShipPartShape!$B:$B,0)),"-")</f>
        <v>-</v>
      </c>
      <c r="Z102" s="4"/>
      <c r="AA102" s="11" t="str">
        <f>IFERROR(INDEX(ShipPartShape!$A:$A,MATCH(Z102,ShipPartShape!$B:$B,0)),"-")</f>
        <v>-</v>
      </c>
      <c r="AB102" s="4" t="s">
        <v>1861</v>
      </c>
      <c r="AC102" s="11">
        <f>IFERROR(INDEX(ShipPartShape!$A:$A,MATCH(AB102,ShipPartShape!$B:$B,0)),"-")</f>
        <v>46100054</v>
      </c>
      <c r="AD102" s="4"/>
      <c r="AE102" s="11" t="s">
        <v>0</v>
      </c>
      <c r="AF102" s="4"/>
      <c r="AG102" s="11" t="s">
        <v>0</v>
      </c>
      <c r="AH102" s="11" t="s">
        <v>0</v>
      </c>
      <c r="AI102" s="11" t="s">
        <v>0</v>
      </c>
      <c r="AJ102" s="11" t="s">
        <v>0</v>
      </c>
      <c r="AK102" s="11" t="s">
        <v>0</v>
      </c>
      <c r="AL102" s="11" t="s">
        <v>0</v>
      </c>
      <c r="AM102" s="11" t="s">
        <v>0</v>
      </c>
      <c r="AN102" s="11" t="s">
        <v>0</v>
      </c>
      <c r="AO102" s="11" t="s">
        <v>0</v>
      </c>
      <c r="AP102" s="11" t="s">
        <v>0</v>
      </c>
      <c r="AQ102" s="11" t="s">
        <v>0</v>
      </c>
      <c r="AR102" s="11" t="s">
        <v>0</v>
      </c>
    </row>
    <row r="103" spans="1:44" ht="15">
      <c r="A103" s="10">
        <f t="shared" si="8"/>
        <v>45000093</v>
      </c>
      <c r="B103" s="23" t="s">
        <v>1452</v>
      </c>
      <c r="C103" s="11" t="s">
        <v>1450</v>
      </c>
      <c r="D103" s="4" t="s">
        <v>1454</v>
      </c>
      <c r="E103" s="11">
        <v>700</v>
      </c>
      <c r="F103" s="11">
        <v>80</v>
      </c>
      <c r="G103" s="11">
        <f>IFERROR(INDEX(ShipPartShape!$A:$A,MATCH(D103,ShipPartShape!$B:$B,0)),"-")</f>
        <v>46000081</v>
      </c>
      <c r="H103" s="4" t="s">
        <v>71</v>
      </c>
      <c r="I103" s="11">
        <f>IFERROR(INDEX(ShipPartShape!$A:$A,MATCH(H103,ShipPartShape!$B:$B,0)),"-")</f>
        <v>46700001</v>
      </c>
      <c r="J103" s="4" t="s">
        <v>70</v>
      </c>
      <c r="K103" s="11">
        <f>IFERROR(INDEX(ShipPartShape!$A:$A,MATCH(J103,ShipPartShape!$B:$B,0)),"-")</f>
        <v>46300001</v>
      </c>
      <c r="L103" s="4"/>
      <c r="M103" s="11" t="str">
        <f>IFERROR(INDEX(ShipPartShape!$A:$A,MATCH(L103,ShipPartShape!$B:$B,0)),"-")</f>
        <v>-</v>
      </c>
      <c r="N103" s="4"/>
      <c r="O103" s="11" t="str">
        <f>IFERROR(INDEX(ShipPartShape!$A:$A,MATCH(N103,ShipPartShape!$B:$B,0)),"-")</f>
        <v>-</v>
      </c>
      <c r="P103" s="4"/>
      <c r="Q103" s="11" t="str">
        <f>IFERROR(INDEX(ShipPartShape!$A:$A,MATCH(P103,ShipPartShape!$B:$B,0)),"-")</f>
        <v>-</v>
      </c>
      <c r="R103" s="4" t="s">
        <v>920</v>
      </c>
      <c r="S103" s="11">
        <f>IFERROR(INDEX(ShipPartShape!$A:$A,MATCH(R103,ShipPartShape!$B:$B,0)),"-")</f>
        <v>46600009</v>
      </c>
      <c r="T103" s="4" t="s">
        <v>926</v>
      </c>
      <c r="U103" s="11">
        <f>IFERROR(INDEX(ShipPartShape!$A:$A,MATCH(T103,ShipPartShape!$B:$B,0)),"-")</f>
        <v>46600010</v>
      </c>
      <c r="V103" s="4"/>
      <c r="W103" s="11" t="str">
        <f>IFERROR(INDEX(ShipPartShape!$A:$A,MATCH(V103,ShipPartShape!$B:$B,0)),"-")</f>
        <v>-</v>
      </c>
      <c r="X103" s="4"/>
      <c r="Y103" s="11" t="str">
        <f>IFERROR(INDEX(ShipPartShape!$A:$A,MATCH(X103,ShipPartShape!$B:$B,0)),"-")</f>
        <v>-</v>
      </c>
      <c r="Z103" s="4"/>
      <c r="AA103" s="11" t="str">
        <f>IFERROR(INDEX(ShipPartShape!$A:$A,MATCH(Z103,ShipPartShape!$B:$B,0)),"-")</f>
        <v>-</v>
      </c>
      <c r="AB103" s="4"/>
      <c r="AC103" s="11" t="str">
        <f>IFERROR(INDEX(ShipPartShape!$A:$A,MATCH(AB103,ShipPartShape!$B:$B,0)),"-")</f>
        <v>-</v>
      </c>
      <c r="AD103" s="4"/>
      <c r="AE103" s="11" t="s">
        <v>0</v>
      </c>
      <c r="AF103" s="4"/>
      <c r="AG103" s="11" t="s">
        <v>0</v>
      </c>
      <c r="AH103" s="11" t="s">
        <v>0</v>
      </c>
      <c r="AI103" s="11" t="s">
        <v>0</v>
      </c>
      <c r="AJ103" s="11" t="s">
        <v>0</v>
      </c>
      <c r="AK103" s="11" t="s">
        <v>0</v>
      </c>
      <c r="AL103" s="11" t="s">
        <v>0</v>
      </c>
      <c r="AM103" s="11" t="s">
        <v>0</v>
      </c>
      <c r="AN103" s="11" t="s">
        <v>0</v>
      </c>
      <c r="AO103" s="11" t="s">
        <v>0</v>
      </c>
      <c r="AP103" s="11" t="s">
        <v>0</v>
      </c>
      <c r="AQ103" s="11" t="s">
        <v>0</v>
      </c>
      <c r="AR103" s="11" t="s">
        <v>0</v>
      </c>
    </row>
    <row r="104" spans="1:44" ht="15">
      <c r="A104" s="10">
        <f t="shared" si="8"/>
        <v>45000094</v>
      </c>
      <c r="B104" s="23" t="s">
        <v>1738</v>
      </c>
      <c r="C104" s="11" t="s">
        <v>1736</v>
      </c>
      <c r="D104" s="4" t="s">
        <v>1722</v>
      </c>
      <c r="E104" s="11">
        <v>700</v>
      </c>
      <c r="F104" s="11">
        <v>80</v>
      </c>
      <c r="G104" s="11">
        <f>IFERROR(INDEX(ShipPartShape!$A:$A,MATCH(D104,ShipPartShape!$B:$B,0)),"-")</f>
        <v>46000082</v>
      </c>
      <c r="H104" s="4" t="s">
        <v>71</v>
      </c>
      <c r="I104" s="11">
        <f>IFERROR(INDEX(ShipPartShape!$A:$A,MATCH(H104,ShipPartShape!$B:$B,0)),"-")</f>
        <v>46700001</v>
      </c>
      <c r="J104" s="4"/>
      <c r="K104" s="11" t="str">
        <f>IFERROR(INDEX(ShipPartShape!$A:$A,MATCH(J104,ShipPartShape!$B:$B,0)),"-")</f>
        <v>-</v>
      </c>
      <c r="L104" s="4"/>
      <c r="M104" s="11" t="str">
        <f>IFERROR(INDEX(ShipPartShape!$A:$A,MATCH(L104,ShipPartShape!$B:$B,0)),"-")</f>
        <v>-</v>
      </c>
      <c r="N104" s="4"/>
      <c r="O104" s="11" t="str">
        <f>IFERROR(INDEX(ShipPartShape!$A:$A,MATCH(N104,ShipPartShape!$B:$B,0)),"-")</f>
        <v>-</v>
      </c>
      <c r="P104" s="4"/>
      <c r="Q104" s="11" t="str">
        <f>IFERROR(INDEX(ShipPartShape!$A:$A,MATCH(P104,ShipPartShape!$B:$B,0)),"-")</f>
        <v>-</v>
      </c>
      <c r="R104" s="4"/>
      <c r="S104" s="11" t="str">
        <f>IFERROR(INDEX(ShipPartShape!$A:$A,MATCH(R104,ShipPartShape!$B:$B,0)),"-")</f>
        <v>-</v>
      </c>
      <c r="T104" s="4"/>
      <c r="U104" s="11" t="str">
        <f>IFERROR(INDEX(ShipPartShape!$A:$A,MATCH(T104,ShipPartShape!$B:$B,0)),"-")</f>
        <v>-</v>
      </c>
      <c r="V104" s="4"/>
      <c r="W104" s="11" t="str">
        <f>IFERROR(INDEX(ShipPartShape!$A:$A,MATCH(V104,ShipPartShape!$B:$B,0)),"-")</f>
        <v>-</v>
      </c>
      <c r="X104" s="4"/>
      <c r="Y104" s="11" t="str">
        <f>IFERROR(INDEX(ShipPartShape!$A:$A,MATCH(X104,ShipPartShape!$B:$B,0)),"-")</f>
        <v>-</v>
      </c>
      <c r="Z104" s="4"/>
      <c r="AA104" s="11" t="str">
        <f>IFERROR(INDEX(ShipPartShape!$A:$A,MATCH(Z104,ShipPartShape!$B:$B,0)),"-")</f>
        <v>-</v>
      </c>
      <c r="AB104" s="4"/>
      <c r="AC104" s="11" t="str">
        <f>IFERROR(INDEX(ShipPartShape!$A:$A,MATCH(AB104,ShipPartShape!$B:$B,0)),"-")</f>
        <v>-</v>
      </c>
      <c r="AD104" s="4"/>
      <c r="AE104" s="11" t="s">
        <v>0</v>
      </c>
      <c r="AF104" s="4"/>
      <c r="AG104" s="11" t="s">
        <v>0</v>
      </c>
      <c r="AH104" s="11" t="s">
        <v>0</v>
      </c>
      <c r="AI104" s="11" t="s">
        <v>0</v>
      </c>
      <c r="AJ104" s="11" t="s">
        <v>0</v>
      </c>
      <c r="AK104" s="11" t="s">
        <v>0</v>
      </c>
      <c r="AL104" s="11" t="s">
        <v>0</v>
      </c>
      <c r="AM104" s="11" t="s">
        <v>0</v>
      </c>
      <c r="AN104" s="11" t="s">
        <v>0</v>
      </c>
      <c r="AO104" s="11" t="s">
        <v>0</v>
      </c>
      <c r="AP104" s="11" t="s">
        <v>0</v>
      </c>
      <c r="AQ104" s="11" t="s">
        <v>0</v>
      </c>
      <c r="AR104" s="11" t="s">
        <v>0</v>
      </c>
    </row>
    <row r="105" spans="1:44" ht="15">
      <c r="A105" s="10">
        <f t="shared" si="8"/>
        <v>45000095</v>
      </c>
      <c r="B105" s="23" t="s">
        <v>1734</v>
      </c>
      <c r="C105" s="11" t="s">
        <v>1737</v>
      </c>
      <c r="D105" s="4" t="s">
        <v>1724</v>
      </c>
      <c r="E105" s="11">
        <v>700</v>
      </c>
      <c r="F105" s="11">
        <v>80</v>
      </c>
      <c r="G105" s="11">
        <f>IFERROR(INDEX(ShipPartShape!$A:$A,MATCH(D105,ShipPartShape!$B:$B,0)),"-")</f>
        <v>46000083</v>
      </c>
      <c r="H105" s="4" t="s">
        <v>71</v>
      </c>
      <c r="I105" s="11">
        <f>IFERROR(INDEX(ShipPartShape!$A:$A,MATCH(H105,ShipPartShape!$B:$B,0)),"-")</f>
        <v>46700001</v>
      </c>
      <c r="J105" s="4" t="s">
        <v>70</v>
      </c>
      <c r="K105" s="11">
        <f>IFERROR(INDEX(ShipPartShape!$A:$A,MATCH(J105,ShipPartShape!$B:$B,0)),"-")</f>
        <v>46300001</v>
      </c>
      <c r="L105" s="4"/>
      <c r="M105" s="11" t="str">
        <f>IFERROR(INDEX(ShipPartShape!$A:$A,MATCH(L105,ShipPartShape!$B:$B,0)),"-")</f>
        <v>-</v>
      </c>
      <c r="N105" s="4"/>
      <c r="O105" s="11" t="str">
        <f>IFERROR(INDEX(ShipPartShape!$A:$A,MATCH(N105,ShipPartShape!$B:$B,0)),"-")</f>
        <v>-</v>
      </c>
      <c r="P105" s="4"/>
      <c r="Q105" s="11" t="str">
        <f>IFERROR(INDEX(ShipPartShape!$A:$A,MATCH(P105,ShipPartShape!$B:$B,0)),"-")</f>
        <v>-</v>
      </c>
      <c r="R105" s="4" t="s">
        <v>919</v>
      </c>
      <c r="S105" s="11">
        <f>IFERROR(INDEX(ShipPartShape!$A:$A,MATCH(R105,ShipPartShape!$B:$B,0)),"-")</f>
        <v>46600005</v>
      </c>
      <c r="T105" s="4" t="s">
        <v>918</v>
      </c>
      <c r="U105" s="11">
        <f>IFERROR(INDEX(ShipPartShape!$A:$A,MATCH(T105,ShipPartShape!$B:$B,0)),"-")</f>
        <v>46600007</v>
      </c>
      <c r="V105" s="4"/>
      <c r="W105" s="11" t="str">
        <f>IFERROR(INDEX(ShipPartShape!$A:$A,MATCH(V105,ShipPartShape!$B:$B,0)),"-")</f>
        <v>-</v>
      </c>
      <c r="X105" s="4"/>
      <c r="Y105" s="11" t="str">
        <f>IFERROR(INDEX(ShipPartShape!$A:$A,MATCH(X105,ShipPartShape!$B:$B,0)),"-")</f>
        <v>-</v>
      </c>
      <c r="Z105" s="4"/>
      <c r="AA105" s="11" t="str">
        <f>IFERROR(INDEX(ShipPartShape!$A:$A,MATCH(Z105,ShipPartShape!$B:$B,0)),"-")</f>
        <v>-</v>
      </c>
      <c r="AB105" s="4"/>
      <c r="AC105" s="11" t="str">
        <f>IFERROR(INDEX(ShipPartShape!$A:$A,MATCH(AB105,ShipPartShape!$B:$B,0)),"-")</f>
        <v>-</v>
      </c>
      <c r="AD105" s="4"/>
      <c r="AE105" s="11" t="s">
        <v>0</v>
      </c>
      <c r="AF105" s="4"/>
      <c r="AG105" s="11" t="s">
        <v>0</v>
      </c>
      <c r="AH105" s="11" t="s">
        <v>0</v>
      </c>
      <c r="AI105" s="11" t="s">
        <v>0</v>
      </c>
      <c r="AJ105" s="11" t="s">
        <v>0</v>
      </c>
      <c r="AK105" s="11" t="s">
        <v>0</v>
      </c>
      <c r="AL105" s="11" t="s">
        <v>0</v>
      </c>
      <c r="AM105" s="11" t="s">
        <v>0</v>
      </c>
      <c r="AN105" s="11" t="s">
        <v>0</v>
      </c>
      <c r="AO105" s="11" t="s">
        <v>0</v>
      </c>
      <c r="AP105" s="11" t="s">
        <v>0</v>
      </c>
      <c r="AQ105" s="11" t="s">
        <v>0</v>
      </c>
      <c r="AR105" s="11" t="s">
        <v>0</v>
      </c>
    </row>
    <row r="106" spans="1:44" ht="15">
      <c r="A106" s="10">
        <f t="shared" si="8"/>
        <v>45000096</v>
      </c>
      <c r="B106" s="23" t="s">
        <v>1735</v>
      </c>
      <c r="C106" s="11" t="s">
        <v>1739</v>
      </c>
      <c r="D106" s="4" t="s">
        <v>1726</v>
      </c>
      <c r="E106" s="11">
        <v>700</v>
      </c>
      <c r="F106" s="11">
        <v>80</v>
      </c>
      <c r="G106" s="11">
        <f>IFERROR(INDEX(ShipPartShape!$A:$A,MATCH(D106,ShipPartShape!$B:$B,0)),"-")</f>
        <v>46000084</v>
      </c>
      <c r="H106" s="4" t="s">
        <v>71</v>
      </c>
      <c r="I106" s="11">
        <f>IFERROR(INDEX(ShipPartShape!$A:$A,MATCH(H106,ShipPartShape!$B:$B,0)),"-")</f>
        <v>46700001</v>
      </c>
      <c r="J106" s="4" t="s">
        <v>70</v>
      </c>
      <c r="K106" s="11">
        <f>IFERROR(INDEX(ShipPartShape!$A:$A,MATCH(J106,ShipPartShape!$B:$B,0)),"-")</f>
        <v>46300001</v>
      </c>
      <c r="L106" s="4"/>
      <c r="M106" s="11" t="str">
        <f>IFERROR(INDEX(ShipPartShape!$A:$A,MATCH(L106,ShipPartShape!$B:$B,0)),"-")</f>
        <v>-</v>
      </c>
      <c r="N106" s="4"/>
      <c r="O106" s="11" t="str">
        <f>IFERROR(INDEX(ShipPartShape!$A:$A,MATCH(N106,ShipPartShape!$B:$B,0)),"-")</f>
        <v>-</v>
      </c>
      <c r="P106" s="4"/>
      <c r="Q106" s="11" t="str">
        <f>IFERROR(INDEX(ShipPartShape!$A:$A,MATCH(P106,ShipPartShape!$B:$B,0)),"-")</f>
        <v>-</v>
      </c>
      <c r="R106" s="4" t="s">
        <v>917</v>
      </c>
      <c r="S106" s="11">
        <f>IFERROR(INDEX(ShipPartShape!$A:$A,MATCH(R106,ShipPartShape!$B:$B,0)),"-")</f>
        <v>46600002</v>
      </c>
      <c r="T106" s="4" t="s">
        <v>1812</v>
      </c>
      <c r="U106" s="11" t="str">
        <f>IFERROR(INDEX(ShipPartShape!$A:$A,MATCH(T106,ShipPartShape!$B:$B,0)),"-")</f>
        <v>-</v>
      </c>
      <c r="V106" s="4" t="s">
        <v>926</v>
      </c>
      <c r="W106" s="11">
        <f>IFERROR(INDEX(ShipPartShape!$A:$A,MATCH(V106,ShipPartShape!$B:$B,0)),"-")</f>
        <v>46600010</v>
      </c>
      <c r="X106" s="4"/>
      <c r="Y106" s="11" t="str">
        <f>IFERROR(INDEX(ShipPartShape!$A:$A,MATCH(X106,ShipPartShape!$B:$B,0)),"-")</f>
        <v>-</v>
      </c>
      <c r="Z106" s="4"/>
      <c r="AA106" s="11" t="str">
        <f>IFERROR(INDEX(ShipPartShape!$A:$A,MATCH(Z106,ShipPartShape!$B:$B,0)),"-")</f>
        <v>-</v>
      </c>
      <c r="AB106" s="4"/>
      <c r="AC106" s="11" t="str">
        <f>IFERROR(INDEX(ShipPartShape!$A:$A,MATCH(AB106,ShipPartShape!$B:$B,0)),"-")</f>
        <v>-</v>
      </c>
      <c r="AD106" s="4"/>
      <c r="AE106" s="11" t="s">
        <v>0</v>
      </c>
      <c r="AF106" s="4"/>
      <c r="AG106" s="11" t="s">
        <v>0</v>
      </c>
      <c r="AH106" s="11" t="s">
        <v>0</v>
      </c>
      <c r="AI106" s="11" t="s">
        <v>0</v>
      </c>
      <c r="AJ106" s="11" t="s">
        <v>0</v>
      </c>
      <c r="AK106" s="11" t="s">
        <v>0</v>
      </c>
      <c r="AL106" s="11" t="s">
        <v>0</v>
      </c>
      <c r="AM106" s="11" t="s">
        <v>0</v>
      </c>
      <c r="AN106" s="11" t="s">
        <v>0</v>
      </c>
      <c r="AO106" s="11" t="s">
        <v>0</v>
      </c>
      <c r="AP106" s="11" t="s">
        <v>0</v>
      </c>
      <c r="AQ106" s="11" t="s">
        <v>0</v>
      </c>
      <c r="AR106" s="11" t="s">
        <v>0</v>
      </c>
    </row>
    <row r="107" spans="1:44" ht="15">
      <c r="A107" s="10">
        <f t="shared" si="8"/>
        <v>45000097</v>
      </c>
      <c r="B107" s="23" t="s">
        <v>1759</v>
      </c>
      <c r="C107" s="11" t="s">
        <v>1754</v>
      </c>
      <c r="D107" s="4" t="s">
        <v>1747</v>
      </c>
      <c r="E107" s="11">
        <v>700</v>
      </c>
      <c r="F107" s="11">
        <v>80</v>
      </c>
      <c r="G107" s="11">
        <f>IFERROR(INDEX(ShipPartShape!$A:$A,MATCH(D107,ShipPartShape!$B:$B,0)),"-")</f>
        <v>46000085</v>
      </c>
      <c r="H107" s="4" t="s">
        <v>71</v>
      </c>
      <c r="I107" s="11">
        <f>IFERROR(INDEX(ShipPartShape!$A:$A,MATCH(H107,ShipPartShape!$B:$B,0)),"-")</f>
        <v>46700001</v>
      </c>
      <c r="J107" s="4" t="s">
        <v>70</v>
      </c>
      <c r="K107" s="11">
        <f>IFERROR(INDEX(ShipPartShape!$A:$A,MATCH(J107,ShipPartShape!$B:$B,0)),"-")</f>
        <v>46300001</v>
      </c>
      <c r="L107" s="4" t="s">
        <v>1757</v>
      </c>
      <c r="M107" s="11">
        <f>IFERROR(INDEX(ShipPartShape!$A:$A,MATCH(L107,ShipPartShape!$B:$B,0)),"-")</f>
        <v>46500008</v>
      </c>
      <c r="N107" s="4"/>
      <c r="O107" s="11" t="str">
        <f>IFERROR(INDEX(ShipPartShape!$A:$A,MATCH(N107,ShipPartShape!$B:$B,0)),"-")</f>
        <v>-</v>
      </c>
      <c r="P107" s="4"/>
      <c r="Q107" s="11" t="str">
        <f>IFERROR(INDEX(ShipPartShape!$A:$A,MATCH(P107,ShipPartShape!$B:$B,0)),"-")</f>
        <v>-</v>
      </c>
      <c r="R107" s="4"/>
      <c r="S107" s="11" t="str">
        <f>IFERROR(INDEX(ShipPartShape!$A:$A,MATCH(R107,ShipPartShape!$B:$B,0)),"-")</f>
        <v>-</v>
      </c>
      <c r="T107" s="4"/>
      <c r="U107" s="11" t="str">
        <f>IFERROR(INDEX(ShipPartShape!$A:$A,MATCH(T107,ShipPartShape!$B:$B,0)),"-")</f>
        <v>-</v>
      </c>
      <c r="V107" s="4"/>
      <c r="W107" s="11" t="str">
        <f>IFERROR(INDEX(ShipPartShape!$A:$A,MATCH(V107,ShipPartShape!$B:$B,0)),"-")</f>
        <v>-</v>
      </c>
      <c r="X107" s="4"/>
      <c r="Y107" s="11" t="str">
        <f>IFERROR(INDEX(ShipPartShape!$A:$A,MATCH(X107,ShipPartShape!$B:$B,0)),"-")</f>
        <v>-</v>
      </c>
      <c r="Z107" s="4"/>
      <c r="AA107" s="11" t="str">
        <f>IFERROR(INDEX(ShipPartShape!$A:$A,MATCH(Z107,ShipPartShape!$B:$B,0)),"-")</f>
        <v>-</v>
      </c>
      <c r="AB107" s="4"/>
      <c r="AC107" s="11" t="str">
        <f>IFERROR(INDEX(ShipPartShape!$A:$A,MATCH(AB107,ShipPartShape!$B:$B,0)),"-")</f>
        <v>-</v>
      </c>
      <c r="AD107" s="4"/>
      <c r="AE107" s="11" t="s">
        <v>0</v>
      </c>
      <c r="AF107" s="4"/>
      <c r="AG107" s="11" t="s">
        <v>0</v>
      </c>
      <c r="AH107" s="11" t="s">
        <v>0</v>
      </c>
      <c r="AI107" s="11" t="s">
        <v>0</v>
      </c>
      <c r="AJ107" s="11" t="s">
        <v>0</v>
      </c>
      <c r="AK107" s="11" t="s">
        <v>0</v>
      </c>
      <c r="AL107" s="11" t="s">
        <v>0</v>
      </c>
      <c r="AM107" s="11" t="s">
        <v>0</v>
      </c>
      <c r="AN107" s="11" t="s">
        <v>0</v>
      </c>
      <c r="AO107" s="11" t="s">
        <v>0</v>
      </c>
      <c r="AP107" s="11" t="s">
        <v>0</v>
      </c>
      <c r="AQ107" s="11" t="s">
        <v>0</v>
      </c>
      <c r="AR107" s="11" t="s">
        <v>0</v>
      </c>
    </row>
    <row r="108" spans="1:44" ht="15">
      <c r="A108" s="10">
        <f t="shared" si="8"/>
        <v>45000098</v>
      </c>
      <c r="B108" s="23" t="s">
        <v>1740</v>
      </c>
      <c r="C108" s="11" t="s">
        <v>1755</v>
      </c>
      <c r="D108" s="4" t="s">
        <v>1756</v>
      </c>
      <c r="E108" s="11">
        <v>700</v>
      </c>
      <c r="F108" s="11">
        <v>80</v>
      </c>
      <c r="G108" s="11">
        <f>IFERROR(INDEX(ShipPartShape!$A:$A,MATCH(D108,ShipPartShape!$B:$B,0)),"-")</f>
        <v>46000086</v>
      </c>
      <c r="H108" s="4" t="s">
        <v>71</v>
      </c>
      <c r="I108" s="11">
        <f>IFERROR(INDEX(ShipPartShape!$A:$A,MATCH(H108,ShipPartShape!$B:$B,0)),"-")</f>
        <v>46700001</v>
      </c>
      <c r="J108" s="4" t="s">
        <v>70</v>
      </c>
      <c r="K108" s="11">
        <f>IFERROR(INDEX(ShipPartShape!$A:$A,MATCH(J108,ShipPartShape!$B:$B,0)),"-")</f>
        <v>46300001</v>
      </c>
      <c r="L108" s="4" t="s">
        <v>1758</v>
      </c>
      <c r="M108" s="11">
        <f>IFERROR(INDEX(ShipPartShape!$A:$A,MATCH(L108,ShipPartShape!$B:$B,0)),"-")</f>
        <v>46500009</v>
      </c>
      <c r="N108" s="4"/>
      <c r="O108" s="11" t="str">
        <f>IFERROR(INDEX(ShipPartShape!$A:$A,MATCH(N108,ShipPartShape!$B:$B,0)),"-")</f>
        <v>-</v>
      </c>
      <c r="P108" s="4"/>
      <c r="Q108" s="11" t="str">
        <f>IFERROR(INDEX(ShipPartShape!$A:$A,MATCH(P108,ShipPartShape!$B:$B,0)),"-")</f>
        <v>-</v>
      </c>
      <c r="R108" s="4"/>
      <c r="S108" s="11" t="str">
        <f>IFERROR(INDEX(ShipPartShape!$A:$A,MATCH(R108,ShipPartShape!$B:$B,0)),"-")</f>
        <v>-</v>
      </c>
      <c r="T108" s="4" t="s">
        <v>916</v>
      </c>
      <c r="U108" s="11">
        <f>IFERROR(INDEX(ShipPartShape!$A:$A,MATCH(T108,ShipPartShape!$B:$B,0)),"-")</f>
        <v>46600001</v>
      </c>
      <c r="V108" s="4" t="s">
        <v>923</v>
      </c>
      <c r="W108" s="11">
        <f>IFERROR(INDEX(ShipPartShape!$A:$A,MATCH(V108,ShipPartShape!$B:$B,0)),"-")</f>
        <v>46600004</v>
      </c>
      <c r="X108" s="4" t="s">
        <v>919</v>
      </c>
      <c r="Y108" s="11">
        <f>IFERROR(INDEX(ShipPartShape!$A:$A,MATCH(X108,ShipPartShape!$B:$B,0)),"-")</f>
        <v>46600005</v>
      </c>
      <c r="Z108" s="4" t="s">
        <v>925</v>
      </c>
      <c r="AA108" s="11">
        <f>IFERROR(INDEX(ShipPartShape!$A:$A,MATCH(Z108,ShipPartShape!$B:$B,0)),"-")</f>
        <v>46600006</v>
      </c>
      <c r="AB108" s="4" t="s">
        <v>920</v>
      </c>
      <c r="AC108" s="11">
        <f>IFERROR(INDEX(ShipPartShape!$A:$A,MATCH(AB108,ShipPartShape!$B:$B,0)),"-")</f>
        <v>46600009</v>
      </c>
      <c r="AD108" s="4"/>
      <c r="AE108" s="11" t="s">
        <v>0</v>
      </c>
      <c r="AF108" s="4"/>
      <c r="AG108" s="11" t="s">
        <v>0</v>
      </c>
      <c r="AH108" s="11" t="s">
        <v>0</v>
      </c>
      <c r="AI108" s="11" t="s">
        <v>0</v>
      </c>
      <c r="AJ108" s="11" t="s">
        <v>0</v>
      </c>
      <c r="AK108" s="11" t="s">
        <v>0</v>
      </c>
      <c r="AL108" s="11" t="s">
        <v>0</v>
      </c>
      <c r="AM108" s="11" t="s">
        <v>0</v>
      </c>
      <c r="AN108" s="11" t="s">
        <v>0</v>
      </c>
      <c r="AO108" s="11" t="s">
        <v>0</v>
      </c>
      <c r="AP108" s="11" t="s">
        <v>0</v>
      </c>
      <c r="AQ108" s="11" t="s">
        <v>0</v>
      </c>
      <c r="AR108" s="11" t="s">
        <v>0</v>
      </c>
    </row>
    <row r="109" spans="1:44" ht="15">
      <c r="A109" s="10">
        <f t="shared" si="8"/>
        <v>45000099</v>
      </c>
      <c r="B109" s="23" t="s">
        <v>1772</v>
      </c>
      <c r="C109" s="11" t="s">
        <v>1778</v>
      </c>
      <c r="D109" s="4" t="s">
        <v>1773</v>
      </c>
      <c r="E109" s="11">
        <v>700</v>
      </c>
      <c r="F109" s="11">
        <v>80</v>
      </c>
      <c r="G109" s="11">
        <f>IFERROR(INDEX(ShipPartShape!$A:$A,MATCH(D109,ShipPartShape!$B:$B,0)),"-")</f>
        <v>46000087</v>
      </c>
      <c r="H109" s="4" t="s">
        <v>71</v>
      </c>
      <c r="I109" s="11">
        <f>IFERROR(INDEX(ShipPartShape!$A:$A,MATCH(H109,ShipPartShape!$B:$B,0)),"-")</f>
        <v>46700001</v>
      </c>
      <c r="J109" s="4" t="s">
        <v>70</v>
      </c>
      <c r="K109" s="11">
        <f>IFERROR(INDEX(ShipPartShape!$A:$A,MATCH(J109,ShipPartShape!$B:$B,0)),"-")</f>
        <v>46300001</v>
      </c>
      <c r="L109" s="4" t="s">
        <v>1762</v>
      </c>
      <c r="M109" s="11">
        <f>IFERROR(INDEX(ShipPartShape!$A:$A,MATCH(L109,ShipPartShape!$B:$B,0)),"-")</f>
        <v>46500010</v>
      </c>
      <c r="N109" s="4"/>
      <c r="O109" s="11" t="str">
        <f>IFERROR(INDEX(ShipPartShape!$A:$A,MATCH(N109,ShipPartShape!$B:$B,0)),"-")</f>
        <v>-</v>
      </c>
      <c r="P109" s="4"/>
      <c r="Q109" s="11" t="str">
        <f>IFERROR(INDEX(ShipPartShape!$A:$A,MATCH(P109,ShipPartShape!$B:$B,0)),"-")</f>
        <v>-</v>
      </c>
      <c r="R109" s="4"/>
      <c r="S109" s="11" t="str">
        <f>IFERROR(INDEX(ShipPartShape!$A:$A,MATCH(R109,ShipPartShape!$B:$B,0)),"-")</f>
        <v>-</v>
      </c>
      <c r="T109" s="4"/>
      <c r="U109" s="11" t="str">
        <f>IFERROR(INDEX(ShipPartShape!$A:$A,MATCH(T109,ShipPartShape!$B:$B,0)),"-")</f>
        <v>-</v>
      </c>
      <c r="V109" s="4"/>
      <c r="W109" s="11" t="str">
        <f>IFERROR(INDEX(ShipPartShape!$A:$A,MATCH(V109,ShipPartShape!$B:$B,0)),"-")</f>
        <v>-</v>
      </c>
      <c r="X109" s="4"/>
      <c r="Y109" s="11" t="str">
        <f>IFERROR(INDEX(ShipPartShape!$A:$A,MATCH(X109,ShipPartShape!$B:$B,0)),"-")</f>
        <v>-</v>
      </c>
      <c r="Z109" s="4"/>
      <c r="AA109" s="11" t="str">
        <f>IFERROR(INDEX(ShipPartShape!$A:$A,MATCH(Z109,ShipPartShape!$B:$B,0)),"-")</f>
        <v>-</v>
      </c>
      <c r="AB109" s="4"/>
      <c r="AC109" s="11" t="str">
        <f>IFERROR(INDEX(ShipPartShape!$A:$A,MATCH(AB109,ShipPartShape!$B:$B,0)),"-")</f>
        <v>-</v>
      </c>
      <c r="AD109" s="4"/>
      <c r="AE109" s="11" t="s">
        <v>0</v>
      </c>
      <c r="AF109" s="4"/>
      <c r="AG109" s="11" t="s">
        <v>0</v>
      </c>
      <c r="AH109" s="11" t="s">
        <v>0</v>
      </c>
      <c r="AI109" s="11" t="s">
        <v>0</v>
      </c>
      <c r="AJ109" s="11" t="s">
        <v>0</v>
      </c>
      <c r="AK109" s="11" t="s">
        <v>0</v>
      </c>
      <c r="AL109" s="11" t="s">
        <v>0</v>
      </c>
      <c r="AM109" s="11" t="s">
        <v>0</v>
      </c>
      <c r="AN109" s="11" t="s">
        <v>0</v>
      </c>
      <c r="AO109" s="11" t="s">
        <v>0</v>
      </c>
      <c r="AP109" s="11" t="s">
        <v>0</v>
      </c>
      <c r="AQ109" s="11" t="s">
        <v>0</v>
      </c>
      <c r="AR109" s="11" t="s">
        <v>0</v>
      </c>
    </row>
    <row r="110" spans="1:44" ht="15">
      <c r="A110" s="10">
        <f t="shared" si="8"/>
        <v>45000100</v>
      </c>
      <c r="B110" s="23" t="s">
        <v>1804</v>
      </c>
      <c r="C110" s="11" t="s">
        <v>1777</v>
      </c>
      <c r="D110" s="4" t="s">
        <v>1775</v>
      </c>
      <c r="E110" s="11">
        <v>700</v>
      </c>
      <c r="F110" s="11">
        <v>80</v>
      </c>
      <c r="G110" s="11">
        <f>IFERROR(INDEX(ShipPartShape!$A:$A,MATCH(D110,ShipPartShape!$B:$B,0)),"-")</f>
        <v>46000088</v>
      </c>
      <c r="H110" s="4" t="s">
        <v>71</v>
      </c>
      <c r="I110" s="11">
        <f>IFERROR(INDEX(ShipPartShape!$A:$A,MATCH(H110,ShipPartShape!$B:$B,0)),"-")</f>
        <v>46700001</v>
      </c>
      <c r="J110" s="4" t="s">
        <v>1764</v>
      </c>
      <c r="K110" s="11">
        <f>IFERROR(INDEX(ShipPartShape!$A:$A,MATCH(J110,ShipPartShape!$B:$B,0)),"-")</f>
        <v>46500011</v>
      </c>
      <c r="L110" s="4"/>
      <c r="M110" s="11" t="str">
        <f>IFERROR(INDEX(ShipPartShape!$A:$A,MATCH(L110,ShipPartShape!$B:$B,0)),"-")</f>
        <v>-</v>
      </c>
      <c r="N110" s="4"/>
      <c r="O110" s="11" t="str">
        <f>IFERROR(INDEX(ShipPartShape!$A:$A,MATCH(N110,ShipPartShape!$B:$B,0)),"-")</f>
        <v>-</v>
      </c>
      <c r="P110" s="4"/>
      <c r="Q110" s="11" t="str">
        <f>IFERROR(INDEX(ShipPartShape!$A:$A,MATCH(P110,ShipPartShape!$B:$B,0)),"-")</f>
        <v>-</v>
      </c>
      <c r="R110" s="4"/>
      <c r="S110" s="11" t="str">
        <f>IFERROR(INDEX(ShipPartShape!$A:$A,MATCH(R110,ShipPartShape!$B:$B,0)),"-")</f>
        <v>-</v>
      </c>
      <c r="T110" s="4" t="s">
        <v>916</v>
      </c>
      <c r="U110" s="11">
        <f>IFERROR(INDEX(ShipPartShape!$A:$A,MATCH(T110,ShipPartShape!$B:$B,0)),"-")</f>
        <v>46600001</v>
      </c>
      <c r="V110" s="4" t="s">
        <v>919</v>
      </c>
      <c r="W110" s="11">
        <f>IFERROR(INDEX(ShipPartShape!$A:$A,MATCH(V110,ShipPartShape!$B:$B,0)),"-")</f>
        <v>46600005</v>
      </c>
      <c r="X110" s="4" t="s">
        <v>925</v>
      </c>
      <c r="Y110" s="11">
        <f>IFERROR(INDEX(ShipPartShape!$A:$A,MATCH(X110,ShipPartShape!$B:$B,0)),"-")</f>
        <v>46600006</v>
      </c>
      <c r="Z110" s="4"/>
      <c r="AA110" s="11" t="str">
        <f>IFERROR(INDEX(ShipPartShape!$A:$A,MATCH(Z110,ShipPartShape!$B:$B,0)),"-")</f>
        <v>-</v>
      </c>
      <c r="AB110" s="4"/>
      <c r="AC110" s="11" t="str">
        <f>IFERROR(INDEX(ShipPartShape!$A:$A,MATCH(AB110,ShipPartShape!$B:$B,0)),"-")</f>
        <v>-</v>
      </c>
      <c r="AD110" s="4"/>
      <c r="AE110" s="11" t="s">
        <v>0</v>
      </c>
      <c r="AF110" s="4"/>
      <c r="AG110" s="11" t="s">
        <v>0</v>
      </c>
      <c r="AH110" s="11" t="s">
        <v>0</v>
      </c>
      <c r="AI110" s="11" t="s">
        <v>0</v>
      </c>
      <c r="AJ110" s="11" t="s">
        <v>0</v>
      </c>
      <c r="AK110" s="11" t="s">
        <v>0</v>
      </c>
      <c r="AL110" s="11" t="s">
        <v>0</v>
      </c>
      <c r="AM110" s="11" t="s">
        <v>0</v>
      </c>
      <c r="AN110" s="11" t="s">
        <v>0</v>
      </c>
      <c r="AO110" s="11" t="s">
        <v>0</v>
      </c>
      <c r="AP110" s="11" t="s">
        <v>0</v>
      </c>
      <c r="AQ110" s="11" t="s">
        <v>0</v>
      </c>
      <c r="AR110" s="11" t="s">
        <v>0</v>
      </c>
    </row>
    <row r="111" spans="1:44" ht="15">
      <c r="A111" s="10">
        <f t="shared" si="8"/>
        <v>45000101</v>
      </c>
      <c r="B111" s="23" t="s">
        <v>1790</v>
      </c>
      <c r="C111" s="11" t="s">
        <v>1793</v>
      </c>
      <c r="D111" s="4" t="s">
        <v>1779</v>
      </c>
      <c r="E111" s="11">
        <v>700</v>
      </c>
      <c r="F111" s="11">
        <v>80</v>
      </c>
      <c r="G111" s="11">
        <f>IFERROR(INDEX(ShipPartShape!$A:$A,MATCH(D111,ShipPartShape!$B:$B,0)),"-")</f>
        <v>46000089</v>
      </c>
      <c r="H111" s="4" t="s">
        <v>71</v>
      </c>
      <c r="I111" s="11">
        <f>IFERROR(INDEX(ShipPartShape!$A:$A,MATCH(H111,ShipPartShape!$B:$B,0)),"-")</f>
        <v>46700001</v>
      </c>
      <c r="J111" s="4" t="s">
        <v>1786</v>
      </c>
      <c r="K111" s="11">
        <f>IFERROR(INDEX(ShipPartShape!$A:$A,MATCH(J111,ShipPartShape!$B:$B,0)),"-")</f>
        <v>46500012</v>
      </c>
      <c r="L111" s="4" t="s">
        <v>70</v>
      </c>
      <c r="M111" s="11">
        <f>IFERROR(INDEX(ShipPartShape!$A:$A,MATCH(L111,ShipPartShape!$B:$B,0)),"-")</f>
        <v>46300001</v>
      </c>
      <c r="N111" s="4"/>
      <c r="O111" s="11" t="str">
        <f>IFERROR(INDEX(ShipPartShape!$A:$A,MATCH(N111,ShipPartShape!$B:$B,0)),"-")</f>
        <v>-</v>
      </c>
      <c r="P111" s="4"/>
      <c r="Q111" s="11" t="str">
        <f>IFERROR(INDEX(ShipPartShape!$A:$A,MATCH(P111,ShipPartShape!$B:$B,0)),"-")</f>
        <v>-</v>
      </c>
      <c r="R111" s="4"/>
      <c r="S111" s="11" t="str">
        <f>IFERROR(INDEX(ShipPartShape!$A:$A,MATCH(R111,ShipPartShape!$B:$B,0)),"-")</f>
        <v>-</v>
      </c>
      <c r="T111" s="4"/>
      <c r="U111" s="11" t="str">
        <f>IFERROR(INDEX(ShipPartShape!$A:$A,MATCH(T111,ShipPartShape!$B:$B,0)),"-")</f>
        <v>-</v>
      </c>
      <c r="V111" s="4"/>
      <c r="W111" s="11" t="str">
        <f>IFERROR(INDEX(ShipPartShape!$A:$A,MATCH(V111,ShipPartShape!$B:$B,0)),"-")</f>
        <v>-</v>
      </c>
      <c r="X111" s="4"/>
      <c r="Y111" s="11" t="str">
        <f>IFERROR(INDEX(ShipPartShape!$A:$A,MATCH(X111,ShipPartShape!$B:$B,0)),"-")</f>
        <v>-</v>
      </c>
      <c r="Z111" s="4"/>
      <c r="AA111" s="11" t="str">
        <f>IFERROR(INDEX(ShipPartShape!$A:$A,MATCH(Z111,ShipPartShape!$B:$B,0)),"-")</f>
        <v>-</v>
      </c>
      <c r="AB111" s="4"/>
      <c r="AC111" s="11" t="str">
        <f>IFERROR(INDEX(ShipPartShape!$A:$A,MATCH(AB111,ShipPartShape!$B:$B,0)),"-")</f>
        <v>-</v>
      </c>
      <c r="AD111" s="4"/>
      <c r="AE111" s="11" t="s">
        <v>0</v>
      </c>
      <c r="AF111" s="4"/>
      <c r="AG111" s="11" t="s">
        <v>0</v>
      </c>
      <c r="AH111" s="11" t="s">
        <v>0</v>
      </c>
      <c r="AI111" s="11" t="s">
        <v>0</v>
      </c>
      <c r="AJ111" s="11" t="s">
        <v>0</v>
      </c>
      <c r="AK111" s="11" t="s">
        <v>0</v>
      </c>
      <c r="AL111" s="11" t="s">
        <v>0</v>
      </c>
      <c r="AM111" s="11" t="s">
        <v>0</v>
      </c>
      <c r="AN111" s="11" t="s">
        <v>0</v>
      </c>
      <c r="AO111" s="11" t="s">
        <v>0</v>
      </c>
      <c r="AP111" s="11" t="s">
        <v>0</v>
      </c>
      <c r="AQ111" s="11" t="s">
        <v>0</v>
      </c>
      <c r="AR111" s="11" t="s">
        <v>0</v>
      </c>
    </row>
    <row r="112" spans="1:44" ht="15">
      <c r="A112" s="10">
        <f t="shared" si="8"/>
        <v>45000102</v>
      </c>
      <c r="B112" s="23" t="s">
        <v>1781</v>
      </c>
      <c r="C112" s="11" t="s">
        <v>1794</v>
      </c>
      <c r="D112" s="4" t="s">
        <v>1791</v>
      </c>
      <c r="E112" s="11">
        <v>700</v>
      </c>
      <c r="F112" s="11">
        <v>80</v>
      </c>
      <c r="G112" s="11">
        <f>IFERROR(INDEX(ShipPartShape!$A:$A,MATCH(D112,ShipPartShape!$B:$B,0)),"-")</f>
        <v>46000090</v>
      </c>
      <c r="H112" s="4" t="s">
        <v>71</v>
      </c>
      <c r="I112" s="11">
        <f>IFERROR(INDEX(ShipPartShape!$A:$A,MATCH(H112,ShipPartShape!$B:$B,0)),"-")</f>
        <v>46700001</v>
      </c>
      <c r="J112" s="4"/>
      <c r="K112" s="11" t="str">
        <f>IFERROR(INDEX(ShipPartShape!$A:$A,MATCH(J112,ShipPartShape!$B:$B,0)),"-")</f>
        <v>-</v>
      </c>
      <c r="L112" s="4"/>
      <c r="M112" s="11" t="str">
        <f>IFERROR(INDEX(ShipPartShape!$A:$A,MATCH(L112,ShipPartShape!$B:$B,0)),"-")</f>
        <v>-</v>
      </c>
      <c r="N112" s="4"/>
      <c r="O112" s="11" t="str">
        <f>IFERROR(INDEX(ShipPartShape!$A:$A,MATCH(N112,ShipPartShape!$B:$B,0)),"-")</f>
        <v>-</v>
      </c>
      <c r="P112" s="4"/>
      <c r="Q112" s="11" t="str">
        <f>IFERROR(INDEX(ShipPartShape!$A:$A,MATCH(P112,ShipPartShape!$B:$B,0)),"-")</f>
        <v>-</v>
      </c>
      <c r="R112" s="4"/>
      <c r="S112" s="11" t="str">
        <f>IFERROR(INDEX(ShipPartShape!$A:$A,MATCH(R112,ShipPartShape!$B:$B,0)),"-")</f>
        <v>-</v>
      </c>
      <c r="T112" s="4"/>
      <c r="U112" s="11" t="str">
        <f>IFERROR(INDEX(ShipPartShape!$A:$A,MATCH(T112,ShipPartShape!$B:$B,0)),"-")</f>
        <v>-</v>
      </c>
      <c r="V112" s="4"/>
      <c r="W112" s="11" t="str">
        <f>IFERROR(INDEX(ShipPartShape!$A:$A,MATCH(V112,ShipPartShape!$B:$B,0)),"-")</f>
        <v>-</v>
      </c>
      <c r="X112" s="4"/>
      <c r="Y112" s="11" t="str">
        <f>IFERROR(INDEX(ShipPartShape!$A:$A,MATCH(X112,ShipPartShape!$B:$B,0)),"-")</f>
        <v>-</v>
      </c>
      <c r="Z112" s="4"/>
      <c r="AA112" s="11" t="str">
        <f>IFERROR(INDEX(ShipPartShape!$A:$A,MATCH(Z112,ShipPartShape!$B:$B,0)),"-")</f>
        <v>-</v>
      </c>
      <c r="AB112" s="4"/>
      <c r="AC112" s="11" t="str">
        <f>IFERROR(INDEX(ShipPartShape!$A:$A,MATCH(AB112,ShipPartShape!$B:$B,0)),"-")</f>
        <v>-</v>
      </c>
      <c r="AD112" s="4"/>
      <c r="AE112" s="11" t="s">
        <v>0</v>
      </c>
      <c r="AF112" s="4"/>
      <c r="AG112" s="11" t="s">
        <v>0</v>
      </c>
      <c r="AH112" s="11" t="s">
        <v>0</v>
      </c>
      <c r="AI112" s="11" t="s">
        <v>0</v>
      </c>
      <c r="AJ112" s="11" t="s">
        <v>0</v>
      </c>
      <c r="AK112" s="11" t="s">
        <v>0</v>
      </c>
      <c r="AL112" s="11" t="s">
        <v>0</v>
      </c>
      <c r="AM112" s="11" t="s">
        <v>0</v>
      </c>
      <c r="AN112" s="11" t="s">
        <v>0</v>
      </c>
      <c r="AO112" s="11" t="s">
        <v>0</v>
      </c>
      <c r="AP112" s="11" t="s">
        <v>0</v>
      </c>
      <c r="AQ112" s="11" t="s">
        <v>0</v>
      </c>
      <c r="AR112" s="11" t="s">
        <v>0</v>
      </c>
    </row>
    <row r="113" spans="1:44" ht="15">
      <c r="A113" s="10">
        <f t="shared" si="8"/>
        <v>45000103</v>
      </c>
      <c r="B113" s="23" t="s">
        <v>1805</v>
      </c>
      <c r="C113" s="11" t="s">
        <v>1803</v>
      </c>
      <c r="D113" s="4" t="s">
        <v>1795</v>
      </c>
      <c r="E113" s="11">
        <v>700</v>
      </c>
      <c r="F113" s="11">
        <v>80</v>
      </c>
      <c r="G113" s="11">
        <f>IFERROR(INDEX(ShipPartShape!$A:$A,MATCH(D113,ShipPartShape!$B:$B,0)),"-")</f>
        <v>46000091</v>
      </c>
      <c r="H113" s="4" t="s">
        <v>71</v>
      </c>
      <c r="I113" s="11">
        <f>IFERROR(INDEX(ShipPartShape!$A:$A,MATCH(H113,ShipPartShape!$B:$B,0)),"-")</f>
        <v>46700001</v>
      </c>
      <c r="J113" s="4" t="s">
        <v>1797</v>
      </c>
      <c r="K113" s="11">
        <f>IFERROR(INDEX(ShipPartShape!$A:$A,MATCH(J113,ShipPartShape!$B:$B,0)),"-")</f>
        <v>46500013</v>
      </c>
      <c r="L113" s="4" t="s">
        <v>70</v>
      </c>
      <c r="M113" s="11">
        <f>IFERROR(INDEX(ShipPartShape!$A:$A,MATCH(L113,ShipPartShape!$B:$B,0)),"-")</f>
        <v>46300001</v>
      </c>
      <c r="N113" s="4"/>
      <c r="O113" s="11" t="str">
        <f>IFERROR(INDEX(ShipPartShape!$A:$A,MATCH(N113,ShipPartShape!$B:$B,0)),"-")</f>
        <v>-</v>
      </c>
      <c r="P113" s="4"/>
      <c r="Q113" s="11" t="str">
        <f>IFERROR(INDEX(ShipPartShape!$A:$A,MATCH(P113,ShipPartShape!$B:$B,0)),"-")</f>
        <v>-</v>
      </c>
      <c r="R113" s="4"/>
      <c r="S113" s="11" t="str">
        <f>IFERROR(INDEX(ShipPartShape!$A:$A,MATCH(R113,ShipPartShape!$B:$B,0)),"-")</f>
        <v>-</v>
      </c>
      <c r="T113" s="4" t="s">
        <v>916</v>
      </c>
      <c r="U113" s="11">
        <f>IFERROR(INDEX(ShipPartShape!$A:$A,MATCH(T113,ShipPartShape!$B:$B,0)),"-")</f>
        <v>46600001</v>
      </c>
      <c r="V113" s="4" t="s">
        <v>920</v>
      </c>
      <c r="W113" s="11">
        <f>IFERROR(INDEX(ShipPartShape!$A:$A,MATCH(V113,ShipPartShape!$B:$B,0)),"-")</f>
        <v>46600009</v>
      </c>
      <c r="X113" s="4"/>
      <c r="Y113" s="11" t="str">
        <f>IFERROR(INDEX(ShipPartShape!$A:$A,MATCH(X113,ShipPartShape!$B:$B,0)),"-")</f>
        <v>-</v>
      </c>
      <c r="Z113" s="4"/>
      <c r="AA113" s="11" t="str">
        <f>IFERROR(INDEX(ShipPartShape!$A:$A,MATCH(Z113,ShipPartShape!$B:$B,0)),"-")</f>
        <v>-</v>
      </c>
      <c r="AB113" s="4"/>
      <c r="AC113" s="11" t="str">
        <f>IFERROR(INDEX(ShipPartShape!$A:$A,MATCH(AB113,ShipPartShape!$B:$B,0)),"-")</f>
        <v>-</v>
      </c>
      <c r="AD113" s="4"/>
      <c r="AE113" s="11" t="s">
        <v>0</v>
      </c>
      <c r="AF113" s="4"/>
      <c r="AG113" s="11" t="s">
        <v>0</v>
      </c>
      <c r="AH113" s="11" t="s">
        <v>0</v>
      </c>
      <c r="AI113" s="11" t="s">
        <v>0</v>
      </c>
      <c r="AJ113" s="11" t="s">
        <v>0</v>
      </c>
      <c r="AK113" s="11" t="s">
        <v>0</v>
      </c>
      <c r="AL113" s="11" t="s">
        <v>0</v>
      </c>
      <c r="AM113" s="11" t="s">
        <v>0</v>
      </c>
      <c r="AN113" s="11" t="s">
        <v>0</v>
      </c>
      <c r="AO113" s="11" t="s">
        <v>0</v>
      </c>
      <c r="AP113" s="11" t="s">
        <v>0</v>
      </c>
      <c r="AQ113" s="11" t="s">
        <v>0</v>
      </c>
      <c r="AR113" s="11" t="s">
        <v>0</v>
      </c>
    </row>
    <row r="114" spans="1:44" ht="15">
      <c r="A114" s="10">
        <f t="shared" si="8"/>
        <v>45000104</v>
      </c>
      <c r="B114" s="23" t="s">
        <v>1816</v>
      </c>
      <c r="C114" s="11" t="s">
        <v>1812</v>
      </c>
      <c r="D114" s="4" t="s">
        <v>1810</v>
      </c>
      <c r="E114" s="11">
        <v>700</v>
      </c>
      <c r="F114" s="11">
        <v>80</v>
      </c>
      <c r="G114" s="11">
        <f>IFERROR(INDEX(ShipPartShape!$A:$A,MATCH(D114,ShipPartShape!$B:$B,0)),"-")</f>
        <v>46000092</v>
      </c>
      <c r="H114" s="4" t="s">
        <v>71</v>
      </c>
      <c r="I114" s="11">
        <f>IFERROR(INDEX(ShipPartShape!$A:$A,MATCH(H114,ShipPartShape!$B:$B,0)),"-")</f>
        <v>46700001</v>
      </c>
      <c r="J114" s="4" t="s">
        <v>70</v>
      </c>
      <c r="K114" s="11">
        <f>IFERROR(INDEX(ShipPartShape!$A:$A,MATCH(J114,ShipPartShape!$B:$B,0)),"-")</f>
        <v>46300001</v>
      </c>
      <c r="L114" s="4" t="s">
        <v>1813</v>
      </c>
      <c r="M114" s="11">
        <f>IFERROR(INDEX(ShipPartShape!$A:$A,MATCH(L114,ShipPartShape!$B:$B,0)),"-")</f>
        <v>46200047</v>
      </c>
      <c r="N114" s="4" t="s">
        <v>1814</v>
      </c>
      <c r="O114" s="11">
        <f>IFERROR(INDEX(ShipPartShape!$A:$A,MATCH(N114,ShipPartShape!$B:$B,0)),"-")</f>
        <v>46100011</v>
      </c>
      <c r="P114" s="4" t="s">
        <v>1815</v>
      </c>
      <c r="Q114" s="11">
        <f>IFERROR(INDEX(ShipPartShape!$A:$A,MATCH(P114,ShipPartShape!$B:$B,0)),"-")</f>
        <v>46400004</v>
      </c>
      <c r="R114" s="4"/>
      <c r="S114" s="11" t="str">
        <f>IFERROR(INDEX(ShipPartShape!$A:$A,MATCH(R114,ShipPartShape!$B:$B,0)),"-")</f>
        <v>-</v>
      </c>
      <c r="T114" s="4" t="s">
        <v>921</v>
      </c>
      <c r="U114" s="11">
        <f>IFERROR(INDEX(ShipPartShape!$A:$A,MATCH(T114,ShipPartShape!$B:$B,0)),"-")</f>
        <v>46600003</v>
      </c>
      <c r="V114" s="4" t="s">
        <v>918</v>
      </c>
      <c r="W114" s="11">
        <f>IFERROR(INDEX(ShipPartShape!$A:$A,MATCH(V114,ShipPartShape!$B:$B,0)),"-")</f>
        <v>46600007</v>
      </c>
      <c r="X114" s="4" t="s">
        <v>926</v>
      </c>
      <c r="Y114" s="11">
        <f>IFERROR(INDEX(ShipPartShape!$A:$A,MATCH(X114,ShipPartShape!$B:$B,0)),"-")</f>
        <v>46600010</v>
      </c>
      <c r="Z114" s="4"/>
      <c r="AA114" s="11" t="str">
        <f>IFERROR(INDEX(ShipPartShape!$A:$A,MATCH(Z114,ShipPartShape!$B:$B,0)),"-")</f>
        <v>-</v>
      </c>
      <c r="AB114" s="4"/>
      <c r="AC114" s="11" t="str">
        <f>IFERROR(INDEX(ShipPartShape!$A:$A,MATCH(AB114,ShipPartShape!$B:$B,0)),"-")</f>
        <v>-</v>
      </c>
      <c r="AD114" s="4"/>
      <c r="AE114" s="11" t="s">
        <v>0</v>
      </c>
      <c r="AF114" s="4"/>
      <c r="AG114" s="11" t="s">
        <v>0</v>
      </c>
      <c r="AH114" s="11" t="s">
        <v>0</v>
      </c>
      <c r="AI114" s="11" t="s">
        <v>0</v>
      </c>
      <c r="AJ114" s="11" t="s">
        <v>0</v>
      </c>
      <c r="AK114" s="11" t="s">
        <v>0</v>
      </c>
      <c r="AL114" s="11" t="s">
        <v>0</v>
      </c>
      <c r="AM114" s="11" t="s">
        <v>0</v>
      </c>
      <c r="AN114" s="11" t="s">
        <v>0</v>
      </c>
      <c r="AO114" s="11" t="s">
        <v>0</v>
      </c>
      <c r="AP114" s="11" t="s">
        <v>0</v>
      </c>
      <c r="AQ114" s="11" t="s">
        <v>0</v>
      </c>
      <c r="AR114" s="11" t="s">
        <v>0</v>
      </c>
    </row>
    <row r="115" spans="1:44" ht="15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2"/>
      <c r="AL115" s="13"/>
      <c r="AM115" s="13"/>
      <c r="AN115" s="13"/>
      <c r="AO115" s="12"/>
      <c r="AP115" s="13"/>
      <c r="AQ115" s="13"/>
      <c r="AR115" s="13"/>
    </row>
    <row r="116" spans="1:44" ht="14.25">
      <c r="B116" s="18" t="s">
        <v>52</v>
      </c>
      <c r="E116" s="99"/>
      <c r="F116" s="99"/>
      <c r="G116" s="102" t="s">
        <v>49</v>
      </c>
      <c r="H116" s="103"/>
      <c r="I116" s="104"/>
      <c r="J116" s="104"/>
      <c r="K116" s="104"/>
      <c r="L116" s="104"/>
      <c r="M116" s="104"/>
      <c r="N116" s="104"/>
      <c r="O116" s="104"/>
      <c r="P116" s="104"/>
      <c r="Q116" s="105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7"/>
      <c r="AI116" s="37"/>
      <c r="AJ116" s="37"/>
    </row>
    <row r="117" spans="1:44" ht="27">
      <c r="B117" s="101" t="s">
        <v>408</v>
      </c>
    </row>
  </sheetData>
  <mergeCells count="1">
    <mergeCell ref="G116:Q116"/>
  </mergeCells>
  <phoneticPr fontId="5" type="noConversion"/>
  <pageMargins left="0.7" right="0.7" top="0.75" bottom="0.75" header="0.3" footer="0.3"/>
  <pageSetup paperSize="9" orientation="portrait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OFFSET(ShipPartShape!$B:$B,7,0,COUNTA(ShipPartShape!$B:$B)-5,1)</xm:f>
          </x14:formula1>
          <xm:sqref>T10:T114 X10:X114 R10:R114 P102:P114 Z10:Z114 AF10:AF114 N10:N114 AD10:AD114 L10:L114 H10:H114 V10:V114 P10:P76 D10:D114 J10:J114 AB10:AB114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91"/>
  <sheetViews>
    <sheetView zoomScale="90" zoomScaleNormal="90" workbookViewId="0">
      <pane xSplit="2" ySplit="2" topLeftCell="I116" activePane="bottomRight" state="frozen"/>
      <selection pane="topRight" activeCell="C1" sqref="C1"/>
      <selection pane="bottomLeft" activeCell="A3" sqref="A3"/>
      <selection pane="bottomRight" activeCell="B145" sqref="B145"/>
    </sheetView>
  </sheetViews>
  <sheetFormatPr defaultRowHeight="13.5"/>
  <cols>
    <col min="1" max="1" width="16.7109375" style="1" customWidth="1"/>
    <col min="2" max="2" width="29" style="1" bestFit="1" customWidth="1"/>
    <col min="3" max="3" width="13" style="1" bestFit="1" customWidth="1"/>
    <col min="4" max="4" width="12.5703125" style="1" customWidth="1"/>
    <col min="5" max="5" width="33.42578125" style="1" customWidth="1"/>
    <col min="6" max="6" width="20.28515625" style="1" bestFit="1" customWidth="1"/>
    <col min="7" max="7" width="13.28515625" style="1" customWidth="1"/>
    <col min="8" max="8" width="38.28515625" style="1" bestFit="1" customWidth="1"/>
    <col min="9" max="10" width="16.5703125" style="1" customWidth="1"/>
    <col min="11" max="11" width="22.28515625" style="1" bestFit="1" customWidth="1"/>
    <col min="12" max="12" width="16.5703125" style="1" customWidth="1"/>
    <col min="13" max="13" width="13" style="1" bestFit="1" customWidth="1"/>
    <col min="14" max="16" width="18.85546875" style="1" customWidth="1"/>
    <col min="17" max="17" width="19.5703125" style="1" bestFit="1" customWidth="1"/>
    <col min="18" max="18" width="33.42578125" style="1" bestFit="1" customWidth="1"/>
    <col min="19" max="19" width="19.5703125" style="1" bestFit="1" customWidth="1"/>
    <col min="20" max="20" width="37" style="1" bestFit="1" customWidth="1"/>
    <col min="21" max="21" width="19.5703125" style="1" bestFit="1" customWidth="1"/>
    <col min="22" max="22" width="19.7109375" style="1" customWidth="1"/>
    <col min="23" max="23" width="19.5703125" style="1" bestFit="1" customWidth="1"/>
    <col min="24" max="24" width="19.7109375" style="1" bestFit="1" customWidth="1"/>
    <col min="25" max="25" width="20" style="1" customWidth="1"/>
    <col min="26" max="26" width="31.42578125" style="1" customWidth="1"/>
    <col min="27" max="27" width="11" style="1" bestFit="1" customWidth="1"/>
    <col min="28" max="28" width="9.140625" style="1"/>
    <col min="29" max="29" width="24.7109375" style="2" customWidth="1"/>
    <col min="30" max="30" width="22.5703125" style="2" customWidth="1"/>
    <col min="31" max="16384" width="9.140625" style="1"/>
  </cols>
  <sheetData>
    <row r="1" spans="1:26" ht="15">
      <c r="A1" s="6" t="s">
        <v>5</v>
      </c>
      <c r="B1" s="3"/>
      <c r="C1" s="3"/>
      <c r="D1" s="7" t="s">
        <v>22</v>
      </c>
      <c r="E1" s="7" t="s">
        <v>21</v>
      </c>
      <c r="F1" s="3"/>
      <c r="G1" s="7" t="s">
        <v>14</v>
      </c>
      <c r="H1" s="7" t="s">
        <v>12</v>
      </c>
      <c r="I1" s="7" t="s">
        <v>250</v>
      </c>
      <c r="J1" s="7" t="s">
        <v>257</v>
      </c>
      <c r="K1" s="7" t="s">
        <v>252</v>
      </c>
      <c r="L1" s="7" t="s">
        <v>253</v>
      </c>
      <c r="M1" s="3"/>
      <c r="N1" s="7" t="s">
        <v>39</v>
      </c>
      <c r="O1" s="7" t="s">
        <v>805</v>
      </c>
      <c r="P1" s="7" t="s">
        <v>806</v>
      </c>
      <c r="Q1" s="7" t="s">
        <v>27</v>
      </c>
      <c r="R1" s="7" t="s">
        <v>28</v>
      </c>
      <c r="S1" s="7" t="s">
        <v>30</v>
      </c>
      <c r="T1" s="7" t="s">
        <v>31</v>
      </c>
      <c r="U1" s="7" t="s">
        <v>32</v>
      </c>
      <c r="V1" s="7" t="s">
        <v>33</v>
      </c>
      <c r="W1" s="7" t="s">
        <v>34</v>
      </c>
      <c r="X1" s="7" t="s">
        <v>35</v>
      </c>
      <c r="Y1" s="5"/>
      <c r="Z1" s="5"/>
    </row>
    <row r="2" spans="1:26" ht="27">
      <c r="A2" s="6" t="s">
        <v>67</v>
      </c>
      <c r="B2" s="3"/>
      <c r="C2" s="3"/>
      <c r="D2" s="7" t="s">
        <v>7</v>
      </c>
      <c r="E2" s="7" t="s">
        <v>6</v>
      </c>
      <c r="F2" s="3"/>
      <c r="G2" s="7" t="s">
        <v>25</v>
      </c>
      <c r="H2" s="7" t="s">
        <v>6</v>
      </c>
      <c r="I2" s="7" t="s">
        <v>7</v>
      </c>
      <c r="J2" s="7" t="s">
        <v>7</v>
      </c>
      <c r="K2" s="7" t="s">
        <v>255</v>
      </c>
      <c r="L2" s="7" t="s">
        <v>254</v>
      </c>
      <c r="M2" s="3"/>
      <c r="N2" s="7" t="s">
        <v>40</v>
      </c>
      <c r="O2" s="7" t="s">
        <v>807</v>
      </c>
      <c r="P2" s="7" t="s">
        <v>808</v>
      </c>
      <c r="Q2" s="7" t="s">
        <v>26</v>
      </c>
      <c r="R2" s="7" t="s">
        <v>29</v>
      </c>
      <c r="S2" s="7" t="s">
        <v>26</v>
      </c>
      <c r="T2" s="7" t="s">
        <v>29</v>
      </c>
      <c r="U2" s="7" t="s">
        <v>26</v>
      </c>
      <c r="V2" s="7" t="s">
        <v>29</v>
      </c>
      <c r="W2" s="7" t="s">
        <v>26</v>
      </c>
      <c r="X2" s="7" t="s">
        <v>29</v>
      </c>
      <c r="Y2" s="5"/>
      <c r="Z2" s="5"/>
    </row>
    <row r="3" spans="1:26" ht="15">
      <c r="A3" s="8" t="s">
        <v>1</v>
      </c>
      <c r="B3" s="3" t="s">
        <v>53</v>
      </c>
      <c r="C3" s="3" t="s">
        <v>53</v>
      </c>
      <c r="D3" s="9">
        <v>1</v>
      </c>
      <c r="E3" s="9">
        <v>1</v>
      </c>
      <c r="F3" s="3" t="s">
        <v>53</v>
      </c>
      <c r="G3" s="9">
        <v>1</v>
      </c>
      <c r="H3" s="9" t="s">
        <v>13</v>
      </c>
      <c r="I3" s="9" t="s">
        <v>0</v>
      </c>
      <c r="J3" s="9" t="s">
        <v>24</v>
      </c>
      <c r="K3" s="9" t="s">
        <v>0</v>
      </c>
      <c r="L3" s="9" t="s">
        <v>0</v>
      </c>
      <c r="M3" s="3" t="s">
        <v>53</v>
      </c>
      <c r="N3" s="9" t="s">
        <v>24</v>
      </c>
      <c r="O3" s="9" t="s">
        <v>0</v>
      </c>
      <c r="P3" s="9" t="s">
        <v>0</v>
      </c>
      <c r="Q3" s="9" t="s">
        <v>24</v>
      </c>
      <c r="R3" s="9" t="s">
        <v>24</v>
      </c>
      <c r="S3" s="9" t="s">
        <v>24</v>
      </c>
      <c r="T3" s="9" t="s">
        <v>24</v>
      </c>
      <c r="U3" s="9" t="s">
        <v>24</v>
      </c>
      <c r="V3" s="9" t="s">
        <v>24</v>
      </c>
      <c r="W3" s="9" t="s">
        <v>24</v>
      </c>
      <c r="X3" s="9" t="s">
        <v>24</v>
      </c>
      <c r="Y3" s="5"/>
      <c r="Z3" s="5"/>
    </row>
    <row r="4" spans="1:26" ht="15">
      <c r="A4" s="8" t="s">
        <v>847</v>
      </c>
      <c r="B4" s="3" t="s">
        <v>0</v>
      </c>
      <c r="C4" s="3" t="s">
        <v>0</v>
      </c>
      <c r="D4" s="9" t="s">
        <v>0</v>
      </c>
      <c r="E4" s="9" t="s">
        <v>0</v>
      </c>
      <c r="F4" s="3" t="s">
        <v>0</v>
      </c>
      <c r="G4" s="9" t="s">
        <v>0</v>
      </c>
      <c r="H4" s="9" t="s">
        <v>0</v>
      </c>
      <c r="I4" s="9" t="s">
        <v>0</v>
      </c>
      <c r="J4" s="9" t="s">
        <v>0</v>
      </c>
      <c r="K4" s="9" t="s">
        <v>0</v>
      </c>
      <c r="L4" s="9" t="s">
        <v>0</v>
      </c>
      <c r="M4" s="3" t="s">
        <v>0</v>
      </c>
      <c r="N4" s="9" t="s">
        <v>0</v>
      </c>
      <c r="O4" s="9" t="s">
        <v>0</v>
      </c>
      <c r="P4" s="9" t="s">
        <v>0</v>
      </c>
      <c r="Q4" s="9">
        <v>1</v>
      </c>
      <c r="R4" s="9">
        <v>1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  <c r="Y4" s="5"/>
      <c r="Z4" s="5"/>
    </row>
    <row r="5" spans="1:26" ht="15">
      <c r="A5" s="8" t="s">
        <v>2</v>
      </c>
      <c r="B5" s="3" t="s">
        <v>54</v>
      </c>
      <c r="C5" s="3" t="s">
        <v>54</v>
      </c>
      <c r="D5" s="9" t="s">
        <v>0</v>
      </c>
      <c r="E5" s="9" t="s">
        <v>0</v>
      </c>
      <c r="F5" s="3" t="s">
        <v>54</v>
      </c>
      <c r="G5" s="9" t="s">
        <v>0</v>
      </c>
      <c r="H5" s="9" t="s">
        <v>0</v>
      </c>
      <c r="I5" s="9" t="s">
        <v>0</v>
      </c>
      <c r="J5" s="9" t="s">
        <v>0</v>
      </c>
      <c r="K5" s="9" t="s">
        <v>0</v>
      </c>
      <c r="L5" s="9" t="s">
        <v>0</v>
      </c>
      <c r="M5" s="3" t="s">
        <v>54</v>
      </c>
      <c r="N5" s="9" t="s">
        <v>24</v>
      </c>
      <c r="O5" s="9" t="s">
        <v>0</v>
      </c>
      <c r="P5" s="9" t="s">
        <v>0</v>
      </c>
      <c r="Q5" s="9" t="s">
        <v>24</v>
      </c>
      <c r="R5" s="9" t="s">
        <v>24</v>
      </c>
      <c r="S5" s="9" t="s">
        <v>24</v>
      </c>
      <c r="T5" s="9" t="s">
        <v>24</v>
      </c>
      <c r="U5" s="9" t="s">
        <v>24</v>
      </c>
      <c r="V5" s="9" t="s">
        <v>24</v>
      </c>
      <c r="W5" s="9" t="s">
        <v>24</v>
      </c>
      <c r="X5" s="9" t="s">
        <v>24</v>
      </c>
      <c r="Y5" s="5"/>
      <c r="Z5" s="5"/>
    </row>
    <row r="6" spans="1:26" ht="15">
      <c r="A6" s="8" t="s">
        <v>3</v>
      </c>
      <c r="B6" s="3" t="s">
        <v>55</v>
      </c>
      <c r="C6" s="3" t="s">
        <v>55</v>
      </c>
      <c r="D6" s="9" t="s">
        <v>0</v>
      </c>
      <c r="E6" s="9" t="s">
        <v>0</v>
      </c>
      <c r="F6" s="3" t="s">
        <v>55</v>
      </c>
      <c r="G6" s="9" t="s">
        <v>0</v>
      </c>
      <c r="H6" s="9" t="s">
        <v>0</v>
      </c>
      <c r="I6" s="9" t="s">
        <v>0</v>
      </c>
      <c r="J6" s="9" t="s">
        <v>0</v>
      </c>
      <c r="K6" s="9" t="s">
        <v>0</v>
      </c>
      <c r="L6" s="9" t="s">
        <v>0</v>
      </c>
      <c r="M6" s="3" t="s">
        <v>55</v>
      </c>
      <c r="N6" s="9" t="s">
        <v>24</v>
      </c>
      <c r="O6" s="9" t="s">
        <v>0</v>
      </c>
      <c r="P6" s="9" t="s">
        <v>0</v>
      </c>
      <c r="Q6" s="9" t="s">
        <v>24</v>
      </c>
      <c r="R6" s="9" t="s">
        <v>24</v>
      </c>
      <c r="S6" s="9" t="s">
        <v>24</v>
      </c>
      <c r="T6" s="9" t="s">
        <v>24</v>
      </c>
      <c r="U6" s="9" t="s">
        <v>24</v>
      </c>
      <c r="V6" s="9" t="s">
        <v>24</v>
      </c>
      <c r="W6" s="9" t="s">
        <v>24</v>
      </c>
      <c r="X6" s="9" t="s">
        <v>24</v>
      </c>
      <c r="Y6" s="5"/>
      <c r="Z6" s="5"/>
    </row>
    <row r="7" spans="1:26" ht="15">
      <c r="A7" s="8" t="s">
        <v>4</v>
      </c>
      <c r="B7" s="3" t="s">
        <v>56</v>
      </c>
      <c r="C7" s="3" t="s">
        <v>56</v>
      </c>
      <c r="D7" s="9" t="s">
        <v>0</v>
      </c>
      <c r="E7" s="9" t="s">
        <v>0</v>
      </c>
      <c r="F7" s="3" t="s">
        <v>56</v>
      </c>
      <c r="G7" s="9" t="s">
        <v>0</v>
      </c>
      <c r="H7" s="9" t="s">
        <v>0</v>
      </c>
      <c r="I7" s="9" t="s">
        <v>0</v>
      </c>
      <c r="J7" s="9" t="s">
        <v>0</v>
      </c>
      <c r="K7" s="9" t="s">
        <v>0</v>
      </c>
      <c r="L7" s="9" t="s">
        <v>0</v>
      </c>
      <c r="M7" s="3" t="s">
        <v>56</v>
      </c>
      <c r="N7" s="9" t="s">
        <v>24</v>
      </c>
      <c r="O7" s="9" t="s">
        <v>0</v>
      </c>
      <c r="P7" s="9" t="s">
        <v>0</v>
      </c>
      <c r="Q7" s="9" t="s">
        <v>24</v>
      </c>
      <c r="R7" s="9" t="s">
        <v>24</v>
      </c>
      <c r="S7" s="9" t="s">
        <v>24</v>
      </c>
      <c r="T7" s="9" t="s">
        <v>24</v>
      </c>
      <c r="U7" s="9" t="s">
        <v>24</v>
      </c>
      <c r="V7" s="9" t="s">
        <v>24</v>
      </c>
      <c r="W7" s="9" t="s">
        <v>24</v>
      </c>
      <c r="X7" s="9" t="s">
        <v>24</v>
      </c>
      <c r="Y7" s="5"/>
      <c r="Z7" s="5"/>
    </row>
    <row r="8" spans="1:26" ht="15">
      <c r="A8" s="8" t="s">
        <v>10</v>
      </c>
      <c r="B8" s="3" t="s">
        <v>56</v>
      </c>
      <c r="C8" s="3" t="s">
        <v>56</v>
      </c>
      <c r="D8" s="9" t="s">
        <v>0</v>
      </c>
      <c r="E8" s="9" t="s">
        <v>0</v>
      </c>
      <c r="F8" s="3" t="s">
        <v>56</v>
      </c>
      <c r="G8" s="9" t="s">
        <v>0</v>
      </c>
      <c r="H8" s="9" t="s">
        <v>0</v>
      </c>
      <c r="I8" s="9" t="s">
        <v>0</v>
      </c>
      <c r="J8" s="9" t="s">
        <v>0</v>
      </c>
      <c r="K8" s="9" t="s">
        <v>0</v>
      </c>
      <c r="L8" s="9" t="s">
        <v>0</v>
      </c>
      <c r="M8" s="3" t="s">
        <v>56</v>
      </c>
      <c r="N8" s="9" t="s">
        <v>24</v>
      </c>
      <c r="O8" s="9" t="s">
        <v>809</v>
      </c>
      <c r="P8" s="9" t="s">
        <v>810</v>
      </c>
      <c r="Q8" s="9" t="s">
        <v>24</v>
      </c>
      <c r="R8" s="9" t="s">
        <v>24</v>
      </c>
      <c r="S8" s="9" t="s">
        <v>24</v>
      </c>
      <c r="T8" s="9" t="s">
        <v>24</v>
      </c>
      <c r="U8" s="9" t="s">
        <v>24</v>
      </c>
      <c r="V8" s="9" t="s">
        <v>24</v>
      </c>
      <c r="W8" s="9" t="s">
        <v>24</v>
      </c>
      <c r="X8" s="9" t="s">
        <v>24</v>
      </c>
      <c r="Y8" s="5"/>
      <c r="Z8" s="5"/>
    </row>
    <row r="9" spans="1:26" ht="15">
      <c r="A9" s="8" t="s">
        <v>842</v>
      </c>
      <c r="B9" s="3" t="s">
        <v>839</v>
      </c>
      <c r="C9" s="3" t="s">
        <v>840</v>
      </c>
      <c r="D9" s="9" t="s">
        <v>0</v>
      </c>
      <c r="E9" s="9">
        <v>1</v>
      </c>
      <c r="F9" s="3" t="s">
        <v>840</v>
      </c>
      <c r="G9" s="9" t="s">
        <v>0</v>
      </c>
      <c r="H9" s="9" t="s">
        <v>0</v>
      </c>
      <c r="I9" s="9" t="s">
        <v>0</v>
      </c>
      <c r="J9" s="9" t="s">
        <v>839</v>
      </c>
      <c r="K9" s="9" t="s">
        <v>841</v>
      </c>
      <c r="L9" s="9" t="s">
        <v>841</v>
      </c>
      <c r="M9" s="3" t="s">
        <v>839</v>
      </c>
      <c r="N9" s="9" t="s">
        <v>839</v>
      </c>
      <c r="O9" s="9" t="s">
        <v>839</v>
      </c>
      <c r="P9" s="9" t="s">
        <v>839</v>
      </c>
      <c r="Q9" s="9" t="s">
        <v>839</v>
      </c>
      <c r="R9" s="9">
        <v>1</v>
      </c>
      <c r="S9" s="9" t="s">
        <v>839</v>
      </c>
      <c r="T9" s="9">
        <v>1</v>
      </c>
      <c r="U9" s="9" t="s">
        <v>839</v>
      </c>
      <c r="V9" s="9">
        <v>1</v>
      </c>
      <c r="W9" s="9" t="s">
        <v>839</v>
      </c>
      <c r="X9" s="9">
        <v>1</v>
      </c>
      <c r="Y9" s="5"/>
      <c r="Z9" s="5"/>
    </row>
    <row r="10" spans="1:26" ht="15">
      <c r="A10" s="10">
        <v>46000001</v>
      </c>
      <c r="B10" s="4" t="s">
        <v>69</v>
      </c>
      <c r="C10" s="4" t="s">
        <v>62</v>
      </c>
      <c r="D10" s="11">
        <f>IFERROR(VLOOKUP(C10,ShipShapeEnum!$E:$F,2,FALSE),"-")</f>
        <v>1</v>
      </c>
      <c r="E10" s="19" t="s">
        <v>83</v>
      </c>
      <c r="F10" s="4" t="s">
        <v>61</v>
      </c>
      <c r="G10" s="11">
        <f>IFERROR(VLOOKUP(F10,ShipShapeEnum!$B:$C,2,FALSE),"-")</f>
        <v>1</v>
      </c>
      <c r="H10" s="19" t="s">
        <v>13</v>
      </c>
      <c r="I10" s="19" t="s">
        <v>0</v>
      </c>
      <c r="J10" s="19" t="s">
        <v>13</v>
      </c>
      <c r="K10" s="19" t="s">
        <v>0</v>
      </c>
      <c r="L10" s="19" t="s">
        <v>0</v>
      </c>
      <c r="M10" s="4" t="s">
        <v>88</v>
      </c>
      <c r="N10" s="11">
        <f>IFERROR(VLOOKUP(M10,ShipShapeEnum!$H:$I,2,FALSE),"-")</f>
        <v>1</v>
      </c>
      <c r="O10" s="11" t="s">
        <v>0</v>
      </c>
      <c r="P10" s="11" t="s">
        <v>0</v>
      </c>
      <c r="Q10" s="19">
        <v>2</v>
      </c>
      <c r="R10" s="19" t="s">
        <v>268</v>
      </c>
      <c r="S10" s="19" t="s">
        <v>0</v>
      </c>
      <c r="T10" s="19" t="s">
        <v>0</v>
      </c>
      <c r="U10" s="19" t="s">
        <v>0</v>
      </c>
      <c r="V10" s="19" t="s">
        <v>0</v>
      </c>
      <c r="W10" s="19" t="s">
        <v>0</v>
      </c>
      <c r="X10" s="19" t="s">
        <v>0</v>
      </c>
      <c r="Z10" s="5"/>
    </row>
    <row r="11" spans="1:26" ht="15">
      <c r="A11" s="10">
        <f>A10+1</f>
        <v>46000002</v>
      </c>
      <c r="B11" s="4" t="s">
        <v>76</v>
      </c>
      <c r="C11" s="4" t="s">
        <v>62</v>
      </c>
      <c r="D11" s="11">
        <f>IFERROR(VLOOKUP(C11,ShipShapeEnum!$E:$F,2,FALSE),"-")</f>
        <v>1</v>
      </c>
      <c r="E11" s="19" t="s">
        <v>18</v>
      </c>
      <c r="F11" s="4" t="s">
        <v>61</v>
      </c>
      <c r="G11" s="11">
        <f>IFERROR(VLOOKUP(F11,ShipShapeEnum!$B:$C,2,FALSE),"-")</f>
        <v>1</v>
      </c>
      <c r="H11" s="19" t="s">
        <v>13</v>
      </c>
      <c r="I11" s="19" t="s">
        <v>0</v>
      </c>
      <c r="J11" s="19" t="s">
        <v>13</v>
      </c>
      <c r="K11" s="19" t="s">
        <v>0</v>
      </c>
      <c r="L11" s="19" t="s">
        <v>0</v>
      </c>
      <c r="M11" s="4" t="s">
        <v>88</v>
      </c>
      <c r="N11" s="11">
        <f>IFERROR(VLOOKUP(M11,ShipShapeEnum!$H:$I,2,FALSE),"-")</f>
        <v>1</v>
      </c>
      <c r="O11" s="11" t="s">
        <v>812</v>
      </c>
      <c r="P11" s="11" t="s">
        <v>0</v>
      </c>
      <c r="Q11" s="19" t="s">
        <v>0</v>
      </c>
      <c r="R11" s="19" t="s">
        <v>0</v>
      </c>
      <c r="S11" s="19" t="s">
        <v>0</v>
      </c>
      <c r="T11" s="19" t="s">
        <v>0</v>
      </c>
      <c r="U11" s="19" t="s">
        <v>0</v>
      </c>
      <c r="V11" s="19" t="s">
        <v>0</v>
      </c>
      <c r="W11" s="19" t="s">
        <v>0</v>
      </c>
      <c r="X11" s="19" t="s">
        <v>0</v>
      </c>
      <c r="Z11" s="5"/>
    </row>
    <row r="12" spans="1:26" ht="15">
      <c r="A12" s="10">
        <f t="shared" ref="A12:A75" si="0">A11+1</f>
        <v>46000003</v>
      </c>
      <c r="B12" s="4" t="s">
        <v>78</v>
      </c>
      <c r="C12" s="4" t="s">
        <v>62</v>
      </c>
      <c r="D12" s="11">
        <f>IFERROR(VLOOKUP(C12,ShipShapeEnum!$E:$F,2,FALSE),"-")</f>
        <v>1</v>
      </c>
      <c r="E12" s="19" t="s">
        <v>83</v>
      </c>
      <c r="F12" s="4" t="s">
        <v>61</v>
      </c>
      <c r="G12" s="11">
        <f>IFERROR(VLOOKUP(F12,ShipShapeEnum!$B:$C,2,FALSE),"-")</f>
        <v>1</v>
      </c>
      <c r="H12" s="19" t="s">
        <v>13</v>
      </c>
      <c r="I12" s="19" t="s">
        <v>0</v>
      </c>
      <c r="J12" s="19" t="s">
        <v>13</v>
      </c>
      <c r="K12" s="19" t="s">
        <v>0</v>
      </c>
      <c r="L12" s="19" t="s">
        <v>0</v>
      </c>
      <c r="M12" s="4" t="s">
        <v>88</v>
      </c>
      <c r="N12" s="11">
        <f>IFERROR(VLOOKUP(M12,ShipShapeEnum!$H:$I,2,FALSE),"-")</f>
        <v>1</v>
      </c>
      <c r="O12" s="11" t="s">
        <v>0</v>
      </c>
      <c r="P12" s="11" t="s">
        <v>0</v>
      </c>
      <c r="Q12" s="19">
        <v>2</v>
      </c>
      <c r="R12" s="19" t="s">
        <v>89</v>
      </c>
      <c r="S12" s="19">
        <v>3</v>
      </c>
      <c r="T12" s="19" t="s">
        <v>89</v>
      </c>
      <c r="U12" s="19" t="s">
        <v>0</v>
      </c>
      <c r="V12" s="19" t="s">
        <v>0</v>
      </c>
      <c r="W12" s="19" t="s">
        <v>0</v>
      </c>
      <c r="X12" s="19" t="s">
        <v>0</v>
      </c>
      <c r="Y12" s="5"/>
      <c r="Z12" s="5"/>
    </row>
    <row r="13" spans="1:26" ht="15">
      <c r="A13" s="10">
        <f t="shared" si="0"/>
        <v>46000004</v>
      </c>
      <c r="B13" s="4" t="s">
        <v>80</v>
      </c>
      <c r="C13" s="4" t="s">
        <v>62</v>
      </c>
      <c r="D13" s="11">
        <f>IFERROR(VLOOKUP(C13,ShipShapeEnum!$E:$F,2,FALSE),"-")</f>
        <v>1</v>
      </c>
      <c r="E13" s="19" t="s">
        <v>83</v>
      </c>
      <c r="F13" s="4" t="s">
        <v>61</v>
      </c>
      <c r="G13" s="11">
        <f>IFERROR(VLOOKUP(F13,ShipShapeEnum!$B:$C,2,FALSE),"-")</f>
        <v>1</v>
      </c>
      <c r="H13" s="19" t="s">
        <v>13</v>
      </c>
      <c r="I13" s="19" t="s">
        <v>0</v>
      </c>
      <c r="J13" s="19" t="s">
        <v>13</v>
      </c>
      <c r="K13" s="19" t="s">
        <v>0</v>
      </c>
      <c r="L13" s="19" t="s">
        <v>0</v>
      </c>
      <c r="M13" s="4" t="s">
        <v>88</v>
      </c>
      <c r="N13" s="11">
        <f>IFERROR(VLOOKUP(M13,ShipShapeEnum!$H:$I,2,FALSE),"-")</f>
        <v>1</v>
      </c>
      <c r="O13" s="11" t="s">
        <v>0</v>
      </c>
      <c r="P13" s="11" t="s">
        <v>0</v>
      </c>
      <c r="Q13" s="19">
        <v>2</v>
      </c>
      <c r="R13" s="19" t="s">
        <v>107</v>
      </c>
      <c r="S13" s="19">
        <v>3</v>
      </c>
      <c r="T13" s="19" t="s">
        <v>90</v>
      </c>
      <c r="U13" s="19" t="s">
        <v>0</v>
      </c>
      <c r="V13" s="19" t="s">
        <v>0</v>
      </c>
      <c r="W13" s="19" t="s">
        <v>0</v>
      </c>
      <c r="X13" s="19" t="s">
        <v>0</v>
      </c>
    </row>
    <row r="14" spans="1:26" ht="15">
      <c r="A14" s="10">
        <f t="shared" si="0"/>
        <v>46000005</v>
      </c>
      <c r="B14" s="4" t="s">
        <v>75</v>
      </c>
      <c r="C14" s="4" t="s">
        <v>62</v>
      </c>
      <c r="D14" s="11">
        <f>IFERROR(VLOOKUP(C14,ShipShapeEnum!$E:$F,2,FALSE),"-")</f>
        <v>1</v>
      </c>
      <c r="E14" s="19" t="s">
        <v>83</v>
      </c>
      <c r="F14" s="4" t="s">
        <v>61</v>
      </c>
      <c r="G14" s="11">
        <f>IFERROR(VLOOKUP(F14,ShipShapeEnum!$B:$C,2,FALSE),"-")</f>
        <v>1</v>
      </c>
      <c r="H14" s="19" t="s">
        <v>13</v>
      </c>
      <c r="I14" s="19" t="s">
        <v>85</v>
      </c>
      <c r="J14" s="19" t="s">
        <v>85</v>
      </c>
      <c r="K14" s="19" t="s">
        <v>85</v>
      </c>
      <c r="L14" s="19" t="s">
        <v>85</v>
      </c>
      <c r="M14" s="4" t="s">
        <v>88</v>
      </c>
      <c r="N14" s="11">
        <f>IFERROR(VLOOKUP(M14,ShipShapeEnum!$H:$I,2,FALSE),"-")</f>
        <v>1</v>
      </c>
      <c r="O14" s="11" t="s">
        <v>0</v>
      </c>
      <c r="P14" s="11" t="s">
        <v>0</v>
      </c>
      <c r="Q14" s="19">
        <v>2</v>
      </c>
      <c r="R14" s="19" t="s">
        <v>108</v>
      </c>
      <c r="S14" s="19">
        <v>3</v>
      </c>
      <c r="T14" s="19" t="s">
        <v>91</v>
      </c>
      <c r="U14" s="19" t="s">
        <v>0</v>
      </c>
      <c r="V14" s="19" t="s">
        <v>0</v>
      </c>
      <c r="W14" s="19" t="s">
        <v>0</v>
      </c>
      <c r="X14" s="19" t="s">
        <v>0</v>
      </c>
    </row>
    <row r="15" spans="1:26" ht="15">
      <c r="A15" s="10">
        <f t="shared" si="0"/>
        <v>46000006</v>
      </c>
      <c r="B15" s="4" t="s">
        <v>82</v>
      </c>
      <c r="C15" s="4" t="s">
        <v>62</v>
      </c>
      <c r="D15" s="11">
        <f>IFERROR(VLOOKUP(C15,ShipShapeEnum!$E:$F,2,FALSE),"-")</f>
        <v>1</v>
      </c>
      <c r="E15" s="19" t="s">
        <v>83</v>
      </c>
      <c r="F15" s="4" t="s">
        <v>61</v>
      </c>
      <c r="G15" s="11">
        <f>IFERROR(VLOOKUP(F15,ShipShapeEnum!$B:$C,2,FALSE),"-")</f>
        <v>1</v>
      </c>
      <c r="H15" s="19" t="s">
        <v>13</v>
      </c>
      <c r="I15" s="19" t="s">
        <v>84</v>
      </c>
      <c r="J15" s="19" t="s">
        <v>84</v>
      </c>
      <c r="K15" s="19" t="s">
        <v>84</v>
      </c>
      <c r="L15" s="19" t="s">
        <v>84</v>
      </c>
      <c r="M15" s="4" t="s">
        <v>88</v>
      </c>
      <c r="N15" s="11">
        <f>IFERROR(VLOOKUP(M15,ShipShapeEnum!$H:$I,2,FALSE),"-")</f>
        <v>1</v>
      </c>
      <c r="O15" s="11" t="s">
        <v>0</v>
      </c>
      <c r="P15" s="11" t="s">
        <v>0</v>
      </c>
      <c r="Q15" s="19">
        <v>2</v>
      </c>
      <c r="R15" s="19" t="s">
        <v>109</v>
      </c>
      <c r="S15" s="19">
        <v>3</v>
      </c>
      <c r="T15" s="19" t="s">
        <v>110</v>
      </c>
      <c r="U15" s="19" t="s">
        <v>0</v>
      </c>
      <c r="V15" s="19" t="s">
        <v>0</v>
      </c>
      <c r="W15" s="19" t="s">
        <v>0</v>
      </c>
      <c r="X15" s="19" t="s">
        <v>0</v>
      </c>
    </row>
    <row r="16" spans="1:26" ht="15.75" customHeight="1">
      <c r="A16" s="10">
        <f t="shared" si="0"/>
        <v>46000007</v>
      </c>
      <c r="B16" s="4" t="s">
        <v>93</v>
      </c>
      <c r="C16" s="4" t="s">
        <v>62</v>
      </c>
      <c r="D16" s="11">
        <f>IFERROR(VLOOKUP(C16,ShipShapeEnum!$E:$F,2,FALSE),"-")</f>
        <v>1</v>
      </c>
      <c r="E16" s="19" t="s">
        <v>83</v>
      </c>
      <c r="F16" s="4" t="s">
        <v>61</v>
      </c>
      <c r="G16" s="11">
        <f>IFERROR(VLOOKUP(F16,ShipShapeEnum!$B:$C,2,FALSE),"-")</f>
        <v>1</v>
      </c>
      <c r="H16" s="19" t="s">
        <v>86</v>
      </c>
      <c r="I16" s="19" t="s">
        <v>84</v>
      </c>
      <c r="J16" s="19" t="s">
        <v>84</v>
      </c>
      <c r="K16" s="19" t="s">
        <v>84</v>
      </c>
      <c r="L16" s="19" t="s">
        <v>84</v>
      </c>
      <c r="M16" s="4" t="s">
        <v>88</v>
      </c>
      <c r="N16" s="11">
        <f>IFERROR(VLOOKUP(M16,ShipShapeEnum!$H:$I,2,FALSE),"-")</f>
        <v>1</v>
      </c>
      <c r="O16" s="11" t="s">
        <v>0</v>
      </c>
      <c r="P16" s="11" t="s">
        <v>0</v>
      </c>
      <c r="Q16" s="19">
        <v>2</v>
      </c>
      <c r="R16" s="19" t="s">
        <v>92</v>
      </c>
      <c r="S16" s="19">
        <v>3</v>
      </c>
      <c r="T16" s="19" t="s">
        <v>111</v>
      </c>
      <c r="U16" s="19" t="s">
        <v>96</v>
      </c>
      <c r="V16" s="19" t="s">
        <v>84</v>
      </c>
      <c r="W16" s="19" t="s">
        <v>86</v>
      </c>
      <c r="X16" s="19" t="s">
        <v>84</v>
      </c>
    </row>
    <row r="17" spans="1:24" ht="15">
      <c r="A17" s="10">
        <f t="shared" si="0"/>
        <v>46000008</v>
      </c>
      <c r="B17" s="4" t="s">
        <v>213</v>
      </c>
      <c r="C17" s="4" t="s">
        <v>62</v>
      </c>
      <c r="D17" s="11">
        <f>IFERROR(VLOOKUP(C17,ShipShapeEnum!$E:$F,2,FALSE),"-")</f>
        <v>1</v>
      </c>
      <c r="E17" s="19" t="s">
        <v>114</v>
      </c>
      <c r="F17" s="4" t="s">
        <v>61</v>
      </c>
      <c r="G17" s="11">
        <f>IFERROR(VLOOKUP(F17,ShipShapeEnum!$B:$C,2,FALSE),"-")</f>
        <v>1</v>
      </c>
      <c r="H17" s="19" t="s">
        <v>0</v>
      </c>
      <c r="I17" s="19" t="s">
        <v>84</v>
      </c>
      <c r="J17" s="19" t="s">
        <v>84</v>
      </c>
      <c r="K17" s="19" t="s">
        <v>84</v>
      </c>
      <c r="L17" s="19" t="s">
        <v>84</v>
      </c>
      <c r="M17" s="4" t="s">
        <v>88</v>
      </c>
      <c r="N17" s="11">
        <f>IFERROR(VLOOKUP(M17,ShipShapeEnum!$H:$I,2,FALSE),"-")</f>
        <v>1</v>
      </c>
      <c r="O17" s="11" t="s">
        <v>0</v>
      </c>
      <c r="P17" s="11" t="s">
        <v>0</v>
      </c>
      <c r="Q17" s="19">
        <v>2</v>
      </c>
      <c r="R17" s="19" t="s">
        <v>117</v>
      </c>
      <c r="S17" s="19" t="s">
        <v>118</v>
      </c>
      <c r="T17" s="19" t="s">
        <v>116</v>
      </c>
      <c r="U17" s="19" t="s">
        <v>0</v>
      </c>
      <c r="V17" s="19" t="s">
        <v>0</v>
      </c>
      <c r="W17" s="19" t="s">
        <v>0</v>
      </c>
      <c r="X17" s="19" t="s">
        <v>0</v>
      </c>
    </row>
    <row r="18" spans="1:24" ht="15.75" customHeight="1">
      <c r="A18" s="10">
        <f t="shared" si="0"/>
        <v>46000009</v>
      </c>
      <c r="B18" s="4" t="s">
        <v>215</v>
      </c>
      <c r="C18" s="4" t="s">
        <v>62</v>
      </c>
      <c r="D18" s="11">
        <f>IFERROR(VLOOKUP(C18,ShipShapeEnum!$E:$F,2,FALSE),"-")</f>
        <v>1</v>
      </c>
      <c r="E18" s="19" t="s">
        <v>114</v>
      </c>
      <c r="F18" s="4" t="s">
        <v>61</v>
      </c>
      <c r="G18" s="11">
        <f>IFERROR(VLOOKUP(F18,ShipShapeEnum!$B:$C,2,FALSE),"-")</f>
        <v>1</v>
      </c>
      <c r="H18" s="19" t="s">
        <v>86</v>
      </c>
      <c r="I18" s="19" t="s">
        <v>84</v>
      </c>
      <c r="J18" s="19" t="s">
        <v>84</v>
      </c>
      <c r="K18" s="19" t="s">
        <v>84</v>
      </c>
      <c r="L18" s="19" t="s">
        <v>84</v>
      </c>
      <c r="M18" s="4" t="s">
        <v>88</v>
      </c>
      <c r="N18" s="11">
        <f>IFERROR(VLOOKUP(M18,ShipShapeEnum!$H:$I,2,FALSE),"-")</f>
        <v>1</v>
      </c>
      <c r="O18" s="11" t="s">
        <v>0</v>
      </c>
      <c r="P18" s="11" t="s">
        <v>0</v>
      </c>
      <c r="Q18" s="19" t="s">
        <v>0</v>
      </c>
      <c r="R18" s="19" t="s">
        <v>0</v>
      </c>
      <c r="S18" s="19" t="s">
        <v>115</v>
      </c>
      <c r="T18" s="19" t="s">
        <v>122</v>
      </c>
      <c r="U18" s="19" t="s">
        <v>96</v>
      </c>
      <c r="V18" s="19" t="s">
        <v>84</v>
      </c>
      <c r="W18" s="19" t="s">
        <v>86</v>
      </c>
      <c r="X18" s="19" t="s">
        <v>84</v>
      </c>
    </row>
    <row r="19" spans="1:24" ht="15">
      <c r="A19" s="10">
        <f t="shared" si="0"/>
        <v>46000010</v>
      </c>
      <c r="B19" s="4" t="s">
        <v>217</v>
      </c>
      <c r="C19" s="4" t="s">
        <v>62</v>
      </c>
      <c r="D19" s="11">
        <f>IFERROR(VLOOKUP(C19,ShipShapeEnum!$E:$F,2,FALSE),"-")</f>
        <v>1</v>
      </c>
      <c r="E19" s="19" t="s">
        <v>114</v>
      </c>
      <c r="F19" s="4" t="s">
        <v>61</v>
      </c>
      <c r="G19" s="11">
        <f>IFERROR(VLOOKUP(F19,ShipShapeEnum!$B:$C,2,FALSE),"-")</f>
        <v>1</v>
      </c>
      <c r="H19" s="19" t="s">
        <v>84</v>
      </c>
      <c r="I19" s="19" t="s">
        <v>85</v>
      </c>
      <c r="J19" s="19" t="s">
        <v>85</v>
      </c>
      <c r="K19" s="19" t="s">
        <v>85</v>
      </c>
      <c r="L19" s="19" t="s">
        <v>85</v>
      </c>
      <c r="M19" s="4" t="s">
        <v>88</v>
      </c>
      <c r="N19" s="11">
        <f>IFERROR(VLOOKUP(M19,ShipShapeEnum!$H:$I,2,FALSE),"-")</f>
        <v>1</v>
      </c>
      <c r="O19" s="11" t="s">
        <v>0</v>
      </c>
      <c r="P19" s="11" t="s">
        <v>0</v>
      </c>
      <c r="Q19" s="19">
        <v>2</v>
      </c>
      <c r="R19" s="19" t="s">
        <v>89</v>
      </c>
      <c r="S19" s="19" t="s">
        <v>96</v>
      </c>
      <c r="T19" s="19" t="s">
        <v>84</v>
      </c>
      <c r="U19" s="19" t="s">
        <v>95</v>
      </c>
      <c r="V19" s="19" t="s">
        <v>96</v>
      </c>
      <c r="W19" s="19" t="s">
        <v>84</v>
      </c>
      <c r="X19" s="19" t="s">
        <v>96</v>
      </c>
    </row>
    <row r="20" spans="1:24" ht="15">
      <c r="A20" s="10">
        <f t="shared" si="0"/>
        <v>46000011</v>
      </c>
      <c r="B20" s="4" t="s">
        <v>219</v>
      </c>
      <c r="C20" s="4" t="s">
        <v>62</v>
      </c>
      <c r="D20" s="11">
        <f>IFERROR(VLOOKUP(C20,ShipShapeEnum!$E:$F,2,FALSE),"-")</f>
        <v>1</v>
      </c>
      <c r="E20" s="19" t="s">
        <v>114</v>
      </c>
      <c r="F20" s="4" t="s">
        <v>61</v>
      </c>
      <c r="G20" s="11">
        <f>IFERROR(VLOOKUP(F20,ShipShapeEnum!$B:$C,2,FALSE),"-")</f>
        <v>1</v>
      </c>
      <c r="H20" s="19" t="s">
        <v>85</v>
      </c>
      <c r="I20" s="19" t="s">
        <v>99</v>
      </c>
      <c r="J20" s="19" t="s">
        <v>99</v>
      </c>
      <c r="K20" s="19" t="s">
        <v>99</v>
      </c>
      <c r="L20" s="19" t="s">
        <v>99</v>
      </c>
      <c r="M20" s="4" t="s">
        <v>88</v>
      </c>
      <c r="N20" s="11">
        <f>IFERROR(VLOOKUP(M20,ShipShapeEnum!$H:$I,2,FALSE),"-")</f>
        <v>1</v>
      </c>
      <c r="O20" s="11" t="s">
        <v>0</v>
      </c>
      <c r="P20" s="11" t="s">
        <v>0</v>
      </c>
      <c r="Q20" s="19">
        <v>2</v>
      </c>
      <c r="R20" s="19" t="s">
        <v>90</v>
      </c>
      <c r="S20" s="19" t="s">
        <v>96</v>
      </c>
      <c r="T20" s="19" t="s">
        <v>96</v>
      </c>
      <c r="U20" s="19" t="s">
        <v>84</v>
      </c>
      <c r="V20" s="19" t="s">
        <v>100</v>
      </c>
      <c r="W20" s="19" t="s">
        <v>84</v>
      </c>
      <c r="X20" s="19" t="s">
        <v>84</v>
      </c>
    </row>
    <row r="21" spans="1:24" ht="15">
      <c r="A21" s="10">
        <f t="shared" si="0"/>
        <v>46000012</v>
      </c>
      <c r="B21" s="4" t="s">
        <v>221</v>
      </c>
      <c r="C21" s="4" t="s">
        <v>62</v>
      </c>
      <c r="D21" s="11">
        <f>IFERROR(VLOOKUP(C21,ShipShapeEnum!$E:$F,2,FALSE),"-")</f>
        <v>1</v>
      </c>
      <c r="E21" s="19" t="s">
        <v>114</v>
      </c>
      <c r="F21" s="4" t="s">
        <v>61</v>
      </c>
      <c r="G21" s="11">
        <f>IFERROR(VLOOKUP(F21,ShipShapeEnum!$B:$C,2,FALSE),"-")</f>
        <v>1</v>
      </c>
      <c r="H21" s="19" t="s">
        <v>84</v>
      </c>
      <c r="I21" s="19" t="s">
        <v>115</v>
      </c>
      <c r="J21" s="19" t="s">
        <v>115</v>
      </c>
      <c r="K21" s="19" t="s">
        <v>115</v>
      </c>
      <c r="L21" s="19" t="s">
        <v>115</v>
      </c>
      <c r="M21" s="4" t="s">
        <v>88</v>
      </c>
      <c r="N21" s="11">
        <f>IFERROR(VLOOKUP(M21,ShipShapeEnum!$H:$I,2,FALSE),"-")</f>
        <v>1</v>
      </c>
      <c r="O21" s="11" t="s">
        <v>0</v>
      </c>
      <c r="P21" s="11" t="s">
        <v>0</v>
      </c>
      <c r="Q21" s="19">
        <v>2</v>
      </c>
      <c r="R21" s="19" t="s">
        <v>91</v>
      </c>
      <c r="S21" s="19" t="s">
        <v>84</v>
      </c>
      <c r="T21" s="19" t="s">
        <v>96</v>
      </c>
      <c r="U21" s="19" t="s">
        <v>102</v>
      </c>
      <c r="V21" s="19" t="s">
        <v>103</v>
      </c>
      <c r="W21" s="19" t="s">
        <v>84</v>
      </c>
      <c r="X21" s="19" t="s">
        <v>84</v>
      </c>
    </row>
    <row r="22" spans="1:24" ht="15">
      <c r="A22" s="10">
        <f t="shared" si="0"/>
        <v>46000013</v>
      </c>
      <c r="B22" s="4" t="s">
        <v>223</v>
      </c>
      <c r="C22" s="4" t="s">
        <v>62</v>
      </c>
      <c r="D22" s="11">
        <f>IFERROR(VLOOKUP(C22,ShipShapeEnum!$E:$F,2,FALSE),"-")</f>
        <v>1</v>
      </c>
      <c r="E22" s="19" t="s">
        <v>114</v>
      </c>
      <c r="F22" s="4" t="s">
        <v>61</v>
      </c>
      <c r="G22" s="11">
        <f>IFERROR(VLOOKUP(F22,ShipShapeEnum!$B:$C,2,FALSE),"-")</f>
        <v>1</v>
      </c>
      <c r="H22" s="19" t="s">
        <v>84</v>
      </c>
      <c r="I22" s="19" t="s">
        <v>116</v>
      </c>
      <c r="J22" s="19" t="s">
        <v>116</v>
      </c>
      <c r="K22" s="19" t="s">
        <v>116</v>
      </c>
      <c r="L22" s="19" t="s">
        <v>116</v>
      </c>
      <c r="M22" s="4" t="s">
        <v>88</v>
      </c>
      <c r="N22" s="11">
        <f>IFERROR(VLOOKUP(M22,ShipShapeEnum!$H:$I,2,FALSE),"-")</f>
        <v>1</v>
      </c>
      <c r="O22" s="11" t="s">
        <v>0</v>
      </c>
      <c r="P22" s="11" t="s">
        <v>0</v>
      </c>
      <c r="Q22" s="19">
        <v>2</v>
      </c>
      <c r="R22" s="19" t="s">
        <v>124</v>
      </c>
      <c r="S22" s="19" t="s">
        <v>97</v>
      </c>
      <c r="T22" s="19" t="s">
        <v>84</v>
      </c>
      <c r="U22" s="19" t="s">
        <v>84</v>
      </c>
      <c r="V22" s="19" t="s">
        <v>104</v>
      </c>
      <c r="W22" s="19" t="s">
        <v>101</v>
      </c>
      <c r="X22" s="19" t="s">
        <v>84</v>
      </c>
    </row>
    <row r="23" spans="1:24" ht="15">
      <c r="A23" s="10">
        <f t="shared" si="0"/>
        <v>46000014</v>
      </c>
      <c r="B23" s="4" t="s">
        <v>225</v>
      </c>
      <c r="C23" s="4" t="s">
        <v>62</v>
      </c>
      <c r="D23" s="11">
        <f>IFERROR(VLOOKUP(C23,ShipShapeEnum!$E:$F,2,FALSE),"-")</f>
        <v>1</v>
      </c>
      <c r="E23" s="19" t="s">
        <v>123</v>
      </c>
      <c r="F23" s="4" t="s">
        <v>61</v>
      </c>
      <c r="G23" s="11">
        <f>IFERROR(VLOOKUP(F23,ShipShapeEnum!$B:$C,2,FALSE),"-")</f>
        <v>1</v>
      </c>
      <c r="H23" s="19" t="s">
        <v>84</v>
      </c>
      <c r="I23" s="19" t="s">
        <v>116</v>
      </c>
      <c r="J23" s="19" t="s">
        <v>116</v>
      </c>
      <c r="K23" s="19" t="s">
        <v>116</v>
      </c>
      <c r="L23" s="19" t="s">
        <v>116</v>
      </c>
      <c r="M23" s="4" t="s">
        <v>88</v>
      </c>
      <c r="N23" s="11">
        <f>IFERROR(VLOOKUP(M23,ShipShapeEnum!$H:$I,2,FALSE),"-")</f>
        <v>1</v>
      </c>
      <c r="O23" s="11" t="s">
        <v>0</v>
      </c>
      <c r="P23" s="11" t="s">
        <v>0</v>
      </c>
      <c r="Q23" s="19">
        <v>2</v>
      </c>
      <c r="R23" s="19" t="s">
        <v>117</v>
      </c>
      <c r="S23" s="19" t="s">
        <v>97</v>
      </c>
      <c r="T23" s="19" t="s">
        <v>84</v>
      </c>
      <c r="U23" s="19" t="s">
        <v>84</v>
      </c>
      <c r="V23" s="19" t="s">
        <v>104</v>
      </c>
      <c r="W23" s="19" t="s">
        <v>101</v>
      </c>
      <c r="X23" s="19" t="s">
        <v>84</v>
      </c>
    </row>
    <row r="24" spans="1:24" ht="15">
      <c r="A24" s="10">
        <f t="shared" si="0"/>
        <v>46000015</v>
      </c>
      <c r="B24" s="4" t="s">
        <v>227</v>
      </c>
      <c r="C24" s="4" t="s">
        <v>62</v>
      </c>
      <c r="D24" s="11">
        <f>IFERROR(VLOOKUP(C24,ShipShapeEnum!$E:$F,2,FALSE),"-")</f>
        <v>1</v>
      </c>
      <c r="E24" s="19" t="s">
        <v>123</v>
      </c>
      <c r="F24" s="4" t="s">
        <v>61</v>
      </c>
      <c r="G24" s="11">
        <f>IFERROR(VLOOKUP(F24,ShipShapeEnum!$B:$C,2,FALSE),"-")</f>
        <v>1</v>
      </c>
      <c r="H24" s="19" t="s">
        <v>0</v>
      </c>
      <c r="I24" s="19" t="s">
        <v>84</v>
      </c>
      <c r="J24" s="19" t="s">
        <v>84</v>
      </c>
      <c r="K24" s="19" t="s">
        <v>84</v>
      </c>
      <c r="L24" s="19" t="s">
        <v>84</v>
      </c>
      <c r="M24" s="4" t="s">
        <v>88</v>
      </c>
      <c r="N24" s="11">
        <f>IFERROR(VLOOKUP(M24,ShipShapeEnum!$H:$I,2,FALSE),"-")</f>
        <v>1</v>
      </c>
      <c r="O24" s="11" t="s">
        <v>0</v>
      </c>
      <c r="P24" s="11" t="s">
        <v>0</v>
      </c>
      <c r="Q24" s="19" t="s">
        <v>0</v>
      </c>
      <c r="R24" s="19" t="s">
        <v>0</v>
      </c>
      <c r="S24" s="19" t="s">
        <v>118</v>
      </c>
      <c r="T24" s="19" t="s">
        <v>115</v>
      </c>
      <c r="U24" s="19" t="s">
        <v>0</v>
      </c>
      <c r="V24" s="19" t="s">
        <v>0</v>
      </c>
      <c r="W24" s="19" t="s">
        <v>0</v>
      </c>
      <c r="X24" s="19" t="s">
        <v>0</v>
      </c>
    </row>
    <row r="25" spans="1:24" ht="15.75" customHeight="1">
      <c r="A25" s="10">
        <f t="shared" si="0"/>
        <v>46000016</v>
      </c>
      <c r="B25" s="4" t="s">
        <v>229</v>
      </c>
      <c r="C25" s="4" t="s">
        <v>62</v>
      </c>
      <c r="D25" s="11">
        <f>IFERROR(VLOOKUP(C25,ShipShapeEnum!$E:$F,2,FALSE),"-")</f>
        <v>1</v>
      </c>
      <c r="E25" s="19" t="s">
        <v>123</v>
      </c>
      <c r="F25" s="4" t="s">
        <v>61</v>
      </c>
      <c r="G25" s="11">
        <f>IFERROR(VLOOKUP(F25,ShipShapeEnum!$B:$C,2,FALSE),"-")</f>
        <v>1</v>
      </c>
      <c r="H25" s="19" t="s">
        <v>86</v>
      </c>
      <c r="I25" s="19" t="s">
        <v>84</v>
      </c>
      <c r="J25" s="19" t="s">
        <v>84</v>
      </c>
      <c r="K25" s="19" t="s">
        <v>84</v>
      </c>
      <c r="L25" s="19" t="s">
        <v>84</v>
      </c>
      <c r="M25" s="4" t="s">
        <v>88</v>
      </c>
      <c r="N25" s="11">
        <f>IFERROR(VLOOKUP(M25,ShipShapeEnum!$H:$I,2,FALSE),"-")</f>
        <v>1</v>
      </c>
      <c r="O25" s="11" t="s">
        <v>0</v>
      </c>
      <c r="P25" s="11" t="s">
        <v>0</v>
      </c>
      <c r="Q25" s="19">
        <v>2</v>
      </c>
      <c r="R25" s="19" t="s">
        <v>89</v>
      </c>
      <c r="S25" s="19" t="s">
        <v>120</v>
      </c>
      <c r="T25" s="19" t="s">
        <v>116</v>
      </c>
      <c r="U25" s="19" t="s">
        <v>96</v>
      </c>
      <c r="V25" s="19" t="s">
        <v>84</v>
      </c>
      <c r="W25" s="19" t="s">
        <v>86</v>
      </c>
      <c r="X25" s="19" t="s">
        <v>84</v>
      </c>
    </row>
    <row r="26" spans="1:24" ht="15">
      <c r="A26" s="10">
        <f t="shared" si="0"/>
        <v>46000017</v>
      </c>
      <c r="B26" s="4" t="s">
        <v>231</v>
      </c>
      <c r="C26" s="4" t="s">
        <v>62</v>
      </c>
      <c r="D26" s="11">
        <f>IFERROR(VLOOKUP(C26,ShipShapeEnum!$E:$F,2,FALSE),"-")</f>
        <v>1</v>
      </c>
      <c r="E26" s="19" t="s">
        <v>123</v>
      </c>
      <c r="F26" s="4" t="s">
        <v>61</v>
      </c>
      <c r="G26" s="11">
        <f>IFERROR(VLOOKUP(F26,ShipShapeEnum!$B:$C,2,FALSE),"-")</f>
        <v>1</v>
      </c>
      <c r="H26" s="19" t="s">
        <v>84</v>
      </c>
      <c r="I26" s="19" t="s">
        <v>85</v>
      </c>
      <c r="J26" s="19" t="s">
        <v>85</v>
      </c>
      <c r="K26" s="19" t="s">
        <v>85</v>
      </c>
      <c r="L26" s="19" t="s">
        <v>85</v>
      </c>
      <c r="M26" s="4" t="s">
        <v>88</v>
      </c>
      <c r="N26" s="11">
        <f>IFERROR(VLOOKUP(M26,ShipShapeEnum!$H:$I,2,FALSE),"-")</f>
        <v>1</v>
      </c>
      <c r="O26" s="11" t="s">
        <v>0</v>
      </c>
      <c r="P26" s="11" t="s">
        <v>0</v>
      </c>
      <c r="Q26" s="19">
        <v>2</v>
      </c>
      <c r="R26" s="19" t="s">
        <v>90</v>
      </c>
      <c r="S26" s="19" t="s">
        <v>116</v>
      </c>
      <c r="T26" s="19" t="s">
        <v>84</v>
      </c>
      <c r="U26" s="19" t="s">
        <v>95</v>
      </c>
      <c r="V26" s="19" t="s">
        <v>96</v>
      </c>
      <c r="W26" s="19" t="s">
        <v>84</v>
      </c>
      <c r="X26" s="19" t="s">
        <v>96</v>
      </c>
    </row>
    <row r="27" spans="1:24" ht="15">
      <c r="A27" s="10">
        <f t="shared" si="0"/>
        <v>46000018</v>
      </c>
      <c r="B27" s="4" t="s">
        <v>233</v>
      </c>
      <c r="C27" s="4" t="s">
        <v>62</v>
      </c>
      <c r="D27" s="11">
        <f>IFERROR(VLOOKUP(C27,ShipShapeEnum!$E:$F,2,FALSE),"-")</f>
        <v>1</v>
      </c>
      <c r="E27" s="19" t="s">
        <v>123</v>
      </c>
      <c r="F27" s="4" t="s">
        <v>61</v>
      </c>
      <c r="G27" s="11">
        <f>IFERROR(VLOOKUP(F27,ShipShapeEnum!$B:$C,2,FALSE),"-")</f>
        <v>1</v>
      </c>
      <c r="H27" s="19" t="s">
        <v>85</v>
      </c>
      <c r="I27" s="19" t="s">
        <v>99</v>
      </c>
      <c r="J27" s="19" t="s">
        <v>99</v>
      </c>
      <c r="K27" s="19" t="s">
        <v>99</v>
      </c>
      <c r="L27" s="19" t="s">
        <v>99</v>
      </c>
      <c r="M27" s="4" t="s">
        <v>88</v>
      </c>
      <c r="N27" s="11">
        <f>IFERROR(VLOOKUP(M27,ShipShapeEnum!$H:$I,2,FALSE),"-")</f>
        <v>1</v>
      </c>
      <c r="O27" s="11" t="s">
        <v>0</v>
      </c>
      <c r="P27" s="11" t="s">
        <v>0</v>
      </c>
      <c r="Q27" s="19">
        <v>2</v>
      </c>
      <c r="R27" s="19" t="s">
        <v>91</v>
      </c>
      <c r="S27" s="19" t="s">
        <v>96</v>
      </c>
      <c r="T27" s="19" t="s">
        <v>96</v>
      </c>
      <c r="U27" s="19" t="s">
        <v>84</v>
      </c>
      <c r="V27" s="19" t="s">
        <v>100</v>
      </c>
      <c r="W27" s="19" t="s">
        <v>84</v>
      </c>
      <c r="X27" s="19" t="s">
        <v>84</v>
      </c>
    </row>
    <row r="28" spans="1:24" ht="15">
      <c r="A28" s="10">
        <f t="shared" si="0"/>
        <v>46000019</v>
      </c>
      <c r="B28" s="4" t="s">
        <v>235</v>
      </c>
      <c r="C28" s="4" t="s">
        <v>62</v>
      </c>
      <c r="D28" s="11">
        <f>IFERROR(VLOOKUP(C28,ShipShapeEnum!$E:$F,2,FALSE),"-")</f>
        <v>1</v>
      </c>
      <c r="E28" s="19" t="s">
        <v>123</v>
      </c>
      <c r="F28" s="4" t="s">
        <v>61</v>
      </c>
      <c r="G28" s="11">
        <f>IFERROR(VLOOKUP(F28,ShipShapeEnum!$B:$C,2,FALSE),"-")</f>
        <v>1</v>
      </c>
      <c r="H28" s="19" t="s">
        <v>84</v>
      </c>
      <c r="I28" s="19" t="s">
        <v>116</v>
      </c>
      <c r="J28" s="19" t="s">
        <v>116</v>
      </c>
      <c r="K28" s="19" t="s">
        <v>116</v>
      </c>
      <c r="L28" s="19" t="s">
        <v>116</v>
      </c>
      <c r="M28" s="4" t="s">
        <v>88</v>
      </c>
      <c r="N28" s="11">
        <f>IFERROR(VLOOKUP(M28,ShipShapeEnum!$H:$I,2,FALSE),"-")</f>
        <v>1</v>
      </c>
      <c r="O28" s="11" t="s">
        <v>0</v>
      </c>
      <c r="P28" s="11" t="s">
        <v>0</v>
      </c>
      <c r="Q28" s="19">
        <v>2</v>
      </c>
      <c r="R28" s="19" t="s">
        <v>119</v>
      </c>
      <c r="S28" s="19" t="s">
        <v>84</v>
      </c>
      <c r="T28" s="19" t="s">
        <v>96</v>
      </c>
      <c r="U28" s="19" t="s">
        <v>102</v>
      </c>
      <c r="V28" s="19" t="s">
        <v>103</v>
      </c>
      <c r="W28" s="19" t="s">
        <v>84</v>
      </c>
      <c r="X28" s="19" t="s">
        <v>84</v>
      </c>
    </row>
    <row r="29" spans="1:24" ht="15">
      <c r="A29" s="10">
        <f t="shared" si="0"/>
        <v>46000020</v>
      </c>
      <c r="B29" s="4" t="s">
        <v>128</v>
      </c>
      <c r="C29" s="4" t="s">
        <v>62</v>
      </c>
      <c r="D29" s="11">
        <f>IFERROR(VLOOKUP(C29,ShipShapeEnum!$E:$F,2,FALSE),"-")</f>
        <v>1</v>
      </c>
      <c r="E29" s="19" t="s">
        <v>126</v>
      </c>
      <c r="F29" s="4" t="s">
        <v>61</v>
      </c>
      <c r="G29" s="11">
        <f>IFERROR(VLOOKUP(F29,ShipShapeEnum!$B:$C,2,FALSE),"-")</f>
        <v>1</v>
      </c>
      <c r="H29" s="19" t="s">
        <v>84</v>
      </c>
      <c r="I29" s="19" t="s">
        <v>116</v>
      </c>
      <c r="J29" s="19" t="s">
        <v>116</v>
      </c>
      <c r="K29" s="19" t="s">
        <v>116</v>
      </c>
      <c r="L29" s="19" t="s">
        <v>116</v>
      </c>
      <c r="M29" s="4" t="s">
        <v>88</v>
      </c>
      <c r="N29" s="11">
        <f>IFERROR(VLOOKUP(M29,ShipShapeEnum!$H:$I,2,FALSE),"-")</f>
        <v>1</v>
      </c>
      <c r="O29" s="11" t="s">
        <v>0</v>
      </c>
      <c r="P29" s="11" t="s">
        <v>0</v>
      </c>
      <c r="Q29" s="19">
        <v>2</v>
      </c>
      <c r="R29" s="19" t="s">
        <v>117</v>
      </c>
      <c r="S29" s="19" t="s">
        <v>97</v>
      </c>
      <c r="T29" s="19" t="s">
        <v>84</v>
      </c>
      <c r="U29" s="19" t="s">
        <v>84</v>
      </c>
      <c r="V29" s="19" t="s">
        <v>104</v>
      </c>
      <c r="W29" s="19" t="s">
        <v>101</v>
      </c>
      <c r="X29" s="19" t="s">
        <v>84</v>
      </c>
    </row>
    <row r="30" spans="1:24" ht="15">
      <c r="A30" s="10">
        <f t="shared" si="0"/>
        <v>46000021</v>
      </c>
      <c r="B30" s="4" t="s">
        <v>130</v>
      </c>
      <c r="C30" s="4" t="s">
        <v>62</v>
      </c>
      <c r="D30" s="11">
        <f>IFERROR(VLOOKUP(C30,ShipShapeEnum!$E:$F,2,FALSE),"-")</f>
        <v>1</v>
      </c>
      <c r="E30" s="19" t="s">
        <v>126</v>
      </c>
      <c r="F30" s="4" t="s">
        <v>61</v>
      </c>
      <c r="G30" s="11">
        <f>IFERROR(VLOOKUP(F30,ShipShapeEnum!$B:$C,2,FALSE),"-")</f>
        <v>1</v>
      </c>
      <c r="H30" s="19" t="s">
        <v>84</v>
      </c>
      <c r="I30" s="19" t="s">
        <v>115</v>
      </c>
      <c r="J30" s="19" t="s">
        <v>115</v>
      </c>
      <c r="K30" s="19" t="s">
        <v>115</v>
      </c>
      <c r="L30" s="19" t="s">
        <v>115</v>
      </c>
      <c r="M30" s="4" t="s">
        <v>88</v>
      </c>
      <c r="N30" s="11">
        <f>IFERROR(VLOOKUP(M30,ShipShapeEnum!$H:$I,2,FALSE),"-")</f>
        <v>1</v>
      </c>
      <c r="O30" s="11" t="s">
        <v>0</v>
      </c>
      <c r="P30" s="11" t="s">
        <v>0</v>
      </c>
      <c r="Q30" s="19" t="s">
        <v>0</v>
      </c>
      <c r="R30" s="19" t="s">
        <v>0</v>
      </c>
      <c r="S30" s="19" t="s">
        <v>97</v>
      </c>
      <c r="T30" s="19" t="s">
        <v>84</v>
      </c>
      <c r="U30" s="19" t="s">
        <v>84</v>
      </c>
      <c r="V30" s="19" t="s">
        <v>104</v>
      </c>
      <c r="W30" s="19" t="s">
        <v>101</v>
      </c>
      <c r="X30" s="19" t="s">
        <v>84</v>
      </c>
    </row>
    <row r="31" spans="1:24" ht="15">
      <c r="A31" s="10">
        <f t="shared" si="0"/>
        <v>46000022</v>
      </c>
      <c r="B31" s="4" t="s">
        <v>132</v>
      </c>
      <c r="C31" s="4" t="s">
        <v>62</v>
      </c>
      <c r="D31" s="11">
        <f>IFERROR(VLOOKUP(C31,ShipShapeEnum!$E:$F,2,FALSE),"-")</f>
        <v>1</v>
      </c>
      <c r="E31" s="19" t="s">
        <v>126</v>
      </c>
      <c r="F31" s="4" t="s">
        <v>61</v>
      </c>
      <c r="G31" s="11">
        <f>IFERROR(VLOOKUP(F31,ShipShapeEnum!$B:$C,2,FALSE),"-")</f>
        <v>1</v>
      </c>
      <c r="H31" s="19" t="s">
        <v>0</v>
      </c>
      <c r="I31" s="19" t="s">
        <v>84</v>
      </c>
      <c r="J31" s="19" t="s">
        <v>84</v>
      </c>
      <c r="K31" s="19" t="s">
        <v>84</v>
      </c>
      <c r="L31" s="19" t="s">
        <v>84</v>
      </c>
      <c r="M31" s="4" t="s">
        <v>88</v>
      </c>
      <c r="N31" s="11">
        <f>IFERROR(VLOOKUP(M31,ShipShapeEnum!$H:$I,2,FALSE),"-")</f>
        <v>1</v>
      </c>
      <c r="O31" s="11" t="s">
        <v>0</v>
      </c>
      <c r="P31" s="11" t="s">
        <v>0</v>
      </c>
      <c r="Q31" s="19">
        <v>2</v>
      </c>
      <c r="R31" s="19" t="s">
        <v>89</v>
      </c>
      <c r="S31" s="19" t="s">
        <v>120</v>
      </c>
      <c r="T31" s="19" t="s">
        <v>115</v>
      </c>
      <c r="U31" s="19" t="s">
        <v>0</v>
      </c>
      <c r="V31" s="19" t="s">
        <v>0</v>
      </c>
      <c r="W31" s="19" t="s">
        <v>0</v>
      </c>
      <c r="X31" s="19" t="s">
        <v>0</v>
      </c>
    </row>
    <row r="32" spans="1:24" ht="15.75" customHeight="1">
      <c r="A32" s="10">
        <f t="shared" si="0"/>
        <v>46000023</v>
      </c>
      <c r="B32" s="4" t="s">
        <v>134</v>
      </c>
      <c r="C32" s="4" t="s">
        <v>62</v>
      </c>
      <c r="D32" s="11">
        <f>IFERROR(VLOOKUP(C32,ShipShapeEnum!$E:$F,2,FALSE),"-")</f>
        <v>1</v>
      </c>
      <c r="E32" s="19" t="s">
        <v>126</v>
      </c>
      <c r="F32" s="4" t="s">
        <v>61</v>
      </c>
      <c r="G32" s="11">
        <f>IFERROR(VLOOKUP(F32,ShipShapeEnum!$B:$C,2,FALSE),"-")</f>
        <v>1</v>
      </c>
      <c r="H32" s="19" t="s">
        <v>86</v>
      </c>
      <c r="I32" s="19" t="s">
        <v>84</v>
      </c>
      <c r="J32" s="19" t="s">
        <v>84</v>
      </c>
      <c r="K32" s="19" t="s">
        <v>84</v>
      </c>
      <c r="L32" s="19" t="s">
        <v>84</v>
      </c>
      <c r="M32" s="4" t="s">
        <v>88</v>
      </c>
      <c r="N32" s="11">
        <f>IFERROR(VLOOKUP(M32,ShipShapeEnum!$H:$I,2,FALSE),"-")</f>
        <v>1</v>
      </c>
      <c r="O32" s="11" t="s">
        <v>0</v>
      </c>
      <c r="P32" s="11" t="s">
        <v>0</v>
      </c>
      <c r="Q32" s="19">
        <v>2</v>
      </c>
      <c r="R32" s="19" t="s">
        <v>90</v>
      </c>
      <c r="S32" s="19" t="s">
        <v>122</v>
      </c>
      <c r="T32" s="19" t="s">
        <v>116</v>
      </c>
      <c r="U32" s="19" t="s">
        <v>96</v>
      </c>
      <c r="V32" s="19" t="s">
        <v>84</v>
      </c>
      <c r="W32" s="19" t="s">
        <v>86</v>
      </c>
      <c r="X32" s="19" t="s">
        <v>84</v>
      </c>
    </row>
    <row r="33" spans="1:24" ht="15">
      <c r="A33" s="10">
        <f t="shared" si="0"/>
        <v>46000024</v>
      </c>
      <c r="B33" s="4" t="s">
        <v>136</v>
      </c>
      <c r="C33" s="4" t="s">
        <v>62</v>
      </c>
      <c r="D33" s="11">
        <f>IFERROR(VLOOKUP(C33,ShipShapeEnum!$E:$F,2,FALSE),"-")</f>
        <v>1</v>
      </c>
      <c r="E33" s="19" t="s">
        <v>126</v>
      </c>
      <c r="F33" s="4" t="s">
        <v>61</v>
      </c>
      <c r="G33" s="11">
        <f>IFERROR(VLOOKUP(F33,ShipShapeEnum!$B:$C,2,FALSE),"-")</f>
        <v>1</v>
      </c>
      <c r="H33" s="19" t="s">
        <v>84</v>
      </c>
      <c r="I33" s="19" t="s">
        <v>85</v>
      </c>
      <c r="J33" s="19" t="s">
        <v>85</v>
      </c>
      <c r="K33" s="19" t="s">
        <v>85</v>
      </c>
      <c r="L33" s="19" t="s">
        <v>85</v>
      </c>
      <c r="M33" s="4" t="s">
        <v>88</v>
      </c>
      <c r="N33" s="11">
        <f>IFERROR(VLOOKUP(M33,ShipShapeEnum!$H:$I,2,FALSE),"-")</f>
        <v>1</v>
      </c>
      <c r="O33" s="11" t="s">
        <v>0</v>
      </c>
      <c r="P33" s="11" t="s">
        <v>0</v>
      </c>
      <c r="Q33" s="19">
        <v>2</v>
      </c>
      <c r="R33" s="19" t="s">
        <v>91</v>
      </c>
      <c r="S33" s="19" t="s">
        <v>96</v>
      </c>
      <c r="T33" s="19" t="s">
        <v>84</v>
      </c>
      <c r="U33" s="19" t="s">
        <v>95</v>
      </c>
      <c r="V33" s="19" t="s">
        <v>96</v>
      </c>
      <c r="W33" s="19" t="s">
        <v>84</v>
      </c>
      <c r="X33" s="19" t="s">
        <v>96</v>
      </c>
    </row>
    <row r="34" spans="1:24" ht="15">
      <c r="A34" s="10">
        <f t="shared" si="0"/>
        <v>46000025</v>
      </c>
      <c r="B34" s="4" t="s">
        <v>138</v>
      </c>
      <c r="C34" s="4" t="s">
        <v>62</v>
      </c>
      <c r="D34" s="11">
        <f>IFERROR(VLOOKUP(C34,ShipShapeEnum!$E:$F,2,FALSE),"-")</f>
        <v>1</v>
      </c>
      <c r="E34" s="19" t="s">
        <v>126</v>
      </c>
      <c r="F34" s="4" t="s">
        <v>61</v>
      </c>
      <c r="G34" s="11">
        <f>IFERROR(VLOOKUP(F34,ShipShapeEnum!$B:$C,2,FALSE),"-")</f>
        <v>1</v>
      </c>
      <c r="H34" s="19" t="s">
        <v>85</v>
      </c>
      <c r="I34" s="19" t="s">
        <v>99</v>
      </c>
      <c r="J34" s="19" t="s">
        <v>99</v>
      </c>
      <c r="K34" s="19" t="s">
        <v>99</v>
      </c>
      <c r="L34" s="19" t="s">
        <v>99</v>
      </c>
      <c r="M34" s="4" t="s">
        <v>88</v>
      </c>
      <c r="N34" s="11">
        <f>IFERROR(VLOOKUP(M34,ShipShapeEnum!$H:$I,2,FALSE),"-")</f>
        <v>1</v>
      </c>
      <c r="O34" s="11" t="s">
        <v>0</v>
      </c>
      <c r="P34" s="11" t="s">
        <v>0</v>
      </c>
      <c r="Q34" s="19">
        <v>2</v>
      </c>
      <c r="R34" s="19" t="s">
        <v>124</v>
      </c>
      <c r="S34" s="19" t="s">
        <v>96</v>
      </c>
      <c r="T34" s="19" t="s">
        <v>96</v>
      </c>
      <c r="U34" s="19" t="s">
        <v>84</v>
      </c>
      <c r="V34" s="19" t="s">
        <v>100</v>
      </c>
      <c r="W34" s="19" t="s">
        <v>84</v>
      </c>
      <c r="X34" s="19" t="s">
        <v>84</v>
      </c>
    </row>
    <row r="35" spans="1:24" ht="15">
      <c r="A35" s="10">
        <f t="shared" si="0"/>
        <v>46000026</v>
      </c>
      <c r="B35" s="4" t="s">
        <v>141</v>
      </c>
      <c r="C35" s="4" t="s">
        <v>62</v>
      </c>
      <c r="D35" s="11">
        <f>IFERROR(VLOOKUP(C35,ShipShapeEnum!$E:$F,2,FALSE),"-")</f>
        <v>1</v>
      </c>
      <c r="E35" s="19" t="s">
        <v>139</v>
      </c>
      <c r="F35" s="4" t="s">
        <v>61</v>
      </c>
      <c r="G35" s="11">
        <f>IFERROR(VLOOKUP(F35,ShipShapeEnum!$B:$C,2,FALSE),"-")</f>
        <v>1</v>
      </c>
      <c r="H35" s="19" t="s">
        <v>84</v>
      </c>
      <c r="I35" s="19" t="s">
        <v>116</v>
      </c>
      <c r="J35" s="19" t="s">
        <v>116</v>
      </c>
      <c r="K35" s="19" t="s">
        <v>116</v>
      </c>
      <c r="L35" s="19" t="s">
        <v>116</v>
      </c>
      <c r="M35" s="4" t="s">
        <v>88</v>
      </c>
      <c r="N35" s="11">
        <f>IFERROR(VLOOKUP(M35,ShipShapeEnum!$H:$I,2,FALSE),"-")</f>
        <v>1</v>
      </c>
      <c r="O35" s="11" t="s">
        <v>0</v>
      </c>
      <c r="P35" s="11" t="s">
        <v>0</v>
      </c>
      <c r="Q35" s="19">
        <v>2</v>
      </c>
      <c r="R35" s="19" t="s">
        <v>117</v>
      </c>
      <c r="S35" s="19" t="s">
        <v>84</v>
      </c>
      <c r="T35" s="19" t="s">
        <v>96</v>
      </c>
      <c r="U35" s="19" t="s">
        <v>102</v>
      </c>
      <c r="V35" s="19" t="s">
        <v>103</v>
      </c>
      <c r="W35" s="19" t="s">
        <v>84</v>
      </c>
      <c r="X35" s="19" t="s">
        <v>84</v>
      </c>
    </row>
    <row r="36" spans="1:24" ht="15">
      <c r="A36" s="10">
        <f t="shared" si="0"/>
        <v>46000027</v>
      </c>
      <c r="B36" s="4" t="s">
        <v>143</v>
      </c>
      <c r="C36" s="4" t="s">
        <v>62</v>
      </c>
      <c r="D36" s="11">
        <f>IFERROR(VLOOKUP(C36,ShipShapeEnum!$E:$F,2,FALSE),"-")</f>
        <v>1</v>
      </c>
      <c r="E36" s="19" t="s">
        <v>139</v>
      </c>
      <c r="F36" s="4" t="s">
        <v>61</v>
      </c>
      <c r="G36" s="11">
        <f>IFERROR(VLOOKUP(F36,ShipShapeEnum!$B:$C,2,FALSE),"-")</f>
        <v>1</v>
      </c>
      <c r="H36" s="19" t="s">
        <v>84</v>
      </c>
      <c r="I36" s="19" t="s">
        <v>115</v>
      </c>
      <c r="J36" s="19" t="s">
        <v>115</v>
      </c>
      <c r="K36" s="19" t="s">
        <v>115</v>
      </c>
      <c r="L36" s="19" t="s">
        <v>115</v>
      </c>
      <c r="M36" s="4" t="s">
        <v>88</v>
      </c>
      <c r="N36" s="11">
        <f>IFERROR(VLOOKUP(M36,ShipShapeEnum!$H:$I,2,FALSE),"-")</f>
        <v>1</v>
      </c>
      <c r="O36" s="11" t="s">
        <v>0</v>
      </c>
      <c r="P36" s="11" t="s">
        <v>0</v>
      </c>
      <c r="Q36" s="19" t="s">
        <v>0</v>
      </c>
      <c r="R36" s="19" t="s">
        <v>0</v>
      </c>
      <c r="S36" s="19" t="s">
        <v>97</v>
      </c>
      <c r="T36" s="19" t="s">
        <v>84</v>
      </c>
      <c r="U36" s="19" t="s">
        <v>84</v>
      </c>
      <c r="V36" s="19" t="s">
        <v>104</v>
      </c>
      <c r="W36" s="19" t="s">
        <v>101</v>
      </c>
      <c r="X36" s="19" t="s">
        <v>84</v>
      </c>
    </row>
    <row r="37" spans="1:24" ht="15">
      <c r="A37" s="10">
        <f>A36+1</f>
        <v>46000028</v>
      </c>
      <c r="B37" s="4" t="s">
        <v>145</v>
      </c>
      <c r="C37" s="4" t="s">
        <v>62</v>
      </c>
      <c r="D37" s="11">
        <f>IFERROR(VLOOKUP(C37,ShipShapeEnum!$E:$F,2,FALSE),"-")</f>
        <v>1</v>
      </c>
      <c r="E37" s="19" t="s">
        <v>139</v>
      </c>
      <c r="F37" s="4" t="s">
        <v>61</v>
      </c>
      <c r="G37" s="11">
        <f>IFERROR(VLOOKUP(F37,ShipShapeEnum!$B:$C,2,FALSE),"-")</f>
        <v>1</v>
      </c>
      <c r="H37" s="19" t="s">
        <v>84</v>
      </c>
      <c r="I37" s="19" t="s">
        <v>116</v>
      </c>
      <c r="J37" s="19" t="s">
        <v>116</v>
      </c>
      <c r="K37" s="19" t="s">
        <v>116</v>
      </c>
      <c r="L37" s="19" t="s">
        <v>116</v>
      </c>
      <c r="M37" s="4" t="s">
        <v>88</v>
      </c>
      <c r="N37" s="11">
        <f>IFERROR(VLOOKUP(M37,ShipShapeEnum!$H:$I,2,FALSE),"-")</f>
        <v>1</v>
      </c>
      <c r="O37" s="11" t="s">
        <v>0</v>
      </c>
      <c r="P37" s="11" t="s">
        <v>0</v>
      </c>
      <c r="Q37" s="19">
        <v>2</v>
      </c>
      <c r="R37" s="19" t="s">
        <v>89</v>
      </c>
      <c r="S37" s="19" t="s">
        <v>97</v>
      </c>
      <c r="T37" s="19" t="s">
        <v>84</v>
      </c>
      <c r="U37" s="19" t="s">
        <v>84</v>
      </c>
      <c r="V37" s="19" t="s">
        <v>104</v>
      </c>
      <c r="W37" s="19" t="s">
        <v>101</v>
      </c>
      <c r="X37" s="19" t="s">
        <v>84</v>
      </c>
    </row>
    <row r="38" spans="1:24" ht="15">
      <c r="A38" s="10">
        <f t="shared" si="0"/>
        <v>46000029</v>
      </c>
      <c r="B38" s="4" t="s">
        <v>147</v>
      </c>
      <c r="C38" s="4" t="s">
        <v>62</v>
      </c>
      <c r="D38" s="11">
        <f>IFERROR(VLOOKUP(C38,ShipShapeEnum!$E:$F,2,FALSE),"-")</f>
        <v>1</v>
      </c>
      <c r="E38" s="19" t="s">
        <v>139</v>
      </c>
      <c r="F38" s="4" t="s">
        <v>61</v>
      </c>
      <c r="G38" s="11">
        <f>IFERROR(VLOOKUP(F38,ShipShapeEnum!$B:$C,2,FALSE),"-")</f>
        <v>1</v>
      </c>
      <c r="H38" s="19" t="s">
        <v>84</v>
      </c>
      <c r="I38" s="19" t="s">
        <v>116</v>
      </c>
      <c r="J38" s="19" t="s">
        <v>116</v>
      </c>
      <c r="K38" s="19" t="s">
        <v>116</v>
      </c>
      <c r="L38" s="19" t="s">
        <v>116</v>
      </c>
      <c r="M38" s="4" t="s">
        <v>88</v>
      </c>
      <c r="N38" s="11">
        <f>IFERROR(VLOOKUP(M38,ShipShapeEnum!$H:$I,2,FALSE),"-")</f>
        <v>1</v>
      </c>
      <c r="O38" s="11" t="s">
        <v>0</v>
      </c>
      <c r="P38" s="11" t="s">
        <v>0</v>
      </c>
      <c r="Q38" s="19">
        <v>2</v>
      </c>
      <c r="R38" s="19" t="s">
        <v>90</v>
      </c>
      <c r="S38" s="19" t="s">
        <v>84</v>
      </c>
      <c r="T38" s="19" t="s">
        <v>96</v>
      </c>
      <c r="U38" s="19" t="s">
        <v>102</v>
      </c>
      <c r="V38" s="19" t="s">
        <v>103</v>
      </c>
      <c r="W38" s="19" t="s">
        <v>84</v>
      </c>
      <c r="X38" s="19" t="s">
        <v>84</v>
      </c>
    </row>
    <row r="39" spans="1:24" ht="15">
      <c r="A39" s="10">
        <f t="shared" si="0"/>
        <v>46000030</v>
      </c>
      <c r="B39" s="4" t="s">
        <v>149</v>
      </c>
      <c r="C39" s="4" t="s">
        <v>62</v>
      </c>
      <c r="D39" s="11">
        <f>IFERROR(VLOOKUP(C39,ShipShapeEnum!$E:$F,2,FALSE),"-")</f>
        <v>1</v>
      </c>
      <c r="E39" s="19" t="s">
        <v>139</v>
      </c>
      <c r="F39" s="4" t="s">
        <v>61</v>
      </c>
      <c r="G39" s="11">
        <f>IFERROR(VLOOKUP(F39,ShipShapeEnum!$B:$C,2,FALSE),"-")</f>
        <v>1</v>
      </c>
      <c r="H39" s="19" t="s">
        <v>84</v>
      </c>
      <c r="I39" s="19" t="s">
        <v>115</v>
      </c>
      <c r="J39" s="19" t="s">
        <v>115</v>
      </c>
      <c r="K39" s="19" t="s">
        <v>115</v>
      </c>
      <c r="L39" s="19" t="s">
        <v>115</v>
      </c>
      <c r="M39" s="4" t="s">
        <v>88</v>
      </c>
      <c r="N39" s="11">
        <f>IFERROR(VLOOKUP(M39,ShipShapeEnum!$H:$I,2,FALSE),"-")</f>
        <v>1</v>
      </c>
      <c r="O39" s="11" t="s">
        <v>0</v>
      </c>
      <c r="P39" s="11" t="s">
        <v>0</v>
      </c>
      <c r="Q39" s="19">
        <v>2</v>
      </c>
      <c r="R39" s="19" t="s">
        <v>91</v>
      </c>
      <c r="S39" s="19" t="s">
        <v>97</v>
      </c>
      <c r="T39" s="19" t="s">
        <v>84</v>
      </c>
      <c r="U39" s="19" t="s">
        <v>84</v>
      </c>
      <c r="V39" s="19" t="s">
        <v>104</v>
      </c>
      <c r="W39" s="19" t="s">
        <v>101</v>
      </c>
      <c r="X39" s="19" t="s">
        <v>84</v>
      </c>
    </row>
    <row r="40" spans="1:24" ht="15">
      <c r="A40" s="10">
        <f t="shared" si="0"/>
        <v>46000031</v>
      </c>
      <c r="B40" s="4" t="s">
        <v>151</v>
      </c>
      <c r="C40" s="4" t="s">
        <v>62</v>
      </c>
      <c r="D40" s="11">
        <f>IFERROR(VLOOKUP(C40,ShipShapeEnum!$E:$F,2,FALSE),"-")</f>
        <v>1</v>
      </c>
      <c r="E40" s="19" t="s">
        <v>139</v>
      </c>
      <c r="F40" s="4" t="s">
        <v>61</v>
      </c>
      <c r="G40" s="11">
        <f>IFERROR(VLOOKUP(F40,ShipShapeEnum!$B:$C,2,FALSE),"-")</f>
        <v>1</v>
      </c>
      <c r="H40" s="19" t="s">
        <v>84</v>
      </c>
      <c r="I40" s="19" t="s">
        <v>116</v>
      </c>
      <c r="J40" s="19" t="s">
        <v>116</v>
      </c>
      <c r="K40" s="19" t="s">
        <v>116</v>
      </c>
      <c r="L40" s="19" t="s">
        <v>116</v>
      </c>
      <c r="M40" s="4" t="s">
        <v>88</v>
      </c>
      <c r="N40" s="11">
        <f>IFERROR(VLOOKUP(M40,ShipShapeEnum!$H:$I,2,FALSE),"-")</f>
        <v>1</v>
      </c>
      <c r="O40" s="11" t="s">
        <v>0</v>
      </c>
      <c r="P40" s="11" t="s">
        <v>0</v>
      </c>
      <c r="Q40" s="19">
        <v>2</v>
      </c>
      <c r="R40" s="19" t="s">
        <v>124</v>
      </c>
      <c r="S40" s="19" t="s">
        <v>97</v>
      </c>
      <c r="T40" s="19" t="s">
        <v>84</v>
      </c>
      <c r="U40" s="19" t="s">
        <v>84</v>
      </c>
      <c r="V40" s="19" t="s">
        <v>104</v>
      </c>
      <c r="W40" s="19" t="s">
        <v>101</v>
      </c>
      <c r="X40" s="19" t="s">
        <v>84</v>
      </c>
    </row>
    <row r="41" spans="1:24" ht="15">
      <c r="A41" s="10">
        <f t="shared" si="0"/>
        <v>46000032</v>
      </c>
      <c r="B41" s="4" t="s">
        <v>154</v>
      </c>
      <c r="C41" s="4" t="s">
        <v>62</v>
      </c>
      <c r="D41" s="11">
        <f>IFERROR(VLOOKUP(C41,ShipShapeEnum!$E:$F,2,FALSE),"-")</f>
        <v>1</v>
      </c>
      <c r="E41" s="19" t="s">
        <v>152</v>
      </c>
      <c r="F41" s="4" t="s">
        <v>61</v>
      </c>
      <c r="G41" s="11">
        <f>IFERROR(VLOOKUP(F41,ShipShapeEnum!$B:$C,2,FALSE),"-")</f>
        <v>1</v>
      </c>
      <c r="H41" s="19" t="s">
        <v>84</v>
      </c>
      <c r="I41" s="19" t="s">
        <v>116</v>
      </c>
      <c r="J41" s="19" t="s">
        <v>116</v>
      </c>
      <c r="K41" s="19" t="s">
        <v>116</v>
      </c>
      <c r="L41" s="19" t="s">
        <v>116</v>
      </c>
      <c r="M41" s="4" t="s">
        <v>88</v>
      </c>
      <c r="N41" s="11">
        <f>IFERROR(VLOOKUP(M41,ShipShapeEnum!$H:$I,2,FALSE),"-")</f>
        <v>1</v>
      </c>
      <c r="O41" s="11" t="s">
        <v>0</v>
      </c>
      <c r="P41" s="11" t="s">
        <v>0</v>
      </c>
      <c r="Q41" s="19">
        <v>2</v>
      </c>
      <c r="R41" s="19" t="s">
        <v>117</v>
      </c>
      <c r="S41" s="19" t="s">
        <v>84</v>
      </c>
      <c r="T41" s="19" t="s">
        <v>96</v>
      </c>
      <c r="U41" s="19" t="s">
        <v>102</v>
      </c>
      <c r="V41" s="19" t="s">
        <v>103</v>
      </c>
      <c r="W41" s="19" t="s">
        <v>84</v>
      </c>
      <c r="X41" s="19" t="s">
        <v>84</v>
      </c>
    </row>
    <row r="42" spans="1:24" ht="15">
      <c r="A42" s="10">
        <f t="shared" si="0"/>
        <v>46000033</v>
      </c>
      <c r="B42" s="4" t="s">
        <v>156</v>
      </c>
      <c r="C42" s="4" t="s">
        <v>62</v>
      </c>
      <c r="D42" s="11">
        <f>IFERROR(VLOOKUP(C42,ShipShapeEnum!$E:$F,2,FALSE),"-")</f>
        <v>1</v>
      </c>
      <c r="E42" s="19" t="s">
        <v>152</v>
      </c>
      <c r="F42" s="4" t="s">
        <v>61</v>
      </c>
      <c r="G42" s="11">
        <f>IFERROR(VLOOKUP(F42,ShipShapeEnum!$B:$C,2,FALSE),"-")</f>
        <v>1</v>
      </c>
      <c r="H42" s="19" t="s">
        <v>84</v>
      </c>
      <c r="I42" s="19" t="s">
        <v>115</v>
      </c>
      <c r="J42" s="19" t="s">
        <v>115</v>
      </c>
      <c r="K42" s="19" t="s">
        <v>115</v>
      </c>
      <c r="L42" s="19" t="s">
        <v>115</v>
      </c>
      <c r="M42" s="4" t="s">
        <v>88</v>
      </c>
      <c r="N42" s="11">
        <f>IFERROR(VLOOKUP(M42,ShipShapeEnum!$H:$I,2,FALSE),"-")</f>
        <v>1</v>
      </c>
      <c r="O42" s="11" t="s">
        <v>0</v>
      </c>
      <c r="P42" s="11" t="s">
        <v>0</v>
      </c>
      <c r="Q42" s="19" t="s">
        <v>0</v>
      </c>
      <c r="R42" s="19" t="s">
        <v>0</v>
      </c>
      <c r="S42" s="19" t="s">
        <v>97</v>
      </c>
      <c r="T42" s="19" t="s">
        <v>84</v>
      </c>
      <c r="U42" s="19" t="s">
        <v>84</v>
      </c>
      <c r="V42" s="19" t="s">
        <v>104</v>
      </c>
      <c r="W42" s="19" t="s">
        <v>101</v>
      </c>
      <c r="X42" s="19" t="s">
        <v>84</v>
      </c>
    </row>
    <row r="43" spans="1:24" ht="15">
      <c r="A43" s="10">
        <f t="shared" si="0"/>
        <v>46000034</v>
      </c>
      <c r="B43" s="4" t="s">
        <v>158</v>
      </c>
      <c r="C43" s="4" t="s">
        <v>62</v>
      </c>
      <c r="D43" s="11">
        <f>IFERROR(VLOOKUP(C43,ShipShapeEnum!$E:$F,2,FALSE),"-")</f>
        <v>1</v>
      </c>
      <c r="E43" s="19" t="s">
        <v>152</v>
      </c>
      <c r="F43" s="4" t="s">
        <v>61</v>
      </c>
      <c r="G43" s="11">
        <f>IFERROR(VLOOKUP(F43,ShipShapeEnum!$B:$C,2,FALSE),"-")</f>
        <v>1</v>
      </c>
      <c r="H43" s="19" t="s">
        <v>84</v>
      </c>
      <c r="I43" s="19" t="s">
        <v>116</v>
      </c>
      <c r="J43" s="19" t="s">
        <v>116</v>
      </c>
      <c r="K43" s="19" t="s">
        <v>116</v>
      </c>
      <c r="L43" s="19" t="s">
        <v>116</v>
      </c>
      <c r="M43" s="4" t="s">
        <v>88</v>
      </c>
      <c r="N43" s="11">
        <f>IFERROR(VLOOKUP(M43,ShipShapeEnum!$H:$I,2,FALSE),"-")</f>
        <v>1</v>
      </c>
      <c r="O43" s="11" t="s">
        <v>0</v>
      </c>
      <c r="P43" s="11" t="s">
        <v>0</v>
      </c>
      <c r="Q43" s="19">
        <v>2</v>
      </c>
      <c r="R43" s="19" t="s">
        <v>89</v>
      </c>
      <c r="S43" s="19" t="s">
        <v>97</v>
      </c>
      <c r="T43" s="19" t="s">
        <v>84</v>
      </c>
      <c r="U43" s="19" t="s">
        <v>84</v>
      </c>
      <c r="V43" s="19" t="s">
        <v>104</v>
      </c>
      <c r="W43" s="19" t="s">
        <v>101</v>
      </c>
      <c r="X43" s="19" t="s">
        <v>84</v>
      </c>
    </row>
    <row r="44" spans="1:24" ht="15">
      <c r="A44" s="10">
        <f t="shared" si="0"/>
        <v>46000035</v>
      </c>
      <c r="B44" s="4" t="s">
        <v>160</v>
      </c>
      <c r="C44" s="4" t="s">
        <v>62</v>
      </c>
      <c r="D44" s="11">
        <f>IFERROR(VLOOKUP(C44,ShipShapeEnum!$E:$F,2,FALSE),"-")</f>
        <v>1</v>
      </c>
      <c r="E44" s="19" t="s">
        <v>152</v>
      </c>
      <c r="F44" s="4" t="s">
        <v>61</v>
      </c>
      <c r="G44" s="11">
        <f>IFERROR(VLOOKUP(F44,ShipShapeEnum!$B:$C,2,FALSE),"-")</f>
        <v>1</v>
      </c>
      <c r="H44" s="19" t="s">
        <v>84</v>
      </c>
      <c r="I44" s="19" t="s">
        <v>116</v>
      </c>
      <c r="J44" s="19" t="s">
        <v>116</v>
      </c>
      <c r="K44" s="19" t="s">
        <v>116</v>
      </c>
      <c r="L44" s="19" t="s">
        <v>116</v>
      </c>
      <c r="M44" s="4" t="s">
        <v>88</v>
      </c>
      <c r="N44" s="11">
        <f>IFERROR(VLOOKUP(M44,ShipShapeEnum!$H:$I,2,FALSE),"-")</f>
        <v>1</v>
      </c>
      <c r="O44" s="11" t="s">
        <v>0</v>
      </c>
      <c r="P44" s="11" t="s">
        <v>0</v>
      </c>
      <c r="Q44" s="19">
        <v>2</v>
      </c>
      <c r="R44" s="19" t="s">
        <v>90</v>
      </c>
      <c r="S44" s="19" t="s">
        <v>84</v>
      </c>
      <c r="T44" s="19" t="s">
        <v>96</v>
      </c>
      <c r="U44" s="19" t="s">
        <v>102</v>
      </c>
      <c r="V44" s="19" t="s">
        <v>103</v>
      </c>
      <c r="W44" s="19" t="s">
        <v>84</v>
      </c>
      <c r="X44" s="19" t="s">
        <v>84</v>
      </c>
    </row>
    <row r="45" spans="1:24" ht="15">
      <c r="A45" s="10">
        <f t="shared" si="0"/>
        <v>46000036</v>
      </c>
      <c r="B45" s="4" t="s">
        <v>162</v>
      </c>
      <c r="C45" s="4" t="s">
        <v>62</v>
      </c>
      <c r="D45" s="11">
        <f>IFERROR(VLOOKUP(C45,ShipShapeEnum!$E:$F,2,FALSE),"-")</f>
        <v>1</v>
      </c>
      <c r="E45" s="19" t="s">
        <v>152</v>
      </c>
      <c r="F45" s="4" t="s">
        <v>61</v>
      </c>
      <c r="G45" s="11">
        <f>IFERROR(VLOOKUP(F45,ShipShapeEnum!$B:$C,2,FALSE),"-")</f>
        <v>1</v>
      </c>
      <c r="H45" s="19" t="s">
        <v>84</v>
      </c>
      <c r="I45" s="19" t="s">
        <v>115</v>
      </c>
      <c r="J45" s="19" t="s">
        <v>115</v>
      </c>
      <c r="K45" s="19" t="s">
        <v>115</v>
      </c>
      <c r="L45" s="19" t="s">
        <v>115</v>
      </c>
      <c r="M45" s="4" t="s">
        <v>88</v>
      </c>
      <c r="N45" s="11">
        <f>IFERROR(VLOOKUP(M45,ShipShapeEnum!$H:$I,2,FALSE),"-")</f>
        <v>1</v>
      </c>
      <c r="O45" s="11" t="s">
        <v>0</v>
      </c>
      <c r="P45" s="11" t="s">
        <v>0</v>
      </c>
      <c r="Q45" s="19">
        <v>2</v>
      </c>
      <c r="R45" s="19" t="s">
        <v>91</v>
      </c>
      <c r="S45" s="19" t="s">
        <v>97</v>
      </c>
      <c r="T45" s="19" t="s">
        <v>84</v>
      </c>
      <c r="U45" s="19" t="s">
        <v>84</v>
      </c>
      <c r="V45" s="19" t="s">
        <v>104</v>
      </c>
      <c r="W45" s="19" t="s">
        <v>101</v>
      </c>
      <c r="X45" s="19" t="s">
        <v>84</v>
      </c>
    </row>
    <row r="46" spans="1:24" ht="15">
      <c r="A46" s="10">
        <f t="shared" si="0"/>
        <v>46000037</v>
      </c>
      <c r="B46" s="4" t="s">
        <v>164</v>
      </c>
      <c r="C46" s="4" t="s">
        <v>62</v>
      </c>
      <c r="D46" s="11">
        <f>IFERROR(VLOOKUP(C46,ShipShapeEnum!$E:$F,2,FALSE),"-")</f>
        <v>1</v>
      </c>
      <c r="E46" s="19" t="s">
        <v>152</v>
      </c>
      <c r="F46" s="4" t="s">
        <v>61</v>
      </c>
      <c r="G46" s="11">
        <f>IFERROR(VLOOKUP(F46,ShipShapeEnum!$B:$C,2,FALSE),"-")</f>
        <v>1</v>
      </c>
      <c r="H46" s="19" t="s">
        <v>84</v>
      </c>
      <c r="I46" s="19" t="s">
        <v>116</v>
      </c>
      <c r="J46" s="19" t="s">
        <v>116</v>
      </c>
      <c r="K46" s="19" t="s">
        <v>116</v>
      </c>
      <c r="L46" s="19" t="s">
        <v>116</v>
      </c>
      <c r="M46" s="4" t="s">
        <v>88</v>
      </c>
      <c r="N46" s="11">
        <f>IFERROR(VLOOKUP(M46,ShipShapeEnum!$H:$I,2,FALSE),"-")</f>
        <v>1</v>
      </c>
      <c r="O46" s="11" t="s">
        <v>0</v>
      </c>
      <c r="P46" s="11" t="s">
        <v>0</v>
      </c>
      <c r="Q46" s="19">
        <v>2</v>
      </c>
      <c r="R46" s="19" t="s">
        <v>167</v>
      </c>
      <c r="S46" s="19" t="s">
        <v>97</v>
      </c>
      <c r="T46" s="19" t="s">
        <v>84</v>
      </c>
      <c r="U46" s="19" t="s">
        <v>84</v>
      </c>
      <c r="V46" s="19" t="s">
        <v>104</v>
      </c>
      <c r="W46" s="19" t="s">
        <v>101</v>
      </c>
      <c r="X46" s="19" t="s">
        <v>84</v>
      </c>
    </row>
    <row r="47" spans="1:24" ht="15">
      <c r="A47" s="10">
        <f t="shared" si="0"/>
        <v>46000038</v>
      </c>
      <c r="B47" s="4" t="s">
        <v>193</v>
      </c>
      <c r="C47" s="4" t="s">
        <v>62</v>
      </c>
      <c r="D47" s="11">
        <f>IFERROR(VLOOKUP(C47,ShipShapeEnum!$E:$F,2,FALSE),"-")</f>
        <v>1</v>
      </c>
      <c r="E47" s="19" t="s">
        <v>197</v>
      </c>
      <c r="F47" s="4" t="s">
        <v>61</v>
      </c>
      <c r="G47" s="11">
        <f>IFERROR(VLOOKUP(F47,ShipShapeEnum!$B:$C,2,FALSE),"-")</f>
        <v>1</v>
      </c>
      <c r="H47" s="19" t="s">
        <v>84</v>
      </c>
      <c r="I47" s="19" t="s">
        <v>116</v>
      </c>
      <c r="J47" s="19" t="s">
        <v>116</v>
      </c>
      <c r="K47" s="19" t="s">
        <v>116</v>
      </c>
      <c r="L47" s="19" t="s">
        <v>116</v>
      </c>
      <c r="M47" s="4" t="s">
        <v>88</v>
      </c>
      <c r="N47" s="11">
        <f>IFERROR(VLOOKUP(M47,ShipShapeEnum!$H:$I,2,FALSE),"-")</f>
        <v>1</v>
      </c>
      <c r="O47" s="11" t="s">
        <v>0</v>
      </c>
      <c r="P47" s="11" t="s">
        <v>0</v>
      </c>
      <c r="Q47" s="19">
        <v>2</v>
      </c>
      <c r="R47" s="19" t="s">
        <v>199</v>
      </c>
      <c r="S47" s="19" t="s">
        <v>84</v>
      </c>
      <c r="T47" s="19" t="s">
        <v>96</v>
      </c>
      <c r="U47" s="19" t="s">
        <v>102</v>
      </c>
      <c r="V47" s="19" t="s">
        <v>103</v>
      </c>
      <c r="W47" s="19" t="s">
        <v>84</v>
      </c>
      <c r="X47" s="19" t="s">
        <v>84</v>
      </c>
    </row>
    <row r="48" spans="1:24" ht="15">
      <c r="A48" s="10">
        <f t="shared" si="0"/>
        <v>46000039</v>
      </c>
      <c r="B48" s="4" t="s">
        <v>263</v>
      </c>
      <c r="C48" s="4" t="s">
        <v>62</v>
      </c>
      <c r="D48" s="11">
        <f>IFERROR(VLOOKUP(C48,ShipShapeEnum!$E:$F,2,FALSE),"-")</f>
        <v>1</v>
      </c>
      <c r="E48" s="19" t="s">
        <v>267</v>
      </c>
      <c r="F48" s="4" t="s">
        <v>61</v>
      </c>
      <c r="G48" s="11">
        <v>1</v>
      </c>
      <c r="H48" s="19" t="s">
        <v>24</v>
      </c>
      <c r="I48" s="19" t="s">
        <v>24</v>
      </c>
      <c r="J48" s="19" t="s">
        <v>24</v>
      </c>
      <c r="K48" s="19" t="s">
        <v>24</v>
      </c>
      <c r="L48" s="19" t="s">
        <v>24</v>
      </c>
      <c r="M48" s="4" t="s">
        <v>88</v>
      </c>
      <c r="N48" s="11">
        <f>IFERROR(VLOOKUP(M48,ShipShapeEnum!$H:$I,2,FALSE),"-")</f>
        <v>1</v>
      </c>
      <c r="O48" s="11" t="s">
        <v>0</v>
      </c>
      <c r="P48" s="11" t="s">
        <v>0</v>
      </c>
      <c r="Q48" s="19">
        <v>2</v>
      </c>
      <c r="R48" s="19" t="s">
        <v>279</v>
      </c>
      <c r="S48" s="19" t="s">
        <v>24</v>
      </c>
      <c r="T48" s="19" t="s">
        <v>24</v>
      </c>
      <c r="U48" s="19" t="s">
        <v>24</v>
      </c>
      <c r="V48" s="19" t="s">
        <v>24</v>
      </c>
      <c r="W48" s="19" t="s">
        <v>24</v>
      </c>
      <c r="X48" s="19" t="s">
        <v>24</v>
      </c>
    </row>
    <row r="49" spans="1:24" ht="15">
      <c r="A49" s="10">
        <f t="shared" si="0"/>
        <v>46000040</v>
      </c>
      <c r="B49" s="4" t="s">
        <v>265</v>
      </c>
      <c r="C49" s="4" t="s">
        <v>62</v>
      </c>
      <c r="D49" s="11">
        <f>IFERROR(VLOOKUP(C49,ShipShapeEnum!$E:$F,2,FALSE),"-")</f>
        <v>1</v>
      </c>
      <c r="E49" s="19" t="s">
        <v>266</v>
      </c>
      <c r="F49" s="4" t="s">
        <v>61</v>
      </c>
      <c r="G49" s="11">
        <v>1</v>
      </c>
      <c r="H49" s="19" t="s">
        <v>24</v>
      </c>
      <c r="I49" s="19" t="s">
        <v>24</v>
      </c>
      <c r="J49" s="19" t="s">
        <v>24</v>
      </c>
      <c r="K49" s="19" t="s">
        <v>24</v>
      </c>
      <c r="L49" s="19" t="s">
        <v>24</v>
      </c>
      <c r="M49" s="4" t="s">
        <v>88</v>
      </c>
      <c r="N49" s="11">
        <f>IFERROR(VLOOKUP(M49,ShipShapeEnum!$H:$I,2,FALSE),"-")</f>
        <v>1</v>
      </c>
      <c r="O49" s="11" t="s">
        <v>0</v>
      </c>
      <c r="P49" s="11" t="s">
        <v>0</v>
      </c>
      <c r="Q49" s="19">
        <v>2</v>
      </c>
      <c r="R49" s="19" t="s">
        <v>117</v>
      </c>
      <c r="S49" s="19" t="s">
        <v>24</v>
      </c>
      <c r="T49" s="19" t="s">
        <v>24</v>
      </c>
      <c r="U49" s="19" t="s">
        <v>24</v>
      </c>
      <c r="V49" s="19" t="s">
        <v>24</v>
      </c>
      <c r="W49" s="19" t="s">
        <v>24</v>
      </c>
      <c r="X49" s="19" t="s">
        <v>24</v>
      </c>
    </row>
    <row r="50" spans="1:24" ht="15">
      <c r="A50" s="10">
        <f t="shared" si="0"/>
        <v>46000041</v>
      </c>
      <c r="B50" s="4" t="s">
        <v>273</v>
      </c>
      <c r="C50" s="4" t="s">
        <v>62</v>
      </c>
      <c r="D50" s="11">
        <f>IFERROR(VLOOKUP(C50,ShipShapeEnum!$E:$F,2,FALSE),"-")</f>
        <v>1</v>
      </c>
      <c r="E50" s="19" t="s">
        <v>274</v>
      </c>
      <c r="F50" s="4" t="s">
        <v>61</v>
      </c>
      <c r="G50" s="11">
        <v>1</v>
      </c>
      <c r="H50" s="19" t="s">
        <v>0</v>
      </c>
      <c r="I50" s="19" t="s">
        <v>0</v>
      </c>
      <c r="J50" s="19" t="s">
        <v>0</v>
      </c>
      <c r="K50" s="19" t="s">
        <v>0</v>
      </c>
      <c r="L50" s="19" t="s">
        <v>0</v>
      </c>
      <c r="M50" s="4" t="s">
        <v>88</v>
      </c>
      <c r="N50" s="11">
        <f>IFERROR(VLOOKUP(M50,ShipShapeEnum!$H:$I,2,FALSE),"-")</f>
        <v>1</v>
      </c>
      <c r="O50" s="11" t="s">
        <v>0</v>
      </c>
      <c r="P50" s="11" t="s">
        <v>0</v>
      </c>
      <c r="Q50" s="19">
        <v>2</v>
      </c>
      <c r="R50" s="19" t="s">
        <v>117</v>
      </c>
      <c r="S50" s="19" t="s">
        <v>0</v>
      </c>
      <c r="T50" s="19" t="s">
        <v>0</v>
      </c>
      <c r="U50" s="19" t="s">
        <v>0</v>
      </c>
      <c r="V50" s="19" t="s">
        <v>0</v>
      </c>
      <c r="W50" s="19" t="s">
        <v>0</v>
      </c>
      <c r="X50" s="19" t="s">
        <v>0</v>
      </c>
    </row>
    <row r="51" spans="1:24" ht="15">
      <c r="A51" s="10">
        <f t="shared" si="0"/>
        <v>46000042</v>
      </c>
      <c r="B51" s="4" t="s">
        <v>277</v>
      </c>
      <c r="C51" s="4" t="s">
        <v>62</v>
      </c>
      <c r="D51" s="11">
        <f>IFERROR(VLOOKUP(C51,ShipShapeEnum!$E:$F,2,FALSE),"-")</f>
        <v>1</v>
      </c>
      <c r="E51" s="19" t="s">
        <v>278</v>
      </c>
      <c r="F51" s="4" t="s">
        <v>61</v>
      </c>
      <c r="G51" s="11">
        <v>1</v>
      </c>
      <c r="H51" s="19" t="s">
        <v>0</v>
      </c>
      <c r="I51" s="19" t="s">
        <v>0</v>
      </c>
      <c r="J51" s="19" t="s">
        <v>0</v>
      </c>
      <c r="K51" s="19" t="s">
        <v>0</v>
      </c>
      <c r="L51" s="19" t="s">
        <v>0</v>
      </c>
      <c r="M51" s="4" t="s">
        <v>88</v>
      </c>
      <c r="N51" s="11">
        <f>IFERROR(VLOOKUP(M51,ShipShapeEnum!$H:$I,2,FALSE),"-")</f>
        <v>1</v>
      </c>
      <c r="O51" s="11" t="s">
        <v>0</v>
      </c>
      <c r="P51" s="11" t="s">
        <v>0</v>
      </c>
      <c r="Q51" s="19">
        <v>2</v>
      </c>
      <c r="R51" s="19" t="s">
        <v>292</v>
      </c>
      <c r="S51" s="19" t="s">
        <v>0</v>
      </c>
      <c r="T51" s="19" t="s">
        <v>0</v>
      </c>
      <c r="U51" s="19" t="s">
        <v>0</v>
      </c>
      <c r="V51" s="19" t="s">
        <v>0</v>
      </c>
      <c r="W51" s="19" t="s">
        <v>0</v>
      </c>
      <c r="X51" s="19" t="s">
        <v>0</v>
      </c>
    </row>
    <row r="52" spans="1:24" ht="15">
      <c r="A52" s="10">
        <f t="shared" si="0"/>
        <v>46000043</v>
      </c>
      <c r="B52" s="4" t="s">
        <v>290</v>
      </c>
      <c r="C52" s="4" t="s">
        <v>62</v>
      </c>
      <c r="D52" s="11">
        <f>IFERROR(VLOOKUP(C52,ShipShapeEnum!$E:$F,2,FALSE),"-")</f>
        <v>1</v>
      </c>
      <c r="E52" s="19" t="s">
        <v>291</v>
      </c>
      <c r="F52" s="4" t="s">
        <v>61</v>
      </c>
      <c r="G52" s="11">
        <v>1</v>
      </c>
      <c r="H52" s="19" t="s">
        <v>0</v>
      </c>
      <c r="I52" s="19" t="s">
        <v>0</v>
      </c>
      <c r="J52" s="19" t="s">
        <v>0</v>
      </c>
      <c r="K52" s="19" t="s">
        <v>0</v>
      </c>
      <c r="L52" s="19" t="s">
        <v>0</v>
      </c>
      <c r="M52" s="4" t="s">
        <v>88</v>
      </c>
      <c r="N52" s="11">
        <f>IFERROR(VLOOKUP(M52,ShipShapeEnum!$H:$I,2,FALSE),"-")</f>
        <v>1</v>
      </c>
      <c r="O52" s="11" t="s">
        <v>0</v>
      </c>
      <c r="P52" s="11" t="s">
        <v>0</v>
      </c>
      <c r="Q52" s="19">
        <v>2</v>
      </c>
      <c r="R52" s="19" t="s">
        <v>268</v>
      </c>
      <c r="S52" s="19" t="s">
        <v>0</v>
      </c>
      <c r="T52" s="19" t="s">
        <v>0</v>
      </c>
      <c r="U52" s="19" t="s">
        <v>0</v>
      </c>
      <c r="V52" s="19" t="s">
        <v>0</v>
      </c>
      <c r="W52" s="19" t="s">
        <v>0</v>
      </c>
      <c r="X52" s="19" t="s">
        <v>0</v>
      </c>
    </row>
    <row r="53" spans="1:24" ht="15">
      <c r="A53" s="10">
        <f t="shared" si="0"/>
        <v>46000044</v>
      </c>
      <c r="B53" s="4" t="s">
        <v>297</v>
      </c>
      <c r="C53" s="4" t="s">
        <v>62</v>
      </c>
      <c r="D53" s="11">
        <f>IFERROR(VLOOKUP(C53,ShipShapeEnum!$E:$F,2,FALSE),"-")</f>
        <v>1</v>
      </c>
      <c r="E53" s="19" t="s">
        <v>298</v>
      </c>
      <c r="F53" s="4" t="s">
        <v>61</v>
      </c>
      <c r="G53" s="11">
        <v>1</v>
      </c>
      <c r="H53" s="19" t="s">
        <v>0</v>
      </c>
      <c r="I53" s="19" t="s">
        <v>0</v>
      </c>
      <c r="J53" s="19" t="s">
        <v>0</v>
      </c>
      <c r="K53" s="19" t="s">
        <v>0</v>
      </c>
      <c r="L53" s="19" t="s">
        <v>0</v>
      </c>
      <c r="M53" s="4" t="s">
        <v>88</v>
      </c>
      <c r="N53" s="11">
        <f>IFERROR(VLOOKUP(M53,ShipShapeEnum!$H:$I,2,FALSE),"-")</f>
        <v>1</v>
      </c>
      <c r="O53" s="11" t="s">
        <v>0</v>
      </c>
      <c r="P53" s="11" t="s">
        <v>0</v>
      </c>
      <c r="Q53" s="19">
        <v>2</v>
      </c>
      <c r="R53" s="19" t="s">
        <v>268</v>
      </c>
      <c r="S53" s="19" t="s">
        <v>0</v>
      </c>
      <c r="T53" s="19" t="s">
        <v>0</v>
      </c>
      <c r="U53" s="19" t="s">
        <v>0</v>
      </c>
      <c r="V53" s="19" t="s">
        <v>0</v>
      </c>
      <c r="W53" s="19" t="s">
        <v>0</v>
      </c>
      <c r="X53" s="19" t="s">
        <v>0</v>
      </c>
    </row>
    <row r="54" spans="1:24" ht="15">
      <c r="A54" s="10">
        <f t="shared" si="0"/>
        <v>46000045</v>
      </c>
      <c r="B54" s="4" t="s">
        <v>303</v>
      </c>
      <c r="C54" s="4" t="s">
        <v>62</v>
      </c>
      <c r="D54" s="11">
        <f>IFERROR(VLOOKUP(C54,ShipShapeEnum!$E:$F,2,FALSE),"-")</f>
        <v>1</v>
      </c>
      <c r="E54" s="19" t="s">
        <v>301</v>
      </c>
      <c r="F54" s="4" t="s">
        <v>61</v>
      </c>
      <c r="G54" s="11">
        <v>1</v>
      </c>
      <c r="H54" s="19" t="s">
        <v>0</v>
      </c>
      <c r="I54" s="19" t="s">
        <v>0</v>
      </c>
      <c r="J54" s="19" t="s">
        <v>0</v>
      </c>
      <c r="K54" s="19" t="s">
        <v>0</v>
      </c>
      <c r="L54" s="19" t="s">
        <v>0</v>
      </c>
      <c r="M54" s="4" t="s">
        <v>88</v>
      </c>
      <c r="N54" s="11">
        <f>IFERROR(VLOOKUP(M54,ShipShapeEnum!$H:$I,2,FALSE),"-")</f>
        <v>1</v>
      </c>
      <c r="O54" s="11" t="s">
        <v>0</v>
      </c>
      <c r="P54" s="11" t="s">
        <v>0</v>
      </c>
      <c r="Q54" s="19" t="s">
        <v>0</v>
      </c>
      <c r="R54" s="19" t="s">
        <v>830</v>
      </c>
      <c r="S54" s="19" t="s">
        <v>0</v>
      </c>
      <c r="T54" s="19" t="s">
        <v>0</v>
      </c>
      <c r="U54" s="19" t="s">
        <v>0</v>
      </c>
      <c r="V54" s="19" t="s">
        <v>0</v>
      </c>
      <c r="W54" s="19" t="s">
        <v>0</v>
      </c>
      <c r="X54" s="19" t="s">
        <v>0</v>
      </c>
    </row>
    <row r="55" spans="1:24" ht="15">
      <c r="A55" s="10">
        <f>A54+1</f>
        <v>46000046</v>
      </c>
      <c r="B55" s="4" t="s">
        <v>323</v>
      </c>
      <c r="C55" s="4" t="s">
        <v>62</v>
      </c>
      <c r="D55" s="11">
        <f>IFERROR(VLOOKUP(C55,ShipShapeEnum!$E:$F,2,FALSE),"-")</f>
        <v>1</v>
      </c>
      <c r="E55" s="19" t="s">
        <v>324</v>
      </c>
      <c r="F55" s="4" t="s">
        <v>61</v>
      </c>
      <c r="G55" s="11">
        <v>1</v>
      </c>
      <c r="H55" s="19" t="s">
        <v>0</v>
      </c>
      <c r="I55" s="19" t="s">
        <v>0</v>
      </c>
      <c r="J55" s="19" t="s">
        <v>0</v>
      </c>
      <c r="K55" s="19" t="s">
        <v>0</v>
      </c>
      <c r="L55" s="19" t="s">
        <v>0</v>
      </c>
      <c r="M55" s="4" t="s">
        <v>88</v>
      </c>
      <c r="N55" s="11">
        <f>IFERROR(VLOOKUP(M55,ShipShapeEnum!$H:$I,2,FALSE),"-")</f>
        <v>1</v>
      </c>
      <c r="O55" s="11" t="s">
        <v>0</v>
      </c>
      <c r="P55" s="11" t="s">
        <v>0</v>
      </c>
      <c r="Q55" s="19">
        <v>2</v>
      </c>
      <c r="R55" s="19" t="s">
        <v>325</v>
      </c>
      <c r="S55" s="19" t="s">
        <v>0</v>
      </c>
      <c r="T55" s="19" t="s">
        <v>0</v>
      </c>
      <c r="U55" s="19" t="s">
        <v>0</v>
      </c>
      <c r="V55" s="19" t="s">
        <v>0</v>
      </c>
      <c r="W55" s="19" t="s">
        <v>0</v>
      </c>
      <c r="X55" s="19" t="s">
        <v>0</v>
      </c>
    </row>
    <row r="56" spans="1:24" ht="15">
      <c r="A56" s="10">
        <f t="shared" si="0"/>
        <v>46000047</v>
      </c>
      <c r="B56" s="4" t="s">
        <v>339</v>
      </c>
      <c r="C56" s="4" t="s">
        <v>62</v>
      </c>
      <c r="D56" s="11">
        <f>IFERROR(VLOOKUP(C56,ShipShapeEnum!$E:$F,2,FALSE),"-")</f>
        <v>1</v>
      </c>
      <c r="E56" s="19" t="s">
        <v>341</v>
      </c>
      <c r="F56" s="4" t="s">
        <v>61</v>
      </c>
      <c r="G56" s="11">
        <f>IFERROR(VLOOKUP(F56,ShipShapeEnum!$B:$C,2,FALSE),"-")</f>
        <v>1</v>
      </c>
      <c r="H56" s="19" t="s">
        <v>0</v>
      </c>
      <c r="I56" s="19" t="s">
        <v>0</v>
      </c>
      <c r="J56" s="19" t="s">
        <v>0</v>
      </c>
      <c r="K56" s="19" t="s">
        <v>0</v>
      </c>
      <c r="L56" s="19" t="s">
        <v>0</v>
      </c>
      <c r="M56" s="4" t="s">
        <v>88</v>
      </c>
      <c r="N56" s="11">
        <f>IFERROR(VLOOKUP(M56,ShipShapeEnum!$H:$I,2,FALSE),"-")</f>
        <v>1</v>
      </c>
      <c r="O56" s="11" t="s">
        <v>0</v>
      </c>
      <c r="P56" s="11" t="s">
        <v>0</v>
      </c>
      <c r="Q56" s="19">
        <v>2</v>
      </c>
      <c r="R56" s="19" t="s">
        <v>346</v>
      </c>
      <c r="S56" s="19" t="s">
        <v>0</v>
      </c>
      <c r="T56" s="19" t="s">
        <v>0</v>
      </c>
      <c r="U56" s="19" t="s">
        <v>0</v>
      </c>
      <c r="V56" s="19" t="s">
        <v>0</v>
      </c>
      <c r="W56" s="19" t="s">
        <v>0</v>
      </c>
      <c r="X56" s="19" t="s">
        <v>0</v>
      </c>
    </row>
    <row r="57" spans="1:24" ht="15">
      <c r="A57" s="10">
        <f t="shared" si="0"/>
        <v>46000048</v>
      </c>
      <c r="B57" s="4" t="s">
        <v>349</v>
      </c>
      <c r="C57" s="4" t="s">
        <v>62</v>
      </c>
      <c r="D57" s="11">
        <f>IFERROR(VLOOKUP(C57,ShipShapeEnum!$E:$F,2,FALSE),"-")</f>
        <v>1</v>
      </c>
      <c r="E57" s="19" t="s">
        <v>352</v>
      </c>
      <c r="F57" s="4" t="s">
        <v>61</v>
      </c>
      <c r="G57" s="11">
        <f>IFERROR(VLOOKUP(F57,ShipShapeEnum!$B:$C,2,FALSE),"-")</f>
        <v>1</v>
      </c>
      <c r="H57" s="19" t="s">
        <v>0</v>
      </c>
      <c r="I57" s="19" t="s">
        <v>0</v>
      </c>
      <c r="J57" s="19" t="s">
        <v>0</v>
      </c>
      <c r="K57" s="19" t="s">
        <v>0</v>
      </c>
      <c r="L57" s="19" t="s">
        <v>0</v>
      </c>
      <c r="M57" s="4" t="s">
        <v>88</v>
      </c>
      <c r="N57" s="11">
        <f>IFERROR(VLOOKUP(M57,ShipShapeEnum!$H:$I,2,FALSE),"-")</f>
        <v>1</v>
      </c>
      <c r="O57" s="11" t="s">
        <v>0</v>
      </c>
      <c r="P57" s="11" t="s">
        <v>0</v>
      </c>
      <c r="Q57" s="19">
        <v>2</v>
      </c>
      <c r="R57" s="19" t="s">
        <v>346</v>
      </c>
      <c r="S57" s="19" t="s">
        <v>0</v>
      </c>
      <c r="T57" s="19" t="s">
        <v>0</v>
      </c>
      <c r="U57" s="19" t="s">
        <v>0</v>
      </c>
      <c r="V57" s="19" t="s">
        <v>0</v>
      </c>
      <c r="W57" s="19" t="s">
        <v>0</v>
      </c>
      <c r="X57" s="19" t="s">
        <v>0</v>
      </c>
    </row>
    <row r="58" spans="1:24" ht="15">
      <c r="A58" s="10">
        <f t="shared" si="0"/>
        <v>46000049</v>
      </c>
      <c r="B58" s="4" t="s">
        <v>356</v>
      </c>
      <c r="C58" s="4" t="s">
        <v>62</v>
      </c>
      <c r="D58" s="11">
        <f>IFERROR(VLOOKUP(C58,ShipShapeEnum!$E:$F,2,FALSE),"-")</f>
        <v>1</v>
      </c>
      <c r="E58" s="19" t="s">
        <v>357</v>
      </c>
      <c r="F58" s="4" t="s">
        <v>61</v>
      </c>
      <c r="G58" s="11">
        <f>IFERROR(VLOOKUP(F58,ShipShapeEnum!$B:$C,2,FALSE),"-")</f>
        <v>1</v>
      </c>
      <c r="H58" s="19" t="s">
        <v>0</v>
      </c>
      <c r="I58" s="19" t="s">
        <v>0</v>
      </c>
      <c r="J58" s="19" t="s">
        <v>0</v>
      </c>
      <c r="K58" s="19" t="s">
        <v>0</v>
      </c>
      <c r="L58" s="19" t="s">
        <v>0</v>
      </c>
      <c r="M58" s="4" t="s">
        <v>88</v>
      </c>
      <c r="N58" s="11">
        <f>IFERROR(VLOOKUP(M58,ShipShapeEnum!$H:$I,2,FALSE),"-")</f>
        <v>1</v>
      </c>
      <c r="O58" s="11" t="s">
        <v>0</v>
      </c>
      <c r="P58" s="11" t="s">
        <v>0</v>
      </c>
      <c r="Q58" s="19">
        <v>2</v>
      </c>
      <c r="R58" s="19" t="s">
        <v>358</v>
      </c>
      <c r="S58" s="19" t="s">
        <v>0</v>
      </c>
      <c r="T58" s="19" t="s">
        <v>0</v>
      </c>
      <c r="U58" s="19" t="s">
        <v>0</v>
      </c>
      <c r="V58" s="19" t="s">
        <v>0</v>
      </c>
      <c r="W58" s="19" t="s">
        <v>0</v>
      </c>
      <c r="X58" s="19" t="s">
        <v>0</v>
      </c>
    </row>
    <row r="59" spans="1:24" ht="15">
      <c r="A59" s="10">
        <f t="shared" si="0"/>
        <v>46000050</v>
      </c>
      <c r="B59" s="4" t="s">
        <v>362</v>
      </c>
      <c r="C59" s="4" t="s">
        <v>62</v>
      </c>
      <c r="D59" s="11">
        <f>IFERROR(VLOOKUP(C59,ShipShapeEnum!$E:$F,2,FALSE),"-")</f>
        <v>1</v>
      </c>
      <c r="E59" s="19" t="s">
        <v>363</v>
      </c>
      <c r="F59" s="4" t="s">
        <v>61</v>
      </c>
      <c r="G59" s="11">
        <f>IFERROR(VLOOKUP(F59,ShipShapeEnum!$B:$C,2,FALSE),"-")</f>
        <v>1</v>
      </c>
      <c r="H59" s="19" t="s">
        <v>0</v>
      </c>
      <c r="I59" s="19" t="s">
        <v>0</v>
      </c>
      <c r="J59" s="19" t="s">
        <v>0</v>
      </c>
      <c r="K59" s="19" t="s">
        <v>0</v>
      </c>
      <c r="L59" s="19" t="s">
        <v>0</v>
      </c>
      <c r="M59" s="4" t="s">
        <v>88</v>
      </c>
      <c r="N59" s="11">
        <f>IFERROR(VLOOKUP(M59,ShipShapeEnum!$H:$I,2,FALSE),"-")</f>
        <v>1</v>
      </c>
      <c r="O59" s="11" t="s">
        <v>0</v>
      </c>
      <c r="P59" s="11" t="s">
        <v>0</v>
      </c>
      <c r="Q59" s="19">
        <v>2</v>
      </c>
      <c r="R59" s="19" t="s">
        <v>364</v>
      </c>
      <c r="S59" s="19" t="s">
        <v>0</v>
      </c>
      <c r="T59" s="19" t="s">
        <v>0</v>
      </c>
      <c r="U59" s="19" t="s">
        <v>0</v>
      </c>
      <c r="V59" s="19" t="s">
        <v>0</v>
      </c>
      <c r="W59" s="19" t="s">
        <v>0</v>
      </c>
      <c r="X59" s="19" t="s">
        <v>0</v>
      </c>
    </row>
    <row r="60" spans="1:24" ht="15">
      <c r="A60" s="10">
        <f t="shared" si="0"/>
        <v>46000051</v>
      </c>
      <c r="B60" s="4" t="s">
        <v>367</v>
      </c>
      <c r="C60" s="4" t="s">
        <v>62</v>
      </c>
      <c r="D60" s="11">
        <f>IFERROR(VLOOKUP(C60,ShipShapeEnum!$E:$F,2,FALSE),"-")</f>
        <v>1</v>
      </c>
      <c r="E60" s="19" t="s">
        <v>368</v>
      </c>
      <c r="F60" s="4" t="s">
        <v>61</v>
      </c>
      <c r="G60" s="11">
        <f>IFERROR(VLOOKUP(F60,ShipShapeEnum!$B:$C,2,FALSE),"-")</f>
        <v>1</v>
      </c>
      <c r="H60" s="19" t="s">
        <v>0</v>
      </c>
      <c r="I60" s="19" t="s">
        <v>0</v>
      </c>
      <c r="J60" s="19" t="s">
        <v>0</v>
      </c>
      <c r="K60" s="19" t="s">
        <v>0</v>
      </c>
      <c r="L60" s="19" t="s">
        <v>0</v>
      </c>
      <c r="M60" s="4" t="s">
        <v>88</v>
      </c>
      <c r="N60" s="11">
        <f>IFERROR(VLOOKUP(M60,ShipShapeEnum!$H:$I,2,FALSE),"-")</f>
        <v>1</v>
      </c>
      <c r="O60" s="11" t="s">
        <v>0</v>
      </c>
      <c r="P60" s="11" t="s">
        <v>0</v>
      </c>
      <c r="Q60" s="19">
        <v>2</v>
      </c>
      <c r="R60" s="19" t="s">
        <v>369</v>
      </c>
      <c r="S60" s="19" t="s">
        <v>0</v>
      </c>
      <c r="T60" s="19" t="s">
        <v>0</v>
      </c>
      <c r="U60" s="19" t="s">
        <v>0</v>
      </c>
      <c r="V60" s="19" t="s">
        <v>0</v>
      </c>
      <c r="W60" s="19" t="s">
        <v>0</v>
      </c>
      <c r="X60" s="19" t="s">
        <v>0</v>
      </c>
    </row>
    <row r="61" spans="1:24" ht="15">
      <c r="A61" s="10">
        <f t="shared" si="0"/>
        <v>46000052</v>
      </c>
      <c r="B61" s="4" t="s">
        <v>373</v>
      </c>
      <c r="C61" s="4" t="s">
        <v>62</v>
      </c>
      <c r="D61" s="11">
        <f>IFERROR(VLOOKUP(C61,ShipShapeEnum!$E:$F,2,FALSE),"-")</f>
        <v>1</v>
      </c>
      <c r="E61" s="19" t="s">
        <v>371</v>
      </c>
      <c r="F61" s="4" t="s">
        <v>61</v>
      </c>
      <c r="G61" s="11">
        <f>IFERROR(VLOOKUP(F61,ShipShapeEnum!$B:$C,2,FALSE),"-")</f>
        <v>1</v>
      </c>
      <c r="H61" s="19" t="s">
        <v>0</v>
      </c>
      <c r="I61" s="19" t="s">
        <v>0</v>
      </c>
      <c r="J61" s="19" t="s">
        <v>0</v>
      </c>
      <c r="K61" s="19" t="s">
        <v>0</v>
      </c>
      <c r="L61" s="19" t="s">
        <v>0</v>
      </c>
      <c r="M61" s="4" t="s">
        <v>88</v>
      </c>
      <c r="N61" s="11">
        <f>IFERROR(VLOOKUP(M61,ShipShapeEnum!$H:$I,2,FALSE),"-")</f>
        <v>1</v>
      </c>
      <c r="O61" s="11" t="s">
        <v>0</v>
      </c>
      <c r="P61" s="11" t="s">
        <v>0</v>
      </c>
      <c r="Q61" s="19">
        <v>2</v>
      </c>
      <c r="R61" s="19" t="s">
        <v>374</v>
      </c>
      <c r="S61" s="19" t="s">
        <v>0</v>
      </c>
      <c r="T61" s="19" t="s">
        <v>0</v>
      </c>
      <c r="U61" s="19" t="s">
        <v>0</v>
      </c>
      <c r="V61" s="19" t="s">
        <v>0</v>
      </c>
      <c r="W61" s="19" t="s">
        <v>0</v>
      </c>
      <c r="X61" s="19" t="s">
        <v>0</v>
      </c>
    </row>
    <row r="62" spans="1:24" ht="15">
      <c r="A62" s="10">
        <f t="shared" si="0"/>
        <v>46000053</v>
      </c>
      <c r="B62" s="4" t="s">
        <v>377</v>
      </c>
      <c r="C62" s="4" t="s">
        <v>62</v>
      </c>
      <c r="D62" s="11">
        <f>IFERROR(VLOOKUP(C62,ShipShapeEnum!$E:$F,2,FALSE),"-")</f>
        <v>1</v>
      </c>
      <c r="E62" s="19" t="s">
        <v>378</v>
      </c>
      <c r="F62" s="4" t="s">
        <v>61</v>
      </c>
      <c r="G62" s="11">
        <f>IFERROR(VLOOKUP(F62,ShipShapeEnum!$B:$C,2,FALSE),"-")</f>
        <v>1</v>
      </c>
      <c r="H62" s="19" t="s">
        <v>0</v>
      </c>
      <c r="I62" s="19" t="s">
        <v>0</v>
      </c>
      <c r="J62" s="19" t="s">
        <v>0</v>
      </c>
      <c r="K62" s="19" t="s">
        <v>0</v>
      </c>
      <c r="L62" s="19" t="s">
        <v>0</v>
      </c>
      <c r="M62" s="4" t="s">
        <v>88</v>
      </c>
      <c r="N62" s="11">
        <f>IFERROR(VLOOKUP(M62,ShipShapeEnum!$H:$I,2,FALSE),"-")</f>
        <v>1</v>
      </c>
      <c r="O62" s="11" t="s">
        <v>0</v>
      </c>
      <c r="P62" s="11" t="s">
        <v>0</v>
      </c>
      <c r="Q62" s="19">
        <v>2</v>
      </c>
      <c r="R62" s="19" t="s">
        <v>379</v>
      </c>
      <c r="S62" s="19" t="s">
        <v>0</v>
      </c>
      <c r="T62" s="19" t="s">
        <v>0</v>
      </c>
      <c r="U62" s="19" t="s">
        <v>0</v>
      </c>
      <c r="V62" s="19" t="s">
        <v>0</v>
      </c>
      <c r="W62" s="19" t="s">
        <v>0</v>
      </c>
      <c r="X62" s="19" t="s">
        <v>0</v>
      </c>
    </row>
    <row r="63" spans="1:24" ht="15">
      <c r="A63" s="10">
        <f t="shared" si="0"/>
        <v>46000054</v>
      </c>
      <c r="B63" s="4" t="s">
        <v>387</v>
      </c>
      <c r="C63" s="4" t="s">
        <v>62</v>
      </c>
      <c r="D63" s="11">
        <f>IFERROR(VLOOKUP(C63,ShipShapeEnum!$E:$F,2,FALSE),"-")</f>
        <v>1</v>
      </c>
      <c r="E63" s="19" t="s">
        <v>388</v>
      </c>
      <c r="F63" s="4" t="s">
        <v>61</v>
      </c>
      <c r="G63" s="11">
        <f>IFERROR(VLOOKUP(F63,ShipShapeEnum!$B:$C,2,FALSE),"-")</f>
        <v>1</v>
      </c>
      <c r="H63" s="19" t="s">
        <v>0</v>
      </c>
      <c r="I63" s="19" t="s">
        <v>0</v>
      </c>
      <c r="J63" s="19" t="s">
        <v>0</v>
      </c>
      <c r="K63" s="19" t="s">
        <v>0</v>
      </c>
      <c r="L63" s="19" t="s">
        <v>0</v>
      </c>
      <c r="M63" s="4" t="s">
        <v>88</v>
      </c>
      <c r="N63" s="11">
        <f>IFERROR(VLOOKUP(M63,ShipShapeEnum!$H:$I,2,FALSE),"-")</f>
        <v>1</v>
      </c>
      <c r="O63" s="11" t="s">
        <v>0</v>
      </c>
      <c r="P63" s="11" t="s">
        <v>0</v>
      </c>
      <c r="Q63" s="19">
        <v>2</v>
      </c>
      <c r="R63" s="19" t="s">
        <v>390</v>
      </c>
      <c r="S63" s="19" t="s">
        <v>0</v>
      </c>
      <c r="T63" s="19" t="s">
        <v>0</v>
      </c>
      <c r="U63" s="19" t="s">
        <v>0</v>
      </c>
      <c r="V63" s="19" t="s">
        <v>0</v>
      </c>
      <c r="W63" s="19" t="s">
        <v>0</v>
      </c>
      <c r="X63" s="19" t="s">
        <v>0</v>
      </c>
    </row>
    <row r="64" spans="1:24" ht="15">
      <c r="A64" s="10">
        <f t="shared" si="0"/>
        <v>46000055</v>
      </c>
      <c r="B64" s="4" t="s">
        <v>396</v>
      </c>
      <c r="C64" s="4" t="s">
        <v>62</v>
      </c>
      <c r="D64" s="11">
        <f>IFERROR(VLOOKUP(C64,ShipShapeEnum!$E:$F,2,FALSE),"-")</f>
        <v>1</v>
      </c>
      <c r="E64" s="19" t="s">
        <v>399</v>
      </c>
      <c r="F64" s="4" t="s">
        <v>61</v>
      </c>
      <c r="G64" s="11">
        <f>IFERROR(VLOOKUP(F64,ShipShapeEnum!$B:$C,2,FALSE),"-")</f>
        <v>1</v>
      </c>
      <c r="H64" s="19" t="s">
        <v>0</v>
      </c>
      <c r="I64" s="19" t="s">
        <v>0</v>
      </c>
      <c r="J64" s="19" t="s">
        <v>0</v>
      </c>
      <c r="K64" s="19" t="s">
        <v>0</v>
      </c>
      <c r="L64" s="19" t="s">
        <v>0</v>
      </c>
      <c r="M64" s="4" t="s">
        <v>88</v>
      </c>
      <c r="N64" s="11">
        <f>IFERROR(VLOOKUP(M64,ShipShapeEnum!$H:$I,2,FALSE),"-")</f>
        <v>1</v>
      </c>
      <c r="O64" s="11" t="s">
        <v>0</v>
      </c>
      <c r="P64" s="11" t="s">
        <v>0</v>
      </c>
      <c r="Q64" s="19">
        <v>2</v>
      </c>
      <c r="R64" s="19" t="s">
        <v>385</v>
      </c>
      <c r="S64" s="19" t="s">
        <v>0</v>
      </c>
      <c r="T64" s="19" t="s">
        <v>0</v>
      </c>
      <c r="U64" s="19" t="s">
        <v>0</v>
      </c>
      <c r="V64" s="19" t="s">
        <v>0</v>
      </c>
      <c r="W64" s="19" t="s">
        <v>0</v>
      </c>
      <c r="X64" s="19" t="s">
        <v>0</v>
      </c>
    </row>
    <row r="65" spans="1:24" ht="15">
      <c r="A65" s="10">
        <f>A64+1</f>
        <v>46000056</v>
      </c>
      <c r="B65" s="4" t="s">
        <v>493</v>
      </c>
      <c r="C65" s="4" t="s">
        <v>62</v>
      </c>
      <c r="D65" s="11">
        <f>IFERROR(VLOOKUP(C65,ShipShapeEnum!$E:$F,2,FALSE),"-")</f>
        <v>1</v>
      </c>
      <c r="E65" s="19" t="s">
        <v>494</v>
      </c>
      <c r="F65" s="4" t="s">
        <v>61</v>
      </c>
      <c r="G65" s="11">
        <f>IFERROR(VLOOKUP(F65,ShipShapeEnum!$B:$C,2,FALSE),"-")</f>
        <v>1</v>
      </c>
      <c r="H65" s="19" t="s">
        <v>0</v>
      </c>
      <c r="I65" s="19" t="s">
        <v>0</v>
      </c>
      <c r="J65" s="19" t="s">
        <v>0</v>
      </c>
      <c r="K65" s="19" t="s">
        <v>0</v>
      </c>
      <c r="L65" s="19" t="s">
        <v>0</v>
      </c>
      <c r="M65" s="4" t="s">
        <v>88</v>
      </c>
      <c r="N65" s="11">
        <f>IFERROR(VLOOKUP(M65,ShipShapeEnum!$H:$I,2,FALSE),"-")</f>
        <v>1</v>
      </c>
      <c r="O65" s="11" t="s">
        <v>0</v>
      </c>
      <c r="P65" s="11" t="s">
        <v>0</v>
      </c>
      <c r="Q65" s="19">
        <v>2</v>
      </c>
      <c r="R65" s="19" t="s">
        <v>496</v>
      </c>
      <c r="S65" s="19" t="s">
        <v>0</v>
      </c>
      <c r="T65" s="19" t="s">
        <v>0</v>
      </c>
      <c r="U65" s="19" t="s">
        <v>0</v>
      </c>
      <c r="V65" s="19" t="s">
        <v>0</v>
      </c>
      <c r="W65" s="19" t="s">
        <v>0</v>
      </c>
      <c r="X65" s="19" t="s">
        <v>0</v>
      </c>
    </row>
    <row r="66" spans="1:24" ht="15">
      <c r="A66" s="10">
        <f t="shared" si="0"/>
        <v>46000057</v>
      </c>
      <c r="B66" s="93" t="s">
        <v>504</v>
      </c>
      <c r="C66" s="4" t="s">
        <v>62</v>
      </c>
      <c r="D66" s="11">
        <f>IFERROR(VLOOKUP(C66,ShipShapeEnum!$E:$F,2,FALSE),"-")</f>
        <v>1</v>
      </c>
      <c r="E66" s="19" t="s">
        <v>197</v>
      </c>
      <c r="F66" s="4" t="s">
        <v>61</v>
      </c>
      <c r="G66" s="11">
        <f>IFERROR(VLOOKUP(F66,ShipShapeEnum!$B:$C,2,FALSE),"-")</f>
        <v>1</v>
      </c>
      <c r="H66" s="19" t="s">
        <v>0</v>
      </c>
      <c r="I66" s="19" t="s">
        <v>0</v>
      </c>
      <c r="J66" s="19" t="s">
        <v>0</v>
      </c>
      <c r="K66" s="19" t="s">
        <v>0</v>
      </c>
      <c r="L66" s="19" t="s">
        <v>0</v>
      </c>
      <c r="M66" s="4" t="s">
        <v>88</v>
      </c>
      <c r="N66" s="11">
        <f>IFERROR(VLOOKUP(M66,ShipShapeEnum!$H:$I,2,FALSE),"-")</f>
        <v>1</v>
      </c>
      <c r="O66" s="11" t="s">
        <v>0</v>
      </c>
      <c r="P66" s="11" t="s">
        <v>0</v>
      </c>
      <c r="Q66" s="19">
        <v>2</v>
      </c>
      <c r="R66" s="19" t="s">
        <v>520</v>
      </c>
      <c r="S66" s="19" t="s">
        <v>0</v>
      </c>
      <c r="T66" s="19" t="s">
        <v>0</v>
      </c>
      <c r="U66" s="19" t="s">
        <v>0</v>
      </c>
      <c r="V66" s="19" t="s">
        <v>0</v>
      </c>
      <c r="W66" s="19" t="s">
        <v>0</v>
      </c>
      <c r="X66" s="19" t="s">
        <v>0</v>
      </c>
    </row>
    <row r="67" spans="1:24" ht="15">
      <c r="A67" s="10">
        <f t="shared" si="0"/>
        <v>46000058</v>
      </c>
      <c r="B67" s="93" t="s">
        <v>739</v>
      </c>
      <c r="C67" s="4" t="s">
        <v>62</v>
      </c>
      <c r="D67" s="11">
        <f>IFERROR(VLOOKUP(C67,ShipShapeEnum!$E:$F,2,FALSE),"-")</f>
        <v>1</v>
      </c>
      <c r="E67" s="19" t="s">
        <v>274</v>
      </c>
      <c r="F67" s="4" t="s">
        <v>61</v>
      </c>
      <c r="G67" s="11">
        <v>1</v>
      </c>
      <c r="H67" s="19" t="s">
        <v>0</v>
      </c>
      <c r="I67" s="19" t="s">
        <v>0</v>
      </c>
      <c r="J67" s="19" t="s">
        <v>0</v>
      </c>
      <c r="K67" s="19" t="s">
        <v>0</v>
      </c>
      <c r="L67" s="19" t="s">
        <v>0</v>
      </c>
      <c r="M67" s="4" t="s">
        <v>88</v>
      </c>
      <c r="N67" s="11">
        <f>IFERROR(VLOOKUP(M67,ShipShapeEnum!$H:$I,2,FALSE),"-")</f>
        <v>1</v>
      </c>
      <c r="O67" s="11" t="s">
        <v>0</v>
      </c>
      <c r="P67" s="11" t="s">
        <v>0</v>
      </c>
      <c r="Q67" s="19">
        <v>2</v>
      </c>
      <c r="R67" s="19" t="s">
        <v>740</v>
      </c>
      <c r="S67" s="19">
        <v>3</v>
      </c>
      <c r="T67" s="19" t="s">
        <v>733</v>
      </c>
      <c r="U67" s="19" t="s">
        <v>0</v>
      </c>
      <c r="V67" s="19" t="s">
        <v>0</v>
      </c>
      <c r="W67" s="19" t="s">
        <v>0</v>
      </c>
      <c r="X67" s="19" t="s">
        <v>0</v>
      </c>
    </row>
    <row r="68" spans="1:24" ht="15">
      <c r="A68" s="10">
        <f t="shared" si="0"/>
        <v>46000059</v>
      </c>
      <c r="B68" s="93" t="s">
        <v>507</v>
      </c>
      <c r="C68" s="4" t="s">
        <v>62</v>
      </c>
      <c r="D68" s="11">
        <f>IFERROR(VLOOKUP(C68,ShipShapeEnum!$E:$F,2,FALSE),"-")</f>
        <v>1</v>
      </c>
      <c r="E68" s="19" t="s">
        <v>291</v>
      </c>
      <c r="F68" s="4" t="s">
        <v>61</v>
      </c>
      <c r="G68" s="11">
        <v>1</v>
      </c>
      <c r="H68" s="19" t="s">
        <v>0</v>
      </c>
      <c r="I68" s="19" t="s">
        <v>0</v>
      </c>
      <c r="J68" s="19" t="s">
        <v>0</v>
      </c>
      <c r="K68" s="19" t="s">
        <v>0</v>
      </c>
      <c r="L68" s="19" t="s">
        <v>0</v>
      </c>
      <c r="M68" s="4" t="s">
        <v>88</v>
      </c>
      <c r="N68" s="11">
        <f>IFERROR(VLOOKUP(M68,ShipShapeEnum!$H:$I,2,FALSE),"-")</f>
        <v>1</v>
      </c>
      <c r="O68" s="11" t="s">
        <v>0</v>
      </c>
      <c r="P68" s="11" t="s">
        <v>0</v>
      </c>
      <c r="Q68" s="19">
        <v>2</v>
      </c>
      <c r="R68" s="19" t="s">
        <v>508</v>
      </c>
      <c r="S68" s="19">
        <v>3</v>
      </c>
      <c r="T68" s="19" t="s">
        <v>505</v>
      </c>
      <c r="U68" s="19" t="s">
        <v>0</v>
      </c>
      <c r="V68" s="19" t="s">
        <v>0</v>
      </c>
      <c r="W68" s="19" t="s">
        <v>0</v>
      </c>
      <c r="X68" s="19" t="s">
        <v>0</v>
      </c>
    </row>
    <row r="69" spans="1:24" ht="15">
      <c r="A69" s="10">
        <f t="shared" si="0"/>
        <v>46000060</v>
      </c>
      <c r="B69" s="93" t="s">
        <v>510</v>
      </c>
      <c r="C69" s="4" t="s">
        <v>62</v>
      </c>
      <c r="D69" s="11">
        <f>IFERROR(VLOOKUP(C69,ShipShapeEnum!$E:$F,2,FALSE),"-")</f>
        <v>1</v>
      </c>
      <c r="E69" s="19" t="s">
        <v>324</v>
      </c>
      <c r="F69" s="4" t="s">
        <v>61</v>
      </c>
      <c r="G69" s="11">
        <v>1</v>
      </c>
      <c r="H69" s="19" t="s">
        <v>0</v>
      </c>
      <c r="I69" s="19" t="s">
        <v>0</v>
      </c>
      <c r="J69" s="19" t="s">
        <v>0</v>
      </c>
      <c r="K69" s="19" t="s">
        <v>0</v>
      </c>
      <c r="L69" s="19" t="s">
        <v>0</v>
      </c>
      <c r="M69" s="4" t="s">
        <v>88</v>
      </c>
      <c r="N69" s="11">
        <f>IFERROR(VLOOKUP(M69,ShipShapeEnum!$H:$I,2,FALSE),"-")</f>
        <v>1</v>
      </c>
      <c r="O69" s="11" t="s">
        <v>0</v>
      </c>
      <c r="P69" s="11" t="s">
        <v>0</v>
      </c>
      <c r="Q69" s="19">
        <v>2</v>
      </c>
      <c r="R69" s="19" t="s">
        <v>522</v>
      </c>
      <c r="S69" s="19">
        <v>3</v>
      </c>
      <c r="T69" s="19" t="s">
        <v>522</v>
      </c>
      <c r="U69" s="19" t="s">
        <v>0</v>
      </c>
      <c r="V69" s="19" t="s">
        <v>0</v>
      </c>
      <c r="W69" s="19" t="s">
        <v>0</v>
      </c>
      <c r="X69" s="19" t="s">
        <v>0</v>
      </c>
    </row>
    <row r="70" spans="1:24" ht="15">
      <c r="A70" s="10">
        <f t="shared" si="0"/>
        <v>46000061</v>
      </c>
      <c r="B70" s="93" t="s">
        <v>512</v>
      </c>
      <c r="C70" s="4" t="s">
        <v>62</v>
      </c>
      <c r="D70" s="11">
        <f>IFERROR(VLOOKUP(C70,ShipShapeEnum!$E:$F,2,FALSE),"-")</f>
        <v>1</v>
      </c>
      <c r="E70" s="19" t="s">
        <v>324</v>
      </c>
      <c r="F70" s="4" t="s">
        <v>61</v>
      </c>
      <c r="G70" s="11">
        <v>1</v>
      </c>
      <c r="H70" s="19" t="s">
        <v>0</v>
      </c>
      <c r="I70" s="19" t="s">
        <v>0</v>
      </c>
      <c r="J70" s="19" t="s">
        <v>0</v>
      </c>
      <c r="K70" s="19" t="s">
        <v>0</v>
      </c>
      <c r="L70" s="19" t="s">
        <v>0</v>
      </c>
      <c r="M70" s="4" t="s">
        <v>88</v>
      </c>
      <c r="N70" s="11">
        <f>IFERROR(VLOOKUP(M70,ShipShapeEnum!$H:$I,2,FALSE),"-")</f>
        <v>1</v>
      </c>
      <c r="O70" s="11" t="s">
        <v>0</v>
      </c>
      <c r="P70" s="11" t="s">
        <v>0</v>
      </c>
      <c r="Q70" s="19">
        <v>2</v>
      </c>
      <c r="R70" s="19" t="s">
        <v>513</v>
      </c>
      <c r="S70" s="19">
        <v>3</v>
      </c>
      <c r="T70" s="19" t="s">
        <v>521</v>
      </c>
      <c r="U70" s="19" t="s">
        <v>0</v>
      </c>
      <c r="V70" s="19" t="s">
        <v>0</v>
      </c>
      <c r="W70" s="19" t="s">
        <v>0</v>
      </c>
      <c r="X70" s="19" t="s">
        <v>0</v>
      </c>
    </row>
    <row r="71" spans="1:24" ht="15">
      <c r="A71" s="10">
        <f t="shared" si="0"/>
        <v>46000062</v>
      </c>
      <c r="B71" s="93" t="s">
        <v>515</v>
      </c>
      <c r="C71" s="4" t="s">
        <v>62</v>
      </c>
      <c r="D71" s="11">
        <f>IFERROR(VLOOKUP(C71,ShipShapeEnum!$E:$F,2,FALSE),"-")</f>
        <v>1</v>
      </c>
      <c r="E71" s="19" t="s">
        <v>853</v>
      </c>
      <c r="F71" s="4" t="s">
        <v>61</v>
      </c>
      <c r="G71" s="11">
        <f>IFERROR(VLOOKUP(F71,ShipShapeEnum!$B:$C,2,FALSE),"-")</f>
        <v>1</v>
      </c>
      <c r="H71" s="19" t="s">
        <v>0</v>
      </c>
      <c r="I71" s="19" t="s">
        <v>0</v>
      </c>
      <c r="J71" s="19" t="s">
        <v>0</v>
      </c>
      <c r="K71" s="19" t="s">
        <v>0</v>
      </c>
      <c r="L71" s="19" t="s">
        <v>0</v>
      </c>
      <c r="M71" s="4" t="s">
        <v>88</v>
      </c>
      <c r="N71" s="11">
        <f>IFERROR(VLOOKUP(M71,ShipShapeEnum!$H:$I,2,FALSE),"-")</f>
        <v>1</v>
      </c>
      <c r="O71" s="11" t="s">
        <v>0</v>
      </c>
      <c r="P71" s="11" t="s">
        <v>0</v>
      </c>
      <c r="Q71" s="19">
        <v>2</v>
      </c>
      <c r="R71" s="19" t="s">
        <v>734</v>
      </c>
      <c r="S71" s="19">
        <v>3</v>
      </c>
      <c r="T71" s="19" t="s">
        <v>835</v>
      </c>
      <c r="U71" s="19" t="s">
        <v>0</v>
      </c>
      <c r="V71" s="19" t="s">
        <v>0</v>
      </c>
      <c r="W71" s="19" t="s">
        <v>0</v>
      </c>
      <c r="X71" s="19" t="s">
        <v>0</v>
      </c>
    </row>
    <row r="72" spans="1:24" ht="15">
      <c r="A72" s="10">
        <f t="shared" si="0"/>
        <v>46000063</v>
      </c>
      <c r="B72" s="92" t="s">
        <v>822</v>
      </c>
      <c r="C72" s="4" t="s">
        <v>62</v>
      </c>
      <c r="D72" s="11">
        <f>IFERROR(VLOOKUP(C72,ShipShapeEnum!$E:$F,2,FALSE),"-")</f>
        <v>1</v>
      </c>
      <c r="E72" s="19" t="s">
        <v>298</v>
      </c>
      <c r="F72" s="4" t="s">
        <v>61</v>
      </c>
      <c r="G72" s="11">
        <f>IFERROR(VLOOKUP(F72,ShipShapeEnum!$B:$C,2,FALSE),"-")</f>
        <v>1</v>
      </c>
      <c r="H72" s="19" t="s">
        <v>0</v>
      </c>
      <c r="I72" s="19" t="s">
        <v>0</v>
      </c>
      <c r="J72" s="19" t="s">
        <v>0</v>
      </c>
      <c r="K72" s="19" t="s">
        <v>0</v>
      </c>
      <c r="L72" s="19" t="s">
        <v>0</v>
      </c>
      <c r="M72" s="4" t="s">
        <v>88</v>
      </c>
      <c r="N72" s="11">
        <f>IFERROR(VLOOKUP(M72,ShipShapeEnum!$H:$I,2,FALSE),"-")</f>
        <v>1</v>
      </c>
      <c r="O72" s="11">
        <v>47290001</v>
      </c>
      <c r="P72" s="11" t="s">
        <v>0</v>
      </c>
      <c r="Q72" s="19">
        <v>2</v>
      </c>
      <c r="R72" s="19" t="s">
        <v>117</v>
      </c>
      <c r="S72" s="19" t="s">
        <v>830</v>
      </c>
      <c r="T72" s="19" t="s">
        <v>830</v>
      </c>
      <c r="U72" s="19" t="s">
        <v>830</v>
      </c>
      <c r="V72" s="19" t="s">
        <v>830</v>
      </c>
      <c r="W72" s="19" t="s">
        <v>830</v>
      </c>
      <c r="X72" s="19" t="s">
        <v>830</v>
      </c>
    </row>
    <row r="73" spans="1:24" ht="15">
      <c r="A73" s="10">
        <f t="shared" si="0"/>
        <v>46000064</v>
      </c>
      <c r="B73" s="92" t="s">
        <v>823</v>
      </c>
      <c r="C73" s="4" t="s">
        <v>62</v>
      </c>
      <c r="D73" s="11">
        <f>IFERROR(VLOOKUP(C73,ShipShapeEnum!$E:$F,2,FALSE),"-")</f>
        <v>1</v>
      </c>
      <c r="E73" s="19" t="s">
        <v>827</v>
      </c>
      <c r="F73" s="4" t="s">
        <v>61</v>
      </c>
      <c r="G73" s="11">
        <f>IFERROR(VLOOKUP(F73,ShipShapeEnum!$B:$C,2,FALSE),"-")</f>
        <v>1</v>
      </c>
      <c r="H73" s="19" t="s">
        <v>0</v>
      </c>
      <c r="I73" s="19" t="s">
        <v>0</v>
      </c>
      <c r="J73" s="19" t="s">
        <v>0</v>
      </c>
      <c r="K73" s="19" t="s">
        <v>0</v>
      </c>
      <c r="L73" s="19" t="s">
        <v>0</v>
      </c>
      <c r="M73" s="4" t="s">
        <v>88</v>
      </c>
      <c r="N73" s="11">
        <f>IFERROR(VLOOKUP(M73,ShipShapeEnum!$H:$I,2,FALSE),"-")</f>
        <v>1</v>
      </c>
      <c r="O73" s="11">
        <v>47290002</v>
      </c>
      <c r="P73" s="11" t="s">
        <v>0</v>
      </c>
      <c r="Q73" s="19" t="s">
        <v>830</v>
      </c>
      <c r="R73" s="19" t="s">
        <v>830</v>
      </c>
      <c r="S73" s="19" t="s">
        <v>830</v>
      </c>
      <c r="T73" s="19" t="s">
        <v>830</v>
      </c>
      <c r="U73" s="19" t="s">
        <v>830</v>
      </c>
      <c r="V73" s="19" t="s">
        <v>830</v>
      </c>
      <c r="W73" s="19" t="s">
        <v>830</v>
      </c>
      <c r="X73" s="19" t="s">
        <v>830</v>
      </c>
    </row>
    <row r="74" spans="1:24" ht="15">
      <c r="A74" s="10">
        <f t="shared" si="0"/>
        <v>46000065</v>
      </c>
      <c r="B74" s="92" t="s">
        <v>832</v>
      </c>
      <c r="C74" s="4" t="s">
        <v>62</v>
      </c>
      <c r="D74" s="11">
        <f>IFERROR(VLOOKUP(C74,ShipShapeEnum!$E:$F,2,FALSE),"-")</f>
        <v>1</v>
      </c>
      <c r="E74" s="19" t="s">
        <v>114</v>
      </c>
      <c r="F74" s="4" t="s">
        <v>61</v>
      </c>
      <c r="G74" s="11">
        <f>IFERROR(VLOOKUP(F74,ShipShapeEnum!$B:$C,2,FALSE),"-")</f>
        <v>1</v>
      </c>
      <c r="H74" s="19" t="s">
        <v>0</v>
      </c>
      <c r="I74" s="19" t="s">
        <v>0</v>
      </c>
      <c r="J74" s="19" t="s">
        <v>0</v>
      </c>
      <c r="K74" s="19" t="s">
        <v>0</v>
      </c>
      <c r="L74" s="19" t="s">
        <v>0</v>
      </c>
      <c r="M74" s="4" t="s">
        <v>88</v>
      </c>
      <c r="N74" s="11">
        <f>IFERROR(VLOOKUP(M74,ShipShapeEnum!$H:$I,2,FALSE),"-")</f>
        <v>1</v>
      </c>
      <c r="O74" s="11">
        <v>47290003</v>
      </c>
      <c r="P74" s="11" t="s">
        <v>0</v>
      </c>
      <c r="Q74" s="19">
        <v>2</v>
      </c>
      <c r="R74" s="19" t="s">
        <v>117</v>
      </c>
      <c r="S74" s="19" t="s">
        <v>830</v>
      </c>
      <c r="T74" s="19" t="s">
        <v>830</v>
      </c>
      <c r="U74" s="19" t="s">
        <v>830</v>
      </c>
      <c r="V74" s="19" t="s">
        <v>830</v>
      </c>
      <c r="W74" s="19" t="s">
        <v>830</v>
      </c>
      <c r="X74" s="19" t="s">
        <v>830</v>
      </c>
    </row>
    <row r="75" spans="1:24" ht="15">
      <c r="A75" s="10">
        <f t="shared" si="0"/>
        <v>46000066</v>
      </c>
      <c r="B75" s="92" t="s">
        <v>833</v>
      </c>
      <c r="C75" s="4" t="s">
        <v>62</v>
      </c>
      <c r="D75" s="11">
        <f>IFERROR(VLOOKUP(C75,ShipShapeEnum!$E:$F,2,FALSE),"-")</f>
        <v>1</v>
      </c>
      <c r="E75" s="19" t="s">
        <v>123</v>
      </c>
      <c r="F75" s="4" t="s">
        <v>61</v>
      </c>
      <c r="G75" s="11">
        <f>IFERROR(VLOOKUP(F75,ShipShapeEnum!$B:$C,2,FALSE),"-")</f>
        <v>1</v>
      </c>
      <c r="H75" s="19" t="s">
        <v>0</v>
      </c>
      <c r="I75" s="19" t="s">
        <v>0</v>
      </c>
      <c r="J75" s="19" t="s">
        <v>0</v>
      </c>
      <c r="K75" s="19" t="s">
        <v>0</v>
      </c>
      <c r="L75" s="19" t="s">
        <v>0</v>
      </c>
      <c r="M75" s="4" t="s">
        <v>88</v>
      </c>
      <c r="N75" s="11">
        <f>IFERROR(VLOOKUP(M75,ShipShapeEnum!$H:$I,2,FALSE),"-")</f>
        <v>1</v>
      </c>
      <c r="O75" s="11">
        <v>47290004</v>
      </c>
      <c r="P75" s="11" t="s">
        <v>0</v>
      </c>
      <c r="Q75" s="19">
        <v>2</v>
      </c>
      <c r="R75" s="19" t="s">
        <v>117</v>
      </c>
      <c r="S75" s="19" t="s">
        <v>830</v>
      </c>
      <c r="T75" s="19" t="s">
        <v>830</v>
      </c>
      <c r="U75" s="19" t="s">
        <v>830</v>
      </c>
      <c r="V75" s="19" t="s">
        <v>830</v>
      </c>
      <c r="W75" s="19" t="s">
        <v>830</v>
      </c>
      <c r="X75" s="19" t="s">
        <v>830</v>
      </c>
    </row>
    <row r="76" spans="1:24" ht="15">
      <c r="A76" s="10">
        <f t="shared" ref="A76:A85" si="1">A75+1</f>
        <v>46000067</v>
      </c>
      <c r="B76" s="92" t="s">
        <v>824</v>
      </c>
      <c r="C76" s="4" t="s">
        <v>62</v>
      </c>
      <c r="D76" s="11">
        <f>IFERROR(VLOOKUP(C76,ShipShapeEnum!$E:$F,2,FALSE),"-")</f>
        <v>1</v>
      </c>
      <c r="E76" s="19" t="s">
        <v>828</v>
      </c>
      <c r="F76" s="4" t="s">
        <v>61</v>
      </c>
      <c r="G76" s="11">
        <f>IFERROR(VLOOKUP(F76,ShipShapeEnum!$B:$C,2,FALSE),"-")</f>
        <v>1</v>
      </c>
      <c r="H76" s="19" t="s">
        <v>0</v>
      </c>
      <c r="I76" s="19" t="s">
        <v>0</v>
      </c>
      <c r="J76" s="19" t="s">
        <v>0</v>
      </c>
      <c r="K76" s="19" t="s">
        <v>0</v>
      </c>
      <c r="L76" s="19" t="s">
        <v>0</v>
      </c>
      <c r="M76" s="4" t="s">
        <v>88</v>
      </c>
      <c r="N76" s="11">
        <f>IFERROR(VLOOKUP(M76,ShipShapeEnum!$H:$I,2,FALSE),"-")</f>
        <v>1</v>
      </c>
      <c r="O76" s="11">
        <v>47290005</v>
      </c>
      <c r="P76" s="11" t="s">
        <v>0</v>
      </c>
      <c r="Q76" s="19">
        <v>2</v>
      </c>
      <c r="R76" s="19" t="s">
        <v>831</v>
      </c>
      <c r="S76" s="19" t="s">
        <v>830</v>
      </c>
      <c r="T76" s="19" t="s">
        <v>830</v>
      </c>
      <c r="U76" s="19" t="s">
        <v>830</v>
      </c>
      <c r="V76" s="19" t="s">
        <v>830</v>
      </c>
      <c r="W76" s="19" t="s">
        <v>830</v>
      </c>
      <c r="X76" s="19" t="s">
        <v>830</v>
      </c>
    </row>
    <row r="77" spans="1:24" ht="15">
      <c r="A77" s="10">
        <f t="shared" si="1"/>
        <v>46000068</v>
      </c>
      <c r="B77" s="92" t="s">
        <v>825</v>
      </c>
      <c r="C77" s="4" t="s">
        <v>62</v>
      </c>
      <c r="D77" s="11">
        <f>IFERROR(VLOOKUP(C77,ShipShapeEnum!$E:$F,2,FALSE),"-")</f>
        <v>1</v>
      </c>
      <c r="E77" s="19" t="s">
        <v>291</v>
      </c>
      <c r="F77" s="4" t="s">
        <v>61</v>
      </c>
      <c r="G77" s="11">
        <f>IFERROR(VLOOKUP(F77,ShipShapeEnum!$B:$C,2,FALSE),"-")</f>
        <v>1</v>
      </c>
      <c r="H77" s="19" t="s">
        <v>0</v>
      </c>
      <c r="I77" s="19" t="s">
        <v>0</v>
      </c>
      <c r="J77" s="19" t="s">
        <v>0</v>
      </c>
      <c r="K77" s="19" t="s">
        <v>0</v>
      </c>
      <c r="L77" s="19" t="s">
        <v>0</v>
      </c>
      <c r="M77" s="4" t="s">
        <v>88</v>
      </c>
      <c r="N77" s="11">
        <f>IFERROR(VLOOKUP(M77,ShipShapeEnum!$H:$I,2,FALSE),"-")</f>
        <v>1</v>
      </c>
      <c r="O77" s="11">
        <v>47290006</v>
      </c>
      <c r="P77" s="11" t="s">
        <v>0</v>
      </c>
      <c r="Q77" s="19">
        <v>2</v>
      </c>
      <c r="R77" s="19" t="s">
        <v>117</v>
      </c>
      <c r="S77" s="19" t="s">
        <v>830</v>
      </c>
      <c r="T77" s="19" t="s">
        <v>830</v>
      </c>
      <c r="U77" s="19" t="s">
        <v>830</v>
      </c>
      <c r="V77" s="19" t="s">
        <v>830</v>
      </c>
      <c r="W77" s="19" t="s">
        <v>830</v>
      </c>
      <c r="X77" s="19" t="s">
        <v>830</v>
      </c>
    </row>
    <row r="78" spans="1:24" ht="15">
      <c r="A78" s="10">
        <f t="shared" si="1"/>
        <v>46000069</v>
      </c>
      <c r="B78" s="92" t="s">
        <v>826</v>
      </c>
      <c r="C78" s="4" t="s">
        <v>62</v>
      </c>
      <c r="D78" s="11">
        <f>IFERROR(VLOOKUP(C78,ShipShapeEnum!$E:$F,2,FALSE),"-")</f>
        <v>1</v>
      </c>
      <c r="E78" s="19" t="s">
        <v>829</v>
      </c>
      <c r="F78" s="4" t="s">
        <v>61</v>
      </c>
      <c r="G78" s="11">
        <f>IFERROR(VLOOKUP(F78,ShipShapeEnum!$B:$C,2,FALSE),"-")</f>
        <v>1</v>
      </c>
      <c r="H78" s="19" t="s">
        <v>0</v>
      </c>
      <c r="I78" s="19" t="s">
        <v>0</v>
      </c>
      <c r="J78" s="19" t="s">
        <v>0</v>
      </c>
      <c r="K78" s="19" t="s">
        <v>0</v>
      </c>
      <c r="L78" s="19" t="s">
        <v>0</v>
      </c>
      <c r="M78" s="4" t="s">
        <v>88</v>
      </c>
      <c r="N78" s="11">
        <f>IFERROR(VLOOKUP(M78,ShipShapeEnum!$H:$I,2,FALSE),"-")</f>
        <v>1</v>
      </c>
      <c r="O78" s="11">
        <v>47290008</v>
      </c>
      <c r="P78" s="11" t="s">
        <v>0</v>
      </c>
      <c r="Q78" s="19">
        <v>2</v>
      </c>
      <c r="R78" s="19" t="s">
        <v>374</v>
      </c>
      <c r="S78" s="19" t="s">
        <v>830</v>
      </c>
      <c r="T78" s="19" t="s">
        <v>830</v>
      </c>
      <c r="U78" s="19" t="s">
        <v>830</v>
      </c>
      <c r="V78" s="19" t="s">
        <v>830</v>
      </c>
      <c r="W78" s="19" t="s">
        <v>830</v>
      </c>
      <c r="X78" s="19" t="s">
        <v>830</v>
      </c>
    </row>
    <row r="79" spans="1:24" ht="15">
      <c r="A79" s="10">
        <f t="shared" si="1"/>
        <v>46000070</v>
      </c>
      <c r="B79" s="4" t="s">
        <v>855</v>
      </c>
      <c r="C79" s="4" t="s">
        <v>62</v>
      </c>
      <c r="D79" s="11">
        <f>IFERROR(VLOOKUP(C79,ShipShapeEnum!$E:$F,2,FALSE),"-")</f>
        <v>1</v>
      </c>
      <c r="E79" s="19" t="s">
        <v>856</v>
      </c>
      <c r="F79" s="4" t="s">
        <v>61</v>
      </c>
      <c r="G79" s="11">
        <f>IFERROR(VLOOKUP(F79,ShipShapeEnum!$B:$C,2,FALSE),"-")</f>
        <v>1</v>
      </c>
      <c r="H79" s="19" t="s">
        <v>0</v>
      </c>
      <c r="I79" s="19" t="s">
        <v>0</v>
      </c>
      <c r="J79" s="19" t="s">
        <v>0</v>
      </c>
      <c r="K79" s="19" t="s">
        <v>0</v>
      </c>
      <c r="L79" s="19" t="s">
        <v>0</v>
      </c>
      <c r="M79" s="4" t="s">
        <v>88</v>
      </c>
      <c r="N79" s="11">
        <f>IFERROR(VLOOKUP(M79,ShipShapeEnum!$H:$I,2,FALSE),"-")</f>
        <v>1</v>
      </c>
      <c r="O79" s="11" t="s">
        <v>0</v>
      </c>
      <c r="P79" s="11" t="s">
        <v>0</v>
      </c>
      <c r="Q79" s="19">
        <v>1</v>
      </c>
      <c r="R79" s="19" t="s">
        <v>857</v>
      </c>
      <c r="S79" s="19" t="s">
        <v>0</v>
      </c>
      <c r="T79" s="19" t="s">
        <v>0</v>
      </c>
      <c r="U79" s="19" t="s">
        <v>0</v>
      </c>
      <c r="V79" s="19" t="s">
        <v>0</v>
      </c>
      <c r="W79" s="19" t="s">
        <v>0</v>
      </c>
      <c r="X79" s="19" t="s">
        <v>0</v>
      </c>
    </row>
    <row r="80" spans="1:24" ht="15">
      <c r="A80" s="10">
        <f t="shared" si="1"/>
        <v>46000071</v>
      </c>
      <c r="B80" s="4" t="s">
        <v>1035</v>
      </c>
      <c r="C80" s="4" t="s">
        <v>62</v>
      </c>
      <c r="D80" s="11">
        <f>IFERROR(VLOOKUP(C80,ShipShapeEnum!$E:$F,2,FALSE),"-")</f>
        <v>1</v>
      </c>
      <c r="E80" s="19" t="s">
        <v>1040</v>
      </c>
      <c r="F80" s="4" t="s">
        <v>61</v>
      </c>
      <c r="G80" s="11">
        <f>IFERROR(VLOOKUP(F80,ShipShapeEnum!$B:$C,2,FALSE),"-")</f>
        <v>1</v>
      </c>
      <c r="H80" s="19" t="s">
        <v>0</v>
      </c>
      <c r="I80" s="19" t="s">
        <v>0</v>
      </c>
      <c r="J80" s="19" t="s">
        <v>0</v>
      </c>
      <c r="K80" s="19" t="s">
        <v>0</v>
      </c>
      <c r="L80" s="19" t="s">
        <v>0</v>
      </c>
      <c r="M80" s="4" t="s">
        <v>88</v>
      </c>
      <c r="N80" s="11">
        <f>IFERROR(VLOOKUP(M80,ShipShapeEnum!$H:$I,2,FALSE),"-")</f>
        <v>1</v>
      </c>
      <c r="O80" s="11" t="s">
        <v>0</v>
      </c>
      <c r="P80" s="11" t="s">
        <v>0</v>
      </c>
      <c r="Q80" s="19">
        <v>0</v>
      </c>
      <c r="R80" s="19" t="s">
        <v>1041</v>
      </c>
      <c r="S80" s="19" t="s">
        <v>0</v>
      </c>
      <c r="T80" s="19" t="s">
        <v>0</v>
      </c>
      <c r="U80" s="19" t="s">
        <v>0</v>
      </c>
      <c r="V80" s="19" t="s">
        <v>0</v>
      </c>
      <c r="W80" s="19" t="s">
        <v>0</v>
      </c>
      <c r="X80" s="19" t="s">
        <v>0</v>
      </c>
    </row>
    <row r="81" spans="1:24" ht="15">
      <c r="A81" s="10">
        <f t="shared" si="1"/>
        <v>46000072</v>
      </c>
      <c r="B81" s="4" t="s">
        <v>1044</v>
      </c>
      <c r="C81" s="4" t="s">
        <v>62</v>
      </c>
      <c r="D81" s="11">
        <f>IFERROR(VLOOKUP(C81,ShipShapeEnum!$E:$F,2,FALSE),"-")</f>
        <v>1</v>
      </c>
      <c r="E81" s="19" t="s">
        <v>1036</v>
      </c>
      <c r="F81" s="4" t="s">
        <v>61</v>
      </c>
      <c r="G81" s="11">
        <f>IFERROR(VLOOKUP(F81,ShipShapeEnum!$B:$C,2,FALSE),"-")</f>
        <v>1</v>
      </c>
      <c r="H81" s="19" t="s">
        <v>0</v>
      </c>
      <c r="I81" s="19" t="s">
        <v>0</v>
      </c>
      <c r="J81" s="19" t="s">
        <v>0</v>
      </c>
      <c r="K81" s="19" t="s">
        <v>0</v>
      </c>
      <c r="L81" s="19" t="s">
        <v>0</v>
      </c>
      <c r="M81" s="4" t="s">
        <v>88</v>
      </c>
      <c r="N81" s="11">
        <f>IFERROR(VLOOKUP(M81,ShipShapeEnum!$H:$I,2,FALSE),"-")</f>
        <v>1</v>
      </c>
      <c r="O81" s="11" t="s">
        <v>0</v>
      </c>
      <c r="P81" s="11" t="s">
        <v>0</v>
      </c>
      <c r="Q81" s="19">
        <v>0</v>
      </c>
      <c r="R81" s="19" t="s">
        <v>1037</v>
      </c>
      <c r="S81" s="19" t="s">
        <v>0</v>
      </c>
      <c r="T81" s="19" t="s">
        <v>0</v>
      </c>
      <c r="U81" s="19" t="s">
        <v>0</v>
      </c>
      <c r="V81" s="19" t="s">
        <v>0</v>
      </c>
      <c r="W81" s="19" t="s">
        <v>0</v>
      </c>
      <c r="X81" s="19" t="s">
        <v>0</v>
      </c>
    </row>
    <row r="82" spans="1:24" ht="15">
      <c r="A82" s="10">
        <f t="shared" si="1"/>
        <v>46000073</v>
      </c>
      <c r="B82" s="4" t="s">
        <v>1047</v>
      </c>
      <c r="C82" s="4" t="s">
        <v>62</v>
      </c>
      <c r="D82" s="11">
        <f>IFERROR(VLOOKUP(C82,ShipShapeEnum!$E:$F,2,FALSE),"-")</f>
        <v>1</v>
      </c>
      <c r="E82" s="19" t="s">
        <v>1048</v>
      </c>
      <c r="F82" s="4" t="s">
        <v>61</v>
      </c>
      <c r="G82" s="11">
        <f>IFERROR(VLOOKUP(F82,ShipShapeEnum!$B:$C,2,FALSE),"-")</f>
        <v>1</v>
      </c>
      <c r="H82" s="19" t="s">
        <v>0</v>
      </c>
      <c r="I82" s="19" t="s">
        <v>0</v>
      </c>
      <c r="J82" s="19" t="s">
        <v>0</v>
      </c>
      <c r="K82" s="19" t="s">
        <v>0</v>
      </c>
      <c r="L82" s="19" t="s">
        <v>0</v>
      </c>
      <c r="M82" s="4" t="s">
        <v>88</v>
      </c>
      <c r="N82" s="11">
        <f>IFERROR(VLOOKUP(M82,ShipShapeEnum!$H:$I,2,FALSE),"-")</f>
        <v>1</v>
      </c>
      <c r="O82" s="11" t="s">
        <v>0</v>
      </c>
      <c r="P82" s="11" t="s">
        <v>0</v>
      </c>
      <c r="Q82" s="19">
        <v>0</v>
      </c>
      <c r="R82" s="19" t="s">
        <v>1049</v>
      </c>
      <c r="S82" s="19" t="s">
        <v>0</v>
      </c>
      <c r="T82" s="19" t="s">
        <v>0</v>
      </c>
      <c r="U82" s="19" t="s">
        <v>0</v>
      </c>
      <c r="V82" s="19" t="s">
        <v>0</v>
      </c>
      <c r="W82" s="19" t="s">
        <v>0</v>
      </c>
      <c r="X82" s="19" t="s">
        <v>0</v>
      </c>
    </row>
    <row r="83" spans="1:24" ht="15">
      <c r="A83" s="10">
        <f t="shared" si="1"/>
        <v>46000074</v>
      </c>
      <c r="B83" s="4" t="s">
        <v>1055</v>
      </c>
      <c r="C83" s="4" t="s">
        <v>62</v>
      </c>
      <c r="D83" s="11">
        <f>IFERROR(VLOOKUP(C83,ShipShapeEnum!$E:$F,2,FALSE),"-")</f>
        <v>1</v>
      </c>
      <c r="E83" s="19" t="s">
        <v>1052</v>
      </c>
      <c r="F83" s="4" t="s">
        <v>61</v>
      </c>
      <c r="G83" s="11">
        <f>IFERROR(VLOOKUP(F83,ShipShapeEnum!$B:$C,2,FALSE),"-")</f>
        <v>1</v>
      </c>
      <c r="H83" s="19" t="s">
        <v>0</v>
      </c>
      <c r="I83" s="19" t="s">
        <v>0</v>
      </c>
      <c r="J83" s="19" t="s">
        <v>0</v>
      </c>
      <c r="K83" s="19" t="s">
        <v>0</v>
      </c>
      <c r="L83" s="19" t="s">
        <v>0</v>
      </c>
      <c r="M83" s="4" t="s">
        <v>88</v>
      </c>
      <c r="N83" s="11">
        <f>IFERROR(VLOOKUP(M83,ShipShapeEnum!$H:$I,2,FALSE),"-")</f>
        <v>1</v>
      </c>
      <c r="O83" s="11" t="s">
        <v>0</v>
      </c>
      <c r="P83" s="11" t="s">
        <v>0</v>
      </c>
      <c r="Q83" s="19">
        <v>0</v>
      </c>
      <c r="R83" s="19" t="s">
        <v>1053</v>
      </c>
      <c r="S83" s="19" t="s">
        <v>0</v>
      </c>
      <c r="T83" s="19" t="s">
        <v>0</v>
      </c>
      <c r="U83" s="19" t="s">
        <v>0</v>
      </c>
      <c r="V83" s="19" t="s">
        <v>0</v>
      </c>
      <c r="W83" s="19" t="s">
        <v>0</v>
      </c>
      <c r="X83" s="19" t="s">
        <v>0</v>
      </c>
    </row>
    <row r="84" spans="1:24" ht="15">
      <c r="A84" s="10">
        <f t="shared" si="1"/>
        <v>46000075</v>
      </c>
      <c r="B84" s="4" t="s">
        <v>1080</v>
      </c>
      <c r="C84" s="4" t="s">
        <v>62</v>
      </c>
      <c r="D84" s="11">
        <f>IFERROR(VLOOKUP(C84,ShipShapeEnum!$E:$F,2,FALSE),"-")</f>
        <v>1</v>
      </c>
      <c r="E84" s="19" t="s">
        <v>1076</v>
      </c>
      <c r="F84" s="4" t="s">
        <v>61</v>
      </c>
      <c r="G84" s="11">
        <f>IFERROR(VLOOKUP(F84,ShipShapeEnum!$B:$C,2,FALSE),"-")</f>
        <v>1</v>
      </c>
      <c r="H84" s="19" t="s">
        <v>0</v>
      </c>
      <c r="I84" s="19" t="s">
        <v>0</v>
      </c>
      <c r="J84" s="19" t="s">
        <v>0</v>
      </c>
      <c r="K84" s="19" t="s">
        <v>0</v>
      </c>
      <c r="L84" s="19" t="s">
        <v>0</v>
      </c>
      <c r="M84" s="4" t="s">
        <v>88</v>
      </c>
      <c r="N84" s="11">
        <f>IFERROR(VLOOKUP(M84,ShipShapeEnum!$H:$I,2,FALSE),"-")</f>
        <v>1</v>
      </c>
      <c r="O84" s="11" t="s">
        <v>0</v>
      </c>
      <c r="P84" s="11" t="s">
        <v>0</v>
      </c>
      <c r="Q84" s="19">
        <v>0</v>
      </c>
      <c r="R84" s="19" t="s">
        <v>1077</v>
      </c>
      <c r="S84" s="19" t="s">
        <v>0</v>
      </c>
      <c r="T84" s="19" t="s">
        <v>0</v>
      </c>
      <c r="U84" s="19" t="s">
        <v>0</v>
      </c>
      <c r="V84" s="19" t="s">
        <v>0</v>
      </c>
      <c r="W84" s="19" t="s">
        <v>0</v>
      </c>
      <c r="X84" s="19" t="s">
        <v>0</v>
      </c>
    </row>
    <row r="85" spans="1:24" ht="15">
      <c r="A85" s="10">
        <f t="shared" si="1"/>
        <v>46000076</v>
      </c>
      <c r="B85" s="4" t="s">
        <v>1109</v>
      </c>
      <c r="C85" s="4" t="s">
        <v>62</v>
      </c>
      <c r="D85" s="11">
        <f>IFERROR(VLOOKUP(C85,ShipShapeEnum!$E:$F,2,FALSE),"-")</f>
        <v>1</v>
      </c>
      <c r="E85" s="19" t="s">
        <v>1110</v>
      </c>
      <c r="F85" s="4" t="s">
        <v>61</v>
      </c>
      <c r="G85" s="11">
        <f>IFERROR(VLOOKUP(F85,ShipShapeEnum!$B:$C,2,FALSE),"-")</f>
        <v>1</v>
      </c>
      <c r="H85" s="19" t="s">
        <v>0</v>
      </c>
      <c r="I85" s="19" t="s">
        <v>0</v>
      </c>
      <c r="J85" s="19" t="s">
        <v>0</v>
      </c>
      <c r="K85" s="19" t="s">
        <v>0</v>
      </c>
      <c r="L85" s="19" t="s">
        <v>0</v>
      </c>
      <c r="M85" s="4" t="s">
        <v>88</v>
      </c>
      <c r="N85" s="11">
        <f>IFERROR(VLOOKUP(M85,ShipShapeEnum!$H:$I,2,FALSE),"-")</f>
        <v>1</v>
      </c>
      <c r="O85" s="11" t="s">
        <v>0</v>
      </c>
      <c r="P85" s="11" t="s">
        <v>0</v>
      </c>
      <c r="Q85" s="19">
        <v>0</v>
      </c>
      <c r="R85" s="19" t="s">
        <v>1111</v>
      </c>
      <c r="S85" s="19" t="s">
        <v>0</v>
      </c>
      <c r="T85" s="19" t="s">
        <v>0</v>
      </c>
      <c r="U85" s="19" t="s">
        <v>0</v>
      </c>
      <c r="V85" s="19" t="s">
        <v>0</v>
      </c>
      <c r="W85" s="19" t="s">
        <v>0</v>
      </c>
      <c r="X85" s="19" t="s">
        <v>0</v>
      </c>
    </row>
    <row r="86" spans="1:24" ht="15">
      <c r="A86" s="10">
        <f t="shared" ref="A86:A91" si="2">A85+1</f>
        <v>46000077</v>
      </c>
      <c r="B86" s="4" t="s">
        <v>1284</v>
      </c>
      <c r="C86" s="4" t="s">
        <v>62</v>
      </c>
      <c r="D86" s="11">
        <f>IFERROR(VLOOKUP(C86,ShipShapeEnum!$E:$F,2,FALSE),"-")</f>
        <v>1</v>
      </c>
      <c r="E86" s="19" t="s">
        <v>1285</v>
      </c>
      <c r="F86" s="4" t="s">
        <v>61</v>
      </c>
      <c r="G86" s="11">
        <f>IFERROR(VLOOKUP(F86,ShipShapeEnum!$B:$C,2,FALSE),"-")</f>
        <v>1</v>
      </c>
      <c r="H86" s="19" t="s">
        <v>0</v>
      </c>
      <c r="I86" s="19" t="s">
        <v>0</v>
      </c>
      <c r="J86" s="19" t="s">
        <v>0</v>
      </c>
      <c r="K86" s="19" t="s">
        <v>0</v>
      </c>
      <c r="L86" s="19" t="s">
        <v>0</v>
      </c>
      <c r="M86" s="4" t="s">
        <v>88</v>
      </c>
      <c r="N86" s="11">
        <f>IFERROR(VLOOKUP(M86,ShipShapeEnum!$H:$I,2,FALSE),"-")</f>
        <v>1</v>
      </c>
      <c r="O86" s="11" t="s">
        <v>0</v>
      </c>
      <c r="P86" s="11" t="s">
        <v>0</v>
      </c>
      <c r="Q86" s="19">
        <v>0</v>
      </c>
      <c r="R86" s="19" t="s">
        <v>1286</v>
      </c>
      <c r="S86" s="19" t="s">
        <v>0</v>
      </c>
      <c r="T86" s="19" t="s">
        <v>0</v>
      </c>
      <c r="U86" s="19" t="s">
        <v>0</v>
      </c>
      <c r="V86" s="19" t="s">
        <v>0</v>
      </c>
      <c r="W86" s="19" t="s">
        <v>0</v>
      </c>
      <c r="X86" s="19" t="s">
        <v>0</v>
      </c>
    </row>
    <row r="87" spans="1:24" ht="15">
      <c r="A87" s="10">
        <f t="shared" si="2"/>
        <v>46000078</v>
      </c>
      <c r="B87" s="4" t="s">
        <v>1431</v>
      </c>
      <c r="C87" s="4" t="s">
        <v>62</v>
      </c>
      <c r="D87" s="11">
        <f>IFERROR(VLOOKUP(C87,ShipShapeEnum!$E:$F,2,FALSE),"-")</f>
        <v>1</v>
      </c>
      <c r="E87" s="19" t="s">
        <v>1432</v>
      </c>
      <c r="F87" s="4" t="s">
        <v>61</v>
      </c>
      <c r="G87" s="11">
        <f>IFERROR(VLOOKUP(F87,ShipShapeEnum!$B:$C,2,FALSE),"-")</f>
        <v>1</v>
      </c>
      <c r="H87" s="19" t="s">
        <v>0</v>
      </c>
      <c r="I87" s="19" t="s">
        <v>0</v>
      </c>
      <c r="J87" s="19" t="s">
        <v>0</v>
      </c>
      <c r="K87" s="19" t="s">
        <v>0</v>
      </c>
      <c r="L87" s="19" t="s">
        <v>0</v>
      </c>
      <c r="M87" s="4" t="s">
        <v>88</v>
      </c>
      <c r="N87" s="11">
        <f>IFERROR(VLOOKUP(M87,ShipShapeEnum!$H:$I,2,FALSE),"-")</f>
        <v>1</v>
      </c>
      <c r="O87" s="11" t="s">
        <v>0</v>
      </c>
      <c r="P87" s="11" t="s">
        <v>0</v>
      </c>
      <c r="Q87" s="19">
        <v>0</v>
      </c>
      <c r="R87" s="19" t="s">
        <v>1433</v>
      </c>
      <c r="S87" s="19" t="s">
        <v>0</v>
      </c>
      <c r="T87" s="19" t="s">
        <v>0</v>
      </c>
      <c r="U87" s="19" t="s">
        <v>0</v>
      </c>
      <c r="V87" s="19" t="s">
        <v>0</v>
      </c>
      <c r="W87" s="19" t="s">
        <v>0</v>
      </c>
      <c r="X87" s="19" t="s">
        <v>0</v>
      </c>
    </row>
    <row r="88" spans="1:24" ht="15">
      <c r="A88" s="10">
        <f t="shared" si="2"/>
        <v>46000079</v>
      </c>
      <c r="B88" s="4" t="s">
        <v>1437</v>
      </c>
      <c r="C88" s="4" t="s">
        <v>62</v>
      </c>
      <c r="D88" s="11">
        <f>IFERROR(VLOOKUP(C88,ShipShapeEnum!$E:$F,2,FALSE),"-")</f>
        <v>1</v>
      </c>
      <c r="E88" s="19" t="s">
        <v>1438</v>
      </c>
      <c r="F88" s="4" t="s">
        <v>61</v>
      </c>
      <c r="G88" s="11">
        <f>IFERROR(VLOOKUP(F88,ShipShapeEnum!$B:$C,2,FALSE),"-")</f>
        <v>1</v>
      </c>
      <c r="H88" s="19" t="s">
        <v>0</v>
      </c>
      <c r="I88" s="19" t="s">
        <v>0</v>
      </c>
      <c r="J88" s="19" t="s">
        <v>0</v>
      </c>
      <c r="K88" s="19" t="s">
        <v>0</v>
      </c>
      <c r="L88" s="19" t="s">
        <v>0</v>
      </c>
      <c r="M88" s="4" t="s">
        <v>88</v>
      </c>
      <c r="N88" s="11">
        <f>IFERROR(VLOOKUP(M88,ShipShapeEnum!$H:$I,2,FALSE),"-")</f>
        <v>1</v>
      </c>
      <c r="O88" s="11" t="s">
        <v>0</v>
      </c>
      <c r="P88" s="11" t="s">
        <v>0</v>
      </c>
      <c r="Q88" s="19">
        <v>0</v>
      </c>
      <c r="R88" s="19" t="s">
        <v>1439</v>
      </c>
      <c r="S88" s="19" t="s">
        <v>0</v>
      </c>
      <c r="T88" s="19" t="s">
        <v>0</v>
      </c>
      <c r="U88" s="19" t="s">
        <v>0</v>
      </c>
      <c r="V88" s="19" t="s">
        <v>0</v>
      </c>
      <c r="W88" s="19" t="s">
        <v>0</v>
      </c>
      <c r="X88" s="19" t="s">
        <v>0</v>
      </c>
    </row>
    <row r="89" spans="1:24" ht="15">
      <c r="A89" s="10">
        <f t="shared" si="2"/>
        <v>46000080</v>
      </c>
      <c r="B89" s="4" t="s">
        <v>1443</v>
      </c>
      <c r="C89" s="4" t="s">
        <v>62</v>
      </c>
      <c r="D89" s="11">
        <f>IFERROR(VLOOKUP(C89,ShipShapeEnum!$E:$F,2,FALSE),"-")</f>
        <v>1</v>
      </c>
      <c r="E89" s="19" t="s">
        <v>1444</v>
      </c>
      <c r="F89" s="4" t="s">
        <v>61</v>
      </c>
      <c r="G89" s="11">
        <f>IFERROR(VLOOKUP(F89,ShipShapeEnum!$B:$C,2,FALSE),"-")</f>
        <v>1</v>
      </c>
      <c r="H89" s="19" t="s">
        <v>0</v>
      </c>
      <c r="I89" s="19" t="s">
        <v>0</v>
      </c>
      <c r="J89" s="19" t="s">
        <v>0</v>
      </c>
      <c r="K89" s="19" t="s">
        <v>0</v>
      </c>
      <c r="L89" s="19" t="s">
        <v>0</v>
      </c>
      <c r="M89" s="4" t="s">
        <v>88</v>
      </c>
      <c r="N89" s="11">
        <f>IFERROR(VLOOKUP(M89,ShipShapeEnum!$H:$I,2,FALSE),"-")</f>
        <v>1</v>
      </c>
      <c r="O89" s="11" t="s">
        <v>0</v>
      </c>
      <c r="P89" s="11" t="s">
        <v>0</v>
      </c>
      <c r="Q89" s="19">
        <v>1</v>
      </c>
      <c r="R89" s="19" t="s">
        <v>1445</v>
      </c>
      <c r="S89" s="19" t="s">
        <v>0</v>
      </c>
      <c r="T89" s="19" t="s">
        <v>0</v>
      </c>
      <c r="U89" s="19" t="s">
        <v>0</v>
      </c>
      <c r="V89" s="19" t="s">
        <v>0</v>
      </c>
      <c r="W89" s="19" t="s">
        <v>0</v>
      </c>
      <c r="X89" s="19" t="s">
        <v>0</v>
      </c>
    </row>
    <row r="90" spans="1:24" ht="15">
      <c r="A90" s="10">
        <f t="shared" si="2"/>
        <v>46000081</v>
      </c>
      <c r="B90" s="4" t="s">
        <v>1453</v>
      </c>
      <c r="C90" s="4" t="s">
        <v>62</v>
      </c>
      <c r="D90" s="11">
        <f>IFERROR(VLOOKUP(C90,ShipShapeEnum!$E:$F,2,FALSE),"-")</f>
        <v>1</v>
      </c>
      <c r="E90" s="19" t="s">
        <v>1446</v>
      </c>
      <c r="F90" s="4" t="s">
        <v>61</v>
      </c>
      <c r="G90" s="11">
        <f>IFERROR(VLOOKUP(F90,ShipShapeEnum!$B:$C,2,FALSE),"-")</f>
        <v>1</v>
      </c>
      <c r="H90" s="19" t="s">
        <v>0</v>
      </c>
      <c r="I90" s="19" t="s">
        <v>0</v>
      </c>
      <c r="J90" s="19" t="s">
        <v>0</v>
      </c>
      <c r="K90" s="19" t="s">
        <v>0</v>
      </c>
      <c r="L90" s="19" t="s">
        <v>0</v>
      </c>
      <c r="M90" s="4" t="s">
        <v>88</v>
      </c>
      <c r="N90" s="11">
        <f>IFERROR(VLOOKUP(M90,ShipShapeEnum!$H:$I,2,FALSE),"-")</f>
        <v>1</v>
      </c>
      <c r="O90" s="11" t="s">
        <v>0</v>
      </c>
      <c r="P90" s="11" t="s">
        <v>0</v>
      </c>
      <c r="Q90" s="19">
        <v>0</v>
      </c>
      <c r="R90" s="19" t="s">
        <v>1447</v>
      </c>
      <c r="S90" s="19" t="s">
        <v>0</v>
      </c>
      <c r="T90" s="19" t="s">
        <v>0</v>
      </c>
      <c r="U90" s="19" t="s">
        <v>0</v>
      </c>
      <c r="V90" s="19" t="s">
        <v>0</v>
      </c>
      <c r="W90" s="19" t="s">
        <v>0</v>
      </c>
      <c r="X90" s="19" t="s">
        <v>0</v>
      </c>
    </row>
    <row r="91" spans="1:24" ht="15">
      <c r="A91" s="10">
        <f t="shared" si="2"/>
        <v>46000082</v>
      </c>
      <c r="B91" s="4" t="s">
        <v>1723</v>
      </c>
      <c r="C91" s="4" t="s">
        <v>62</v>
      </c>
      <c r="D91" s="11">
        <f>IFERROR(VLOOKUP(C91,ShipShapeEnum!$E:$F,2,FALSE),"-")</f>
        <v>1</v>
      </c>
      <c r="E91" s="19" t="s">
        <v>1728</v>
      </c>
      <c r="F91" s="4" t="s">
        <v>61</v>
      </c>
      <c r="G91" s="11">
        <f>IFERROR(VLOOKUP(F91,ShipShapeEnum!$B:$C,2,FALSE),"-")</f>
        <v>1</v>
      </c>
      <c r="H91" s="19" t="s">
        <v>0</v>
      </c>
      <c r="I91" s="19" t="s">
        <v>0</v>
      </c>
      <c r="J91" s="19" t="s">
        <v>0</v>
      </c>
      <c r="K91" s="19" t="s">
        <v>0</v>
      </c>
      <c r="L91" s="19" t="s">
        <v>0</v>
      </c>
      <c r="M91" s="4" t="s">
        <v>88</v>
      </c>
      <c r="N91" s="11">
        <f>IFERROR(VLOOKUP(M91,ShipShapeEnum!$H:$I,2,FALSE),"-")</f>
        <v>1</v>
      </c>
      <c r="O91" s="11" t="s">
        <v>0</v>
      </c>
      <c r="P91" s="11" t="s">
        <v>0</v>
      </c>
      <c r="Q91" s="19">
        <v>0</v>
      </c>
      <c r="R91" s="19" t="s">
        <v>1729</v>
      </c>
      <c r="S91" s="19" t="s">
        <v>0</v>
      </c>
      <c r="T91" s="19" t="s">
        <v>0</v>
      </c>
      <c r="U91" s="19" t="s">
        <v>0</v>
      </c>
      <c r="V91" s="19" t="s">
        <v>0</v>
      </c>
      <c r="W91" s="19" t="s">
        <v>0</v>
      </c>
      <c r="X91" s="19" t="s">
        <v>0</v>
      </c>
    </row>
    <row r="92" spans="1:24" ht="15">
      <c r="A92" s="10">
        <f t="shared" ref="A92:A101" si="3">A91+1</f>
        <v>46000083</v>
      </c>
      <c r="B92" s="4" t="s">
        <v>1725</v>
      </c>
      <c r="C92" s="4" t="s">
        <v>62</v>
      </c>
      <c r="D92" s="11">
        <f>IFERROR(VLOOKUP(C92,ShipShapeEnum!$E:$F,2,FALSE),"-")</f>
        <v>1</v>
      </c>
      <c r="E92" s="19" t="s">
        <v>1730</v>
      </c>
      <c r="F92" s="4" t="s">
        <v>61</v>
      </c>
      <c r="G92" s="11">
        <f>IFERROR(VLOOKUP(F92,ShipShapeEnum!$B:$C,2,FALSE),"-")</f>
        <v>1</v>
      </c>
      <c r="H92" s="19" t="s">
        <v>0</v>
      </c>
      <c r="I92" s="19" t="s">
        <v>0</v>
      </c>
      <c r="J92" s="19" t="s">
        <v>0</v>
      </c>
      <c r="K92" s="19" t="s">
        <v>0</v>
      </c>
      <c r="L92" s="19" t="s">
        <v>0</v>
      </c>
      <c r="M92" s="4" t="s">
        <v>88</v>
      </c>
      <c r="N92" s="11">
        <f>IFERROR(VLOOKUP(M92,ShipShapeEnum!$H:$I,2,FALSE),"-")</f>
        <v>1</v>
      </c>
      <c r="O92" s="11" t="s">
        <v>0</v>
      </c>
      <c r="P92" s="11" t="s">
        <v>0</v>
      </c>
      <c r="Q92" s="19">
        <v>1</v>
      </c>
      <c r="R92" s="19" t="s">
        <v>1731</v>
      </c>
      <c r="S92" s="19" t="s">
        <v>0</v>
      </c>
      <c r="T92" s="19" t="s">
        <v>0</v>
      </c>
      <c r="U92" s="19" t="s">
        <v>0</v>
      </c>
      <c r="V92" s="19" t="s">
        <v>0</v>
      </c>
      <c r="W92" s="19" t="s">
        <v>0</v>
      </c>
      <c r="X92" s="19" t="s">
        <v>0</v>
      </c>
    </row>
    <row r="93" spans="1:24" ht="15">
      <c r="A93" s="10">
        <f t="shared" si="3"/>
        <v>46000084</v>
      </c>
      <c r="B93" s="4" t="s">
        <v>1727</v>
      </c>
      <c r="C93" s="4" t="s">
        <v>62</v>
      </c>
      <c r="D93" s="11">
        <f>IFERROR(VLOOKUP(C93,ShipShapeEnum!$E:$F,2,FALSE),"-")</f>
        <v>1</v>
      </c>
      <c r="E93" s="19" t="s">
        <v>1732</v>
      </c>
      <c r="F93" s="4" t="s">
        <v>61</v>
      </c>
      <c r="G93" s="11">
        <f>IFERROR(VLOOKUP(F93,ShipShapeEnum!$B:$C,2,FALSE),"-")</f>
        <v>1</v>
      </c>
      <c r="H93" s="19" t="s">
        <v>0</v>
      </c>
      <c r="I93" s="19" t="s">
        <v>0</v>
      </c>
      <c r="J93" s="19" t="s">
        <v>0</v>
      </c>
      <c r="K93" s="19" t="s">
        <v>0</v>
      </c>
      <c r="L93" s="19" t="s">
        <v>0</v>
      </c>
      <c r="M93" s="4" t="s">
        <v>88</v>
      </c>
      <c r="N93" s="11">
        <f>IFERROR(VLOOKUP(M93,ShipShapeEnum!$H:$I,2,FALSE),"-")</f>
        <v>1</v>
      </c>
      <c r="O93" s="11" t="s">
        <v>0</v>
      </c>
      <c r="P93" s="11" t="s">
        <v>0</v>
      </c>
      <c r="Q93" s="19">
        <v>1</v>
      </c>
      <c r="R93" s="19" t="s">
        <v>1733</v>
      </c>
      <c r="S93" s="19" t="s">
        <v>0</v>
      </c>
      <c r="T93" s="19" t="s">
        <v>0</v>
      </c>
      <c r="U93" s="19" t="s">
        <v>0</v>
      </c>
      <c r="V93" s="19" t="s">
        <v>0</v>
      </c>
      <c r="W93" s="19" t="s">
        <v>0</v>
      </c>
      <c r="X93" s="19" t="s">
        <v>0</v>
      </c>
    </row>
    <row r="94" spans="1:24" ht="15">
      <c r="A94" s="10">
        <f t="shared" si="3"/>
        <v>46000085</v>
      </c>
      <c r="B94" s="4" t="s">
        <v>1748</v>
      </c>
      <c r="C94" s="4" t="s">
        <v>62</v>
      </c>
      <c r="D94" s="11">
        <f>IFERROR(VLOOKUP(C94,ShipShapeEnum!$E:$F,2,FALSE),"-")</f>
        <v>1</v>
      </c>
      <c r="E94" s="19" t="s">
        <v>1741</v>
      </c>
      <c r="F94" s="4" t="s">
        <v>61</v>
      </c>
      <c r="G94" s="11">
        <f>IFERROR(VLOOKUP(F94,ShipShapeEnum!$B:$C,2,FALSE),"-")</f>
        <v>1</v>
      </c>
      <c r="H94" s="19" t="s">
        <v>0</v>
      </c>
      <c r="I94" s="19" t="s">
        <v>0</v>
      </c>
      <c r="J94" s="19" t="s">
        <v>0</v>
      </c>
      <c r="K94" s="19" t="s">
        <v>0</v>
      </c>
      <c r="L94" s="19" t="s">
        <v>0</v>
      </c>
      <c r="M94" s="4" t="s">
        <v>88</v>
      </c>
      <c r="N94" s="11">
        <f>IFERROR(VLOOKUP(M94,ShipShapeEnum!$H:$I,2,FALSE),"-")</f>
        <v>1</v>
      </c>
      <c r="O94" s="11" t="s">
        <v>0</v>
      </c>
      <c r="P94" s="11" t="s">
        <v>0</v>
      </c>
      <c r="Q94" s="19">
        <v>0</v>
      </c>
      <c r="R94" s="19" t="s">
        <v>1742</v>
      </c>
      <c r="S94" s="19" t="s">
        <v>0</v>
      </c>
      <c r="T94" s="19" t="s">
        <v>0</v>
      </c>
      <c r="U94" s="19" t="s">
        <v>0</v>
      </c>
      <c r="V94" s="19" t="s">
        <v>0</v>
      </c>
      <c r="W94" s="19" t="s">
        <v>0</v>
      </c>
      <c r="X94" s="19" t="s">
        <v>0</v>
      </c>
    </row>
    <row r="95" spans="1:24" ht="15">
      <c r="A95" s="10">
        <f t="shared" si="3"/>
        <v>46000086</v>
      </c>
      <c r="B95" s="4" t="s">
        <v>1749</v>
      </c>
      <c r="C95" s="4" t="s">
        <v>62</v>
      </c>
      <c r="D95" s="11">
        <f>IFERROR(VLOOKUP(C95,ShipShapeEnum!$E:$F,2,FALSE),"-")</f>
        <v>1</v>
      </c>
      <c r="E95" s="19" t="s">
        <v>1750</v>
      </c>
      <c r="F95" s="4" t="s">
        <v>61</v>
      </c>
      <c r="G95" s="11">
        <f>IFERROR(VLOOKUP(F95,ShipShapeEnum!$B:$C,2,FALSE),"-")</f>
        <v>1</v>
      </c>
      <c r="H95" s="19" t="s">
        <v>0</v>
      </c>
      <c r="I95" s="19" t="s">
        <v>0</v>
      </c>
      <c r="J95" s="19" t="s">
        <v>0</v>
      </c>
      <c r="K95" s="19" t="s">
        <v>0</v>
      </c>
      <c r="L95" s="19" t="s">
        <v>0</v>
      </c>
      <c r="M95" s="4" t="s">
        <v>88</v>
      </c>
      <c r="N95" s="11">
        <f>IFERROR(VLOOKUP(M95,ShipShapeEnum!$H:$I,2,FALSE),"-")</f>
        <v>1</v>
      </c>
      <c r="O95" s="11" t="s">
        <v>0</v>
      </c>
      <c r="P95" s="11" t="s">
        <v>0</v>
      </c>
      <c r="Q95" s="19">
        <v>0</v>
      </c>
      <c r="R95" s="19" t="s">
        <v>1751</v>
      </c>
      <c r="S95" s="19" t="s">
        <v>0</v>
      </c>
      <c r="T95" s="19" t="s">
        <v>0</v>
      </c>
      <c r="U95" s="19" t="s">
        <v>0</v>
      </c>
      <c r="V95" s="19" t="s">
        <v>0</v>
      </c>
      <c r="W95" s="19" t="s">
        <v>0</v>
      </c>
      <c r="X95" s="19" t="s">
        <v>0</v>
      </c>
    </row>
    <row r="96" spans="1:24" ht="15">
      <c r="A96" s="10">
        <f t="shared" si="3"/>
        <v>46000087</v>
      </c>
      <c r="B96" s="4" t="s">
        <v>1774</v>
      </c>
      <c r="C96" s="4" t="s">
        <v>62</v>
      </c>
      <c r="D96" s="11">
        <f>IFERROR(VLOOKUP(C96,ShipShapeEnum!$E:$F,2,FALSE),"-")</f>
        <v>1</v>
      </c>
      <c r="E96" s="19" t="s">
        <v>1760</v>
      </c>
      <c r="F96" s="4" t="s">
        <v>61</v>
      </c>
      <c r="G96" s="11">
        <f>IFERROR(VLOOKUP(F96,ShipShapeEnum!$B:$C,2,FALSE),"-")</f>
        <v>1</v>
      </c>
      <c r="H96" s="19" t="s">
        <v>0</v>
      </c>
      <c r="I96" s="19" t="s">
        <v>0</v>
      </c>
      <c r="J96" s="19" t="s">
        <v>0</v>
      </c>
      <c r="K96" s="19" t="s">
        <v>0</v>
      </c>
      <c r="L96" s="19" t="s">
        <v>0</v>
      </c>
      <c r="M96" s="4" t="s">
        <v>88</v>
      </c>
      <c r="N96" s="11">
        <f>IFERROR(VLOOKUP(M96,ShipShapeEnum!$H:$I,2,FALSE),"-")</f>
        <v>1</v>
      </c>
      <c r="O96" s="11" t="s">
        <v>0</v>
      </c>
      <c r="P96" s="11" t="s">
        <v>0</v>
      </c>
      <c r="Q96" s="19">
        <v>0</v>
      </c>
      <c r="R96" s="19" t="s">
        <v>1761</v>
      </c>
      <c r="S96" s="19" t="s">
        <v>0</v>
      </c>
      <c r="T96" s="19" t="s">
        <v>0</v>
      </c>
      <c r="U96" s="19" t="s">
        <v>0</v>
      </c>
      <c r="V96" s="19" t="s">
        <v>0</v>
      </c>
      <c r="W96" s="19" t="s">
        <v>0</v>
      </c>
      <c r="X96" s="19" t="s">
        <v>0</v>
      </c>
    </row>
    <row r="97" spans="1:24" ht="15">
      <c r="A97" s="10">
        <f t="shared" si="3"/>
        <v>46000088</v>
      </c>
      <c r="B97" s="4" t="s">
        <v>1776</v>
      </c>
      <c r="C97" s="4" t="s">
        <v>62</v>
      </c>
      <c r="D97" s="11">
        <f>IFERROR(VLOOKUP(C97,ShipShapeEnum!$E:$F,2,FALSE),"-")</f>
        <v>1</v>
      </c>
      <c r="E97" s="19" t="s">
        <v>1768</v>
      </c>
      <c r="F97" s="4" t="s">
        <v>61</v>
      </c>
      <c r="G97" s="11">
        <f>IFERROR(VLOOKUP(F97,ShipShapeEnum!$B:$C,2,FALSE),"-")</f>
        <v>1</v>
      </c>
      <c r="H97" s="19" t="s">
        <v>0</v>
      </c>
      <c r="I97" s="19" t="s">
        <v>0</v>
      </c>
      <c r="J97" s="19" t="s">
        <v>0</v>
      </c>
      <c r="K97" s="19" t="s">
        <v>0</v>
      </c>
      <c r="L97" s="19" t="s">
        <v>0</v>
      </c>
      <c r="M97" s="4" t="s">
        <v>88</v>
      </c>
      <c r="N97" s="11">
        <f>IFERROR(VLOOKUP(M97,ShipShapeEnum!$H:$I,2,FALSE),"-")</f>
        <v>1</v>
      </c>
      <c r="O97" s="11" t="s">
        <v>0</v>
      </c>
      <c r="P97" s="11" t="s">
        <v>0</v>
      </c>
      <c r="Q97" s="19">
        <v>2</v>
      </c>
      <c r="R97" s="19" t="s">
        <v>1769</v>
      </c>
      <c r="S97" s="19" t="s">
        <v>0</v>
      </c>
      <c r="T97" s="19" t="s">
        <v>0</v>
      </c>
      <c r="U97" s="19" t="s">
        <v>0</v>
      </c>
      <c r="V97" s="19" t="s">
        <v>0</v>
      </c>
      <c r="W97" s="19" t="s">
        <v>0</v>
      </c>
      <c r="X97" s="19" t="s">
        <v>0</v>
      </c>
    </row>
    <row r="98" spans="1:24" ht="15">
      <c r="A98" s="10">
        <f t="shared" si="3"/>
        <v>46000089</v>
      </c>
      <c r="B98" s="4" t="s">
        <v>1780</v>
      </c>
      <c r="C98" s="4" t="s">
        <v>62</v>
      </c>
      <c r="D98" s="11">
        <f>IFERROR(VLOOKUP(C98,ShipShapeEnum!$E:$F,2,FALSE),"-")</f>
        <v>1</v>
      </c>
      <c r="E98" s="19" t="s">
        <v>1782</v>
      </c>
      <c r="F98" s="4" t="s">
        <v>61</v>
      </c>
      <c r="G98" s="11">
        <f>IFERROR(VLOOKUP(F98,ShipShapeEnum!$B:$C,2,FALSE),"-")</f>
        <v>1</v>
      </c>
      <c r="H98" s="19" t="s">
        <v>0</v>
      </c>
      <c r="I98" s="19" t="s">
        <v>0</v>
      </c>
      <c r="J98" s="19" t="s">
        <v>0</v>
      </c>
      <c r="K98" s="19" t="s">
        <v>0</v>
      </c>
      <c r="L98" s="19" t="s">
        <v>0</v>
      </c>
      <c r="M98" s="4" t="s">
        <v>88</v>
      </c>
      <c r="N98" s="11">
        <f>IFERROR(VLOOKUP(M98,ShipShapeEnum!$H:$I,2,FALSE),"-")</f>
        <v>1</v>
      </c>
      <c r="O98" s="11" t="s">
        <v>0</v>
      </c>
      <c r="P98" s="11" t="s">
        <v>0</v>
      </c>
      <c r="Q98" s="19">
        <v>0</v>
      </c>
      <c r="R98" s="19" t="s">
        <v>1783</v>
      </c>
      <c r="S98" s="19" t="s">
        <v>0</v>
      </c>
      <c r="T98" s="19" t="s">
        <v>0</v>
      </c>
      <c r="U98" s="19" t="s">
        <v>0</v>
      </c>
      <c r="V98" s="19" t="s">
        <v>0</v>
      </c>
      <c r="W98" s="19" t="s">
        <v>0</v>
      </c>
      <c r="X98" s="19" t="s">
        <v>0</v>
      </c>
    </row>
    <row r="99" spans="1:24" ht="15">
      <c r="A99" s="10">
        <f t="shared" si="3"/>
        <v>46000090</v>
      </c>
      <c r="B99" s="4" t="s">
        <v>1792</v>
      </c>
      <c r="C99" s="4" t="s">
        <v>62</v>
      </c>
      <c r="D99" s="11">
        <f>IFERROR(VLOOKUP(C99,ShipShapeEnum!$E:$F,2,FALSE),"-")</f>
        <v>1</v>
      </c>
      <c r="E99" s="19" t="s">
        <v>1784</v>
      </c>
      <c r="F99" s="4" t="s">
        <v>61</v>
      </c>
      <c r="G99" s="11">
        <f>IFERROR(VLOOKUP(F99,ShipShapeEnum!$B:$C,2,FALSE),"-")</f>
        <v>1</v>
      </c>
      <c r="H99" s="19" t="s">
        <v>0</v>
      </c>
      <c r="I99" s="19" t="s">
        <v>0</v>
      </c>
      <c r="J99" s="19" t="s">
        <v>0</v>
      </c>
      <c r="K99" s="19" t="s">
        <v>0</v>
      </c>
      <c r="L99" s="19" t="s">
        <v>0</v>
      </c>
      <c r="M99" s="4" t="s">
        <v>88</v>
      </c>
      <c r="N99" s="11">
        <f>IFERROR(VLOOKUP(M99,ShipShapeEnum!$H:$I,2,FALSE),"-")</f>
        <v>1</v>
      </c>
      <c r="O99" s="11" t="s">
        <v>0</v>
      </c>
      <c r="P99" s="11" t="s">
        <v>0</v>
      </c>
      <c r="Q99" s="19">
        <v>0</v>
      </c>
      <c r="R99" s="19" t="s">
        <v>1785</v>
      </c>
      <c r="S99" s="19" t="s">
        <v>0</v>
      </c>
      <c r="T99" s="19" t="s">
        <v>0</v>
      </c>
      <c r="U99" s="19" t="s">
        <v>0</v>
      </c>
      <c r="V99" s="19" t="s">
        <v>0</v>
      </c>
      <c r="W99" s="19" t="s">
        <v>0</v>
      </c>
      <c r="X99" s="19" t="s">
        <v>0</v>
      </c>
    </row>
    <row r="100" spans="1:24" ht="15">
      <c r="A100" s="10">
        <f t="shared" si="3"/>
        <v>46000091</v>
      </c>
      <c r="B100" s="4" t="s">
        <v>1796</v>
      </c>
      <c r="C100" s="4" t="s">
        <v>62</v>
      </c>
      <c r="D100" s="11">
        <f>IFERROR(VLOOKUP(C100,ShipShapeEnum!$E:$F,2,FALSE),"-")</f>
        <v>1</v>
      </c>
      <c r="E100" s="19" t="s">
        <v>1799</v>
      </c>
      <c r="F100" s="4" t="s">
        <v>61</v>
      </c>
      <c r="G100" s="11">
        <f>IFERROR(VLOOKUP(F100,ShipShapeEnum!$B:$C,2,FALSE),"-")</f>
        <v>1</v>
      </c>
      <c r="H100" s="19" t="s">
        <v>0</v>
      </c>
      <c r="I100" s="19" t="s">
        <v>0</v>
      </c>
      <c r="J100" s="19" t="s">
        <v>0</v>
      </c>
      <c r="K100" s="19" t="s">
        <v>0</v>
      </c>
      <c r="L100" s="19" t="s">
        <v>0</v>
      </c>
      <c r="M100" s="4" t="s">
        <v>88</v>
      </c>
      <c r="N100" s="11">
        <f>IFERROR(VLOOKUP(M100,ShipShapeEnum!$H:$I,2,FALSE),"-")</f>
        <v>1</v>
      </c>
      <c r="O100" s="11" t="s">
        <v>0</v>
      </c>
      <c r="P100" s="11" t="s">
        <v>0</v>
      </c>
      <c r="Q100" s="19">
        <v>0</v>
      </c>
      <c r="R100" s="19" t="s">
        <v>1800</v>
      </c>
      <c r="S100" s="19" t="s">
        <v>0</v>
      </c>
      <c r="T100" s="19" t="s">
        <v>0</v>
      </c>
      <c r="U100" s="19" t="s">
        <v>0</v>
      </c>
      <c r="V100" s="19" t="s">
        <v>0</v>
      </c>
      <c r="W100" s="19" t="s">
        <v>0</v>
      </c>
      <c r="X100" s="19" t="s">
        <v>0</v>
      </c>
    </row>
    <row r="101" spans="1:24" ht="15">
      <c r="A101" s="10">
        <f t="shared" si="3"/>
        <v>46000092</v>
      </c>
      <c r="B101" s="4" t="s">
        <v>1811</v>
      </c>
      <c r="C101" s="4" t="s">
        <v>62</v>
      </c>
      <c r="D101" s="11">
        <f>IFERROR(VLOOKUP(C101,ShipShapeEnum!$E:$F,2,FALSE),"-")</f>
        <v>1</v>
      </c>
      <c r="E101" s="19" t="s">
        <v>1809</v>
      </c>
      <c r="F101" s="4" t="s">
        <v>61</v>
      </c>
      <c r="G101" s="11">
        <f>IFERROR(VLOOKUP(F101,ShipShapeEnum!$B:$C,2,FALSE),"-")</f>
        <v>1</v>
      </c>
      <c r="H101" s="19" t="s">
        <v>0</v>
      </c>
      <c r="I101" s="19" t="s">
        <v>0</v>
      </c>
      <c r="J101" s="19" t="s">
        <v>0</v>
      </c>
      <c r="K101" s="19" t="s">
        <v>0</v>
      </c>
      <c r="L101" s="19" t="s">
        <v>0</v>
      </c>
      <c r="M101" s="4" t="s">
        <v>88</v>
      </c>
      <c r="N101" s="11">
        <f>IFERROR(VLOOKUP(M101,ShipShapeEnum!$H:$I,2,FALSE),"-")</f>
        <v>1</v>
      </c>
      <c r="O101" s="11" t="s">
        <v>0</v>
      </c>
      <c r="P101" s="11" t="s">
        <v>0</v>
      </c>
      <c r="Q101" s="19">
        <v>0</v>
      </c>
      <c r="R101" s="19" t="s">
        <v>1077</v>
      </c>
      <c r="S101" s="19" t="s">
        <v>0</v>
      </c>
      <c r="T101" s="19" t="s">
        <v>0</v>
      </c>
      <c r="U101" s="19" t="s">
        <v>0</v>
      </c>
      <c r="V101" s="19" t="s">
        <v>0</v>
      </c>
      <c r="W101" s="19" t="s">
        <v>0</v>
      </c>
      <c r="X101" s="19" t="s">
        <v>0</v>
      </c>
    </row>
    <row r="102" spans="1:24" ht="15">
      <c r="A102" s="10">
        <v>46100001</v>
      </c>
      <c r="B102" s="93" t="s">
        <v>1162</v>
      </c>
      <c r="C102" s="4" t="s">
        <v>63</v>
      </c>
      <c r="D102" s="11">
        <f>IFERROR(VLOOKUP(C102,ShipShapeEnum!$E:$F,2,FALSE),"-")</f>
        <v>2</v>
      </c>
      <c r="E102" s="19" t="s">
        <v>332</v>
      </c>
      <c r="F102" s="4" t="s">
        <v>333</v>
      </c>
      <c r="G102" s="11">
        <f>IFERROR(VLOOKUP(F102,ShipShapeEnum!$B:$C,2,FALSE),"-")</f>
        <v>2</v>
      </c>
      <c r="H102" s="19" t="s">
        <v>0</v>
      </c>
      <c r="I102" s="19" t="s">
        <v>0</v>
      </c>
      <c r="J102" s="19" t="s">
        <v>0</v>
      </c>
      <c r="K102" s="19" t="s">
        <v>0</v>
      </c>
      <c r="L102" s="19" t="s">
        <v>0</v>
      </c>
      <c r="M102" s="4" t="s">
        <v>88</v>
      </c>
      <c r="N102" s="11">
        <f>IFERROR(VLOOKUP(M102,ShipShapeEnum!$H:$I,2,FALSE),"-")</f>
        <v>1</v>
      </c>
      <c r="O102" s="11" t="s">
        <v>0</v>
      </c>
      <c r="P102" s="11" t="s">
        <v>0</v>
      </c>
      <c r="Q102" s="19">
        <v>0</v>
      </c>
      <c r="R102" s="19" t="s">
        <v>334</v>
      </c>
      <c r="S102" s="19" t="s">
        <v>0</v>
      </c>
      <c r="T102" s="19" t="s">
        <v>0</v>
      </c>
      <c r="U102" s="19" t="s">
        <v>0</v>
      </c>
      <c r="V102" s="19" t="s">
        <v>0</v>
      </c>
      <c r="W102" s="19" t="s">
        <v>0</v>
      </c>
      <c r="X102" s="19" t="s">
        <v>0</v>
      </c>
    </row>
    <row r="103" spans="1:24" ht="15">
      <c r="A103" s="10">
        <f>A102+1</f>
        <v>46100002</v>
      </c>
      <c r="B103" s="93" t="s">
        <v>1171</v>
      </c>
      <c r="C103" s="4" t="s">
        <v>63</v>
      </c>
      <c r="D103" s="11">
        <f>IFERROR(VLOOKUP(C103,ShipShapeEnum!$E:$F,2,FALSE),"-")</f>
        <v>2</v>
      </c>
      <c r="E103" s="19" t="s">
        <v>1172</v>
      </c>
      <c r="F103" s="4" t="s">
        <v>65</v>
      </c>
      <c r="G103" s="11">
        <f>IFERROR(VLOOKUP(F103,ShipShapeEnum!$B:$C,2,FALSE),"-")</f>
        <v>2</v>
      </c>
      <c r="H103" s="19" t="s">
        <v>84</v>
      </c>
      <c r="I103" s="19" t="s">
        <v>85</v>
      </c>
      <c r="J103" s="19" t="s">
        <v>85</v>
      </c>
      <c r="K103" s="19" t="s">
        <v>85</v>
      </c>
      <c r="L103" s="19" t="s">
        <v>85</v>
      </c>
      <c r="M103" s="4" t="s">
        <v>88</v>
      </c>
      <c r="N103" s="11">
        <f>IFERROR(VLOOKUP(M103,ShipShapeEnum!$H:$I,2,FALSE),"-")</f>
        <v>1</v>
      </c>
      <c r="O103" s="11" t="s">
        <v>0</v>
      </c>
      <c r="P103" s="11" t="s">
        <v>0</v>
      </c>
      <c r="Q103" s="19">
        <v>0</v>
      </c>
      <c r="R103" s="19" t="s">
        <v>201</v>
      </c>
      <c r="S103" s="19" t="s">
        <v>96</v>
      </c>
      <c r="T103" s="19" t="s">
        <v>84</v>
      </c>
      <c r="U103" s="19" t="s">
        <v>95</v>
      </c>
      <c r="V103" s="19" t="s">
        <v>96</v>
      </c>
      <c r="W103" s="19" t="s">
        <v>84</v>
      </c>
      <c r="X103" s="19" t="s">
        <v>96</v>
      </c>
    </row>
    <row r="104" spans="1:24" ht="15">
      <c r="A104" s="10">
        <f t="shared" ref="A104:A155" si="4">A103+1</f>
        <v>46100003</v>
      </c>
      <c r="B104" s="93" t="s">
        <v>1163</v>
      </c>
      <c r="C104" s="4" t="s">
        <v>63</v>
      </c>
      <c r="D104" s="11">
        <f>IFERROR(VLOOKUP(C104,ShipShapeEnum!$E:$F,2,FALSE),"-")</f>
        <v>2</v>
      </c>
      <c r="E104" s="19" t="s">
        <v>725</v>
      </c>
      <c r="F104" s="4" t="s">
        <v>65</v>
      </c>
      <c r="G104" s="11">
        <f>IFERROR(VLOOKUP(F104,ShipShapeEnum!$B:$C,2,FALSE),"-")</f>
        <v>2</v>
      </c>
      <c r="H104" s="19" t="s">
        <v>735</v>
      </c>
      <c r="I104" s="19" t="s">
        <v>0</v>
      </c>
      <c r="J104" s="19" t="s">
        <v>0</v>
      </c>
      <c r="K104" s="19" t="s">
        <v>0</v>
      </c>
      <c r="L104" s="19" t="s">
        <v>0</v>
      </c>
      <c r="M104" s="4" t="s">
        <v>88</v>
      </c>
      <c r="N104" s="11">
        <f>IFERROR(VLOOKUP(M104,ShipShapeEnum!$H:$I,2,FALSE),"-")</f>
        <v>1</v>
      </c>
      <c r="O104" s="11" t="s">
        <v>0</v>
      </c>
      <c r="P104" s="11" t="s">
        <v>0</v>
      </c>
      <c r="Q104" s="19">
        <v>2</v>
      </c>
      <c r="R104" s="19" t="s">
        <v>726</v>
      </c>
      <c r="S104" s="19" t="s">
        <v>0</v>
      </c>
      <c r="T104" s="19" t="s">
        <v>0</v>
      </c>
      <c r="U104" s="19" t="s">
        <v>0</v>
      </c>
      <c r="V104" s="19" t="s">
        <v>0</v>
      </c>
      <c r="W104" s="19" t="s">
        <v>0</v>
      </c>
      <c r="X104" s="19" t="s">
        <v>0</v>
      </c>
    </row>
    <row r="105" spans="1:24" ht="15">
      <c r="A105" s="10">
        <f>A104+1</f>
        <v>46100004</v>
      </c>
      <c r="B105" s="93" t="s">
        <v>1165</v>
      </c>
      <c r="C105" s="4" t="s">
        <v>63</v>
      </c>
      <c r="D105" s="11">
        <f>IFERROR(VLOOKUP(C105,ShipShapeEnum!$E:$F,2,FALSE),"-")</f>
        <v>2</v>
      </c>
      <c r="E105" s="19" t="s">
        <v>727</v>
      </c>
      <c r="F105" s="4" t="s">
        <v>65</v>
      </c>
      <c r="G105" s="11">
        <f>IFERROR(VLOOKUP(F105,ShipShapeEnum!$B:$C,2,FALSE),"-")</f>
        <v>2</v>
      </c>
      <c r="H105" s="19" t="s">
        <v>735</v>
      </c>
      <c r="I105" s="19" t="s">
        <v>0</v>
      </c>
      <c r="J105" s="19" t="s">
        <v>0</v>
      </c>
      <c r="K105" s="19" t="s">
        <v>0</v>
      </c>
      <c r="L105" s="19" t="s">
        <v>0</v>
      </c>
      <c r="M105" s="4" t="s">
        <v>88</v>
      </c>
      <c r="N105" s="11">
        <f>IFERROR(VLOOKUP(M105,ShipShapeEnum!$H:$I,2,FALSE),"-")</f>
        <v>1</v>
      </c>
      <c r="O105" s="11" t="s">
        <v>0</v>
      </c>
      <c r="P105" s="11" t="s">
        <v>0</v>
      </c>
      <c r="Q105" s="19">
        <v>2</v>
      </c>
      <c r="R105" s="19" t="s">
        <v>728</v>
      </c>
      <c r="S105" s="19" t="s">
        <v>0</v>
      </c>
      <c r="T105" s="19" t="s">
        <v>0</v>
      </c>
      <c r="U105" s="19" t="s">
        <v>0</v>
      </c>
      <c r="V105" s="19" t="s">
        <v>0</v>
      </c>
      <c r="W105" s="19" t="s">
        <v>0</v>
      </c>
      <c r="X105" s="19" t="s">
        <v>0</v>
      </c>
    </row>
    <row r="106" spans="1:24" ht="15">
      <c r="A106" s="10">
        <f t="shared" si="4"/>
        <v>46100005</v>
      </c>
      <c r="B106" s="93" t="s">
        <v>1167</v>
      </c>
      <c r="C106" s="4" t="s">
        <v>63</v>
      </c>
      <c r="D106" s="11">
        <f>IFERROR(VLOOKUP(C106,ShipShapeEnum!$E:$F,2,FALSE),"-")</f>
        <v>2</v>
      </c>
      <c r="E106" s="19" t="s">
        <v>729</v>
      </c>
      <c r="F106" s="4" t="s">
        <v>65</v>
      </c>
      <c r="G106" s="11">
        <f>IFERROR(VLOOKUP(F106,ShipShapeEnum!$B:$C,2,FALSE),"-")</f>
        <v>2</v>
      </c>
      <c r="H106" s="19" t="s">
        <v>736</v>
      </c>
      <c r="I106" s="19" t="s">
        <v>0</v>
      </c>
      <c r="J106" s="19" t="s">
        <v>0</v>
      </c>
      <c r="K106" s="19" t="s">
        <v>0</v>
      </c>
      <c r="L106" s="19" t="s">
        <v>0</v>
      </c>
      <c r="M106" s="4" t="s">
        <v>88</v>
      </c>
      <c r="N106" s="11">
        <f>IFERROR(VLOOKUP(M106,ShipShapeEnum!$H:$I,2,FALSE),"-")</f>
        <v>1</v>
      </c>
      <c r="O106" s="11" t="s">
        <v>0</v>
      </c>
      <c r="P106" s="11" t="s">
        <v>0</v>
      </c>
      <c r="Q106" s="19">
        <v>2</v>
      </c>
      <c r="R106" s="19" t="s">
        <v>730</v>
      </c>
      <c r="S106" s="19" t="s">
        <v>0</v>
      </c>
      <c r="T106" s="19" t="s">
        <v>0</v>
      </c>
      <c r="U106" s="19" t="s">
        <v>0</v>
      </c>
      <c r="V106" s="19" t="s">
        <v>0</v>
      </c>
      <c r="W106" s="19" t="s">
        <v>0</v>
      </c>
      <c r="X106" s="19" t="s">
        <v>0</v>
      </c>
    </row>
    <row r="107" spans="1:24" ht="15">
      <c r="A107" s="10">
        <f t="shared" si="4"/>
        <v>46100006</v>
      </c>
      <c r="B107" s="93" t="s">
        <v>1169</v>
      </c>
      <c r="C107" s="4" t="s">
        <v>63</v>
      </c>
      <c r="D107" s="11">
        <f>IFERROR(VLOOKUP(C107,ShipShapeEnum!$E:$F,2,FALSE),"-")</f>
        <v>2</v>
      </c>
      <c r="E107" s="19" t="s">
        <v>731</v>
      </c>
      <c r="F107" s="4" t="s">
        <v>65</v>
      </c>
      <c r="G107" s="11">
        <f>IFERROR(VLOOKUP(F107,ShipShapeEnum!$B:$C,2,FALSE),"-")</f>
        <v>2</v>
      </c>
      <c r="H107" s="19" t="s">
        <v>736</v>
      </c>
      <c r="I107" s="19" t="s">
        <v>0</v>
      </c>
      <c r="J107" s="19" t="s">
        <v>0</v>
      </c>
      <c r="K107" s="19" t="s">
        <v>0</v>
      </c>
      <c r="L107" s="19" t="s">
        <v>0</v>
      </c>
      <c r="M107" s="4" t="s">
        <v>88</v>
      </c>
      <c r="N107" s="11">
        <f>IFERROR(VLOOKUP(M107,ShipShapeEnum!$H:$I,2,FALSE),"-")</f>
        <v>1</v>
      </c>
      <c r="O107" s="11" t="s">
        <v>0</v>
      </c>
      <c r="P107" s="11" t="s">
        <v>0</v>
      </c>
      <c r="Q107" s="19">
        <v>2</v>
      </c>
      <c r="R107" s="19" t="s">
        <v>732</v>
      </c>
      <c r="S107" s="19" t="s">
        <v>0</v>
      </c>
      <c r="T107" s="19" t="s">
        <v>0</v>
      </c>
      <c r="U107" s="19" t="s">
        <v>0</v>
      </c>
      <c r="V107" s="19" t="s">
        <v>0</v>
      </c>
      <c r="W107" s="19" t="s">
        <v>0</v>
      </c>
      <c r="X107" s="19" t="s">
        <v>0</v>
      </c>
    </row>
    <row r="108" spans="1:24" ht="15">
      <c r="A108" s="10">
        <f t="shared" si="4"/>
        <v>46100007</v>
      </c>
      <c r="B108" s="93" t="s">
        <v>1173</v>
      </c>
      <c r="C108" s="4" t="s">
        <v>63</v>
      </c>
      <c r="D108" s="11">
        <f>IFERROR(VLOOKUP(C108,ShipShapeEnum!$E:$F,2,FALSE),"-")</f>
        <v>2</v>
      </c>
      <c r="E108" s="19" t="s">
        <v>1184</v>
      </c>
      <c r="F108" s="4" t="s">
        <v>65</v>
      </c>
      <c r="G108" s="11">
        <f>IFERROR(VLOOKUP(F108,ShipShapeEnum!$B:$C,2,FALSE),"-")</f>
        <v>2</v>
      </c>
      <c r="H108" s="19" t="s">
        <v>735</v>
      </c>
      <c r="I108" s="19" t="s">
        <v>0</v>
      </c>
      <c r="J108" s="19" t="s">
        <v>0</v>
      </c>
      <c r="K108" s="19" t="s">
        <v>0</v>
      </c>
      <c r="L108" s="19" t="s">
        <v>0</v>
      </c>
      <c r="M108" s="4" t="s">
        <v>88</v>
      </c>
      <c r="N108" s="11">
        <f>IFERROR(VLOOKUP(M108,ShipShapeEnum!$H:$I,2,FALSE),"-")</f>
        <v>1</v>
      </c>
      <c r="O108" s="11" t="s">
        <v>0</v>
      </c>
      <c r="P108" s="11" t="s">
        <v>0</v>
      </c>
      <c r="Q108" s="19">
        <v>0</v>
      </c>
      <c r="R108" s="19" t="s">
        <v>1197</v>
      </c>
      <c r="S108" s="19" t="s">
        <v>0</v>
      </c>
      <c r="T108" s="19" t="s">
        <v>0</v>
      </c>
      <c r="U108" s="19" t="s">
        <v>0</v>
      </c>
      <c r="V108" s="19" t="s">
        <v>0</v>
      </c>
      <c r="W108" s="19" t="s">
        <v>0</v>
      </c>
      <c r="X108" s="19" t="s">
        <v>0</v>
      </c>
    </row>
    <row r="109" spans="1:24" ht="15">
      <c r="A109" s="10">
        <f t="shared" si="4"/>
        <v>46100008</v>
      </c>
      <c r="B109" s="93" t="s">
        <v>1174</v>
      </c>
      <c r="C109" s="4" t="s">
        <v>63</v>
      </c>
      <c r="D109" s="11">
        <f>IFERROR(VLOOKUP(C109,ShipShapeEnum!$E:$F,2,FALSE),"-")</f>
        <v>2</v>
      </c>
      <c r="E109" s="19" t="s">
        <v>1185</v>
      </c>
      <c r="F109" s="4" t="s">
        <v>65</v>
      </c>
      <c r="G109" s="11">
        <f>IFERROR(VLOOKUP(F109,ShipShapeEnum!$B:$C,2,FALSE),"-")</f>
        <v>2</v>
      </c>
      <c r="H109" s="19" t="s">
        <v>735</v>
      </c>
      <c r="I109" s="19" t="s">
        <v>0</v>
      </c>
      <c r="J109" s="19" t="s">
        <v>0</v>
      </c>
      <c r="K109" s="19" t="s">
        <v>0</v>
      </c>
      <c r="L109" s="19" t="s">
        <v>0</v>
      </c>
      <c r="M109" s="4" t="s">
        <v>88</v>
      </c>
      <c r="N109" s="11">
        <f>IFERROR(VLOOKUP(M109,ShipShapeEnum!$H:$I,2,FALSE),"-")</f>
        <v>1</v>
      </c>
      <c r="O109" s="11" t="s">
        <v>0</v>
      </c>
      <c r="P109" s="11" t="s">
        <v>0</v>
      </c>
      <c r="Q109" s="19">
        <v>0</v>
      </c>
      <c r="R109" s="19" t="s">
        <v>1198</v>
      </c>
      <c r="S109" s="19" t="s">
        <v>0</v>
      </c>
      <c r="T109" s="19" t="s">
        <v>0</v>
      </c>
      <c r="U109" s="19" t="s">
        <v>0</v>
      </c>
      <c r="V109" s="19" t="s">
        <v>0</v>
      </c>
      <c r="W109" s="19" t="s">
        <v>0</v>
      </c>
      <c r="X109" s="19" t="s">
        <v>0</v>
      </c>
    </row>
    <row r="110" spans="1:24" ht="15">
      <c r="A110" s="10">
        <f t="shared" si="4"/>
        <v>46100009</v>
      </c>
      <c r="B110" s="93" t="s">
        <v>1175</v>
      </c>
      <c r="C110" s="4" t="s">
        <v>63</v>
      </c>
      <c r="D110" s="11">
        <f>IFERROR(VLOOKUP(C110,ShipShapeEnum!$E:$F,2,FALSE),"-")</f>
        <v>2</v>
      </c>
      <c r="E110" s="19" t="s">
        <v>1186</v>
      </c>
      <c r="F110" s="4" t="s">
        <v>65</v>
      </c>
      <c r="G110" s="11">
        <f>IFERROR(VLOOKUP(F110,ShipShapeEnum!$B:$C,2,FALSE),"-")</f>
        <v>2</v>
      </c>
      <c r="H110" s="19" t="s">
        <v>735</v>
      </c>
      <c r="I110" s="19" t="s">
        <v>0</v>
      </c>
      <c r="J110" s="19" t="s">
        <v>0</v>
      </c>
      <c r="K110" s="19" t="s">
        <v>0</v>
      </c>
      <c r="L110" s="19" t="s">
        <v>0</v>
      </c>
      <c r="M110" s="4" t="s">
        <v>88</v>
      </c>
      <c r="N110" s="11">
        <f>IFERROR(VLOOKUP(M110,ShipShapeEnum!$H:$I,2,FALSE),"-")</f>
        <v>1</v>
      </c>
      <c r="O110" s="11" t="s">
        <v>0</v>
      </c>
      <c r="P110" s="11" t="s">
        <v>0</v>
      </c>
      <c r="Q110" s="19">
        <v>0</v>
      </c>
      <c r="R110" s="19" t="s">
        <v>1199</v>
      </c>
      <c r="S110" s="19" t="s">
        <v>0</v>
      </c>
      <c r="T110" s="19" t="s">
        <v>0</v>
      </c>
      <c r="U110" s="19" t="s">
        <v>0</v>
      </c>
      <c r="V110" s="19" t="s">
        <v>0</v>
      </c>
      <c r="W110" s="19" t="s">
        <v>0</v>
      </c>
      <c r="X110" s="19" t="s">
        <v>0</v>
      </c>
    </row>
    <row r="111" spans="1:24" ht="15">
      <c r="A111" s="10">
        <f t="shared" si="4"/>
        <v>46100010</v>
      </c>
      <c r="B111" s="93" t="s">
        <v>1176</v>
      </c>
      <c r="C111" s="4" t="s">
        <v>63</v>
      </c>
      <c r="D111" s="11">
        <f>IFERROR(VLOOKUP(C111,ShipShapeEnum!$E:$F,2,FALSE),"-")</f>
        <v>2</v>
      </c>
      <c r="E111" s="19" t="s">
        <v>1187</v>
      </c>
      <c r="F111" s="4" t="s">
        <v>65</v>
      </c>
      <c r="G111" s="11">
        <f>IFERROR(VLOOKUP(F111,ShipShapeEnum!$B:$C,2,FALSE),"-")</f>
        <v>2</v>
      </c>
      <c r="H111" s="19" t="s">
        <v>735</v>
      </c>
      <c r="I111" s="19" t="s">
        <v>0</v>
      </c>
      <c r="J111" s="19" t="s">
        <v>0</v>
      </c>
      <c r="K111" s="19" t="s">
        <v>0</v>
      </c>
      <c r="L111" s="19" t="s">
        <v>0</v>
      </c>
      <c r="M111" s="4" t="s">
        <v>88</v>
      </c>
      <c r="N111" s="11">
        <f>IFERROR(VLOOKUP(M111,ShipShapeEnum!$H:$I,2,FALSE),"-")</f>
        <v>1</v>
      </c>
      <c r="O111" s="11" t="s">
        <v>0</v>
      </c>
      <c r="P111" s="11" t="s">
        <v>0</v>
      </c>
      <c r="Q111" s="19">
        <v>0</v>
      </c>
      <c r="R111" s="19" t="s">
        <v>1200</v>
      </c>
      <c r="S111" s="19" t="s">
        <v>0</v>
      </c>
      <c r="T111" s="19" t="s">
        <v>0</v>
      </c>
      <c r="U111" s="19" t="s">
        <v>0</v>
      </c>
      <c r="V111" s="19" t="s">
        <v>0</v>
      </c>
      <c r="W111" s="19" t="s">
        <v>0</v>
      </c>
      <c r="X111" s="19" t="s">
        <v>0</v>
      </c>
    </row>
    <row r="112" spans="1:24" ht="15">
      <c r="A112" s="10">
        <f t="shared" si="4"/>
        <v>46100011</v>
      </c>
      <c r="B112" s="93" t="s">
        <v>1196</v>
      </c>
      <c r="C112" s="4" t="s">
        <v>63</v>
      </c>
      <c r="D112" s="11">
        <f>IFERROR(VLOOKUP(C112,ShipShapeEnum!$E:$F,2,FALSE),"-")</f>
        <v>2</v>
      </c>
      <c r="E112" s="19" t="s">
        <v>1188</v>
      </c>
      <c r="F112" s="4" t="s">
        <v>65</v>
      </c>
      <c r="G112" s="11">
        <f>IFERROR(VLOOKUP(F112,ShipShapeEnum!$B:$C,2,FALSE),"-")</f>
        <v>2</v>
      </c>
      <c r="H112" s="19" t="s">
        <v>735</v>
      </c>
      <c r="I112" s="19" t="s">
        <v>0</v>
      </c>
      <c r="J112" s="19" t="s">
        <v>0</v>
      </c>
      <c r="K112" s="19" t="s">
        <v>0</v>
      </c>
      <c r="L112" s="19" t="s">
        <v>0</v>
      </c>
      <c r="M112" s="4" t="s">
        <v>88</v>
      </c>
      <c r="N112" s="11">
        <f>IFERROR(VLOOKUP(M112,ShipShapeEnum!$H:$I,2,FALSE),"-")</f>
        <v>1</v>
      </c>
      <c r="O112" s="11" t="s">
        <v>0</v>
      </c>
      <c r="P112" s="11" t="s">
        <v>0</v>
      </c>
      <c r="Q112" s="19">
        <v>0</v>
      </c>
      <c r="R112" s="19" t="s">
        <v>1201</v>
      </c>
      <c r="S112" s="19" t="s">
        <v>0</v>
      </c>
      <c r="T112" s="19" t="s">
        <v>0</v>
      </c>
      <c r="U112" s="19" t="s">
        <v>0</v>
      </c>
      <c r="V112" s="19" t="s">
        <v>0</v>
      </c>
      <c r="W112" s="19" t="s">
        <v>0</v>
      </c>
      <c r="X112" s="19" t="s">
        <v>0</v>
      </c>
    </row>
    <row r="113" spans="1:24" ht="15">
      <c r="A113" s="10">
        <f t="shared" si="4"/>
        <v>46100012</v>
      </c>
      <c r="B113" s="93" t="s">
        <v>1177</v>
      </c>
      <c r="C113" s="4" t="s">
        <v>63</v>
      </c>
      <c r="D113" s="11">
        <f>IFERROR(VLOOKUP(C113,ShipShapeEnum!$E:$F,2,FALSE),"-")</f>
        <v>2</v>
      </c>
      <c r="E113" s="19" t="s">
        <v>1189</v>
      </c>
      <c r="F113" s="4" t="s">
        <v>65</v>
      </c>
      <c r="G113" s="11">
        <f>IFERROR(VLOOKUP(F113,ShipShapeEnum!$B:$C,2,FALSE),"-")</f>
        <v>2</v>
      </c>
      <c r="H113" s="19" t="s">
        <v>736</v>
      </c>
      <c r="I113" s="19" t="s">
        <v>0</v>
      </c>
      <c r="J113" s="19" t="s">
        <v>0</v>
      </c>
      <c r="K113" s="19" t="s">
        <v>0</v>
      </c>
      <c r="L113" s="19" t="s">
        <v>0</v>
      </c>
      <c r="M113" s="4" t="s">
        <v>88</v>
      </c>
      <c r="N113" s="11">
        <f>IFERROR(VLOOKUP(M113,ShipShapeEnum!$H:$I,2,FALSE),"-")</f>
        <v>1</v>
      </c>
      <c r="O113" s="11" t="s">
        <v>0</v>
      </c>
      <c r="P113" s="11" t="s">
        <v>0</v>
      </c>
      <c r="Q113" s="19">
        <v>0</v>
      </c>
      <c r="R113" s="19" t="s">
        <v>1202</v>
      </c>
      <c r="S113" s="19" t="s">
        <v>0</v>
      </c>
      <c r="T113" s="19" t="s">
        <v>0</v>
      </c>
      <c r="U113" s="19" t="s">
        <v>0</v>
      </c>
      <c r="V113" s="19" t="s">
        <v>0</v>
      </c>
      <c r="W113" s="19" t="s">
        <v>0</v>
      </c>
      <c r="X113" s="19" t="s">
        <v>0</v>
      </c>
    </row>
    <row r="114" spans="1:24" ht="15">
      <c r="A114" s="10">
        <f t="shared" si="4"/>
        <v>46100013</v>
      </c>
      <c r="B114" s="93" t="s">
        <v>1178</v>
      </c>
      <c r="C114" s="4" t="s">
        <v>63</v>
      </c>
      <c r="D114" s="11">
        <f>IFERROR(VLOOKUP(C114,ShipShapeEnum!$E:$F,2,FALSE),"-")</f>
        <v>2</v>
      </c>
      <c r="E114" s="19" t="s">
        <v>1190</v>
      </c>
      <c r="F114" s="4" t="s">
        <v>65</v>
      </c>
      <c r="G114" s="11">
        <f>IFERROR(VLOOKUP(F114,ShipShapeEnum!$B:$C,2,FALSE),"-")</f>
        <v>2</v>
      </c>
      <c r="H114" s="19" t="s">
        <v>735</v>
      </c>
      <c r="I114" s="19" t="s">
        <v>0</v>
      </c>
      <c r="J114" s="19" t="s">
        <v>0</v>
      </c>
      <c r="K114" s="19" t="s">
        <v>0</v>
      </c>
      <c r="L114" s="19" t="s">
        <v>0</v>
      </c>
      <c r="M114" s="4" t="s">
        <v>88</v>
      </c>
      <c r="N114" s="11">
        <f>IFERROR(VLOOKUP(M114,ShipShapeEnum!$H:$I,2,FALSE),"-")</f>
        <v>1</v>
      </c>
      <c r="O114" s="11" t="s">
        <v>0</v>
      </c>
      <c r="P114" s="11" t="s">
        <v>0</v>
      </c>
      <c r="Q114" s="19">
        <v>0</v>
      </c>
      <c r="R114" s="19" t="s">
        <v>1203</v>
      </c>
      <c r="S114" s="19" t="s">
        <v>0</v>
      </c>
      <c r="T114" s="19" t="s">
        <v>0</v>
      </c>
      <c r="U114" s="19" t="s">
        <v>0</v>
      </c>
      <c r="V114" s="19" t="s">
        <v>0</v>
      </c>
      <c r="W114" s="19" t="s">
        <v>0</v>
      </c>
      <c r="X114" s="19" t="s">
        <v>0</v>
      </c>
    </row>
    <row r="115" spans="1:24" ht="15">
      <c r="A115" s="10">
        <f t="shared" si="4"/>
        <v>46100014</v>
      </c>
      <c r="B115" s="93" t="s">
        <v>1179</v>
      </c>
      <c r="C115" s="4" t="s">
        <v>63</v>
      </c>
      <c r="D115" s="11">
        <f>IFERROR(VLOOKUP(C115,ShipShapeEnum!$E:$F,2,FALSE),"-")</f>
        <v>2</v>
      </c>
      <c r="E115" s="19" t="s">
        <v>1191</v>
      </c>
      <c r="F115" s="4" t="s">
        <v>65</v>
      </c>
      <c r="G115" s="11">
        <f>IFERROR(VLOOKUP(F115,ShipShapeEnum!$B:$C,2,FALSE),"-")</f>
        <v>2</v>
      </c>
      <c r="H115" s="19" t="s">
        <v>735</v>
      </c>
      <c r="I115" s="19" t="s">
        <v>0</v>
      </c>
      <c r="J115" s="19" t="s">
        <v>0</v>
      </c>
      <c r="K115" s="19" t="s">
        <v>0</v>
      </c>
      <c r="L115" s="19" t="s">
        <v>0</v>
      </c>
      <c r="M115" s="4" t="s">
        <v>88</v>
      </c>
      <c r="N115" s="11">
        <f>IFERROR(VLOOKUP(M115,ShipShapeEnum!$H:$I,2,FALSE),"-")</f>
        <v>1</v>
      </c>
      <c r="O115" s="11" t="s">
        <v>0</v>
      </c>
      <c r="P115" s="11" t="s">
        <v>0</v>
      </c>
      <c r="Q115" s="19">
        <v>0</v>
      </c>
      <c r="R115" s="19" t="s">
        <v>1204</v>
      </c>
      <c r="S115" s="19" t="s">
        <v>0</v>
      </c>
      <c r="T115" s="19" t="s">
        <v>0</v>
      </c>
      <c r="U115" s="19" t="s">
        <v>0</v>
      </c>
      <c r="V115" s="19" t="s">
        <v>0</v>
      </c>
      <c r="W115" s="19" t="s">
        <v>0</v>
      </c>
      <c r="X115" s="19" t="s">
        <v>0</v>
      </c>
    </row>
    <row r="116" spans="1:24" ht="15">
      <c r="A116" s="10">
        <f t="shared" si="4"/>
        <v>46100015</v>
      </c>
      <c r="B116" s="93" t="s">
        <v>1180</v>
      </c>
      <c r="C116" s="4" t="s">
        <v>63</v>
      </c>
      <c r="D116" s="11">
        <f>IFERROR(VLOOKUP(C116,ShipShapeEnum!$E:$F,2,FALSE),"-")</f>
        <v>2</v>
      </c>
      <c r="E116" s="19" t="s">
        <v>1192</v>
      </c>
      <c r="F116" s="4" t="s">
        <v>65</v>
      </c>
      <c r="G116" s="11">
        <f>IFERROR(VLOOKUP(F116,ShipShapeEnum!$B:$C,2,FALSE),"-")</f>
        <v>2</v>
      </c>
      <c r="H116" s="19" t="s">
        <v>735</v>
      </c>
      <c r="I116" s="19" t="s">
        <v>0</v>
      </c>
      <c r="J116" s="19" t="s">
        <v>0</v>
      </c>
      <c r="K116" s="19" t="s">
        <v>0</v>
      </c>
      <c r="L116" s="19" t="s">
        <v>0</v>
      </c>
      <c r="M116" s="4" t="s">
        <v>88</v>
      </c>
      <c r="N116" s="11">
        <f>IFERROR(VLOOKUP(M116,ShipShapeEnum!$H:$I,2,FALSE),"-")</f>
        <v>1</v>
      </c>
      <c r="O116" s="11" t="s">
        <v>0</v>
      </c>
      <c r="P116" s="11" t="s">
        <v>0</v>
      </c>
      <c r="Q116" s="19">
        <v>0</v>
      </c>
      <c r="R116" s="19" t="s">
        <v>1205</v>
      </c>
      <c r="S116" s="19" t="s">
        <v>0</v>
      </c>
      <c r="T116" s="19" t="s">
        <v>0</v>
      </c>
      <c r="U116" s="19" t="s">
        <v>0</v>
      </c>
      <c r="V116" s="19" t="s">
        <v>0</v>
      </c>
      <c r="W116" s="19" t="s">
        <v>0</v>
      </c>
      <c r="X116" s="19" t="s">
        <v>0</v>
      </c>
    </row>
    <row r="117" spans="1:24" ht="15">
      <c r="A117" s="10">
        <f t="shared" si="4"/>
        <v>46100016</v>
      </c>
      <c r="B117" s="93" t="s">
        <v>1181</v>
      </c>
      <c r="C117" s="4" t="s">
        <v>63</v>
      </c>
      <c r="D117" s="11">
        <f>IFERROR(VLOOKUP(C117,ShipShapeEnum!$E:$F,2,FALSE),"-")</f>
        <v>2</v>
      </c>
      <c r="E117" s="19" t="s">
        <v>1193</v>
      </c>
      <c r="F117" s="4" t="s">
        <v>65</v>
      </c>
      <c r="G117" s="11">
        <f>IFERROR(VLOOKUP(F117,ShipShapeEnum!$B:$C,2,FALSE),"-")</f>
        <v>2</v>
      </c>
      <c r="H117" s="19" t="s">
        <v>735</v>
      </c>
      <c r="I117" s="19" t="s">
        <v>0</v>
      </c>
      <c r="J117" s="19" t="s">
        <v>0</v>
      </c>
      <c r="K117" s="19" t="s">
        <v>0</v>
      </c>
      <c r="L117" s="19" t="s">
        <v>0</v>
      </c>
      <c r="M117" s="4" t="s">
        <v>88</v>
      </c>
      <c r="N117" s="11">
        <f>IFERROR(VLOOKUP(M117,ShipShapeEnum!$H:$I,2,FALSE),"-")</f>
        <v>1</v>
      </c>
      <c r="O117" s="11" t="s">
        <v>0</v>
      </c>
      <c r="P117" s="11" t="s">
        <v>0</v>
      </c>
      <c r="Q117" s="19">
        <v>0</v>
      </c>
      <c r="R117" s="19" t="s">
        <v>1206</v>
      </c>
      <c r="S117" s="19" t="s">
        <v>0</v>
      </c>
      <c r="T117" s="19" t="s">
        <v>0</v>
      </c>
      <c r="U117" s="19" t="s">
        <v>0</v>
      </c>
      <c r="V117" s="19" t="s">
        <v>0</v>
      </c>
      <c r="W117" s="19" t="s">
        <v>0</v>
      </c>
      <c r="X117" s="19" t="s">
        <v>0</v>
      </c>
    </row>
    <row r="118" spans="1:24" ht="15">
      <c r="A118" s="10">
        <f t="shared" si="4"/>
        <v>46100017</v>
      </c>
      <c r="B118" s="93" t="s">
        <v>1182</v>
      </c>
      <c r="C118" s="4" t="s">
        <v>63</v>
      </c>
      <c r="D118" s="11">
        <f>IFERROR(VLOOKUP(C118,ShipShapeEnum!$E:$F,2,FALSE),"-")</f>
        <v>2</v>
      </c>
      <c r="E118" s="19" t="s">
        <v>1194</v>
      </c>
      <c r="F118" s="4" t="s">
        <v>65</v>
      </c>
      <c r="G118" s="11">
        <f>IFERROR(VLOOKUP(F118,ShipShapeEnum!$B:$C,2,FALSE),"-")</f>
        <v>2</v>
      </c>
      <c r="H118" s="19" t="s">
        <v>735</v>
      </c>
      <c r="I118" s="19" t="s">
        <v>0</v>
      </c>
      <c r="J118" s="19" t="s">
        <v>0</v>
      </c>
      <c r="K118" s="19" t="s">
        <v>0</v>
      </c>
      <c r="L118" s="19" t="s">
        <v>0</v>
      </c>
      <c r="M118" s="4" t="s">
        <v>88</v>
      </c>
      <c r="N118" s="11">
        <f>IFERROR(VLOOKUP(M118,ShipShapeEnum!$H:$I,2,FALSE),"-")</f>
        <v>1</v>
      </c>
      <c r="O118" s="11" t="s">
        <v>0</v>
      </c>
      <c r="P118" s="11" t="s">
        <v>0</v>
      </c>
      <c r="Q118" s="19">
        <v>0</v>
      </c>
      <c r="R118" s="19" t="s">
        <v>1207</v>
      </c>
      <c r="S118" s="19" t="s">
        <v>0</v>
      </c>
      <c r="T118" s="19" t="s">
        <v>0</v>
      </c>
      <c r="U118" s="19" t="s">
        <v>0</v>
      </c>
      <c r="V118" s="19" t="s">
        <v>0</v>
      </c>
      <c r="W118" s="19" t="s">
        <v>0</v>
      </c>
      <c r="X118" s="19" t="s">
        <v>0</v>
      </c>
    </row>
    <row r="119" spans="1:24" ht="15">
      <c r="A119" s="10">
        <f t="shared" si="4"/>
        <v>46100018</v>
      </c>
      <c r="B119" s="93" t="s">
        <v>1183</v>
      </c>
      <c r="C119" s="4" t="s">
        <v>63</v>
      </c>
      <c r="D119" s="11">
        <f>IFERROR(VLOOKUP(C119,ShipShapeEnum!$E:$F,2,FALSE),"-")</f>
        <v>2</v>
      </c>
      <c r="E119" s="19" t="s">
        <v>1195</v>
      </c>
      <c r="F119" s="4" t="s">
        <v>65</v>
      </c>
      <c r="G119" s="11">
        <f>IFERROR(VLOOKUP(F119,ShipShapeEnum!$B:$C,2,FALSE),"-")</f>
        <v>2</v>
      </c>
      <c r="H119" s="19" t="s">
        <v>735</v>
      </c>
      <c r="I119" s="19" t="s">
        <v>0</v>
      </c>
      <c r="J119" s="19" t="s">
        <v>0</v>
      </c>
      <c r="K119" s="19" t="s">
        <v>0</v>
      </c>
      <c r="L119" s="19" t="s">
        <v>0</v>
      </c>
      <c r="M119" s="4" t="s">
        <v>88</v>
      </c>
      <c r="N119" s="11">
        <f>IFERROR(VLOOKUP(M119,ShipShapeEnum!$H:$I,2,FALSE),"-")</f>
        <v>1</v>
      </c>
      <c r="O119" s="11" t="s">
        <v>0</v>
      </c>
      <c r="P119" s="11" t="s">
        <v>0</v>
      </c>
      <c r="Q119" s="19">
        <v>0</v>
      </c>
      <c r="R119" s="19" t="s">
        <v>1208</v>
      </c>
      <c r="S119" s="19" t="s">
        <v>0</v>
      </c>
      <c r="T119" s="19" t="s">
        <v>0</v>
      </c>
      <c r="U119" s="19" t="s">
        <v>0</v>
      </c>
      <c r="V119" s="19" t="s">
        <v>0</v>
      </c>
      <c r="W119" s="19" t="s">
        <v>0</v>
      </c>
      <c r="X119" s="19" t="s">
        <v>0</v>
      </c>
    </row>
    <row r="120" spans="1:24" ht="15">
      <c r="A120" s="10">
        <f t="shared" si="4"/>
        <v>46100019</v>
      </c>
      <c r="B120" s="93" t="s">
        <v>1862</v>
      </c>
      <c r="C120" s="4" t="s">
        <v>63</v>
      </c>
      <c r="D120" s="11">
        <f>IFERROR(VLOOKUP(C120,ShipShapeEnum!$E:$F,2,FALSE),"-")</f>
        <v>2</v>
      </c>
      <c r="E120" s="98" t="s">
        <v>1818</v>
      </c>
      <c r="F120" s="4" t="s">
        <v>65</v>
      </c>
      <c r="G120" s="11">
        <f>IFERROR(VLOOKUP(F120,ShipShapeEnum!$B:$C,2,FALSE),"-")</f>
        <v>2</v>
      </c>
      <c r="H120" s="19" t="s">
        <v>735</v>
      </c>
      <c r="I120" s="19" t="s">
        <v>0</v>
      </c>
      <c r="J120" s="19" t="s">
        <v>0</v>
      </c>
      <c r="K120" s="19" t="s">
        <v>0</v>
      </c>
      <c r="L120" s="19" t="s">
        <v>0</v>
      </c>
      <c r="M120" s="4" t="s">
        <v>88</v>
      </c>
      <c r="N120" s="11">
        <f>IFERROR(VLOOKUP(M120,ShipShapeEnum!$H:$I,2,FALSE),"-")</f>
        <v>1</v>
      </c>
      <c r="O120" s="11" t="s">
        <v>0</v>
      </c>
      <c r="P120" s="11" t="s">
        <v>0</v>
      </c>
      <c r="Q120" s="19">
        <v>0</v>
      </c>
      <c r="R120" s="19" t="s">
        <v>1863</v>
      </c>
      <c r="S120" s="19" t="s">
        <v>0</v>
      </c>
      <c r="T120" s="19" t="s">
        <v>0</v>
      </c>
      <c r="U120" s="19" t="s">
        <v>0</v>
      </c>
      <c r="V120" s="19" t="s">
        <v>0</v>
      </c>
      <c r="W120" s="19" t="s">
        <v>0</v>
      </c>
      <c r="X120" s="19" t="s">
        <v>0</v>
      </c>
    </row>
    <row r="121" spans="1:24" ht="15">
      <c r="A121" s="10">
        <f t="shared" si="4"/>
        <v>46100020</v>
      </c>
      <c r="B121" s="93" t="s">
        <v>1864</v>
      </c>
      <c r="C121" s="4" t="s">
        <v>63</v>
      </c>
      <c r="D121" s="11">
        <f>IFERROR(VLOOKUP(C121,ShipShapeEnum!$E:$F,2,FALSE),"-")</f>
        <v>2</v>
      </c>
      <c r="E121" s="19" t="s">
        <v>1820</v>
      </c>
      <c r="F121" s="4" t="s">
        <v>65</v>
      </c>
      <c r="G121" s="11">
        <f>IFERROR(VLOOKUP(F121,ShipShapeEnum!$B:$C,2,FALSE),"-")</f>
        <v>2</v>
      </c>
      <c r="H121" s="19" t="s">
        <v>736</v>
      </c>
      <c r="I121" s="19" t="s">
        <v>0</v>
      </c>
      <c r="J121" s="19" t="s">
        <v>0</v>
      </c>
      <c r="K121" s="19" t="s">
        <v>0</v>
      </c>
      <c r="L121" s="19" t="s">
        <v>0</v>
      </c>
      <c r="M121" s="4" t="s">
        <v>88</v>
      </c>
      <c r="N121" s="11">
        <f>IFERROR(VLOOKUP(M121,ShipShapeEnum!$H:$I,2,FALSE),"-")</f>
        <v>1</v>
      </c>
      <c r="O121" s="11" t="s">
        <v>0</v>
      </c>
      <c r="P121" s="11" t="s">
        <v>0</v>
      </c>
      <c r="Q121" s="19">
        <v>0</v>
      </c>
      <c r="R121" s="19" t="s">
        <v>1865</v>
      </c>
      <c r="S121" s="19" t="s">
        <v>0</v>
      </c>
      <c r="T121" s="19" t="s">
        <v>0</v>
      </c>
      <c r="U121" s="19" t="s">
        <v>0</v>
      </c>
      <c r="V121" s="19" t="s">
        <v>0</v>
      </c>
      <c r="W121" s="19" t="s">
        <v>0</v>
      </c>
      <c r="X121" s="19" t="s">
        <v>0</v>
      </c>
    </row>
    <row r="122" spans="1:24" ht="15">
      <c r="A122" s="10">
        <f t="shared" si="4"/>
        <v>46100021</v>
      </c>
      <c r="B122" s="93" t="s">
        <v>1866</v>
      </c>
      <c r="C122" s="4" t="s">
        <v>63</v>
      </c>
      <c r="D122" s="11">
        <f>IFERROR(VLOOKUP(C122,ShipShapeEnum!$E:$F,2,FALSE),"-")</f>
        <v>2</v>
      </c>
      <c r="E122" s="19" t="s">
        <v>1867</v>
      </c>
      <c r="F122" s="4" t="s">
        <v>65</v>
      </c>
      <c r="G122" s="11">
        <f>IFERROR(VLOOKUP(F122,ShipShapeEnum!$B:$C,2,FALSE),"-")</f>
        <v>2</v>
      </c>
      <c r="H122" s="19" t="s">
        <v>735</v>
      </c>
      <c r="I122" s="19" t="s">
        <v>0</v>
      </c>
      <c r="J122" s="19" t="s">
        <v>0</v>
      </c>
      <c r="K122" s="19" t="s">
        <v>0</v>
      </c>
      <c r="L122" s="19" t="s">
        <v>0</v>
      </c>
      <c r="M122" s="4" t="s">
        <v>88</v>
      </c>
      <c r="N122" s="11">
        <f>IFERROR(VLOOKUP(M122,ShipShapeEnum!$H:$I,2,FALSE),"-")</f>
        <v>1</v>
      </c>
      <c r="O122" s="11" t="s">
        <v>0</v>
      </c>
      <c r="P122" s="11" t="s">
        <v>0</v>
      </c>
      <c r="Q122" s="19">
        <v>0</v>
      </c>
      <c r="R122" s="19" t="s">
        <v>1868</v>
      </c>
      <c r="S122" s="19" t="s">
        <v>0</v>
      </c>
      <c r="T122" s="19" t="s">
        <v>0</v>
      </c>
      <c r="U122" s="19" t="s">
        <v>0</v>
      </c>
      <c r="V122" s="19" t="s">
        <v>0</v>
      </c>
      <c r="W122" s="19" t="s">
        <v>0</v>
      </c>
      <c r="X122" s="19" t="s">
        <v>0</v>
      </c>
    </row>
    <row r="123" spans="1:24" ht="15">
      <c r="A123" s="10">
        <f t="shared" si="4"/>
        <v>46100022</v>
      </c>
      <c r="B123" s="93" t="s">
        <v>1869</v>
      </c>
      <c r="C123" s="4" t="s">
        <v>63</v>
      </c>
      <c r="D123" s="11">
        <f>IFERROR(VLOOKUP(C123,ShipShapeEnum!$E:$F,2,FALSE),"-")</f>
        <v>2</v>
      </c>
      <c r="E123" s="19" t="s">
        <v>1870</v>
      </c>
      <c r="F123" s="4" t="s">
        <v>65</v>
      </c>
      <c r="G123" s="11">
        <f>IFERROR(VLOOKUP(F123,ShipShapeEnum!$B:$C,2,FALSE),"-")</f>
        <v>2</v>
      </c>
      <c r="H123" s="19" t="s">
        <v>735</v>
      </c>
      <c r="I123" s="19" t="s">
        <v>0</v>
      </c>
      <c r="J123" s="19" t="s">
        <v>0</v>
      </c>
      <c r="K123" s="19" t="s">
        <v>0</v>
      </c>
      <c r="L123" s="19" t="s">
        <v>0</v>
      </c>
      <c r="M123" s="4" t="s">
        <v>88</v>
      </c>
      <c r="N123" s="11">
        <f>IFERROR(VLOOKUP(M123,ShipShapeEnum!$H:$I,2,FALSE),"-")</f>
        <v>1</v>
      </c>
      <c r="O123" s="11" t="s">
        <v>0</v>
      </c>
      <c r="P123" s="11" t="s">
        <v>0</v>
      </c>
      <c r="Q123" s="19">
        <v>0</v>
      </c>
      <c r="R123" s="19" t="s">
        <v>1871</v>
      </c>
      <c r="S123" s="19" t="s">
        <v>0</v>
      </c>
      <c r="T123" s="19" t="s">
        <v>0</v>
      </c>
      <c r="U123" s="19" t="s">
        <v>0</v>
      </c>
      <c r="V123" s="19" t="s">
        <v>0</v>
      </c>
      <c r="W123" s="19" t="s">
        <v>0</v>
      </c>
      <c r="X123" s="19" t="s">
        <v>0</v>
      </c>
    </row>
    <row r="124" spans="1:24" ht="15">
      <c r="A124" s="10">
        <f t="shared" si="4"/>
        <v>46100023</v>
      </c>
      <c r="B124" s="93" t="s">
        <v>1872</v>
      </c>
      <c r="C124" s="4" t="s">
        <v>63</v>
      </c>
      <c r="D124" s="11">
        <f>IFERROR(VLOOKUP(C124,ShipShapeEnum!$E:$F,2,FALSE),"-")</f>
        <v>2</v>
      </c>
      <c r="E124" s="19" t="s">
        <v>1873</v>
      </c>
      <c r="F124" s="4" t="s">
        <v>65</v>
      </c>
      <c r="G124" s="11">
        <f>IFERROR(VLOOKUP(F124,ShipShapeEnum!$B:$C,2,FALSE),"-")</f>
        <v>2</v>
      </c>
      <c r="H124" s="19" t="s">
        <v>736</v>
      </c>
      <c r="I124" s="19" t="s">
        <v>0</v>
      </c>
      <c r="J124" s="19" t="s">
        <v>0</v>
      </c>
      <c r="K124" s="19" t="s">
        <v>0</v>
      </c>
      <c r="L124" s="19" t="s">
        <v>0</v>
      </c>
      <c r="M124" s="4" t="s">
        <v>88</v>
      </c>
      <c r="N124" s="11">
        <f>IFERROR(VLOOKUP(M124,ShipShapeEnum!$H:$I,2,FALSE),"-")</f>
        <v>1</v>
      </c>
      <c r="O124" s="11" t="s">
        <v>0</v>
      </c>
      <c r="P124" s="11" t="s">
        <v>0</v>
      </c>
      <c r="Q124" s="19">
        <v>0</v>
      </c>
      <c r="R124" s="19" t="s">
        <v>1874</v>
      </c>
      <c r="S124" s="19" t="s">
        <v>0</v>
      </c>
      <c r="T124" s="19" t="s">
        <v>0</v>
      </c>
      <c r="U124" s="19" t="s">
        <v>0</v>
      </c>
      <c r="V124" s="19" t="s">
        <v>0</v>
      </c>
      <c r="W124" s="19" t="s">
        <v>0</v>
      </c>
      <c r="X124" s="19" t="s">
        <v>0</v>
      </c>
    </row>
    <row r="125" spans="1:24" ht="15">
      <c r="A125" s="10">
        <f t="shared" si="4"/>
        <v>46100024</v>
      </c>
      <c r="B125" s="93" t="s">
        <v>1875</v>
      </c>
      <c r="C125" s="4" t="s">
        <v>63</v>
      </c>
      <c r="D125" s="11">
        <f>IFERROR(VLOOKUP(C125,ShipShapeEnum!$E:$F,2,FALSE),"-")</f>
        <v>2</v>
      </c>
      <c r="E125" s="19" t="s">
        <v>1825</v>
      </c>
      <c r="F125" s="4" t="s">
        <v>65</v>
      </c>
      <c r="G125" s="11">
        <f>IFERROR(VLOOKUP(F125,ShipShapeEnum!$B:$C,2,FALSE),"-")</f>
        <v>2</v>
      </c>
      <c r="H125" s="19" t="s">
        <v>735</v>
      </c>
      <c r="I125" s="19" t="s">
        <v>0</v>
      </c>
      <c r="J125" s="19" t="s">
        <v>0</v>
      </c>
      <c r="K125" s="19" t="s">
        <v>0</v>
      </c>
      <c r="L125" s="19" t="s">
        <v>0</v>
      </c>
      <c r="M125" s="4" t="s">
        <v>88</v>
      </c>
      <c r="N125" s="11">
        <f>IFERROR(VLOOKUP(M125,ShipShapeEnum!$H:$I,2,FALSE),"-")</f>
        <v>1</v>
      </c>
      <c r="O125" s="11" t="s">
        <v>0</v>
      </c>
      <c r="P125" s="11" t="s">
        <v>0</v>
      </c>
      <c r="Q125" s="19">
        <v>0</v>
      </c>
      <c r="R125" s="19" t="s">
        <v>1876</v>
      </c>
      <c r="S125" s="19" t="s">
        <v>0</v>
      </c>
      <c r="T125" s="19" t="s">
        <v>0</v>
      </c>
      <c r="U125" s="19" t="s">
        <v>0</v>
      </c>
      <c r="V125" s="19" t="s">
        <v>0</v>
      </c>
      <c r="W125" s="19" t="s">
        <v>0</v>
      </c>
      <c r="X125" s="19" t="s">
        <v>0</v>
      </c>
    </row>
    <row r="126" spans="1:24" ht="15">
      <c r="A126" s="10">
        <f t="shared" si="4"/>
        <v>46100025</v>
      </c>
      <c r="B126" s="93" t="s">
        <v>1877</v>
      </c>
      <c r="C126" s="4" t="s">
        <v>63</v>
      </c>
      <c r="D126" s="11">
        <f>IFERROR(VLOOKUP(C126,ShipShapeEnum!$E:$F,2,FALSE),"-")</f>
        <v>2</v>
      </c>
      <c r="E126" s="19" t="s">
        <v>1827</v>
      </c>
      <c r="F126" s="4" t="s">
        <v>65</v>
      </c>
      <c r="G126" s="11">
        <f>IFERROR(VLOOKUP(F126,ShipShapeEnum!$B:$C,2,FALSE),"-")</f>
        <v>2</v>
      </c>
      <c r="H126" s="19" t="s">
        <v>735</v>
      </c>
      <c r="I126" s="19" t="s">
        <v>0</v>
      </c>
      <c r="J126" s="19" t="s">
        <v>0</v>
      </c>
      <c r="K126" s="19" t="s">
        <v>0</v>
      </c>
      <c r="L126" s="19" t="s">
        <v>0</v>
      </c>
      <c r="M126" s="4" t="s">
        <v>88</v>
      </c>
      <c r="N126" s="11">
        <f>IFERROR(VLOOKUP(M126,ShipShapeEnum!$H:$I,2,FALSE),"-")</f>
        <v>1</v>
      </c>
      <c r="O126" s="11" t="s">
        <v>0</v>
      </c>
      <c r="P126" s="11" t="s">
        <v>0</v>
      </c>
      <c r="Q126" s="19">
        <v>0</v>
      </c>
      <c r="R126" s="19" t="s">
        <v>1878</v>
      </c>
      <c r="S126" s="19" t="s">
        <v>0</v>
      </c>
      <c r="T126" s="19" t="s">
        <v>0</v>
      </c>
      <c r="U126" s="19" t="s">
        <v>0</v>
      </c>
      <c r="V126" s="19" t="s">
        <v>0</v>
      </c>
      <c r="W126" s="19" t="s">
        <v>0</v>
      </c>
      <c r="X126" s="19" t="s">
        <v>0</v>
      </c>
    </row>
    <row r="127" spans="1:24" ht="15">
      <c r="A127" s="10">
        <f t="shared" si="4"/>
        <v>46100026</v>
      </c>
      <c r="B127" s="93" t="s">
        <v>1879</v>
      </c>
      <c r="C127" s="4" t="s">
        <v>63</v>
      </c>
      <c r="D127" s="11">
        <f>IFERROR(VLOOKUP(C127,ShipShapeEnum!$E:$F,2,FALSE),"-")</f>
        <v>2</v>
      </c>
      <c r="E127" s="19" t="s">
        <v>1880</v>
      </c>
      <c r="F127" s="4" t="s">
        <v>65</v>
      </c>
      <c r="G127" s="11">
        <f>IFERROR(VLOOKUP(F127,ShipShapeEnum!$B:$C,2,FALSE),"-")</f>
        <v>2</v>
      </c>
      <c r="H127" s="19" t="s">
        <v>735</v>
      </c>
      <c r="I127" s="19" t="s">
        <v>0</v>
      </c>
      <c r="J127" s="19" t="s">
        <v>0</v>
      </c>
      <c r="K127" s="19" t="s">
        <v>0</v>
      </c>
      <c r="L127" s="19" t="s">
        <v>0</v>
      </c>
      <c r="M127" s="4" t="s">
        <v>88</v>
      </c>
      <c r="N127" s="11">
        <f>IFERROR(VLOOKUP(M127,ShipShapeEnum!$H:$I,2,FALSE),"-")</f>
        <v>1</v>
      </c>
      <c r="O127" s="11" t="s">
        <v>0</v>
      </c>
      <c r="P127" s="11" t="s">
        <v>0</v>
      </c>
      <c r="Q127" s="19">
        <v>0</v>
      </c>
      <c r="R127" s="19" t="s">
        <v>1881</v>
      </c>
      <c r="S127" s="19" t="s">
        <v>0</v>
      </c>
      <c r="T127" s="19" t="s">
        <v>0</v>
      </c>
      <c r="U127" s="19" t="s">
        <v>0</v>
      </c>
      <c r="V127" s="19" t="s">
        <v>0</v>
      </c>
      <c r="W127" s="19" t="s">
        <v>0</v>
      </c>
      <c r="X127" s="19" t="s">
        <v>0</v>
      </c>
    </row>
    <row r="128" spans="1:24" ht="15">
      <c r="A128" s="10">
        <f t="shared" si="4"/>
        <v>46100027</v>
      </c>
      <c r="B128" s="93" t="s">
        <v>1882</v>
      </c>
      <c r="C128" s="4" t="s">
        <v>63</v>
      </c>
      <c r="D128" s="11">
        <f>IFERROR(VLOOKUP(C128,ShipShapeEnum!$E:$F,2,FALSE),"-")</f>
        <v>2</v>
      </c>
      <c r="E128" s="19" t="s">
        <v>1883</v>
      </c>
      <c r="F128" s="4" t="s">
        <v>65</v>
      </c>
      <c r="G128" s="11">
        <f>IFERROR(VLOOKUP(F128,ShipShapeEnum!$B:$C,2,FALSE),"-")</f>
        <v>2</v>
      </c>
      <c r="H128" s="19" t="s">
        <v>736</v>
      </c>
      <c r="I128" s="19" t="s">
        <v>0</v>
      </c>
      <c r="J128" s="19" t="s">
        <v>0</v>
      </c>
      <c r="K128" s="19" t="s">
        <v>0</v>
      </c>
      <c r="L128" s="19" t="s">
        <v>0</v>
      </c>
      <c r="M128" s="4" t="s">
        <v>88</v>
      </c>
      <c r="N128" s="11">
        <f>IFERROR(VLOOKUP(M128,ShipShapeEnum!$H:$I,2,FALSE),"-")</f>
        <v>1</v>
      </c>
      <c r="O128" s="11" t="s">
        <v>0</v>
      </c>
      <c r="P128" s="11" t="s">
        <v>0</v>
      </c>
      <c r="Q128" s="19">
        <v>0</v>
      </c>
      <c r="R128" s="19" t="s">
        <v>1884</v>
      </c>
      <c r="S128" s="19" t="s">
        <v>0</v>
      </c>
      <c r="T128" s="19" t="s">
        <v>0</v>
      </c>
      <c r="U128" s="19" t="s">
        <v>0</v>
      </c>
      <c r="V128" s="19" t="s">
        <v>0</v>
      </c>
      <c r="W128" s="19" t="s">
        <v>0</v>
      </c>
      <c r="X128" s="19" t="s">
        <v>0</v>
      </c>
    </row>
    <row r="129" spans="1:24" ht="15">
      <c r="A129" s="10">
        <f t="shared" si="4"/>
        <v>46100028</v>
      </c>
      <c r="B129" s="93" t="s">
        <v>1885</v>
      </c>
      <c r="C129" s="4" t="s">
        <v>63</v>
      </c>
      <c r="D129" s="11">
        <f>IFERROR(VLOOKUP(C129,ShipShapeEnum!$E:$F,2,FALSE),"-")</f>
        <v>2</v>
      </c>
      <c r="E129" s="19" t="s">
        <v>1886</v>
      </c>
      <c r="F129" s="4" t="s">
        <v>65</v>
      </c>
      <c r="G129" s="11">
        <f>IFERROR(VLOOKUP(F129,ShipShapeEnum!$B:$C,2,FALSE),"-")</f>
        <v>2</v>
      </c>
      <c r="H129" s="19" t="s">
        <v>735</v>
      </c>
      <c r="I129" s="19" t="s">
        <v>0</v>
      </c>
      <c r="J129" s="19" t="s">
        <v>0</v>
      </c>
      <c r="K129" s="19" t="s">
        <v>0</v>
      </c>
      <c r="L129" s="19" t="s">
        <v>0</v>
      </c>
      <c r="M129" s="4" t="s">
        <v>88</v>
      </c>
      <c r="N129" s="11">
        <f>IFERROR(VLOOKUP(M129,ShipShapeEnum!$H:$I,2,FALSE),"-")</f>
        <v>1</v>
      </c>
      <c r="O129" s="11" t="s">
        <v>0</v>
      </c>
      <c r="P129" s="11" t="s">
        <v>0</v>
      </c>
      <c r="Q129" s="19">
        <v>0</v>
      </c>
      <c r="R129" s="19" t="s">
        <v>1887</v>
      </c>
      <c r="S129" s="19" t="s">
        <v>0</v>
      </c>
      <c r="T129" s="19" t="s">
        <v>0</v>
      </c>
      <c r="U129" s="19" t="s">
        <v>0</v>
      </c>
      <c r="V129" s="19" t="s">
        <v>0</v>
      </c>
      <c r="W129" s="19" t="s">
        <v>0</v>
      </c>
      <c r="X129" s="19" t="s">
        <v>0</v>
      </c>
    </row>
    <row r="130" spans="1:24" ht="15">
      <c r="A130" s="10">
        <f t="shared" si="4"/>
        <v>46100029</v>
      </c>
      <c r="B130" s="93" t="s">
        <v>1888</v>
      </c>
      <c r="C130" s="4" t="s">
        <v>63</v>
      </c>
      <c r="D130" s="11">
        <f>IFERROR(VLOOKUP(C130,ShipShapeEnum!$E:$F,2,FALSE),"-")</f>
        <v>2</v>
      </c>
      <c r="E130" s="19" t="s">
        <v>1889</v>
      </c>
      <c r="F130" s="4" t="s">
        <v>65</v>
      </c>
      <c r="G130" s="11">
        <f>IFERROR(VLOOKUP(F130,ShipShapeEnum!$B:$C,2,FALSE),"-")</f>
        <v>2</v>
      </c>
      <c r="H130" s="19" t="s">
        <v>735</v>
      </c>
      <c r="I130" s="19" t="s">
        <v>0</v>
      </c>
      <c r="J130" s="19" t="s">
        <v>0</v>
      </c>
      <c r="K130" s="19" t="s">
        <v>0</v>
      </c>
      <c r="L130" s="19" t="s">
        <v>0</v>
      </c>
      <c r="M130" s="4" t="s">
        <v>88</v>
      </c>
      <c r="N130" s="11">
        <f>IFERROR(VLOOKUP(M130,ShipShapeEnum!$H:$I,2,FALSE),"-")</f>
        <v>1</v>
      </c>
      <c r="O130" s="11" t="s">
        <v>0</v>
      </c>
      <c r="P130" s="11" t="s">
        <v>0</v>
      </c>
      <c r="Q130" s="19">
        <v>0</v>
      </c>
      <c r="R130" s="19" t="s">
        <v>1890</v>
      </c>
      <c r="S130" s="19" t="s">
        <v>0</v>
      </c>
      <c r="T130" s="19" t="s">
        <v>0</v>
      </c>
      <c r="U130" s="19" t="s">
        <v>0</v>
      </c>
      <c r="V130" s="19" t="s">
        <v>0</v>
      </c>
      <c r="W130" s="19" t="s">
        <v>0</v>
      </c>
      <c r="X130" s="19" t="s">
        <v>0</v>
      </c>
    </row>
    <row r="131" spans="1:24" ht="15">
      <c r="A131" s="10">
        <f t="shared" si="4"/>
        <v>46100030</v>
      </c>
      <c r="B131" s="93" t="s">
        <v>1891</v>
      </c>
      <c r="C131" s="4" t="s">
        <v>63</v>
      </c>
      <c r="D131" s="11">
        <f>IFERROR(VLOOKUP(C131,ShipShapeEnum!$E:$F,2,FALSE),"-")</f>
        <v>2</v>
      </c>
      <c r="E131" s="19" t="s">
        <v>1892</v>
      </c>
      <c r="F131" s="4" t="s">
        <v>65</v>
      </c>
      <c r="G131" s="11">
        <f>IFERROR(VLOOKUP(F131,ShipShapeEnum!$B:$C,2,FALSE),"-")</f>
        <v>2</v>
      </c>
      <c r="H131" s="19" t="s">
        <v>736</v>
      </c>
      <c r="I131" s="19" t="s">
        <v>0</v>
      </c>
      <c r="J131" s="19" t="s">
        <v>0</v>
      </c>
      <c r="K131" s="19" t="s">
        <v>0</v>
      </c>
      <c r="L131" s="19" t="s">
        <v>0</v>
      </c>
      <c r="M131" s="4" t="s">
        <v>88</v>
      </c>
      <c r="N131" s="11">
        <f>IFERROR(VLOOKUP(M131,ShipShapeEnum!$H:$I,2,FALSE),"-")</f>
        <v>1</v>
      </c>
      <c r="O131" s="11" t="s">
        <v>0</v>
      </c>
      <c r="P131" s="11" t="s">
        <v>0</v>
      </c>
      <c r="Q131" s="19">
        <v>0</v>
      </c>
      <c r="R131" s="19" t="s">
        <v>1893</v>
      </c>
      <c r="S131" s="19" t="s">
        <v>0</v>
      </c>
      <c r="T131" s="19" t="s">
        <v>0</v>
      </c>
      <c r="U131" s="19" t="s">
        <v>0</v>
      </c>
      <c r="V131" s="19" t="s">
        <v>0</v>
      </c>
      <c r="W131" s="19" t="s">
        <v>0</v>
      </c>
      <c r="X131" s="19" t="s">
        <v>0</v>
      </c>
    </row>
    <row r="132" spans="1:24" ht="15">
      <c r="A132" s="10">
        <f t="shared" si="4"/>
        <v>46100031</v>
      </c>
      <c r="B132" s="93" t="s">
        <v>1894</v>
      </c>
      <c r="C132" s="4" t="s">
        <v>63</v>
      </c>
      <c r="D132" s="11">
        <f>IFERROR(VLOOKUP(C132,ShipShapeEnum!$E:$F,2,FALSE),"-")</f>
        <v>2</v>
      </c>
      <c r="E132" s="19" t="s">
        <v>1895</v>
      </c>
      <c r="F132" s="4" t="s">
        <v>65</v>
      </c>
      <c r="G132" s="11">
        <f>IFERROR(VLOOKUP(F132,ShipShapeEnum!$B:$C,2,FALSE),"-")</f>
        <v>2</v>
      </c>
      <c r="H132" s="19" t="s">
        <v>735</v>
      </c>
      <c r="I132" s="19" t="s">
        <v>0</v>
      </c>
      <c r="J132" s="19" t="s">
        <v>0</v>
      </c>
      <c r="K132" s="19" t="s">
        <v>0</v>
      </c>
      <c r="L132" s="19" t="s">
        <v>0</v>
      </c>
      <c r="M132" s="4" t="s">
        <v>88</v>
      </c>
      <c r="N132" s="11">
        <f>IFERROR(VLOOKUP(M132,ShipShapeEnum!$H:$I,2,FALSE),"-")</f>
        <v>1</v>
      </c>
      <c r="O132" s="11" t="s">
        <v>0</v>
      </c>
      <c r="P132" s="11" t="s">
        <v>0</v>
      </c>
      <c r="Q132" s="19">
        <v>0</v>
      </c>
      <c r="R132" s="19" t="s">
        <v>1896</v>
      </c>
      <c r="S132" s="19" t="s">
        <v>0</v>
      </c>
      <c r="T132" s="19" t="s">
        <v>0</v>
      </c>
      <c r="U132" s="19" t="s">
        <v>0</v>
      </c>
      <c r="V132" s="19" t="s">
        <v>0</v>
      </c>
      <c r="W132" s="19" t="s">
        <v>0</v>
      </c>
      <c r="X132" s="19" t="s">
        <v>0</v>
      </c>
    </row>
    <row r="133" spans="1:24" ht="15">
      <c r="A133" s="10">
        <f t="shared" si="4"/>
        <v>46100032</v>
      </c>
      <c r="B133" s="93" t="s">
        <v>1897</v>
      </c>
      <c r="C133" s="4" t="s">
        <v>63</v>
      </c>
      <c r="D133" s="11">
        <f>IFERROR(VLOOKUP(C133,ShipShapeEnum!$E:$F,2,FALSE),"-")</f>
        <v>2</v>
      </c>
      <c r="E133" s="19" t="s">
        <v>1898</v>
      </c>
      <c r="F133" s="4" t="s">
        <v>65</v>
      </c>
      <c r="G133" s="11">
        <f>IFERROR(VLOOKUP(F133,ShipShapeEnum!$B:$C,2,FALSE),"-")</f>
        <v>2</v>
      </c>
      <c r="H133" s="19" t="s">
        <v>735</v>
      </c>
      <c r="I133" s="19" t="s">
        <v>0</v>
      </c>
      <c r="J133" s="19" t="s">
        <v>0</v>
      </c>
      <c r="K133" s="19" t="s">
        <v>0</v>
      </c>
      <c r="L133" s="19" t="s">
        <v>0</v>
      </c>
      <c r="M133" s="4" t="s">
        <v>88</v>
      </c>
      <c r="N133" s="11">
        <f>IFERROR(VLOOKUP(M133,ShipShapeEnum!$H:$I,2,FALSE),"-")</f>
        <v>1</v>
      </c>
      <c r="O133" s="11" t="s">
        <v>0</v>
      </c>
      <c r="P133" s="11" t="s">
        <v>0</v>
      </c>
      <c r="Q133" s="19">
        <v>0</v>
      </c>
      <c r="R133" s="19" t="s">
        <v>1899</v>
      </c>
      <c r="S133" s="19" t="s">
        <v>0</v>
      </c>
      <c r="T133" s="19" t="s">
        <v>0</v>
      </c>
      <c r="U133" s="19" t="s">
        <v>0</v>
      </c>
      <c r="V133" s="19" t="s">
        <v>0</v>
      </c>
      <c r="W133" s="19" t="s">
        <v>0</v>
      </c>
      <c r="X133" s="19" t="s">
        <v>0</v>
      </c>
    </row>
    <row r="134" spans="1:24" ht="15">
      <c r="A134" s="10">
        <f t="shared" si="4"/>
        <v>46100033</v>
      </c>
      <c r="B134" s="93" t="s">
        <v>1900</v>
      </c>
      <c r="C134" s="4" t="s">
        <v>63</v>
      </c>
      <c r="D134" s="11">
        <f>IFERROR(VLOOKUP(C134,ShipShapeEnum!$E:$F,2,FALSE),"-")</f>
        <v>2</v>
      </c>
      <c r="E134" s="19" t="s">
        <v>1901</v>
      </c>
      <c r="F134" s="4" t="s">
        <v>65</v>
      </c>
      <c r="G134" s="11">
        <f>IFERROR(VLOOKUP(F134,ShipShapeEnum!$B:$C,2,FALSE),"-")</f>
        <v>2</v>
      </c>
      <c r="H134" s="19" t="s">
        <v>736</v>
      </c>
      <c r="I134" s="19" t="s">
        <v>0</v>
      </c>
      <c r="J134" s="19" t="s">
        <v>0</v>
      </c>
      <c r="K134" s="19" t="s">
        <v>0</v>
      </c>
      <c r="L134" s="19" t="s">
        <v>0</v>
      </c>
      <c r="M134" s="4" t="s">
        <v>88</v>
      </c>
      <c r="N134" s="11">
        <f>IFERROR(VLOOKUP(M134,ShipShapeEnum!$H:$I,2,FALSE),"-")</f>
        <v>1</v>
      </c>
      <c r="O134" s="11" t="s">
        <v>0</v>
      </c>
      <c r="P134" s="11" t="s">
        <v>0</v>
      </c>
      <c r="Q134" s="19">
        <v>0</v>
      </c>
      <c r="R134" s="19" t="s">
        <v>1902</v>
      </c>
      <c r="S134" s="19" t="s">
        <v>0</v>
      </c>
      <c r="T134" s="19" t="s">
        <v>0</v>
      </c>
      <c r="U134" s="19" t="s">
        <v>0</v>
      </c>
      <c r="V134" s="19" t="s">
        <v>0</v>
      </c>
      <c r="W134" s="19" t="s">
        <v>0</v>
      </c>
      <c r="X134" s="19" t="s">
        <v>0</v>
      </c>
    </row>
    <row r="135" spans="1:24" ht="15">
      <c r="A135" s="10">
        <f t="shared" si="4"/>
        <v>46100034</v>
      </c>
      <c r="B135" s="93" t="s">
        <v>1903</v>
      </c>
      <c r="C135" s="4" t="s">
        <v>63</v>
      </c>
      <c r="D135" s="11">
        <f>IFERROR(VLOOKUP(C135,ShipShapeEnum!$E:$F,2,FALSE),"-")</f>
        <v>2</v>
      </c>
      <c r="E135" s="19" t="s">
        <v>1904</v>
      </c>
      <c r="F135" s="4" t="s">
        <v>65</v>
      </c>
      <c r="G135" s="11">
        <f>IFERROR(VLOOKUP(F135,ShipShapeEnum!$B:$C,2,FALSE),"-")</f>
        <v>2</v>
      </c>
      <c r="H135" s="19" t="s">
        <v>736</v>
      </c>
      <c r="I135" s="19" t="s">
        <v>0</v>
      </c>
      <c r="J135" s="19" t="s">
        <v>0</v>
      </c>
      <c r="K135" s="19" t="s">
        <v>0</v>
      </c>
      <c r="L135" s="19" t="s">
        <v>0</v>
      </c>
      <c r="M135" s="4" t="s">
        <v>88</v>
      </c>
      <c r="N135" s="11">
        <f>IFERROR(VLOOKUP(M135,ShipShapeEnum!$H:$I,2,FALSE),"-")</f>
        <v>1</v>
      </c>
      <c r="O135" s="11" t="s">
        <v>0</v>
      </c>
      <c r="P135" s="11" t="s">
        <v>0</v>
      </c>
      <c r="Q135" s="19">
        <v>0</v>
      </c>
      <c r="R135" s="19" t="s">
        <v>1837</v>
      </c>
      <c r="S135" s="19" t="s">
        <v>0</v>
      </c>
      <c r="T135" s="19" t="s">
        <v>0</v>
      </c>
      <c r="U135" s="19" t="s">
        <v>0</v>
      </c>
      <c r="V135" s="19" t="s">
        <v>0</v>
      </c>
      <c r="W135" s="19" t="s">
        <v>0</v>
      </c>
      <c r="X135" s="19" t="s">
        <v>0</v>
      </c>
    </row>
    <row r="136" spans="1:24" ht="15">
      <c r="A136" s="10">
        <f t="shared" si="4"/>
        <v>46100035</v>
      </c>
      <c r="B136" s="93" t="s">
        <v>1838</v>
      </c>
      <c r="C136" s="4" t="s">
        <v>63</v>
      </c>
      <c r="D136" s="11">
        <f>IFERROR(VLOOKUP(C136,ShipShapeEnum!$E:$F,2,FALSE),"-")</f>
        <v>2</v>
      </c>
      <c r="E136" s="19" t="s">
        <v>1839</v>
      </c>
      <c r="F136" s="4" t="s">
        <v>65</v>
      </c>
      <c r="G136" s="11">
        <f>IFERROR(VLOOKUP(F136,ShipShapeEnum!$B:$C,2,FALSE),"-")</f>
        <v>2</v>
      </c>
      <c r="H136" s="19" t="s">
        <v>736</v>
      </c>
      <c r="I136" s="19" t="s">
        <v>0</v>
      </c>
      <c r="J136" s="19" t="s">
        <v>0</v>
      </c>
      <c r="K136" s="19" t="s">
        <v>0</v>
      </c>
      <c r="L136" s="19" t="s">
        <v>0</v>
      </c>
      <c r="M136" s="4" t="s">
        <v>88</v>
      </c>
      <c r="N136" s="11">
        <f>IFERROR(VLOOKUP(M136,ShipShapeEnum!$H:$I,2,FALSE),"-")</f>
        <v>1</v>
      </c>
      <c r="O136" s="11" t="s">
        <v>0</v>
      </c>
      <c r="P136" s="11" t="s">
        <v>0</v>
      </c>
      <c r="Q136" s="19">
        <v>0</v>
      </c>
      <c r="R136" s="19" t="s">
        <v>1905</v>
      </c>
      <c r="S136" s="19" t="s">
        <v>0</v>
      </c>
      <c r="T136" s="19" t="s">
        <v>0</v>
      </c>
      <c r="U136" s="19" t="s">
        <v>0</v>
      </c>
      <c r="V136" s="19" t="s">
        <v>0</v>
      </c>
      <c r="W136" s="19" t="s">
        <v>0</v>
      </c>
      <c r="X136" s="19" t="s">
        <v>0</v>
      </c>
    </row>
    <row r="137" spans="1:24" ht="15">
      <c r="A137" s="10">
        <f t="shared" si="4"/>
        <v>46100036</v>
      </c>
      <c r="B137" s="93" t="s">
        <v>1906</v>
      </c>
      <c r="C137" s="4" t="s">
        <v>63</v>
      </c>
      <c r="D137" s="11">
        <f>IFERROR(VLOOKUP(C137,ShipShapeEnum!$E:$F,2,FALSE),"-")</f>
        <v>2</v>
      </c>
      <c r="E137" s="19" t="s">
        <v>1907</v>
      </c>
      <c r="F137" s="4" t="s">
        <v>65</v>
      </c>
      <c r="G137" s="11">
        <f>IFERROR(VLOOKUP(F137,ShipShapeEnum!$B:$C,2,FALSE),"-")</f>
        <v>2</v>
      </c>
      <c r="H137" s="19" t="s">
        <v>735</v>
      </c>
      <c r="I137" s="19" t="s">
        <v>0</v>
      </c>
      <c r="J137" s="19" t="s">
        <v>0</v>
      </c>
      <c r="K137" s="19" t="s">
        <v>0</v>
      </c>
      <c r="L137" s="19" t="s">
        <v>0</v>
      </c>
      <c r="M137" s="4" t="s">
        <v>88</v>
      </c>
      <c r="N137" s="11">
        <f>IFERROR(VLOOKUP(M137,ShipShapeEnum!$H:$I,2,FALSE),"-")</f>
        <v>1</v>
      </c>
      <c r="O137" s="11" t="s">
        <v>0</v>
      </c>
      <c r="P137" s="11" t="s">
        <v>0</v>
      </c>
      <c r="Q137" s="19">
        <v>0</v>
      </c>
      <c r="R137" s="19" t="s">
        <v>1908</v>
      </c>
      <c r="S137" s="19" t="s">
        <v>0</v>
      </c>
      <c r="T137" s="19" t="s">
        <v>0</v>
      </c>
      <c r="U137" s="19" t="s">
        <v>0</v>
      </c>
      <c r="V137" s="19" t="s">
        <v>0</v>
      </c>
      <c r="W137" s="19" t="s">
        <v>0</v>
      </c>
      <c r="X137" s="19" t="s">
        <v>0</v>
      </c>
    </row>
    <row r="138" spans="1:24" ht="15">
      <c r="A138" s="10">
        <f t="shared" si="4"/>
        <v>46100037</v>
      </c>
      <c r="B138" s="93" t="s">
        <v>1909</v>
      </c>
      <c r="C138" s="4" t="s">
        <v>63</v>
      </c>
      <c r="D138" s="11">
        <f>IFERROR(VLOOKUP(C138,ShipShapeEnum!$E:$F,2,FALSE),"-")</f>
        <v>2</v>
      </c>
      <c r="E138" s="19" t="s">
        <v>1910</v>
      </c>
      <c r="F138" s="4" t="s">
        <v>65</v>
      </c>
      <c r="G138" s="11">
        <f>IFERROR(VLOOKUP(F138,ShipShapeEnum!$B:$C,2,FALSE),"-")</f>
        <v>2</v>
      </c>
      <c r="H138" s="19" t="s">
        <v>735</v>
      </c>
      <c r="I138" s="19" t="s">
        <v>0</v>
      </c>
      <c r="J138" s="19" t="s">
        <v>0</v>
      </c>
      <c r="K138" s="19" t="s">
        <v>0</v>
      </c>
      <c r="L138" s="19" t="s">
        <v>0</v>
      </c>
      <c r="M138" s="4" t="s">
        <v>88</v>
      </c>
      <c r="N138" s="11">
        <f>IFERROR(VLOOKUP(M138,ShipShapeEnum!$H:$I,2,FALSE),"-")</f>
        <v>1</v>
      </c>
      <c r="O138" s="11" t="s">
        <v>0</v>
      </c>
      <c r="P138" s="11" t="s">
        <v>0</v>
      </c>
      <c r="Q138" s="19">
        <v>0</v>
      </c>
      <c r="R138" s="19" t="s">
        <v>1911</v>
      </c>
      <c r="S138" s="19" t="s">
        <v>0</v>
      </c>
      <c r="T138" s="19" t="s">
        <v>0</v>
      </c>
      <c r="U138" s="19" t="s">
        <v>0</v>
      </c>
      <c r="V138" s="19" t="s">
        <v>0</v>
      </c>
      <c r="W138" s="19" t="s">
        <v>0</v>
      </c>
      <c r="X138" s="19" t="s">
        <v>0</v>
      </c>
    </row>
    <row r="139" spans="1:24" ht="15">
      <c r="A139" s="10">
        <f t="shared" si="4"/>
        <v>46100038</v>
      </c>
      <c r="B139" s="93" t="s">
        <v>1912</v>
      </c>
      <c r="C139" s="4" t="s">
        <v>63</v>
      </c>
      <c r="D139" s="11">
        <f>IFERROR(VLOOKUP(C139,ShipShapeEnum!$E:$F,2,FALSE),"-")</f>
        <v>2</v>
      </c>
      <c r="E139" s="19" t="s">
        <v>1843</v>
      </c>
      <c r="F139" s="4" t="s">
        <v>65</v>
      </c>
      <c r="G139" s="11">
        <f>IFERROR(VLOOKUP(F139,ShipShapeEnum!$B:$C,2,FALSE),"-")</f>
        <v>2</v>
      </c>
      <c r="H139" s="19" t="s">
        <v>735</v>
      </c>
      <c r="I139" s="19" t="s">
        <v>0</v>
      </c>
      <c r="J139" s="19" t="s">
        <v>0</v>
      </c>
      <c r="K139" s="19" t="s">
        <v>0</v>
      </c>
      <c r="L139" s="19" t="s">
        <v>0</v>
      </c>
      <c r="M139" s="4" t="s">
        <v>88</v>
      </c>
      <c r="N139" s="11">
        <f>IFERROR(VLOOKUP(M139,ShipShapeEnum!$H:$I,2,FALSE),"-")</f>
        <v>1</v>
      </c>
      <c r="O139" s="11" t="s">
        <v>0</v>
      </c>
      <c r="P139" s="11" t="s">
        <v>0</v>
      </c>
      <c r="Q139" s="19">
        <v>0</v>
      </c>
      <c r="R139" s="19" t="s">
        <v>1913</v>
      </c>
      <c r="S139" s="19" t="s">
        <v>0</v>
      </c>
      <c r="T139" s="19" t="s">
        <v>0</v>
      </c>
      <c r="U139" s="19" t="s">
        <v>0</v>
      </c>
      <c r="V139" s="19" t="s">
        <v>0</v>
      </c>
      <c r="W139" s="19" t="s">
        <v>0</v>
      </c>
      <c r="X139" s="19" t="s">
        <v>0</v>
      </c>
    </row>
    <row r="140" spans="1:24" ht="15">
      <c r="A140" s="10">
        <f t="shared" si="4"/>
        <v>46100039</v>
      </c>
      <c r="B140" s="93" t="s">
        <v>1914</v>
      </c>
      <c r="C140" s="4" t="s">
        <v>63</v>
      </c>
      <c r="D140" s="11">
        <f>IFERROR(VLOOKUP(C140,ShipShapeEnum!$E:$F,2,FALSE),"-")</f>
        <v>2</v>
      </c>
      <c r="E140" s="19" t="s">
        <v>1915</v>
      </c>
      <c r="F140" s="4" t="s">
        <v>65</v>
      </c>
      <c r="G140" s="11">
        <f>IFERROR(VLOOKUP(F140,ShipShapeEnum!$B:$C,2,FALSE),"-")</f>
        <v>2</v>
      </c>
      <c r="H140" s="19" t="s">
        <v>735</v>
      </c>
      <c r="I140" s="19" t="s">
        <v>0</v>
      </c>
      <c r="J140" s="19" t="s">
        <v>0</v>
      </c>
      <c r="K140" s="19" t="s">
        <v>0</v>
      </c>
      <c r="L140" s="19" t="s">
        <v>0</v>
      </c>
      <c r="M140" s="4" t="s">
        <v>88</v>
      </c>
      <c r="N140" s="11">
        <f>IFERROR(VLOOKUP(M140,ShipShapeEnum!$H:$I,2,FALSE),"-")</f>
        <v>1</v>
      </c>
      <c r="O140" s="11" t="s">
        <v>0</v>
      </c>
      <c r="P140" s="11" t="s">
        <v>0</v>
      </c>
      <c r="Q140" s="19">
        <v>0</v>
      </c>
      <c r="R140" s="19" t="s">
        <v>1916</v>
      </c>
      <c r="S140" s="19" t="s">
        <v>0</v>
      </c>
      <c r="T140" s="19" t="s">
        <v>0</v>
      </c>
      <c r="U140" s="19" t="s">
        <v>0</v>
      </c>
      <c r="V140" s="19" t="s">
        <v>0</v>
      </c>
      <c r="W140" s="19" t="s">
        <v>0</v>
      </c>
      <c r="X140" s="19" t="s">
        <v>0</v>
      </c>
    </row>
    <row r="141" spans="1:24" ht="15">
      <c r="A141" s="10">
        <f t="shared" si="4"/>
        <v>46100040</v>
      </c>
      <c r="B141" s="93" t="s">
        <v>1917</v>
      </c>
      <c r="C141" s="4" t="s">
        <v>63</v>
      </c>
      <c r="D141" s="11">
        <f>IFERROR(VLOOKUP(C141,ShipShapeEnum!$E:$F,2,FALSE),"-")</f>
        <v>2</v>
      </c>
      <c r="E141" s="19" t="s">
        <v>1918</v>
      </c>
      <c r="F141" s="4" t="s">
        <v>65</v>
      </c>
      <c r="G141" s="11">
        <f>IFERROR(VLOOKUP(F141,ShipShapeEnum!$B:$C,2,FALSE),"-")</f>
        <v>2</v>
      </c>
      <c r="H141" s="19" t="s">
        <v>736</v>
      </c>
      <c r="I141" s="19" t="s">
        <v>0</v>
      </c>
      <c r="J141" s="19" t="s">
        <v>0</v>
      </c>
      <c r="K141" s="19" t="s">
        <v>0</v>
      </c>
      <c r="L141" s="19" t="s">
        <v>0</v>
      </c>
      <c r="M141" s="4" t="s">
        <v>88</v>
      </c>
      <c r="N141" s="11">
        <f>IFERROR(VLOOKUP(M141,ShipShapeEnum!$H:$I,2,FALSE),"-")</f>
        <v>1</v>
      </c>
      <c r="O141" s="11" t="s">
        <v>0</v>
      </c>
      <c r="P141" s="11" t="s">
        <v>0</v>
      </c>
      <c r="Q141" s="19">
        <v>0</v>
      </c>
      <c r="R141" s="19" t="s">
        <v>1919</v>
      </c>
      <c r="S141" s="19" t="s">
        <v>0</v>
      </c>
      <c r="T141" s="19" t="s">
        <v>0</v>
      </c>
      <c r="U141" s="19" t="s">
        <v>0</v>
      </c>
      <c r="V141" s="19" t="s">
        <v>0</v>
      </c>
      <c r="W141" s="19" t="s">
        <v>0</v>
      </c>
      <c r="X141" s="19" t="s">
        <v>0</v>
      </c>
    </row>
    <row r="142" spans="1:24" ht="15">
      <c r="A142" s="10">
        <f t="shared" si="4"/>
        <v>46100041</v>
      </c>
      <c r="B142" s="93" t="s">
        <v>1920</v>
      </c>
      <c r="C142" s="4" t="s">
        <v>63</v>
      </c>
      <c r="D142" s="11">
        <f>IFERROR(VLOOKUP(C142,ShipShapeEnum!$E:$F,2,FALSE),"-")</f>
        <v>2</v>
      </c>
      <c r="E142" s="19" t="s">
        <v>1921</v>
      </c>
      <c r="F142" s="4" t="s">
        <v>65</v>
      </c>
      <c r="G142" s="11">
        <f>IFERROR(VLOOKUP(F142,ShipShapeEnum!$B:$C,2,FALSE),"-")</f>
        <v>2</v>
      </c>
      <c r="H142" s="19" t="s">
        <v>735</v>
      </c>
      <c r="I142" s="19" t="s">
        <v>0</v>
      </c>
      <c r="J142" s="19" t="s">
        <v>0</v>
      </c>
      <c r="K142" s="19" t="s">
        <v>0</v>
      </c>
      <c r="L142" s="19" t="s">
        <v>0</v>
      </c>
      <c r="M142" s="4" t="s">
        <v>88</v>
      </c>
      <c r="N142" s="11">
        <f>IFERROR(VLOOKUP(M142,ShipShapeEnum!$H:$I,2,FALSE),"-")</f>
        <v>1</v>
      </c>
      <c r="O142" s="11" t="s">
        <v>0</v>
      </c>
      <c r="P142" s="11" t="s">
        <v>0</v>
      </c>
      <c r="Q142" s="19">
        <v>0</v>
      </c>
      <c r="R142" s="19" t="s">
        <v>1922</v>
      </c>
      <c r="S142" s="19" t="s">
        <v>0</v>
      </c>
      <c r="T142" s="19" t="s">
        <v>0</v>
      </c>
      <c r="U142" s="19" t="s">
        <v>0</v>
      </c>
      <c r="V142" s="19" t="s">
        <v>0</v>
      </c>
      <c r="W142" s="19" t="s">
        <v>0</v>
      </c>
      <c r="X142" s="19" t="s">
        <v>0</v>
      </c>
    </row>
    <row r="143" spans="1:24" ht="15">
      <c r="A143" s="10">
        <f t="shared" si="4"/>
        <v>46100042</v>
      </c>
      <c r="B143" s="93" t="s">
        <v>1923</v>
      </c>
      <c r="C143" s="4" t="s">
        <v>63</v>
      </c>
      <c r="D143" s="11">
        <f>IFERROR(VLOOKUP(C143,ShipShapeEnum!$E:$F,2,FALSE),"-")</f>
        <v>2</v>
      </c>
      <c r="E143" s="19" t="s">
        <v>1848</v>
      </c>
      <c r="F143" s="4" t="s">
        <v>65</v>
      </c>
      <c r="G143" s="11">
        <f>IFERROR(VLOOKUP(F143,ShipShapeEnum!$B:$C,2,FALSE),"-")</f>
        <v>2</v>
      </c>
      <c r="H143" s="19" t="s">
        <v>736</v>
      </c>
      <c r="I143" s="19" t="s">
        <v>0</v>
      </c>
      <c r="J143" s="19" t="s">
        <v>0</v>
      </c>
      <c r="K143" s="19" t="s">
        <v>0</v>
      </c>
      <c r="L143" s="19" t="s">
        <v>0</v>
      </c>
      <c r="M143" s="4" t="s">
        <v>88</v>
      </c>
      <c r="N143" s="11">
        <f>IFERROR(VLOOKUP(M143,ShipShapeEnum!$H:$I,2,FALSE),"-")</f>
        <v>1</v>
      </c>
      <c r="O143" s="11" t="s">
        <v>0</v>
      </c>
      <c r="P143" s="11" t="s">
        <v>0</v>
      </c>
      <c r="Q143" s="19">
        <v>0</v>
      </c>
      <c r="R143" s="19" t="s">
        <v>1924</v>
      </c>
      <c r="S143" s="19" t="s">
        <v>0</v>
      </c>
      <c r="T143" s="19" t="s">
        <v>0</v>
      </c>
      <c r="U143" s="19" t="s">
        <v>0</v>
      </c>
      <c r="V143" s="19" t="s">
        <v>0</v>
      </c>
      <c r="W143" s="19" t="s">
        <v>0</v>
      </c>
      <c r="X143" s="19" t="s">
        <v>0</v>
      </c>
    </row>
    <row r="144" spans="1:24" ht="15">
      <c r="A144" s="10">
        <f t="shared" si="4"/>
        <v>46100043</v>
      </c>
      <c r="B144" s="93" t="s">
        <v>1925</v>
      </c>
      <c r="C144" s="4" t="s">
        <v>63</v>
      </c>
      <c r="D144" s="11">
        <f>IFERROR(VLOOKUP(C144,ShipShapeEnum!$E:$F,2,FALSE),"-")</f>
        <v>2</v>
      </c>
      <c r="E144" s="98" t="s">
        <v>1926</v>
      </c>
      <c r="F144" s="4" t="s">
        <v>65</v>
      </c>
      <c r="G144" s="11">
        <f>IFERROR(VLOOKUP(F144,ShipShapeEnum!$B:$C,2,FALSE),"-")</f>
        <v>2</v>
      </c>
      <c r="H144" s="19" t="s">
        <v>736</v>
      </c>
      <c r="I144" s="19" t="s">
        <v>0</v>
      </c>
      <c r="J144" s="19" t="s">
        <v>0</v>
      </c>
      <c r="K144" s="19" t="s">
        <v>0</v>
      </c>
      <c r="L144" s="19" t="s">
        <v>0</v>
      </c>
      <c r="M144" s="4" t="s">
        <v>88</v>
      </c>
      <c r="N144" s="11">
        <f>IFERROR(VLOOKUP(M144,ShipShapeEnum!$H:$I,2,FALSE),"-")</f>
        <v>1</v>
      </c>
      <c r="O144" s="11" t="s">
        <v>0</v>
      </c>
      <c r="P144" s="11" t="s">
        <v>0</v>
      </c>
      <c r="Q144" s="19">
        <v>0</v>
      </c>
      <c r="R144" s="19" t="s">
        <v>1927</v>
      </c>
      <c r="S144" s="19" t="s">
        <v>0</v>
      </c>
      <c r="T144" s="19" t="s">
        <v>0</v>
      </c>
      <c r="U144" s="19" t="s">
        <v>0</v>
      </c>
      <c r="V144" s="19" t="s">
        <v>0</v>
      </c>
      <c r="W144" s="19" t="s">
        <v>0</v>
      </c>
      <c r="X144" s="19" t="s">
        <v>0</v>
      </c>
    </row>
    <row r="145" spans="1:24" ht="15">
      <c r="A145" s="10">
        <f t="shared" si="4"/>
        <v>46100044</v>
      </c>
      <c r="B145" s="93" t="s">
        <v>1928</v>
      </c>
      <c r="C145" s="4" t="s">
        <v>63</v>
      </c>
      <c r="D145" s="11">
        <f>IFERROR(VLOOKUP(C145,ShipShapeEnum!$E:$F,2,FALSE),"-")</f>
        <v>2</v>
      </c>
      <c r="E145" s="19" t="s">
        <v>1929</v>
      </c>
      <c r="F145" s="4" t="s">
        <v>65</v>
      </c>
      <c r="G145" s="11">
        <f>IFERROR(VLOOKUP(F145,ShipShapeEnum!$B:$C,2,FALSE),"-")</f>
        <v>2</v>
      </c>
      <c r="H145" s="19" t="s">
        <v>736</v>
      </c>
      <c r="I145" s="19" t="s">
        <v>0</v>
      </c>
      <c r="J145" s="19" t="s">
        <v>0</v>
      </c>
      <c r="K145" s="19" t="s">
        <v>0</v>
      </c>
      <c r="L145" s="19" t="s">
        <v>0</v>
      </c>
      <c r="M145" s="4" t="s">
        <v>88</v>
      </c>
      <c r="N145" s="11">
        <f>IFERROR(VLOOKUP(M145,ShipShapeEnum!$H:$I,2,FALSE),"-")</f>
        <v>1</v>
      </c>
      <c r="O145" s="11" t="s">
        <v>0</v>
      </c>
      <c r="P145" s="11" t="s">
        <v>0</v>
      </c>
      <c r="Q145" s="19">
        <v>0</v>
      </c>
      <c r="R145" s="19" t="s">
        <v>1930</v>
      </c>
      <c r="S145" s="19" t="s">
        <v>0</v>
      </c>
      <c r="T145" s="19" t="s">
        <v>0</v>
      </c>
      <c r="U145" s="19" t="s">
        <v>0</v>
      </c>
      <c r="V145" s="19" t="s">
        <v>0</v>
      </c>
      <c r="W145" s="19" t="s">
        <v>0</v>
      </c>
      <c r="X145" s="19" t="s">
        <v>0</v>
      </c>
    </row>
    <row r="146" spans="1:24" ht="15">
      <c r="A146" s="10">
        <f t="shared" si="4"/>
        <v>46100045</v>
      </c>
      <c r="B146" s="93" t="s">
        <v>1931</v>
      </c>
      <c r="C146" s="4" t="s">
        <v>63</v>
      </c>
      <c r="D146" s="11">
        <f>IFERROR(VLOOKUP(C146,ShipShapeEnum!$E:$F,2,FALSE),"-")</f>
        <v>2</v>
      </c>
      <c r="E146" s="19" t="s">
        <v>1932</v>
      </c>
      <c r="F146" s="4" t="s">
        <v>65</v>
      </c>
      <c r="G146" s="11">
        <f>IFERROR(VLOOKUP(F146,ShipShapeEnum!$B:$C,2,FALSE),"-")</f>
        <v>2</v>
      </c>
      <c r="H146" s="19" t="s">
        <v>735</v>
      </c>
      <c r="I146" s="19" t="s">
        <v>0</v>
      </c>
      <c r="J146" s="19" t="s">
        <v>0</v>
      </c>
      <c r="K146" s="19" t="s">
        <v>0</v>
      </c>
      <c r="L146" s="19" t="s">
        <v>0</v>
      </c>
      <c r="M146" s="4" t="s">
        <v>88</v>
      </c>
      <c r="N146" s="11">
        <f>IFERROR(VLOOKUP(M146,ShipShapeEnum!$H:$I,2,FALSE),"-")</f>
        <v>1</v>
      </c>
      <c r="O146" s="11" t="s">
        <v>0</v>
      </c>
      <c r="P146" s="11" t="s">
        <v>0</v>
      </c>
      <c r="Q146" s="19">
        <v>0</v>
      </c>
      <c r="R146" s="19" t="s">
        <v>1933</v>
      </c>
      <c r="S146" s="19" t="s">
        <v>0</v>
      </c>
      <c r="T146" s="19" t="s">
        <v>0</v>
      </c>
      <c r="U146" s="19" t="s">
        <v>0</v>
      </c>
      <c r="V146" s="19" t="s">
        <v>0</v>
      </c>
      <c r="W146" s="19" t="s">
        <v>0</v>
      </c>
      <c r="X146" s="19" t="s">
        <v>0</v>
      </c>
    </row>
    <row r="147" spans="1:24" ht="15">
      <c r="A147" s="10">
        <f t="shared" si="4"/>
        <v>46100046</v>
      </c>
      <c r="B147" s="93" t="s">
        <v>1934</v>
      </c>
      <c r="C147" s="4" t="s">
        <v>63</v>
      </c>
      <c r="D147" s="11">
        <f>IFERROR(VLOOKUP(C147,ShipShapeEnum!$E:$F,2,FALSE),"-")</f>
        <v>2</v>
      </c>
      <c r="E147" s="19" t="s">
        <v>1935</v>
      </c>
      <c r="F147" s="4" t="s">
        <v>65</v>
      </c>
      <c r="G147" s="11">
        <f>IFERROR(VLOOKUP(F147,ShipShapeEnum!$B:$C,2,FALSE),"-")</f>
        <v>2</v>
      </c>
      <c r="H147" s="19" t="s">
        <v>735</v>
      </c>
      <c r="I147" s="19" t="s">
        <v>0</v>
      </c>
      <c r="J147" s="19" t="s">
        <v>0</v>
      </c>
      <c r="K147" s="19" t="s">
        <v>0</v>
      </c>
      <c r="L147" s="19" t="s">
        <v>0</v>
      </c>
      <c r="M147" s="4" t="s">
        <v>88</v>
      </c>
      <c r="N147" s="11">
        <f>IFERROR(VLOOKUP(M147,ShipShapeEnum!$H:$I,2,FALSE),"-")</f>
        <v>1</v>
      </c>
      <c r="O147" s="11" t="s">
        <v>0</v>
      </c>
      <c r="P147" s="11" t="s">
        <v>0</v>
      </c>
      <c r="Q147" s="19">
        <v>0</v>
      </c>
      <c r="R147" s="19" t="s">
        <v>1936</v>
      </c>
      <c r="S147" s="19" t="s">
        <v>0</v>
      </c>
      <c r="T147" s="19" t="s">
        <v>0</v>
      </c>
      <c r="U147" s="19" t="s">
        <v>0</v>
      </c>
      <c r="V147" s="19" t="s">
        <v>0</v>
      </c>
      <c r="W147" s="19" t="s">
        <v>0</v>
      </c>
      <c r="X147" s="19" t="s">
        <v>0</v>
      </c>
    </row>
    <row r="148" spans="1:24" ht="15">
      <c r="A148" s="10">
        <f t="shared" si="4"/>
        <v>46100047</v>
      </c>
      <c r="B148" s="93" t="s">
        <v>1937</v>
      </c>
      <c r="C148" s="4" t="s">
        <v>63</v>
      </c>
      <c r="D148" s="11">
        <f>IFERROR(VLOOKUP(C148,ShipShapeEnum!$E:$F,2,FALSE),"-")</f>
        <v>2</v>
      </c>
      <c r="E148" s="19" t="s">
        <v>1938</v>
      </c>
      <c r="F148" s="4" t="s">
        <v>65</v>
      </c>
      <c r="G148" s="11">
        <f>IFERROR(VLOOKUP(F148,ShipShapeEnum!$B:$C,2,FALSE),"-")</f>
        <v>2</v>
      </c>
      <c r="H148" s="19" t="s">
        <v>735</v>
      </c>
      <c r="I148" s="19" t="s">
        <v>0</v>
      </c>
      <c r="J148" s="19" t="s">
        <v>0</v>
      </c>
      <c r="K148" s="19" t="s">
        <v>0</v>
      </c>
      <c r="L148" s="19" t="s">
        <v>0</v>
      </c>
      <c r="M148" s="4" t="s">
        <v>88</v>
      </c>
      <c r="N148" s="11">
        <f>IFERROR(VLOOKUP(M148,ShipShapeEnum!$H:$I,2,FALSE),"-")</f>
        <v>1</v>
      </c>
      <c r="O148" s="11" t="s">
        <v>0</v>
      </c>
      <c r="P148" s="11" t="s">
        <v>0</v>
      </c>
      <c r="Q148" s="19">
        <v>0</v>
      </c>
      <c r="R148" s="19" t="s">
        <v>1939</v>
      </c>
      <c r="S148" s="19" t="s">
        <v>0</v>
      </c>
      <c r="T148" s="19" t="s">
        <v>0</v>
      </c>
      <c r="U148" s="19" t="s">
        <v>0</v>
      </c>
      <c r="V148" s="19" t="s">
        <v>0</v>
      </c>
      <c r="W148" s="19" t="s">
        <v>0</v>
      </c>
      <c r="X148" s="19" t="s">
        <v>0</v>
      </c>
    </row>
    <row r="149" spans="1:24" ht="15">
      <c r="A149" s="10">
        <f t="shared" si="4"/>
        <v>46100048</v>
      </c>
      <c r="B149" s="93" t="s">
        <v>1940</v>
      </c>
      <c r="C149" s="4" t="s">
        <v>63</v>
      </c>
      <c r="D149" s="11">
        <f>IFERROR(VLOOKUP(C149,ShipShapeEnum!$E:$F,2,FALSE),"-")</f>
        <v>2</v>
      </c>
      <c r="E149" s="19" t="s">
        <v>1941</v>
      </c>
      <c r="F149" s="4" t="s">
        <v>65</v>
      </c>
      <c r="G149" s="11">
        <f>IFERROR(VLOOKUP(F149,ShipShapeEnum!$B:$C,2,FALSE),"-")</f>
        <v>2</v>
      </c>
      <c r="H149" s="19" t="s">
        <v>735</v>
      </c>
      <c r="I149" s="19" t="s">
        <v>0</v>
      </c>
      <c r="J149" s="19" t="s">
        <v>0</v>
      </c>
      <c r="K149" s="19" t="s">
        <v>0</v>
      </c>
      <c r="L149" s="19" t="s">
        <v>0</v>
      </c>
      <c r="M149" s="4" t="s">
        <v>88</v>
      </c>
      <c r="N149" s="11">
        <f>IFERROR(VLOOKUP(M149,ShipShapeEnum!$H:$I,2,FALSE),"-")</f>
        <v>1</v>
      </c>
      <c r="O149" s="11" t="s">
        <v>0</v>
      </c>
      <c r="P149" s="11" t="s">
        <v>0</v>
      </c>
      <c r="Q149" s="19">
        <v>0</v>
      </c>
      <c r="R149" s="19" t="s">
        <v>1942</v>
      </c>
      <c r="S149" s="19" t="s">
        <v>0</v>
      </c>
      <c r="T149" s="19" t="s">
        <v>0</v>
      </c>
      <c r="U149" s="19" t="s">
        <v>0</v>
      </c>
      <c r="V149" s="19" t="s">
        <v>0</v>
      </c>
      <c r="W149" s="19" t="s">
        <v>0</v>
      </c>
      <c r="X149" s="19" t="s">
        <v>0</v>
      </c>
    </row>
    <row r="150" spans="1:24" ht="15">
      <c r="A150" s="10">
        <f t="shared" si="4"/>
        <v>46100049</v>
      </c>
      <c r="B150" s="93" t="s">
        <v>1943</v>
      </c>
      <c r="C150" s="4" t="s">
        <v>63</v>
      </c>
      <c r="D150" s="11">
        <f>IFERROR(VLOOKUP(C150,ShipShapeEnum!$E:$F,2,FALSE),"-")</f>
        <v>2</v>
      </c>
      <c r="E150" s="19" t="s">
        <v>1944</v>
      </c>
      <c r="F150" s="4" t="s">
        <v>65</v>
      </c>
      <c r="G150" s="11">
        <f>IFERROR(VLOOKUP(F150,ShipShapeEnum!$B:$C,2,FALSE),"-")</f>
        <v>2</v>
      </c>
      <c r="H150" s="19" t="s">
        <v>735</v>
      </c>
      <c r="I150" s="19" t="s">
        <v>0</v>
      </c>
      <c r="J150" s="19" t="s">
        <v>0</v>
      </c>
      <c r="K150" s="19" t="s">
        <v>0</v>
      </c>
      <c r="L150" s="19" t="s">
        <v>0</v>
      </c>
      <c r="M150" s="4" t="s">
        <v>88</v>
      </c>
      <c r="N150" s="11">
        <f>IFERROR(VLOOKUP(M150,ShipShapeEnum!$H:$I,2,FALSE),"-")</f>
        <v>1</v>
      </c>
      <c r="O150" s="11" t="s">
        <v>0</v>
      </c>
      <c r="P150" s="11" t="s">
        <v>0</v>
      </c>
      <c r="Q150" s="19">
        <v>0</v>
      </c>
      <c r="R150" s="19" t="s">
        <v>1945</v>
      </c>
      <c r="S150" s="19" t="s">
        <v>0</v>
      </c>
      <c r="T150" s="19" t="s">
        <v>0</v>
      </c>
      <c r="U150" s="19" t="s">
        <v>0</v>
      </c>
      <c r="V150" s="19" t="s">
        <v>0</v>
      </c>
      <c r="W150" s="19" t="s">
        <v>0</v>
      </c>
      <c r="X150" s="19" t="s">
        <v>0</v>
      </c>
    </row>
    <row r="151" spans="1:24" ht="15">
      <c r="A151" s="10">
        <f t="shared" si="4"/>
        <v>46100050</v>
      </c>
      <c r="B151" s="93" t="s">
        <v>1946</v>
      </c>
      <c r="C151" s="4" t="s">
        <v>63</v>
      </c>
      <c r="D151" s="11">
        <f>IFERROR(VLOOKUP(C151,ShipShapeEnum!$E:$F,2,FALSE),"-")</f>
        <v>2</v>
      </c>
      <c r="E151" s="19" t="s">
        <v>1947</v>
      </c>
      <c r="F151" s="4" t="s">
        <v>65</v>
      </c>
      <c r="G151" s="11">
        <f>IFERROR(VLOOKUP(F151,ShipShapeEnum!$B:$C,2,FALSE),"-")</f>
        <v>2</v>
      </c>
      <c r="H151" s="19" t="s">
        <v>735</v>
      </c>
      <c r="I151" s="19" t="s">
        <v>0</v>
      </c>
      <c r="J151" s="19" t="s">
        <v>0</v>
      </c>
      <c r="K151" s="19" t="s">
        <v>0</v>
      </c>
      <c r="L151" s="19" t="s">
        <v>0</v>
      </c>
      <c r="M151" s="4" t="s">
        <v>88</v>
      </c>
      <c r="N151" s="11">
        <f>IFERROR(VLOOKUP(M151,ShipShapeEnum!$H:$I,2,FALSE),"-")</f>
        <v>1</v>
      </c>
      <c r="O151" s="11" t="s">
        <v>0</v>
      </c>
      <c r="P151" s="11" t="s">
        <v>0</v>
      </c>
      <c r="Q151" s="19">
        <v>0</v>
      </c>
      <c r="R151" s="19" t="s">
        <v>1857</v>
      </c>
      <c r="S151" s="19" t="s">
        <v>0</v>
      </c>
      <c r="T151" s="19" t="s">
        <v>0</v>
      </c>
      <c r="U151" s="19" t="s">
        <v>0</v>
      </c>
      <c r="V151" s="19" t="s">
        <v>0</v>
      </c>
      <c r="W151" s="19" t="s">
        <v>0</v>
      </c>
      <c r="X151" s="19" t="s">
        <v>0</v>
      </c>
    </row>
    <row r="152" spans="1:24" ht="15">
      <c r="A152" s="10">
        <f t="shared" si="4"/>
        <v>46100051</v>
      </c>
      <c r="B152" s="93" t="s">
        <v>1948</v>
      </c>
      <c r="C152" s="4" t="s">
        <v>63</v>
      </c>
      <c r="D152" s="11">
        <f>IFERROR(VLOOKUP(C152,ShipShapeEnum!$E:$F,2,FALSE),"-")</f>
        <v>2</v>
      </c>
      <c r="E152" s="19" t="s">
        <v>1949</v>
      </c>
      <c r="F152" s="4" t="s">
        <v>65</v>
      </c>
      <c r="G152" s="11">
        <f>IFERROR(VLOOKUP(F152,ShipShapeEnum!$B:$C,2,FALSE),"-")</f>
        <v>2</v>
      </c>
      <c r="H152" s="19" t="s">
        <v>736</v>
      </c>
      <c r="I152" s="19" t="s">
        <v>0</v>
      </c>
      <c r="J152" s="19" t="s">
        <v>0</v>
      </c>
      <c r="K152" s="19" t="s">
        <v>0</v>
      </c>
      <c r="L152" s="19" t="s">
        <v>0</v>
      </c>
      <c r="M152" s="4" t="s">
        <v>88</v>
      </c>
      <c r="N152" s="11">
        <f>IFERROR(VLOOKUP(M152,ShipShapeEnum!$H:$I,2,FALSE),"-")</f>
        <v>1</v>
      </c>
      <c r="O152" s="11" t="s">
        <v>0</v>
      </c>
      <c r="P152" s="11" t="s">
        <v>0</v>
      </c>
      <c r="Q152" s="19">
        <v>0</v>
      </c>
      <c r="R152" s="19" t="s">
        <v>1950</v>
      </c>
      <c r="S152" s="19" t="s">
        <v>0</v>
      </c>
      <c r="T152" s="19" t="s">
        <v>0</v>
      </c>
      <c r="U152" s="19" t="s">
        <v>0</v>
      </c>
      <c r="V152" s="19" t="s">
        <v>0</v>
      </c>
      <c r="W152" s="19" t="s">
        <v>0</v>
      </c>
      <c r="X152" s="19" t="s">
        <v>0</v>
      </c>
    </row>
    <row r="153" spans="1:24" ht="15">
      <c r="A153" s="10">
        <f t="shared" si="4"/>
        <v>46100052</v>
      </c>
      <c r="B153" s="93" t="s">
        <v>1951</v>
      </c>
      <c r="C153" s="4" t="s">
        <v>63</v>
      </c>
      <c r="D153" s="11">
        <f>IFERROR(VLOOKUP(C153,ShipShapeEnum!$E:$F,2,FALSE),"-")</f>
        <v>2</v>
      </c>
      <c r="E153" s="19" t="s">
        <v>1952</v>
      </c>
      <c r="F153" s="4" t="s">
        <v>65</v>
      </c>
      <c r="G153" s="11">
        <f>IFERROR(VLOOKUP(F153,ShipShapeEnum!$B:$C,2,FALSE),"-")</f>
        <v>2</v>
      </c>
      <c r="H153" s="19" t="s">
        <v>735</v>
      </c>
      <c r="I153" s="19" t="s">
        <v>0</v>
      </c>
      <c r="J153" s="19" t="s">
        <v>0</v>
      </c>
      <c r="K153" s="19" t="s">
        <v>0</v>
      </c>
      <c r="L153" s="19" t="s">
        <v>0</v>
      </c>
      <c r="M153" s="4" t="s">
        <v>88</v>
      </c>
      <c r="N153" s="11">
        <f>IFERROR(VLOOKUP(M153,ShipShapeEnum!$H:$I,2,FALSE),"-")</f>
        <v>1</v>
      </c>
      <c r="O153" s="11" t="s">
        <v>0</v>
      </c>
      <c r="P153" s="11" t="s">
        <v>0</v>
      </c>
      <c r="Q153" s="19">
        <v>0</v>
      </c>
      <c r="R153" s="19" t="s">
        <v>1953</v>
      </c>
      <c r="S153" s="19" t="s">
        <v>0</v>
      </c>
      <c r="T153" s="19" t="s">
        <v>0</v>
      </c>
      <c r="U153" s="19" t="s">
        <v>0</v>
      </c>
      <c r="V153" s="19" t="s">
        <v>0</v>
      </c>
      <c r="W153" s="19" t="s">
        <v>0</v>
      </c>
      <c r="X153" s="19" t="s">
        <v>0</v>
      </c>
    </row>
    <row r="154" spans="1:24" ht="15">
      <c r="A154" s="10">
        <f t="shared" si="4"/>
        <v>46100053</v>
      </c>
      <c r="B154" s="93" t="s">
        <v>1954</v>
      </c>
      <c r="C154" s="4" t="s">
        <v>63</v>
      </c>
      <c r="D154" s="11">
        <f>IFERROR(VLOOKUP(C154,ShipShapeEnum!$E:$F,2,FALSE),"-")</f>
        <v>2</v>
      </c>
      <c r="E154" s="19" t="s">
        <v>1955</v>
      </c>
      <c r="F154" s="4" t="s">
        <v>65</v>
      </c>
      <c r="G154" s="11">
        <f>IFERROR(VLOOKUP(F154,ShipShapeEnum!$B:$C,2,FALSE),"-")</f>
        <v>2</v>
      </c>
      <c r="H154" s="19" t="s">
        <v>735</v>
      </c>
      <c r="I154" s="19" t="s">
        <v>0</v>
      </c>
      <c r="J154" s="19" t="s">
        <v>0</v>
      </c>
      <c r="K154" s="19" t="s">
        <v>0</v>
      </c>
      <c r="L154" s="19" t="s">
        <v>0</v>
      </c>
      <c r="M154" s="4" t="s">
        <v>88</v>
      </c>
      <c r="N154" s="11">
        <f>IFERROR(VLOOKUP(M154,ShipShapeEnum!$H:$I,2,FALSE),"-")</f>
        <v>1</v>
      </c>
      <c r="O154" s="11" t="s">
        <v>0</v>
      </c>
      <c r="P154" s="11" t="s">
        <v>0</v>
      </c>
      <c r="Q154" s="19">
        <v>0</v>
      </c>
      <c r="R154" s="19" t="s">
        <v>1956</v>
      </c>
      <c r="S154" s="19" t="s">
        <v>0</v>
      </c>
      <c r="T154" s="19" t="s">
        <v>0</v>
      </c>
      <c r="U154" s="19" t="s">
        <v>0</v>
      </c>
      <c r="V154" s="19" t="s">
        <v>0</v>
      </c>
      <c r="W154" s="19" t="s">
        <v>0</v>
      </c>
      <c r="X154" s="19" t="s">
        <v>0</v>
      </c>
    </row>
    <row r="155" spans="1:24" ht="15">
      <c r="A155" s="10">
        <f t="shared" si="4"/>
        <v>46100054</v>
      </c>
      <c r="B155" s="93" t="s">
        <v>1957</v>
      </c>
      <c r="C155" s="4" t="s">
        <v>63</v>
      </c>
      <c r="D155" s="11">
        <f>IFERROR(VLOOKUP(C155,ShipShapeEnum!$E:$F,2,FALSE),"-")</f>
        <v>2</v>
      </c>
      <c r="E155" s="19" t="s">
        <v>1958</v>
      </c>
      <c r="F155" s="4" t="s">
        <v>65</v>
      </c>
      <c r="G155" s="11">
        <f>IFERROR(VLOOKUP(F155,ShipShapeEnum!$B:$C,2,FALSE),"-")</f>
        <v>2</v>
      </c>
      <c r="H155" s="19" t="s">
        <v>735</v>
      </c>
      <c r="I155" s="19" t="s">
        <v>0</v>
      </c>
      <c r="J155" s="19" t="s">
        <v>0</v>
      </c>
      <c r="K155" s="19" t="s">
        <v>0</v>
      </c>
      <c r="L155" s="19" t="s">
        <v>0</v>
      </c>
      <c r="M155" s="4" t="s">
        <v>88</v>
      </c>
      <c r="N155" s="11">
        <f>IFERROR(VLOOKUP(M155,ShipShapeEnum!$H:$I,2,FALSE),"-")</f>
        <v>1</v>
      </c>
      <c r="O155" s="11" t="s">
        <v>0</v>
      </c>
      <c r="P155" s="11" t="s">
        <v>0</v>
      </c>
      <c r="Q155" s="19">
        <v>0</v>
      </c>
      <c r="R155" s="19" t="s">
        <v>1959</v>
      </c>
      <c r="S155" s="19" t="s">
        <v>0</v>
      </c>
      <c r="T155" s="19" t="s">
        <v>0</v>
      </c>
      <c r="U155" s="19" t="s">
        <v>0</v>
      </c>
      <c r="V155" s="19" t="s">
        <v>0</v>
      </c>
      <c r="W155" s="19" t="s">
        <v>0</v>
      </c>
      <c r="X155" s="19" t="s">
        <v>0</v>
      </c>
    </row>
    <row r="156" spans="1:24" ht="15">
      <c r="A156" s="10">
        <v>46200001</v>
      </c>
      <c r="B156" s="94" t="s">
        <v>409</v>
      </c>
      <c r="C156" s="4" t="s">
        <v>112</v>
      </c>
      <c r="D156" s="11">
        <f>IFERROR(VLOOKUP(C156,ShipShapeEnum!$E:$F,2,FALSE),"-")</f>
        <v>3</v>
      </c>
      <c r="E156" s="19" t="s">
        <v>165</v>
      </c>
      <c r="F156" s="4" t="s">
        <v>65</v>
      </c>
      <c r="G156" s="11">
        <f>IFERROR(VLOOKUP(F156,ShipShapeEnum!$B:$C,2,FALSE),"-")</f>
        <v>2</v>
      </c>
      <c r="H156" s="19" t="s">
        <v>85</v>
      </c>
      <c r="I156" s="19" t="s">
        <v>99</v>
      </c>
      <c r="J156" s="19" t="s">
        <v>99</v>
      </c>
      <c r="K156" s="19" t="s">
        <v>99</v>
      </c>
      <c r="L156" s="19" t="s">
        <v>99</v>
      </c>
      <c r="M156" s="4" t="s">
        <v>88</v>
      </c>
      <c r="N156" s="11">
        <f>IFERROR(VLOOKUP(M156,ShipShapeEnum!$H:$I,2,FALSE),"-")</f>
        <v>1</v>
      </c>
      <c r="O156" s="11" t="s">
        <v>0</v>
      </c>
      <c r="P156" s="11" t="s">
        <v>0</v>
      </c>
      <c r="Q156" s="19">
        <v>0</v>
      </c>
      <c r="R156" s="19" t="s">
        <v>202</v>
      </c>
      <c r="S156" s="19" t="s">
        <v>96</v>
      </c>
      <c r="T156" s="19" t="s">
        <v>96</v>
      </c>
      <c r="U156" s="19" t="s">
        <v>84</v>
      </c>
      <c r="V156" s="19" t="s">
        <v>100</v>
      </c>
      <c r="W156" s="19" t="s">
        <v>84</v>
      </c>
      <c r="X156" s="19" t="s">
        <v>84</v>
      </c>
    </row>
    <row r="157" spans="1:24" ht="15">
      <c r="A157" s="10">
        <f>A156+1</f>
        <v>46200002</v>
      </c>
      <c r="B157" s="94" t="s">
        <v>330</v>
      </c>
      <c r="C157" s="4" t="s">
        <v>112</v>
      </c>
      <c r="D157" s="11">
        <f>IFERROR(VLOOKUP(C157,ShipShapeEnum!$E:$F,2,FALSE),"-")</f>
        <v>3</v>
      </c>
      <c r="E157" s="19" t="s">
        <v>340</v>
      </c>
      <c r="F157" s="4" t="s">
        <v>65</v>
      </c>
      <c r="G157" s="11">
        <v>2</v>
      </c>
      <c r="H157" s="19" t="s">
        <v>0</v>
      </c>
      <c r="I157" s="19" t="s">
        <v>0</v>
      </c>
      <c r="J157" s="19" t="s">
        <v>0</v>
      </c>
      <c r="K157" s="19" t="s">
        <v>0</v>
      </c>
      <c r="L157" s="19" t="s">
        <v>0</v>
      </c>
      <c r="M157" s="4" t="s">
        <v>88</v>
      </c>
      <c r="N157" s="11">
        <f>IFERROR(VLOOKUP(M157,ShipShapeEnum!$H:$I,2,FALSE),"-")</f>
        <v>1</v>
      </c>
      <c r="O157" s="11" t="s">
        <v>0</v>
      </c>
      <c r="P157" s="11" t="s">
        <v>0</v>
      </c>
      <c r="Q157" s="19">
        <v>0</v>
      </c>
      <c r="R157" s="19" t="s">
        <v>331</v>
      </c>
      <c r="S157" s="19" t="s">
        <v>0</v>
      </c>
      <c r="T157" s="19" t="s">
        <v>0</v>
      </c>
      <c r="U157" s="19" t="s">
        <v>0</v>
      </c>
      <c r="V157" s="19" t="s">
        <v>0</v>
      </c>
      <c r="W157" s="19" t="s">
        <v>0</v>
      </c>
      <c r="X157" s="19" t="s">
        <v>0</v>
      </c>
    </row>
    <row r="158" spans="1:24" ht="15">
      <c r="A158" s="10">
        <f t="shared" ref="A158:A208" si="5">A157+1</f>
        <v>46200003</v>
      </c>
      <c r="B158" s="94" t="s">
        <v>490</v>
      </c>
      <c r="C158" s="4" t="s">
        <v>112</v>
      </c>
      <c r="D158" s="11">
        <f>IFERROR(VLOOKUP(C158,ShipShapeEnum!$E:$F,2,FALSE),"-")</f>
        <v>3</v>
      </c>
      <c r="E158" s="19" t="s">
        <v>340</v>
      </c>
      <c r="F158" s="4" t="s">
        <v>65</v>
      </c>
      <c r="G158" s="11">
        <f>IFERROR(VLOOKUP(F158,ShipShapeEnum!$B:$C,2,FALSE),"-")</f>
        <v>2</v>
      </c>
      <c r="H158" s="19" t="s">
        <v>0</v>
      </c>
      <c r="I158" s="19" t="s">
        <v>0</v>
      </c>
      <c r="J158" s="19" t="s">
        <v>0</v>
      </c>
      <c r="K158" s="19" t="s">
        <v>0</v>
      </c>
      <c r="L158" s="19" t="s">
        <v>0</v>
      </c>
      <c r="M158" s="4" t="s">
        <v>88</v>
      </c>
      <c r="N158" s="11">
        <f>IFERROR(VLOOKUP(M158,ShipShapeEnum!$H:$I,2,FALSE),"-")</f>
        <v>1</v>
      </c>
      <c r="O158" s="11" t="s">
        <v>0</v>
      </c>
      <c r="P158" s="11" t="s">
        <v>0</v>
      </c>
      <c r="Q158" s="19">
        <v>0</v>
      </c>
      <c r="R158" s="19" t="s">
        <v>412</v>
      </c>
      <c r="S158" s="19" t="s">
        <v>0</v>
      </c>
      <c r="T158" s="19" t="s">
        <v>0</v>
      </c>
      <c r="U158" s="19" t="s">
        <v>0</v>
      </c>
      <c r="V158" s="19" t="s">
        <v>0</v>
      </c>
      <c r="W158" s="19" t="s">
        <v>0</v>
      </c>
      <c r="X158" s="19" t="s">
        <v>0</v>
      </c>
    </row>
    <row r="159" spans="1:24" ht="15">
      <c r="A159" s="10">
        <f t="shared" si="5"/>
        <v>46200004</v>
      </c>
      <c r="B159" s="94" t="s">
        <v>414</v>
      </c>
      <c r="C159" s="4" t="s">
        <v>112</v>
      </c>
      <c r="D159" s="11">
        <f>IFERROR(VLOOKUP(C159,ShipShapeEnum!$E:$F,2,FALSE),"-")</f>
        <v>3</v>
      </c>
      <c r="E159" s="19" t="s">
        <v>413</v>
      </c>
      <c r="F159" s="4" t="s">
        <v>65</v>
      </c>
      <c r="G159" s="11">
        <f>IFERROR(VLOOKUP(F159,ShipShapeEnum!$B:$C,2,FALSE),"-")</f>
        <v>2</v>
      </c>
      <c r="H159" s="19" t="s">
        <v>0</v>
      </c>
      <c r="I159" s="19" t="s">
        <v>0</v>
      </c>
      <c r="J159" s="19" t="s">
        <v>0</v>
      </c>
      <c r="K159" s="19" t="s">
        <v>0</v>
      </c>
      <c r="L159" s="19" t="s">
        <v>0</v>
      </c>
      <c r="M159" s="4" t="s">
        <v>88</v>
      </c>
      <c r="N159" s="11">
        <f>IFERROR(VLOOKUP(M159,ShipShapeEnum!$H:$I,2,FALSE),"-")</f>
        <v>1</v>
      </c>
      <c r="O159" s="11" t="s">
        <v>0</v>
      </c>
      <c r="P159" s="11" t="s">
        <v>0</v>
      </c>
      <c r="Q159" s="19">
        <v>0</v>
      </c>
      <c r="R159" s="19" t="s">
        <v>415</v>
      </c>
      <c r="S159" s="19" t="s">
        <v>0</v>
      </c>
      <c r="T159" s="19" t="s">
        <v>0</v>
      </c>
      <c r="U159" s="19" t="s">
        <v>0</v>
      </c>
      <c r="V159" s="19" t="s">
        <v>0</v>
      </c>
      <c r="W159" s="19" t="s">
        <v>0</v>
      </c>
      <c r="X159" s="19" t="s">
        <v>0</v>
      </c>
    </row>
    <row r="160" spans="1:24" ht="15">
      <c r="A160" s="10">
        <f t="shared" si="5"/>
        <v>46200005</v>
      </c>
      <c r="B160" s="94" t="s">
        <v>417</v>
      </c>
      <c r="C160" s="4" t="s">
        <v>112</v>
      </c>
      <c r="D160" s="11">
        <f>IFERROR(VLOOKUP(C160,ShipShapeEnum!$E:$F,2,FALSE),"-")</f>
        <v>3</v>
      </c>
      <c r="E160" s="19" t="s">
        <v>416</v>
      </c>
      <c r="F160" s="4" t="s">
        <v>65</v>
      </c>
      <c r="G160" s="11">
        <f>IFERROR(VLOOKUP(F160,ShipShapeEnum!$B:$C,2,FALSE),"-")</f>
        <v>2</v>
      </c>
      <c r="H160" s="19" t="s">
        <v>0</v>
      </c>
      <c r="I160" s="19" t="s">
        <v>0</v>
      </c>
      <c r="J160" s="19" t="s">
        <v>0</v>
      </c>
      <c r="K160" s="19" t="s">
        <v>0</v>
      </c>
      <c r="L160" s="19" t="s">
        <v>0</v>
      </c>
      <c r="M160" s="4" t="s">
        <v>88</v>
      </c>
      <c r="N160" s="11">
        <f>IFERROR(VLOOKUP(M160,ShipShapeEnum!$H:$I,2,FALSE),"-")</f>
        <v>1</v>
      </c>
      <c r="O160" s="11" t="s">
        <v>0</v>
      </c>
      <c r="P160" s="11" t="s">
        <v>0</v>
      </c>
      <c r="Q160" s="19">
        <v>0</v>
      </c>
      <c r="R160" s="19" t="s">
        <v>418</v>
      </c>
      <c r="S160" s="19" t="s">
        <v>0</v>
      </c>
      <c r="T160" s="19" t="s">
        <v>0</v>
      </c>
      <c r="U160" s="19" t="s">
        <v>0</v>
      </c>
      <c r="V160" s="19" t="s">
        <v>0</v>
      </c>
      <c r="W160" s="19" t="s">
        <v>0</v>
      </c>
      <c r="X160" s="19" t="s">
        <v>0</v>
      </c>
    </row>
    <row r="161" spans="1:24" ht="15">
      <c r="A161" s="10">
        <f t="shared" si="5"/>
        <v>46200006</v>
      </c>
      <c r="B161" s="94" t="s">
        <v>491</v>
      </c>
      <c r="C161" s="4" t="s">
        <v>112</v>
      </c>
      <c r="D161" s="11">
        <f>IFERROR(VLOOKUP(C161,ShipShapeEnum!$E:$F,2,FALSE),"-")</f>
        <v>3</v>
      </c>
      <c r="E161" s="19" t="s">
        <v>419</v>
      </c>
      <c r="F161" s="4" t="s">
        <v>65</v>
      </c>
      <c r="G161" s="11">
        <f>IFERROR(VLOOKUP(F161,ShipShapeEnum!$B:$C,2,FALSE),"-")</f>
        <v>2</v>
      </c>
      <c r="H161" s="19" t="s">
        <v>0</v>
      </c>
      <c r="I161" s="19" t="s">
        <v>0</v>
      </c>
      <c r="J161" s="19" t="s">
        <v>0</v>
      </c>
      <c r="K161" s="19" t="s">
        <v>0</v>
      </c>
      <c r="L161" s="19" t="s">
        <v>0</v>
      </c>
      <c r="M161" s="4" t="s">
        <v>88</v>
      </c>
      <c r="N161" s="11">
        <f>IFERROR(VLOOKUP(M161,ShipShapeEnum!$H:$I,2,FALSE),"-")</f>
        <v>1</v>
      </c>
      <c r="O161" s="11" t="s">
        <v>0</v>
      </c>
      <c r="P161" s="11" t="s">
        <v>0</v>
      </c>
      <c r="Q161" s="19">
        <v>0</v>
      </c>
      <c r="R161" s="19" t="s">
        <v>420</v>
      </c>
      <c r="S161" s="19" t="s">
        <v>0</v>
      </c>
      <c r="T161" s="19" t="s">
        <v>0</v>
      </c>
      <c r="U161" s="19" t="s">
        <v>0</v>
      </c>
      <c r="V161" s="19" t="s">
        <v>0</v>
      </c>
      <c r="W161" s="19" t="s">
        <v>0</v>
      </c>
      <c r="X161" s="19" t="s">
        <v>0</v>
      </c>
    </row>
    <row r="162" spans="1:24" ht="15">
      <c r="A162" s="10">
        <f t="shared" si="5"/>
        <v>46200007</v>
      </c>
      <c r="B162" s="94" t="s">
        <v>421</v>
      </c>
      <c r="C162" s="4" t="s">
        <v>112</v>
      </c>
      <c r="D162" s="11">
        <f>IFERROR(VLOOKUP(C162,ShipShapeEnum!$E:$F,2,FALSE),"-")</f>
        <v>3</v>
      </c>
      <c r="E162" s="19" t="s">
        <v>422</v>
      </c>
      <c r="F162" s="4" t="s">
        <v>65</v>
      </c>
      <c r="G162" s="11">
        <f>IFERROR(VLOOKUP(F162,ShipShapeEnum!$B:$C,2,FALSE),"-")</f>
        <v>2</v>
      </c>
      <c r="H162" s="19" t="s">
        <v>0</v>
      </c>
      <c r="I162" s="19" t="s">
        <v>0</v>
      </c>
      <c r="J162" s="19" t="s">
        <v>0</v>
      </c>
      <c r="K162" s="19" t="s">
        <v>0</v>
      </c>
      <c r="L162" s="19" t="s">
        <v>0</v>
      </c>
      <c r="M162" s="4" t="s">
        <v>88</v>
      </c>
      <c r="N162" s="11">
        <f>IFERROR(VLOOKUP(M162,ShipShapeEnum!$H:$I,2,FALSE),"-")</f>
        <v>1</v>
      </c>
      <c r="O162" s="11" t="s">
        <v>0</v>
      </c>
      <c r="P162" s="11" t="s">
        <v>0</v>
      </c>
      <c r="Q162" s="19">
        <v>0</v>
      </c>
      <c r="R162" s="19" t="s">
        <v>423</v>
      </c>
      <c r="S162" s="19" t="s">
        <v>0</v>
      </c>
      <c r="T162" s="19" t="s">
        <v>0</v>
      </c>
      <c r="U162" s="19" t="s">
        <v>0</v>
      </c>
      <c r="V162" s="19" t="s">
        <v>0</v>
      </c>
      <c r="W162" s="19" t="s">
        <v>0</v>
      </c>
      <c r="X162" s="19" t="s">
        <v>0</v>
      </c>
    </row>
    <row r="163" spans="1:24" ht="15">
      <c r="A163" s="10">
        <f t="shared" si="5"/>
        <v>46200008</v>
      </c>
      <c r="B163" s="94" t="s">
        <v>425</v>
      </c>
      <c r="C163" s="4" t="s">
        <v>112</v>
      </c>
      <c r="D163" s="11">
        <f>IFERROR(VLOOKUP(C163,ShipShapeEnum!$E:$F,2,FALSE),"-")</f>
        <v>3</v>
      </c>
      <c r="E163" s="19" t="s">
        <v>424</v>
      </c>
      <c r="F163" s="4" t="s">
        <v>65</v>
      </c>
      <c r="G163" s="11">
        <f>IFERROR(VLOOKUP(F163,ShipShapeEnum!$B:$C,2,FALSE),"-")</f>
        <v>2</v>
      </c>
      <c r="H163" s="19" t="s">
        <v>0</v>
      </c>
      <c r="I163" s="19" t="s">
        <v>0</v>
      </c>
      <c r="J163" s="19" t="s">
        <v>0</v>
      </c>
      <c r="K163" s="19" t="s">
        <v>0</v>
      </c>
      <c r="L163" s="19" t="s">
        <v>0</v>
      </c>
      <c r="M163" s="4" t="s">
        <v>88</v>
      </c>
      <c r="N163" s="11">
        <f>IFERROR(VLOOKUP(M163,ShipShapeEnum!$H:$I,2,FALSE),"-")</f>
        <v>1</v>
      </c>
      <c r="O163" s="11" t="s">
        <v>0</v>
      </c>
      <c r="P163" s="11" t="s">
        <v>0</v>
      </c>
      <c r="Q163" s="19">
        <v>0</v>
      </c>
      <c r="R163" s="19" t="s">
        <v>426</v>
      </c>
      <c r="S163" s="19" t="s">
        <v>0</v>
      </c>
      <c r="T163" s="19" t="s">
        <v>0</v>
      </c>
      <c r="U163" s="19" t="s">
        <v>0</v>
      </c>
      <c r="V163" s="19" t="s">
        <v>0</v>
      </c>
      <c r="W163" s="19" t="s">
        <v>0</v>
      </c>
      <c r="X163" s="19" t="s">
        <v>0</v>
      </c>
    </row>
    <row r="164" spans="1:24" ht="15">
      <c r="A164" s="10">
        <f t="shared" si="5"/>
        <v>46200009</v>
      </c>
      <c r="B164" s="94" t="s">
        <v>428</v>
      </c>
      <c r="C164" s="4" t="s">
        <v>112</v>
      </c>
      <c r="D164" s="11">
        <f>IFERROR(VLOOKUP(C164,ShipShapeEnum!$E:$F,2,FALSE),"-")</f>
        <v>3</v>
      </c>
      <c r="E164" s="19" t="s">
        <v>427</v>
      </c>
      <c r="F164" s="4" t="s">
        <v>65</v>
      </c>
      <c r="G164" s="11">
        <f>IFERROR(VLOOKUP(F164,ShipShapeEnum!$B:$C,2,FALSE),"-")</f>
        <v>2</v>
      </c>
      <c r="H164" s="19" t="s">
        <v>0</v>
      </c>
      <c r="I164" s="19" t="s">
        <v>0</v>
      </c>
      <c r="J164" s="19" t="s">
        <v>0</v>
      </c>
      <c r="K164" s="19" t="s">
        <v>0</v>
      </c>
      <c r="L164" s="19" t="s">
        <v>0</v>
      </c>
      <c r="M164" s="4" t="s">
        <v>88</v>
      </c>
      <c r="N164" s="11">
        <f>IFERROR(VLOOKUP(M164,ShipShapeEnum!$H:$I,2,FALSE),"-")</f>
        <v>1</v>
      </c>
      <c r="O164" s="11" t="s">
        <v>0</v>
      </c>
      <c r="P164" s="11" t="s">
        <v>0</v>
      </c>
      <c r="Q164" s="19">
        <v>0</v>
      </c>
      <c r="R164" s="19" t="s">
        <v>429</v>
      </c>
      <c r="S164" s="19" t="s">
        <v>0</v>
      </c>
      <c r="T164" s="19" t="s">
        <v>0</v>
      </c>
      <c r="U164" s="19" t="s">
        <v>0</v>
      </c>
      <c r="V164" s="19" t="s">
        <v>0</v>
      </c>
      <c r="W164" s="19" t="s">
        <v>0</v>
      </c>
      <c r="X164" s="19" t="s">
        <v>0</v>
      </c>
    </row>
    <row r="165" spans="1:24" ht="15">
      <c r="A165" s="10">
        <f t="shared" si="5"/>
        <v>46200010</v>
      </c>
      <c r="B165" s="94" t="s">
        <v>430</v>
      </c>
      <c r="C165" s="4" t="s">
        <v>112</v>
      </c>
      <c r="D165" s="11">
        <f>IFERROR(VLOOKUP(C165,ShipShapeEnum!$E:$F,2,FALSE),"-")</f>
        <v>3</v>
      </c>
      <c r="E165" s="19" t="s">
        <v>431</v>
      </c>
      <c r="F165" s="4" t="s">
        <v>65</v>
      </c>
      <c r="G165" s="11">
        <f>IFERROR(VLOOKUP(F165,ShipShapeEnum!$B:$C,2,FALSE),"-")</f>
        <v>2</v>
      </c>
      <c r="H165" s="19" t="s">
        <v>0</v>
      </c>
      <c r="I165" s="19" t="s">
        <v>0</v>
      </c>
      <c r="J165" s="19" t="s">
        <v>0</v>
      </c>
      <c r="K165" s="19" t="s">
        <v>0</v>
      </c>
      <c r="L165" s="19" t="s">
        <v>0</v>
      </c>
      <c r="M165" s="4" t="s">
        <v>88</v>
      </c>
      <c r="N165" s="11">
        <f>IFERROR(VLOOKUP(M165,ShipShapeEnum!$H:$I,2,FALSE),"-")</f>
        <v>1</v>
      </c>
      <c r="O165" s="11" t="s">
        <v>0</v>
      </c>
      <c r="P165" s="11" t="s">
        <v>0</v>
      </c>
      <c r="Q165" s="19">
        <v>0</v>
      </c>
      <c r="R165" s="19" t="s">
        <v>432</v>
      </c>
      <c r="S165" s="19" t="s">
        <v>0</v>
      </c>
      <c r="T165" s="19" t="s">
        <v>0</v>
      </c>
      <c r="U165" s="19" t="s">
        <v>0</v>
      </c>
      <c r="V165" s="19" t="s">
        <v>0</v>
      </c>
      <c r="W165" s="19" t="s">
        <v>0</v>
      </c>
      <c r="X165" s="19" t="s">
        <v>0</v>
      </c>
    </row>
    <row r="166" spans="1:24" ht="15">
      <c r="A166" s="10">
        <f t="shared" si="5"/>
        <v>46200011</v>
      </c>
      <c r="B166" s="94" t="s">
        <v>433</v>
      </c>
      <c r="C166" s="4" t="s">
        <v>112</v>
      </c>
      <c r="D166" s="11">
        <f>IFERROR(VLOOKUP(C166,ShipShapeEnum!$E:$F,2,FALSE),"-")</f>
        <v>3</v>
      </c>
      <c r="E166" s="19" t="s">
        <v>434</v>
      </c>
      <c r="F166" s="4" t="s">
        <v>65</v>
      </c>
      <c r="G166" s="11">
        <f>IFERROR(VLOOKUP(F166,ShipShapeEnum!$B:$C,2,FALSE),"-")</f>
        <v>2</v>
      </c>
      <c r="H166" s="19" t="s">
        <v>0</v>
      </c>
      <c r="I166" s="19" t="s">
        <v>0</v>
      </c>
      <c r="J166" s="19" t="s">
        <v>0</v>
      </c>
      <c r="K166" s="19" t="s">
        <v>0</v>
      </c>
      <c r="L166" s="19" t="s">
        <v>0</v>
      </c>
      <c r="M166" s="4" t="s">
        <v>88</v>
      </c>
      <c r="N166" s="11">
        <f>IFERROR(VLOOKUP(M166,ShipShapeEnum!$H:$I,2,FALSE),"-")</f>
        <v>1</v>
      </c>
      <c r="O166" s="11" t="s">
        <v>0</v>
      </c>
      <c r="P166" s="11" t="s">
        <v>0</v>
      </c>
      <c r="Q166" s="19">
        <v>0</v>
      </c>
      <c r="R166" s="19" t="s">
        <v>435</v>
      </c>
      <c r="S166" s="19" t="s">
        <v>0</v>
      </c>
      <c r="T166" s="19" t="s">
        <v>0</v>
      </c>
      <c r="U166" s="19" t="s">
        <v>0</v>
      </c>
      <c r="V166" s="19" t="s">
        <v>0</v>
      </c>
      <c r="W166" s="19" t="s">
        <v>0</v>
      </c>
      <c r="X166" s="19" t="s">
        <v>0</v>
      </c>
    </row>
    <row r="167" spans="1:24" ht="15">
      <c r="A167" s="10">
        <f t="shared" si="5"/>
        <v>46200012</v>
      </c>
      <c r="B167" s="94" t="s">
        <v>437</v>
      </c>
      <c r="C167" s="4" t="s">
        <v>112</v>
      </c>
      <c r="D167" s="11">
        <f>IFERROR(VLOOKUP(C167,ShipShapeEnum!$E:$F,2,FALSE),"-")</f>
        <v>3</v>
      </c>
      <c r="E167" s="19" t="s">
        <v>436</v>
      </c>
      <c r="F167" s="4" t="s">
        <v>65</v>
      </c>
      <c r="G167" s="11">
        <f>IFERROR(VLOOKUP(F167,ShipShapeEnum!$B:$C,2,FALSE),"-")</f>
        <v>2</v>
      </c>
      <c r="H167" s="19" t="s">
        <v>0</v>
      </c>
      <c r="I167" s="19" t="s">
        <v>0</v>
      </c>
      <c r="J167" s="19" t="s">
        <v>0</v>
      </c>
      <c r="K167" s="19" t="s">
        <v>0</v>
      </c>
      <c r="L167" s="19" t="s">
        <v>0</v>
      </c>
      <c r="M167" s="4" t="s">
        <v>88</v>
      </c>
      <c r="N167" s="11">
        <f>IFERROR(VLOOKUP(M167,ShipShapeEnum!$H:$I,2,FALSE),"-")</f>
        <v>1</v>
      </c>
      <c r="O167" s="11" t="s">
        <v>0</v>
      </c>
      <c r="P167" s="11" t="s">
        <v>0</v>
      </c>
      <c r="Q167" s="19">
        <v>0</v>
      </c>
      <c r="R167" s="19" t="s">
        <v>438</v>
      </c>
      <c r="S167" s="19" t="s">
        <v>0</v>
      </c>
      <c r="T167" s="19" t="s">
        <v>0</v>
      </c>
      <c r="U167" s="19" t="s">
        <v>0</v>
      </c>
      <c r="V167" s="19" t="s">
        <v>0</v>
      </c>
      <c r="W167" s="19" t="s">
        <v>0</v>
      </c>
      <c r="X167" s="19" t="s">
        <v>0</v>
      </c>
    </row>
    <row r="168" spans="1:24" ht="15">
      <c r="A168" s="10">
        <f t="shared" si="5"/>
        <v>46200013</v>
      </c>
      <c r="B168" s="94" t="s">
        <v>488</v>
      </c>
      <c r="C168" s="4" t="s">
        <v>112</v>
      </c>
      <c r="D168" s="11">
        <f>IFERROR(VLOOKUP(C168,ShipShapeEnum!$E:$F,2,FALSE),"-")</f>
        <v>3</v>
      </c>
      <c r="E168" s="19" t="s">
        <v>487</v>
      </c>
      <c r="F168" s="4" t="s">
        <v>65</v>
      </c>
      <c r="G168" s="11">
        <f>IFERROR(VLOOKUP(F168,ShipShapeEnum!$B:$C,2,FALSE),"-")</f>
        <v>2</v>
      </c>
      <c r="H168" s="19" t="s">
        <v>0</v>
      </c>
      <c r="I168" s="19" t="s">
        <v>0</v>
      </c>
      <c r="J168" s="19" t="s">
        <v>0</v>
      </c>
      <c r="K168" s="19" t="s">
        <v>0</v>
      </c>
      <c r="L168" s="19" t="s">
        <v>0</v>
      </c>
      <c r="M168" s="4" t="s">
        <v>88</v>
      </c>
      <c r="N168" s="11">
        <f>IFERROR(VLOOKUP(M168,ShipShapeEnum!$H:$I,2,FALSE),"-")</f>
        <v>1</v>
      </c>
      <c r="O168" s="11" t="s">
        <v>0</v>
      </c>
      <c r="P168" s="11" t="s">
        <v>0</v>
      </c>
      <c r="Q168" s="19">
        <v>0</v>
      </c>
      <c r="R168" s="19" t="s">
        <v>489</v>
      </c>
      <c r="S168" s="19" t="s">
        <v>0</v>
      </c>
      <c r="T168" s="19" t="s">
        <v>0</v>
      </c>
      <c r="U168" s="19" t="s">
        <v>0</v>
      </c>
      <c r="V168" s="19" t="s">
        <v>0</v>
      </c>
      <c r="W168" s="19" t="s">
        <v>0</v>
      </c>
      <c r="X168" s="19" t="s">
        <v>0</v>
      </c>
    </row>
    <row r="169" spans="1:24" ht="15">
      <c r="A169" s="10">
        <f t="shared" si="5"/>
        <v>46200014</v>
      </c>
      <c r="B169" s="94" t="s">
        <v>439</v>
      </c>
      <c r="C169" s="4" t="s">
        <v>112</v>
      </c>
      <c r="D169" s="11">
        <f>IFERROR(VLOOKUP(C169,ShipShapeEnum!$E:$F,2,FALSE),"-")</f>
        <v>3</v>
      </c>
      <c r="E169" s="19" t="s">
        <v>440</v>
      </c>
      <c r="F169" s="4" t="s">
        <v>65</v>
      </c>
      <c r="G169" s="11">
        <f>IFERROR(VLOOKUP(F169,ShipShapeEnum!$B:$C,2,FALSE),"-")</f>
        <v>2</v>
      </c>
      <c r="H169" s="19" t="s">
        <v>0</v>
      </c>
      <c r="I169" s="19" t="s">
        <v>0</v>
      </c>
      <c r="J169" s="19" t="s">
        <v>0</v>
      </c>
      <c r="K169" s="19" t="s">
        <v>0</v>
      </c>
      <c r="L169" s="19" t="s">
        <v>0</v>
      </c>
      <c r="M169" s="4" t="s">
        <v>88</v>
      </c>
      <c r="N169" s="11">
        <f>IFERROR(VLOOKUP(M169,ShipShapeEnum!$H:$I,2,FALSE),"-")</f>
        <v>1</v>
      </c>
      <c r="O169" s="11" t="s">
        <v>0</v>
      </c>
      <c r="P169" s="11" t="s">
        <v>0</v>
      </c>
      <c r="Q169" s="19">
        <v>0</v>
      </c>
      <c r="R169" s="19" t="s">
        <v>441</v>
      </c>
      <c r="S169" s="19" t="s">
        <v>0</v>
      </c>
      <c r="T169" s="19" t="s">
        <v>0</v>
      </c>
      <c r="U169" s="19" t="s">
        <v>0</v>
      </c>
      <c r="V169" s="19" t="s">
        <v>0</v>
      </c>
      <c r="W169" s="19" t="s">
        <v>0</v>
      </c>
      <c r="X169" s="19" t="s">
        <v>0</v>
      </c>
    </row>
    <row r="170" spans="1:24" ht="15">
      <c r="A170" s="10">
        <f t="shared" si="5"/>
        <v>46200015</v>
      </c>
      <c r="B170" s="94" t="s">
        <v>442</v>
      </c>
      <c r="C170" s="4" t="s">
        <v>112</v>
      </c>
      <c r="D170" s="11">
        <f>IFERROR(VLOOKUP(C170,ShipShapeEnum!$E:$F,2,FALSE),"-")</f>
        <v>3</v>
      </c>
      <c r="E170" s="19" t="s">
        <v>443</v>
      </c>
      <c r="F170" s="4" t="s">
        <v>65</v>
      </c>
      <c r="G170" s="11">
        <f>IFERROR(VLOOKUP(F170,ShipShapeEnum!$B:$C,2,FALSE),"-")</f>
        <v>2</v>
      </c>
      <c r="H170" s="19" t="s">
        <v>0</v>
      </c>
      <c r="I170" s="19" t="s">
        <v>0</v>
      </c>
      <c r="J170" s="19" t="s">
        <v>0</v>
      </c>
      <c r="K170" s="19" t="s">
        <v>0</v>
      </c>
      <c r="L170" s="19" t="s">
        <v>0</v>
      </c>
      <c r="M170" s="4" t="s">
        <v>88</v>
      </c>
      <c r="N170" s="11">
        <f>IFERROR(VLOOKUP(M170,ShipShapeEnum!$H:$I,2,FALSE),"-")</f>
        <v>1</v>
      </c>
      <c r="O170" s="11" t="s">
        <v>0</v>
      </c>
      <c r="P170" s="11" t="s">
        <v>0</v>
      </c>
      <c r="Q170" s="19">
        <v>0</v>
      </c>
      <c r="R170" s="19" t="s">
        <v>444</v>
      </c>
      <c r="S170" s="19" t="s">
        <v>0</v>
      </c>
      <c r="T170" s="19" t="s">
        <v>0</v>
      </c>
      <c r="U170" s="19" t="s">
        <v>0</v>
      </c>
      <c r="V170" s="19" t="s">
        <v>0</v>
      </c>
      <c r="W170" s="19" t="s">
        <v>0</v>
      </c>
      <c r="X170" s="19" t="s">
        <v>0</v>
      </c>
    </row>
    <row r="171" spans="1:24" ht="15">
      <c r="A171" s="10">
        <f t="shared" si="5"/>
        <v>46200016</v>
      </c>
      <c r="B171" s="94" t="s">
        <v>445</v>
      </c>
      <c r="C171" s="4" t="s">
        <v>112</v>
      </c>
      <c r="D171" s="11">
        <f>IFERROR(VLOOKUP(C171,ShipShapeEnum!$E:$F,2,FALSE),"-")</f>
        <v>3</v>
      </c>
      <c r="E171" s="19" t="s">
        <v>446</v>
      </c>
      <c r="F171" s="4" t="s">
        <v>65</v>
      </c>
      <c r="G171" s="11">
        <f>IFERROR(VLOOKUP(F171,ShipShapeEnum!$B:$C,2,FALSE),"-")</f>
        <v>2</v>
      </c>
      <c r="H171" s="19" t="s">
        <v>0</v>
      </c>
      <c r="I171" s="19" t="s">
        <v>0</v>
      </c>
      <c r="J171" s="19" t="s">
        <v>0</v>
      </c>
      <c r="K171" s="19" t="s">
        <v>0</v>
      </c>
      <c r="L171" s="19" t="s">
        <v>0</v>
      </c>
      <c r="M171" s="4" t="s">
        <v>88</v>
      </c>
      <c r="N171" s="11">
        <f>IFERROR(VLOOKUP(M171,ShipShapeEnum!$H:$I,2,FALSE),"-")</f>
        <v>1</v>
      </c>
      <c r="O171" s="11" t="s">
        <v>0</v>
      </c>
      <c r="P171" s="11" t="s">
        <v>0</v>
      </c>
      <c r="Q171" s="19">
        <v>0</v>
      </c>
      <c r="R171" s="19" t="s">
        <v>447</v>
      </c>
      <c r="S171" s="19" t="s">
        <v>0</v>
      </c>
      <c r="T171" s="19" t="s">
        <v>0</v>
      </c>
      <c r="U171" s="19" t="s">
        <v>0</v>
      </c>
      <c r="V171" s="19" t="s">
        <v>0</v>
      </c>
      <c r="W171" s="19" t="s">
        <v>0</v>
      </c>
      <c r="X171" s="19" t="s">
        <v>0</v>
      </c>
    </row>
    <row r="172" spans="1:24" ht="15">
      <c r="A172" s="10">
        <f t="shared" si="5"/>
        <v>46200017</v>
      </c>
      <c r="B172" s="94" t="s">
        <v>448</v>
      </c>
      <c r="C172" s="4" t="s">
        <v>112</v>
      </c>
      <c r="D172" s="11">
        <f>IFERROR(VLOOKUP(C172,ShipShapeEnum!$E:$F,2,FALSE),"-")</f>
        <v>3</v>
      </c>
      <c r="E172" s="19" t="s">
        <v>449</v>
      </c>
      <c r="F172" s="4" t="s">
        <v>65</v>
      </c>
      <c r="G172" s="11">
        <f>IFERROR(VLOOKUP(F172,ShipShapeEnum!$B:$C,2,FALSE),"-")</f>
        <v>2</v>
      </c>
      <c r="H172" s="19" t="s">
        <v>0</v>
      </c>
      <c r="I172" s="19" t="s">
        <v>0</v>
      </c>
      <c r="J172" s="19" t="s">
        <v>0</v>
      </c>
      <c r="K172" s="19" t="s">
        <v>0</v>
      </c>
      <c r="L172" s="19" t="s">
        <v>0</v>
      </c>
      <c r="M172" s="4" t="s">
        <v>88</v>
      </c>
      <c r="N172" s="11">
        <f>IFERROR(VLOOKUP(M172,ShipShapeEnum!$H:$I,2,FALSE),"-")</f>
        <v>1</v>
      </c>
      <c r="O172" s="11" t="s">
        <v>0</v>
      </c>
      <c r="P172" s="11" t="s">
        <v>0</v>
      </c>
      <c r="Q172" s="19">
        <v>0</v>
      </c>
      <c r="R172" s="19" t="s">
        <v>450</v>
      </c>
      <c r="S172" s="19" t="s">
        <v>0</v>
      </c>
      <c r="T172" s="19" t="s">
        <v>0</v>
      </c>
      <c r="U172" s="19" t="s">
        <v>0</v>
      </c>
      <c r="V172" s="19" t="s">
        <v>0</v>
      </c>
      <c r="W172" s="19" t="s">
        <v>0</v>
      </c>
      <c r="X172" s="19" t="s">
        <v>0</v>
      </c>
    </row>
    <row r="173" spans="1:24" ht="15">
      <c r="A173" s="10">
        <f t="shared" si="5"/>
        <v>46200018</v>
      </c>
      <c r="B173" s="94" t="s">
        <v>452</v>
      </c>
      <c r="C173" s="4" t="s">
        <v>112</v>
      </c>
      <c r="D173" s="11">
        <f>IFERROR(VLOOKUP(C173,ShipShapeEnum!$E:$F,2,FALSE),"-")</f>
        <v>3</v>
      </c>
      <c r="E173" s="19" t="s">
        <v>451</v>
      </c>
      <c r="F173" s="4" t="s">
        <v>65</v>
      </c>
      <c r="G173" s="11">
        <f>IFERROR(VLOOKUP(F173,ShipShapeEnum!$B:$C,2,FALSE),"-")</f>
        <v>2</v>
      </c>
      <c r="H173" s="19" t="s">
        <v>0</v>
      </c>
      <c r="I173" s="19" t="s">
        <v>0</v>
      </c>
      <c r="J173" s="19" t="s">
        <v>0</v>
      </c>
      <c r="K173" s="19" t="s">
        <v>0</v>
      </c>
      <c r="L173" s="19" t="s">
        <v>0</v>
      </c>
      <c r="M173" s="4" t="s">
        <v>88</v>
      </c>
      <c r="N173" s="11">
        <f>IFERROR(VLOOKUP(M173,ShipShapeEnum!$H:$I,2,FALSE),"-")</f>
        <v>1</v>
      </c>
      <c r="O173" s="11" t="s">
        <v>0</v>
      </c>
      <c r="P173" s="11" t="s">
        <v>0</v>
      </c>
      <c r="Q173" s="19">
        <v>0</v>
      </c>
      <c r="R173" s="19" t="s">
        <v>453</v>
      </c>
      <c r="S173" s="19" t="s">
        <v>0</v>
      </c>
      <c r="T173" s="19" t="s">
        <v>0</v>
      </c>
      <c r="U173" s="19" t="s">
        <v>0</v>
      </c>
      <c r="V173" s="19" t="s">
        <v>0</v>
      </c>
      <c r="W173" s="19" t="s">
        <v>0</v>
      </c>
      <c r="X173" s="19" t="s">
        <v>0</v>
      </c>
    </row>
    <row r="174" spans="1:24" ht="15">
      <c r="A174" s="10">
        <f t="shared" si="5"/>
        <v>46200019</v>
      </c>
      <c r="B174" s="94" t="s">
        <v>454</v>
      </c>
      <c r="C174" s="4" t="s">
        <v>112</v>
      </c>
      <c r="D174" s="11">
        <f>IFERROR(VLOOKUP(C174,ShipShapeEnum!$E:$F,2,FALSE),"-")</f>
        <v>3</v>
      </c>
      <c r="E174" s="19" t="s">
        <v>455</v>
      </c>
      <c r="F174" s="4" t="s">
        <v>65</v>
      </c>
      <c r="G174" s="11">
        <f>IFERROR(VLOOKUP(F174,ShipShapeEnum!$B:$C,2,FALSE),"-")</f>
        <v>2</v>
      </c>
      <c r="H174" s="19" t="s">
        <v>0</v>
      </c>
      <c r="I174" s="19" t="s">
        <v>0</v>
      </c>
      <c r="J174" s="19" t="s">
        <v>0</v>
      </c>
      <c r="K174" s="19" t="s">
        <v>0</v>
      </c>
      <c r="L174" s="19" t="s">
        <v>0</v>
      </c>
      <c r="M174" s="4" t="s">
        <v>88</v>
      </c>
      <c r="N174" s="11">
        <f>IFERROR(VLOOKUP(M174,ShipShapeEnum!$H:$I,2,FALSE),"-")</f>
        <v>1</v>
      </c>
      <c r="O174" s="11" t="s">
        <v>0</v>
      </c>
      <c r="P174" s="11" t="s">
        <v>0</v>
      </c>
      <c r="Q174" s="19">
        <v>0</v>
      </c>
      <c r="R174" s="19" t="s">
        <v>456</v>
      </c>
      <c r="S174" s="19" t="s">
        <v>0</v>
      </c>
      <c r="T174" s="19" t="s">
        <v>0</v>
      </c>
      <c r="U174" s="19" t="s">
        <v>0</v>
      </c>
      <c r="V174" s="19" t="s">
        <v>0</v>
      </c>
      <c r="W174" s="19" t="s">
        <v>0</v>
      </c>
      <c r="X174" s="19" t="s">
        <v>0</v>
      </c>
    </row>
    <row r="175" spans="1:24" ht="15">
      <c r="A175" s="10">
        <f t="shared" si="5"/>
        <v>46200020</v>
      </c>
      <c r="B175" s="94" t="s">
        <v>457</v>
      </c>
      <c r="C175" s="4" t="s">
        <v>112</v>
      </c>
      <c r="D175" s="11">
        <f>IFERROR(VLOOKUP(C175,ShipShapeEnum!$E:$F,2,FALSE),"-")</f>
        <v>3</v>
      </c>
      <c r="E175" s="19" t="s">
        <v>458</v>
      </c>
      <c r="F175" s="4" t="s">
        <v>65</v>
      </c>
      <c r="G175" s="11">
        <f>IFERROR(VLOOKUP(F175,ShipShapeEnum!$B:$C,2,FALSE),"-")</f>
        <v>2</v>
      </c>
      <c r="H175" s="19" t="s">
        <v>0</v>
      </c>
      <c r="I175" s="19" t="s">
        <v>0</v>
      </c>
      <c r="J175" s="19" t="s">
        <v>0</v>
      </c>
      <c r="K175" s="19" t="s">
        <v>0</v>
      </c>
      <c r="L175" s="19" t="s">
        <v>0</v>
      </c>
      <c r="M175" s="4" t="s">
        <v>88</v>
      </c>
      <c r="N175" s="11">
        <f>IFERROR(VLOOKUP(M175,ShipShapeEnum!$H:$I,2,FALSE),"-")</f>
        <v>1</v>
      </c>
      <c r="O175" s="11" t="s">
        <v>0</v>
      </c>
      <c r="P175" s="11" t="s">
        <v>0</v>
      </c>
      <c r="Q175" s="19">
        <v>0</v>
      </c>
      <c r="R175" s="19" t="s">
        <v>459</v>
      </c>
      <c r="S175" s="19" t="s">
        <v>0</v>
      </c>
      <c r="T175" s="19" t="s">
        <v>0</v>
      </c>
      <c r="U175" s="19" t="s">
        <v>0</v>
      </c>
      <c r="V175" s="19" t="s">
        <v>0</v>
      </c>
      <c r="W175" s="19" t="s">
        <v>0</v>
      </c>
      <c r="X175" s="19" t="s">
        <v>0</v>
      </c>
    </row>
    <row r="176" spans="1:24" ht="15">
      <c r="A176" s="10">
        <f t="shared" si="5"/>
        <v>46200021</v>
      </c>
      <c r="B176" s="94" t="s">
        <v>460</v>
      </c>
      <c r="C176" s="4" t="s">
        <v>112</v>
      </c>
      <c r="D176" s="11">
        <f>IFERROR(VLOOKUP(C176,ShipShapeEnum!$E:$F,2,FALSE),"-")</f>
        <v>3</v>
      </c>
      <c r="E176" s="19" t="s">
        <v>461</v>
      </c>
      <c r="F176" s="4" t="s">
        <v>65</v>
      </c>
      <c r="G176" s="11">
        <f>IFERROR(VLOOKUP(F176,ShipShapeEnum!$B:$C,2,FALSE),"-")</f>
        <v>2</v>
      </c>
      <c r="H176" s="19" t="s">
        <v>0</v>
      </c>
      <c r="I176" s="19" t="s">
        <v>0</v>
      </c>
      <c r="J176" s="19" t="s">
        <v>0</v>
      </c>
      <c r="K176" s="19" t="s">
        <v>0</v>
      </c>
      <c r="L176" s="19" t="s">
        <v>0</v>
      </c>
      <c r="M176" s="4" t="s">
        <v>88</v>
      </c>
      <c r="N176" s="11">
        <f>IFERROR(VLOOKUP(M176,ShipShapeEnum!$H:$I,2,FALSE),"-")</f>
        <v>1</v>
      </c>
      <c r="O176" s="11" t="s">
        <v>0</v>
      </c>
      <c r="P176" s="11" t="s">
        <v>0</v>
      </c>
      <c r="Q176" s="19">
        <v>0</v>
      </c>
      <c r="R176" s="19" t="s">
        <v>462</v>
      </c>
      <c r="S176" s="19" t="s">
        <v>0</v>
      </c>
      <c r="T176" s="19" t="s">
        <v>0</v>
      </c>
      <c r="U176" s="19" t="s">
        <v>0</v>
      </c>
      <c r="V176" s="19" t="s">
        <v>0</v>
      </c>
      <c r="W176" s="19" t="s">
        <v>0</v>
      </c>
      <c r="X176" s="19" t="s">
        <v>0</v>
      </c>
    </row>
    <row r="177" spans="1:24" ht="15">
      <c r="A177" s="10">
        <f t="shared" si="5"/>
        <v>46200022</v>
      </c>
      <c r="B177" s="94" t="s">
        <v>463</v>
      </c>
      <c r="C177" s="4" t="s">
        <v>112</v>
      </c>
      <c r="D177" s="11">
        <f>IFERROR(VLOOKUP(C177,ShipShapeEnum!$E:$F,2,FALSE),"-")</f>
        <v>3</v>
      </c>
      <c r="E177" s="19" t="s">
        <v>464</v>
      </c>
      <c r="F177" s="4" t="s">
        <v>65</v>
      </c>
      <c r="G177" s="11">
        <f>IFERROR(VLOOKUP(F177,ShipShapeEnum!$B:$C,2,FALSE),"-")</f>
        <v>2</v>
      </c>
      <c r="H177" s="19" t="s">
        <v>0</v>
      </c>
      <c r="I177" s="19" t="s">
        <v>0</v>
      </c>
      <c r="J177" s="19" t="s">
        <v>0</v>
      </c>
      <c r="K177" s="19" t="s">
        <v>0</v>
      </c>
      <c r="L177" s="19" t="s">
        <v>0</v>
      </c>
      <c r="M177" s="4" t="s">
        <v>88</v>
      </c>
      <c r="N177" s="11">
        <f>IFERROR(VLOOKUP(M177,ShipShapeEnum!$H:$I,2,FALSE),"-")</f>
        <v>1</v>
      </c>
      <c r="O177" s="11" t="s">
        <v>0</v>
      </c>
      <c r="P177" s="11" t="s">
        <v>0</v>
      </c>
      <c r="Q177" s="19">
        <v>0</v>
      </c>
      <c r="R177" s="19" t="s">
        <v>465</v>
      </c>
      <c r="S177" s="19" t="s">
        <v>0</v>
      </c>
      <c r="T177" s="19" t="s">
        <v>0</v>
      </c>
      <c r="U177" s="19" t="s">
        <v>0</v>
      </c>
      <c r="V177" s="19" t="s">
        <v>0</v>
      </c>
      <c r="W177" s="19" t="s">
        <v>0</v>
      </c>
      <c r="X177" s="19" t="s">
        <v>0</v>
      </c>
    </row>
    <row r="178" spans="1:24" ht="15">
      <c r="A178" s="10">
        <f t="shared" si="5"/>
        <v>46200023</v>
      </c>
      <c r="B178" s="94" t="s">
        <v>466</v>
      </c>
      <c r="C178" s="4" t="s">
        <v>112</v>
      </c>
      <c r="D178" s="11">
        <f>IFERROR(VLOOKUP(C178,ShipShapeEnum!$E:$F,2,FALSE),"-")</f>
        <v>3</v>
      </c>
      <c r="E178" s="19" t="s">
        <v>467</v>
      </c>
      <c r="F178" s="4" t="s">
        <v>65</v>
      </c>
      <c r="G178" s="11">
        <f>IFERROR(VLOOKUP(F178,ShipShapeEnum!$B:$C,2,FALSE),"-")</f>
        <v>2</v>
      </c>
      <c r="H178" s="19" t="s">
        <v>0</v>
      </c>
      <c r="I178" s="19" t="s">
        <v>0</v>
      </c>
      <c r="J178" s="19" t="s">
        <v>0</v>
      </c>
      <c r="K178" s="19" t="s">
        <v>0</v>
      </c>
      <c r="L178" s="19" t="s">
        <v>0</v>
      </c>
      <c r="M178" s="4" t="s">
        <v>88</v>
      </c>
      <c r="N178" s="11">
        <f>IFERROR(VLOOKUP(M178,ShipShapeEnum!$H:$I,2,FALSE),"-")</f>
        <v>1</v>
      </c>
      <c r="O178" s="11" t="s">
        <v>0</v>
      </c>
      <c r="P178" s="11" t="s">
        <v>0</v>
      </c>
      <c r="Q178" s="19">
        <v>0</v>
      </c>
      <c r="R178" s="19" t="s">
        <v>468</v>
      </c>
      <c r="S178" s="19" t="s">
        <v>0</v>
      </c>
      <c r="T178" s="19" t="s">
        <v>0</v>
      </c>
      <c r="U178" s="19" t="s">
        <v>0</v>
      </c>
      <c r="V178" s="19" t="s">
        <v>0</v>
      </c>
      <c r="W178" s="19" t="s">
        <v>0</v>
      </c>
      <c r="X178" s="19" t="s">
        <v>0</v>
      </c>
    </row>
    <row r="179" spans="1:24" ht="15">
      <c r="A179" s="10">
        <f t="shared" si="5"/>
        <v>46200024</v>
      </c>
      <c r="B179" s="94" t="s">
        <v>469</v>
      </c>
      <c r="C179" s="4" t="s">
        <v>112</v>
      </c>
      <c r="D179" s="11">
        <f>IFERROR(VLOOKUP(C179,ShipShapeEnum!$E:$F,2,FALSE),"-")</f>
        <v>3</v>
      </c>
      <c r="E179" s="19" t="s">
        <v>470</v>
      </c>
      <c r="F179" s="4" t="s">
        <v>65</v>
      </c>
      <c r="G179" s="11">
        <f>IFERROR(VLOOKUP(F179,ShipShapeEnum!$B:$C,2,FALSE),"-")</f>
        <v>2</v>
      </c>
      <c r="H179" s="19" t="s">
        <v>0</v>
      </c>
      <c r="I179" s="19" t="s">
        <v>0</v>
      </c>
      <c r="J179" s="19" t="s">
        <v>0</v>
      </c>
      <c r="K179" s="19" t="s">
        <v>0</v>
      </c>
      <c r="L179" s="19" t="s">
        <v>0</v>
      </c>
      <c r="M179" s="4" t="s">
        <v>88</v>
      </c>
      <c r="N179" s="11">
        <f>IFERROR(VLOOKUP(M179,ShipShapeEnum!$H:$I,2,FALSE),"-")</f>
        <v>1</v>
      </c>
      <c r="O179" s="11" t="s">
        <v>0</v>
      </c>
      <c r="P179" s="11" t="s">
        <v>0</v>
      </c>
      <c r="Q179" s="19">
        <v>0</v>
      </c>
      <c r="R179" s="19" t="s">
        <v>471</v>
      </c>
      <c r="S179" s="19" t="s">
        <v>0</v>
      </c>
      <c r="T179" s="19" t="s">
        <v>0</v>
      </c>
      <c r="U179" s="19" t="s">
        <v>0</v>
      </c>
      <c r="V179" s="19" t="s">
        <v>0</v>
      </c>
      <c r="W179" s="19" t="s">
        <v>0</v>
      </c>
      <c r="X179" s="19" t="s">
        <v>0</v>
      </c>
    </row>
    <row r="180" spans="1:24" ht="15">
      <c r="A180" s="10">
        <f t="shared" si="5"/>
        <v>46200025</v>
      </c>
      <c r="B180" s="94" t="s">
        <v>472</v>
      </c>
      <c r="C180" s="4" t="s">
        <v>112</v>
      </c>
      <c r="D180" s="11">
        <f>IFERROR(VLOOKUP(C180,ShipShapeEnum!$E:$F,2,FALSE),"-")</f>
        <v>3</v>
      </c>
      <c r="E180" s="19" t="s">
        <v>473</v>
      </c>
      <c r="F180" s="4" t="s">
        <v>65</v>
      </c>
      <c r="G180" s="11">
        <f>IFERROR(VLOOKUP(F180,ShipShapeEnum!$B:$C,2,FALSE),"-")</f>
        <v>2</v>
      </c>
      <c r="H180" s="19" t="s">
        <v>0</v>
      </c>
      <c r="I180" s="19" t="s">
        <v>0</v>
      </c>
      <c r="J180" s="19" t="s">
        <v>0</v>
      </c>
      <c r="K180" s="19" t="s">
        <v>0</v>
      </c>
      <c r="L180" s="19" t="s">
        <v>0</v>
      </c>
      <c r="M180" s="4" t="s">
        <v>88</v>
      </c>
      <c r="N180" s="11">
        <f>IFERROR(VLOOKUP(M180,ShipShapeEnum!$H:$I,2,FALSE),"-")</f>
        <v>1</v>
      </c>
      <c r="O180" s="11" t="s">
        <v>0</v>
      </c>
      <c r="P180" s="11" t="s">
        <v>0</v>
      </c>
      <c r="Q180" s="19">
        <v>0</v>
      </c>
      <c r="R180" s="19" t="s">
        <v>474</v>
      </c>
      <c r="S180" s="19" t="s">
        <v>0</v>
      </c>
      <c r="T180" s="19" t="s">
        <v>0</v>
      </c>
      <c r="U180" s="19" t="s">
        <v>0</v>
      </c>
      <c r="V180" s="19" t="s">
        <v>0</v>
      </c>
      <c r="W180" s="19" t="s">
        <v>0</v>
      </c>
      <c r="X180" s="19" t="s">
        <v>0</v>
      </c>
    </row>
    <row r="181" spans="1:24" ht="15">
      <c r="A181" s="10">
        <f t="shared" si="5"/>
        <v>46200026</v>
      </c>
      <c r="B181" s="94" t="s">
        <v>475</v>
      </c>
      <c r="C181" s="4" t="s">
        <v>112</v>
      </c>
      <c r="D181" s="11">
        <f>IFERROR(VLOOKUP(C181,ShipShapeEnum!$E:$F,2,FALSE),"-")</f>
        <v>3</v>
      </c>
      <c r="E181" s="19" t="s">
        <v>476</v>
      </c>
      <c r="F181" s="4" t="s">
        <v>65</v>
      </c>
      <c r="G181" s="11">
        <f>IFERROR(VLOOKUP(F181,ShipShapeEnum!$B:$C,2,FALSE),"-")</f>
        <v>2</v>
      </c>
      <c r="H181" s="19" t="s">
        <v>0</v>
      </c>
      <c r="I181" s="19" t="s">
        <v>0</v>
      </c>
      <c r="J181" s="19" t="s">
        <v>0</v>
      </c>
      <c r="K181" s="19" t="s">
        <v>0</v>
      </c>
      <c r="L181" s="19" t="s">
        <v>0</v>
      </c>
      <c r="M181" s="4" t="s">
        <v>88</v>
      </c>
      <c r="N181" s="11">
        <f>IFERROR(VLOOKUP(M181,ShipShapeEnum!$H:$I,2,FALSE),"-")</f>
        <v>1</v>
      </c>
      <c r="O181" s="11" t="s">
        <v>0</v>
      </c>
      <c r="P181" s="11" t="s">
        <v>0</v>
      </c>
      <c r="Q181" s="19">
        <v>0</v>
      </c>
      <c r="R181" s="19" t="s">
        <v>486</v>
      </c>
      <c r="S181" s="19" t="s">
        <v>0</v>
      </c>
      <c r="T181" s="19" t="s">
        <v>0</v>
      </c>
      <c r="U181" s="19" t="s">
        <v>0</v>
      </c>
      <c r="V181" s="19" t="s">
        <v>0</v>
      </c>
      <c r="W181" s="19" t="s">
        <v>0</v>
      </c>
      <c r="X181" s="19" t="s">
        <v>0</v>
      </c>
    </row>
    <row r="182" spans="1:24" ht="15">
      <c r="A182" s="10">
        <f t="shared" si="5"/>
        <v>46200027</v>
      </c>
      <c r="B182" s="94" t="s">
        <v>477</v>
      </c>
      <c r="C182" s="4" t="s">
        <v>112</v>
      </c>
      <c r="D182" s="11">
        <f>IFERROR(VLOOKUP(C182,ShipShapeEnum!$E:$F,2,FALSE),"-")</f>
        <v>3</v>
      </c>
      <c r="E182" s="19" t="s">
        <v>478</v>
      </c>
      <c r="F182" s="4" t="s">
        <v>65</v>
      </c>
      <c r="G182" s="11">
        <f>IFERROR(VLOOKUP(F182,ShipShapeEnum!$B:$C,2,FALSE),"-")</f>
        <v>2</v>
      </c>
      <c r="H182" s="19" t="s">
        <v>0</v>
      </c>
      <c r="I182" s="19" t="s">
        <v>0</v>
      </c>
      <c r="J182" s="19" t="s">
        <v>0</v>
      </c>
      <c r="K182" s="19" t="s">
        <v>0</v>
      </c>
      <c r="L182" s="19" t="s">
        <v>0</v>
      </c>
      <c r="M182" s="4" t="s">
        <v>88</v>
      </c>
      <c r="N182" s="11">
        <f>IFERROR(VLOOKUP(M182,ShipShapeEnum!$H:$I,2,FALSE),"-")</f>
        <v>1</v>
      </c>
      <c r="O182" s="11" t="s">
        <v>0</v>
      </c>
      <c r="P182" s="11" t="s">
        <v>0</v>
      </c>
      <c r="Q182" s="19">
        <v>0</v>
      </c>
      <c r="R182" s="19" t="s">
        <v>485</v>
      </c>
      <c r="S182" s="19" t="s">
        <v>0</v>
      </c>
      <c r="T182" s="19" t="s">
        <v>0</v>
      </c>
      <c r="U182" s="19" t="s">
        <v>0</v>
      </c>
      <c r="V182" s="19" t="s">
        <v>0</v>
      </c>
      <c r="W182" s="19" t="s">
        <v>0</v>
      </c>
      <c r="X182" s="19" t="s">
        <v>0</v>
      </c>
    </row>
    <row r="183" spans="1:24" ht="15">
      <c r="A183" s="10">
        <f t="shared" si="5"/>
        <v>46200028</v>
      </c>
      <c r="B183" s="94" t="s">
        <v>479</v>
      </c>
      <c r="C183" s="4" t="s">
        <v>112</v>
      </c>
      <c r="D183" s="11">
        <f>IFERROR(VLOOKUP(C183,ShipShapeEnum!$E:$F,2,FALSE),"-")</f>
        <v>3</v>
      </c>
      <c r="E183" s="19" t="s">
        <v>480</v>
      </c>
      <c r="F183" s="4" t="s">
        <v>65</v>
      </c>
      <c r="G183" s="11">
        <f>IFERROR(VLOOKUP(F183,ShipShapeEnum!$B:$C,2,FALSE),"-")</f>
        <v>2</v>
      </c>
      <c r="H183" s="19" t="s">
        <v>0</v>
      </c>
      <c r="I183" s="19" t="s">
        <v>0</v>
      </c>
      <c r="J183" s="19" t="s">
        <v>0</v>
      </c>
      <c r="K183" s="19" t="s">
        <v>0</v>
      </c>
      <c r="L183" s="19" t="s">
        <v>0</v>
      </c>
      <c r="M183" s="4" t="s">
        <v>88</v>
      </c>
      <c r="N183" s="11">
        <f>IFERROR(VLOOKUP(M183,ShipShapeEnum!$H:$I,2,FALSE),"-")</f>
        <v>1</v>
      </c>
      <c r="O183" s="11" t="s">
        <v>0</v>
      </c>
      <c r="P183" s="11" t="s">
        <v>0</v>
      </c>
      <c r="Q183" s="19">
        <v>0</v>
      </c>
      <c r="R183" s="19" t="s">
        <v>481</v>
      </c>
      <c r="S183" s="19" t="s">
        <v>0</v>
      </c>
      <c r="T183" s="19" t="s">
        <v>0</v>
      </c>
      <c r="U183" s="19" t="s">
        <v>0</v>
      </c>
      <c r="V183" s="19" t="s">
        <v>0</v>
      </c>
      <c r="W183" s="19" t="s">
        <v>0</v>
      </c>
      <c r="X183" s="19" t="s">
        <v>0</v>
      </c>
    </row>
    <row r="184" spans="1:24" ht="15">
      <c r="A184" s="10">
        <f t="shared" si="5"/>
        <v>46200029</v>
      </c>
      <c r="B184" s="94" t="s">
        <v>482</v>
      </c>
      <c r="C184" s="4" t="s">
        <v>112</v>
      </c>
      <c r="D184" s="11">
        <f>IFERROR(VLOOKUP(C184,ShipShapeEnum!$E:$F,2,FALSE),"-")</f>
        <v>3</v>
      </c>
      <c r="E184" s="19" t="s">
        <v>483</v>
      </c>
      <c r="F184" s="4" t="s">
        <v>65</v>
      </c>
      <c r="G184" s="11">
        <f>IFERROR(VLOOKUP(F184,ShipShapeEnum!$B:$C,2,FALSE),"-")</f>
        <v>2</v>
      </c>
      <c r="H184" s="19" t="s">
        <v>0</v>
      </c>
      <c r="I184" s="19" t="s">
        <v>0</v>
      </c>
      <c r="J184" s="19" t="s">
        <v>0</v>
      </c>
      <c r="K184" s="19" t="s">
        <v>0</v>
      </c>
      <c r="L184" s="19" t="s">
        <v>0</v>
      </c>
      <c r="M184" s="4" t="s">
        <v>88</v>
      </c>
      <c r="N184" s="11">
        <f>IFERROR(VLOOKUP(M184,ShipShapeEnum!$H:$I,2,FALSE),"-")</f>
        <v>1</v>
      </c>
      <c r="O184" s="11" t="s">
        <v>0</v>
      </c>
      <c r="P184" s="11" t="s">
        <v>0</v>
      </c>
      <c r="Q184" s="19">
        <v>0</v>
      </c>
      <c r="R184" s="19" t="s">
        <v>484</v>
      </c>
      <c r="S184" s="19" t="s">
        <v>0</v>
      </c>
      <c r="T184" s="19" t="s">
        <v>0</v>
      </c>
      <c r="U184" s="19" t="s">
        <v>0</v>
      </c>
      <c r="V184" s="19" t="s">
        <v>0</v>
      </c>
      <c r="W184" s="19" t="s">
        <v>0</v>
      </c>
      <c r="X184" s="19" t="s">
        <v>0</v>
      </c>
    </row>
    <row r="185" spans="1:24" ht="15">
      <c r="A185" s="10">
        <f t="shared" si="5"/>
        <v>46200030</v>
      </c>
      <c r="B185" s="94" t="s">
        <v>1209</v>
      </c>
      <c r="C185" s="4" t="s">
        <v>112</v>
      </c>
      <c r="D185" s="11">
        <f>IFERROR(VLOOKUP(C185,ShipShapeEnum!$E:$F,2,FALSE),"-")</f>
        <v>3</v>
      </c>
      <c r="E185" s="98" t="s">
        <v>1210</v>
      </c>
      <c r="F185" s="4" t="s">
        <v>65</v>
      </c>
      <c r="G185" s="11">
        <f>IFERROR(VLOOKUP(F185,ShipShapeEnum!$B:$C,2,FALSE),"-")</f>
        <v>2</v>
      </c>
      <c r="H185" s="19" t="s">
        <v>0</v>
      </c>
      <c r="I185" s="19" t="s">
        <v>0</v>
      </c>
      <c r="J185" s="19" t="s">
        <v>0</v>
      </c>
      <c r="K185" s="19" t="s">
        <v>0</v>
      </c>
      <c r="L185" s="19" t="s">
        <v>0</v>
      </c>
      <c r="M185" s="4" t="s">
        <v>88</v>
      </c>
      <c r="N185" s="11">
        <f>IFERROR(VLOOKUP(M185,ShipShapeEnum!$H:$I,2,FALSE),"-")</f>
        <v>1</v>
      </c>
      <c r="O185" s="11" t="s">
        <v>0</v>
      </c>
      <c r="P185" s="11" t="s">
        <v>0</v>
      </c>
      <c r="Q185" s="19">
        <v>0</v>
      </c>
      <c r="R185" s="19" t="s">
        <v>1259</v>
      </c>
      <c r="S185" s="19" t="s">
        <v>0</v>
      </c>
      <c r="T185" s="19" t="s">
        <v>0</v>
      </c>
      <c r="U185" s="19" t="s">
        <v>0</v>
      </c>
      <c r="V185" s="19" t="s">
        <v>0</v>
      </c>
      <c r="W185" s="19" t="s">
        <v>0</v>
      </c>
      <c r="X185" s="19" t="s">
        <v>0</v>
      </c>
    </row>
    <row r="186" spans="1:24" ht="15">
      <c r="A186" s="10">
        <f t="shared" si="5"/>
        <v>46200031</v>
      </c>
      <c r="B186" s="94" t="s">
        <v>1211</v>
      </c>
      <c r="C186" s="4" t="s">
        <v>112</v>
      </c>
      <c r="D186" s="11">
        <f>IFERROR(VLOOKUP(C186,ShipShapeEnum!$E:$F,2,FALSE),"-")</f>
        <v>3</v>
      </c>
      <c r="E186" s="19" t="s">
        <v>1212</v>
      </c>
      <c r="F186" s="4" t="s">
        <v>65</v>
      </c>
      <c r="G186" s="11">
        <f>IFERROR(VLOOKUP(F186,ShipShapeEnum!$B:$C,2,FALSE),"-")</f>
        <v>2</v>
      </c>
      <c r="H186" s="19" t="s">
        <v>0</v>
      </c>
      <c r="I186" s="19" t="s">
        <v>0</v>
      </c>
      <c r="J186" s="19" t="s">
        <v>0</v>
      </c>
      <c r="K186" s="19" t="s">
        <v>0</v>
      </c>
      <c r="L186" s="19" t="s">
        <v>0</v>
      </c>
      <c r="M186" s="4" t="s">
        <v>88</v>
      </c>
      <c r="N186" s="11">
        <f>IFERROR(VLOOKUP(M186,ShipShapeEnum!$H:$I,2,FALSE),"-")</f>
        <v>1</v>
      </c>
      <c r="O186" s="11" t="s">
        <v>0</v>
      </c>
      <c r="P186" s="11" t="s">
        <v>0</v>
      </c>
      <c r="Q186" s="19">
        <v>0</v>
      </c>
      <c r="R186" s="19" t="s">
        <v>1258</v>
      </c>
      <c r="S186" s="19" t="s">
        <v>0</v>
      </c>
      <c r="T186" s="19" t="s">
        <v>0</v>
      </c>
      <c r="U186" s="19" t="s">
        <v>0</v>
      </c>
      <c r="V186" s="19" t="s">
        <v>0</v>
      </c>
      <c r="W186" s="19" t="s">
        <v>0</v>
      </c>
      <c r="X186" s="19" t="s">
        <v>0</v>
      </c>
    </row>
    <row r="187" spans="1:24" ht="15">
      <c r="A187" s="10">
        <f t="shared" si="5"/>
        <v>46200032</v>
      </c>
      <c r="B187" s="94" t="s">
        <v>1213</v>
      </c>
      <c r="C187" s="4" t="s">
        <v>112</v>
      </c>
      <c r="D187" s="11">
        <f>IFERROR(VLOOKUP(C187,ShipShapeEnum!$E:$F,2,FALSE),"-")</f>
        <v>3</v>
      </c>
      <c r="E187" s="19" t="s">
        <v>1214</v>
      </c>
      <c r="F187" s="4" t="s">
        <v>65</v>
      </c>
      <c r="G187" s="11">
        <f>IFERROR(VLOOKUP(F187,ShipShapeEnum!$B:$C,2,FALSE),"-")</f>
        <v>2</v>
      </c>
      <c r="H187" s="19" t="s">
        <v>0</v>
      </c>
      <c r="I187" s="19" t="s">
        <v>0</v>
      </c>
      <c r="J187" s="19" t="s">
        <v>0</v>
      </c>
      <c r="K187" s="19" t="s">
        <v>0</v>
      </c>
      <c r="L187" s="19" t="s">
        <v>0</v>
      </c>
      <c r="M187" s="4" t="s">
        <v>88</v>
      </c>
      <c r="N187" s="11">
        <f>IFERROR(VLOOKUP(M187,ShipShapeEnum!$H:$I,2,FALSE),"-")</f>
        <v>1</v>
      </c>
      <c r="O187" s="11" t="s">
        <v>0</v>
      </c>
      <c r="P187" s="11" t="s">
        <v>0</v>
      </c>
      <c r="Q187" s="19">
        <v>0</v>
      </c>
      <c r="R187" s="19" t="s">
        <v>1257</v>
      </c>
      <c r="S187" s="19" t="s">
        <v>0</v>
      </c>
      <c r="T187" s="19" t="s">
        <v>0</v>
      </c>
      <c r="U187" s="19" t="s">
        <v>0</v>
      </c>
      <c r="V187" s="19" t="s">
        <v>0</v>
      </c>
      <c r="W187" s="19" t="s">
        <v>0</v>
      </c>
      <c r="X187" s="19" t="s">
        <v>0</v>
      </c>
    </row>
    <row r="188" spans="1:24" ht="15">
      <c r="A188" s="10">
        <f t="shared" si="5"/>
        <v>46200033</v>
      </c>
      <c r="B188" s="94" t="s">
        <v>1215</v>
      </c>
      <c r="C188" s="4" t="s">
        <v>112</v>
      </c>
      <c r="D188" s="11">
        <f>IFERROR(VLOOKUP(C188,ShipShapeEnum!$E:$F,2,FALSE),"-")</f>
        <v>3</v>
      </c>
      <c r="E188" s="19" t="s">
        <v>1216</v>
      </c>
      <c r="F188" s="4" t="s">
        <v>65</v>
      </c>
      <c r="G188" s="11">
        <f>IFERROR(VLOOKUP(F188,ShipShapeEnum!$B:$C,2,FALSE),"-")</f>
        <v>2</v>
      </c>
      <c r="H188" s="19" t="s">
        <v>0</v>
      </c>
      <c r="I188" s="19" t="s">
        <v>0</v>
      </c>
      <c r="J188" s="19" t="s">
        <v>0</v>
      </c>
      <c r="K188" s="19" t="s">
        <v>0</v>
      </c>
      <c r="L188" s="19" t="s">
        <v>0</v>
      </c>
      <c r="M188" s="4" t="s">
        <v>88</v>
      </c>
      <c r="N188" s="11">
        <f>IFERROR(VLOOKUP(M188,ShipShapeEnum!$H:$I,2,FALSE),"-")</f>
        <v>1</v>
      </c>
      <c r="O188" s="11" t="s">
        <v>0</v>
      </c>
      <c r="P188" s="11" t="s">
        <v>0</v>
      </c>
      <c r="Q188" s="19">
        <v>0</v>
      </c>
      <c r="R188" s="19" t="s">
        <v>1260</v>
      </c>
      <c r="S188" s="19" t="s">
        <v>0</v>
      </c>
      <c r="T188" s="19" t="s">
        <v>0</v>
      </c>
      <c r="U188" s="19" t="s">
        <v>0</v>
      </c>
      <c r="V188" s="19" t="s">
        <v>0</v>
      </c>
      <c r="W188" s="19" t="s">
        <v>0</v>
      </c>
      <c r="X188" s="19" t="s">
        <v>0</v>
      </c>
    </row>
    <row r="189" spans="1:24" ht="15">
      <c r="A189" s="10">
        <f t="shared" si="5"/>
        <v>46200034</v>
      </c>
      <c r="B189" s="94" t="s">
        <v>1217</v>
      </c>
      <c r="C189" s="4" t="s">
        <v>112</v>
      </c>
      <c r="D189" s="11">
        <f>IFERROR(VLOOKUP(C189,ShipShapeEnum!$E:$F,2,FALSE),"-")</f>
        <v>3</v>
      </c>
      <c r="E189" s="19" t="s">
        <v>1218</v>
      </c>
      <c r="F189" s="4" t="s">
        <v>65</v>
      </c>
      <c r="G189" s="11">
        <f>IFERROR(VLOOKUP(F189,ShipShapeEnum!$B:$C,2,FALSE),"-")</f>
        <v>2</v>
      </c>
      <c r="H189" s="19" t="s">
        <v>0</v>
      </c>
      <c r="I189" s="19" t="s">
        <v>0</v>
      </c>
      <c r="J189" s="19" t="s">
        <v>0</v>
      </c>
      <c r="K189" s="19" t="s">
        <v>0</v>
      </c>
      <c r="L189" s="19" t="s">
        <v>0</v>
      </c>
      <c r="M189" s="4" t="s">
        <v>88</v>
      </c>
      <c r="N189" s="11">
        <f>IFERROR(VLOOKUP(M189,ShipShapeEnum!$H:$I,2,FALSE),"-")</f>
        <v>1</v>
      </c>
      <c r="O189" s="11" t="s">
        <v>0</v>
      </c>
      <c r="P189" s="11" t="s">
        <v>0</v>
      </c>
      <c r="Q189" s="19">
        <v>0</v>
      </c>
      <c r="R189" s="19" t="s">
        <v>1261</v>
      </c>
      <c r="S189" s="19" t="s">
        <v>0</v>
      </c>
      <c r="T189" s="19" t="s">
        <v>0</v>
      </c>
      <c r="U189" s="19" t="s">
        <v>0</v>
      </c>
      <c r="V189" s="19" t="s">
        <v>0</v>
      </c>
      <c r="W189" s="19" t="s">
        <v>0</v>
      </c>
      <c r="X189" s="19" t="s">
        <v>0</v>
      </c>
    </row>
    <row r="190" spans="1:24" ht="15">
      <c r="A190" s="10">
        <f t="shared" si="5"/>
        <v>46200035</v>
      </c>
      <c r="B190" s="94" t="s">
        <v>1219</v>
      </c>
      <c r="C190" s="4" t="s">
        <v>112</v>
      </c>
      <c r="D190" s="11">
        <f>IFERROR(VLOOKUP(C190,ShipShapeEnum!$E:$F,2,FALSE),"-")</f>
        <v>3</v>
      </c>
      <c r="E190" s="19" t="s">
        <v>1220</v>
      </c>
      <c r="F190" s="4" t="s">
        <v>65</v>
      </c>
      <c r="G190" s="11">
        <f>IFERROR(VLOOKUP(F190,ShipShapeEnum!$B:$C,2,FALSE),"-")</f>
        <v>2</v>
      </c>
      <c r="H190" s="19" t="s">
        <v>0</v>
      </c>
      <c r="I190" s="19" t="s">
        <v>0</v>
      </c>
      <c r="J190" s="19" t="s">
        <v>0</v>
      </c>
      <c r="K190" s="19" t="s">
        <v>0</v>
      </c>
      <c r="L190" s="19" t="s">
        <v>0</v>
      </c>
      <c r="M190" s="4" t="s">
        <v>88</v>
      </c>
      <c r="N190" s="11">
        <f>IFERROR(VLOOKUP(M190,ShipShapeEnum!$H:$I,2,FALSE),"-")</f>
        <v>1</v>
      </c>
      <c r="O190" s="11" t="s">
        <v>0</v>
      </c>
      <c r="P190" s="11" t="s">
        <v>0</v>
      </c>
      <c r="Q190" s="19">
        <v>0</v>
      </c>
      <c r="R190" s="19" t="s">
        <v>1262</v>
      </c>
      <c r="S190" s="19" t="s">
        <v>0</v>
      </c>
      <c r="T190" s="19" t="s">
        <v>0</v>
      </c>
      <c r="U190" s="19" t="s">
        <v>0</v>
      </c>
      <c r="V190" s="19" t="s">
        <v>0</v>
      </c>
      <c r="W190" s="19" t="s">
        <v>0</v>
      </c>
      <c r="X190" s="19" t="s">
        <v>0</v>
      </c>
    </row>
    <row r="191" spans="1:24" ht="15">
      <c r="A191" s="10">
        <f t="shared" si="5"/>
        <v>46200036</v>
      </c>
      <c r="B191" s="94" t="s">
        <v>1221</v>
      </c>
      <c r="C191" s="4" t="s">
        <v>112</v>
      </c>
      <c r="D191" s="11">
        <f>IFERROR(VLOOKUP(C191,ShipShapeEnum!$E:$F,2,FALSE),"-")</f>
        <v>3</v>
      </c>
      <c r="E191" s="19" t="s">
        <v>1222</v>
      </c>
      <c r="F191" s="4" t="s">
        <v>65</v>
      </c>
      <c r="G191" s="11">
        <f>IFERROR(VLOOKUP(F191,ShipShapeEnum!$B:$C,2,FALSE),"-")</f>
        <v>2</v>
      </c>
      <c r="H191" s="19" t="s">
        <v>0</v>
      </c>
      <c r="I191" s="19" t="s">
        <v>0</v>
      </c>
      <c r="J191" s="19" t="s">
        <v>0</v>
      </c>
      <c r="K191" s="19" t="s">
        <v>0</v>
      </c>
      <c r="L191" s="19" t="s">
        <v>0</v>
      </c>
      <c r="M191" s="4" t="s">
        <v>88</v>
      </c>
      <c r="N191" s="11">
        <f>IFERROR(VLOOKUP(M191,ShipShapeEnum!$H:$I,2,FALSE),"-")</f>
        <v>1</v>
      </c>
      <c r="O191" s="11" t="s">
        <v>0</v>
      </c>
      <c r="P191" s="11" t="s">
        <v>0</v>
      </c>
      <c r="Q191" s="19">
        <v>0</v>
      </c>
      <c r="R191" s="19" t="s">
        <v>1263</v>
      </c>
      <c r="S191" s="19" t="s">
        <v>0</v>
      </c>
      <c r="T191" s="19" t="s">
        <v>0</v>
      </c>
      <c r="U191" s="19" t="s">
        <v>0</v>
      </c>
      <c r="V191" s="19" t="s">
        <v>0</v>
      </c>
      <c r="W191" s="19" t="s">
        <v>0</v>
      </c>
      <c r="X191" s="19" t="s">
        <v>0</v>
      </c>
    </row>
    <row r="192" spans="1:24" ht="15.75" customHeight="1">
      <c r="A192" s="10">
        <f t="shared" si="5"/>
        <v>46200037</v>
      </c>
      <c r="B192" s="94" t="s">
        <v>1223</v>
      </c>
      <c r="C192" s="4" t="s">
        <v>112</v>
      </c>
      <c r="D192" s="11">
        <f>IFERROR(VLOOKUP(C192,ShipShapeEnum!$E:$F,2,FALSE),"-")</f>
        <v>3</v>
      </c>
      <c r="E192" s="19" t="s">
        <v>1224</v>
      </c>
      <c r="F192" s="4" t="s">
        <v>65</v>
      </c>
      <c r="G192" s="11">
        <f>IFERROR(VLOOKUP(F192,ShipShapeEnum!$B:$C,2,FALSE),"-")</f>
        <v>2</v>
      </c>
      <c r="H192" s="19" t="s">
        <v>0</v>
      </c>
      <c r="I192" s="19" t="s">
        <v>0</v>
      </c>
      <c r="J192" s="19" t="s">
        <v>0</v>
      </c>
      <c r="K192" s="19" t="s">
        <v>0</v>
      </c>
      <c r="L192" s="19" t="s">
        <v>0</v>
      </c>
      <c r="M192" s="4" t="s">
        <v>88</v>
      </c>
      <c r="N192" s="11">
        <f>IFERROR(VLOOKUP(M192,ShipShapeEnum!$H:$I,2,FALSE),"-")</f>
        <v>1</v>
      </c>
      <c r="O192" s="11" t="s">
        <v>0</v>
      </c>
      <c r="P192" s="11" t="s">
        <v>0</v>
      </c>
      <c r="Q192" s="19">
        <v>0</v>
      </c>
      <c r="R192" s="19" t="s">
        <v>1264</v>
      </c>
      <c r="S192" s="19" t="s">
        <v>0</v>
      </c>
      <c r="T192" s="19" t="s">
        <v>0</v>
      </c>
      <c r="U192" s="19" t="s">
        <v>0</v>
      </c>
      <c r="V192" s="19" t="s">
        <v>0</v>
      </c>
      <c r="W192" s="19" t="s">
        <v>0</v>
      </c>
      <c r="X192" s="19" t="s">
        <v>0</v>
      </c>
    </row>
    <row r="193" spans="1:24" ht="15.75" customHeight="1">
      <c r="A193" s="10">
        <f t="shared" si="5"/>
        <v>46200038</v>
      </c>
      <c r="B193" s="94" t="s">
        <v>1225</v>
      </c>
      <c r="C193" s="4" t="s">
        <v>112</v>
      </c>
      <c r="D193" s="11">
        <f>IFERROR(VLOOKUP(C193,ShipShapeEnum!$E:$F,2,FALSE),"-")</f>
        <v>3</v>
      </c>
      <c r="E193" s="19" t="s">
        <v>1226</v>
      </c>
      <c r="F193" s="4" t="s">
        <v>65</v>
      </c>
      <c r="G193" s="11">
        <f>IFERROR(VLOOKUP(F193,ShipShapeEnum!$B:$C,2,FALSE),"-")</f>
        <v>2</v>
      </c>
      <c r="H193" s="19" t="s">
        <v>0</v>
      </c>
      <c r="I193" s="19" t="s">
        <v>0</v>
      </c>
      <c r="J193" s="19" t="s">
        <v>0</v>
      </c>
      <c r="K193" s="19" t="s">
        <v>0</v>
      </c>
      <c r="L193" s="19" t="s">
        <v>0</v>
      </c>
      <c r="M193" s="4" t="s">
        <v>88</v>
      </c>
      <c r="N193" s="11">
        <f>IFERROR(VLOOKUP(M193,ShipShapeEnum!$H:$I,2,FALSE),"-")</f>
        <v>1</v>
      </c>
      <c r="O193" s="11" t="s">
        <v>0</v>
      </c>
      <c r="P193" s="11" t="s">
        <v>0</v>
      </c>
      <c r="Q193" s="19">
        <v>0</v>
      </c>
      <c r="R193" s="19" t="s">
        <v>1265</v>
      </c>
      <c r="S193" s="19" t="s">
        <v>0</v>
      </c>
      <c r="T193" s="19" t="s">
        <v>0</v>
      </c>
      <c r="U193" s="19" t="s">
        <v>0</v>
      </c>
      <c r="V193" s="19" t="s">
        <v>0</v>
      </c>
      <c r="W193" s="19" t="s">
        <v>0</v>
      </c>
      <c r="X193" s="19" t="s">
        <v>0</v>
      </c>
    </row>
    <row r="194" spans="1:24" ht="15.75" customHeight="1">
      <c r="A194" s="10">
        <f t="shared" si="5"/>
        <v>46200039</v>
      </c>
      <c r="B194" s="94" t="s">
        <v>1227</v>
      </c>
      <c r="C194" s="4" t="s">
        <v>112</v>
      </c>
      <c r="D194" s="11">
        <f>IFERROR(VLOOKUP(C194,ShipShapeEnum!$E:$F,2,FALSE),"-")</f>
        <v>3</v>
      </c>
      <c r="E194" s="19" t="s">
        <v>1228</v>
      </c>
      <c r="F194" s="4" t="s">
        <v>65</v>
      </c>
      <c r="G194" s="11">
        <f>IFERROR(VLOOKUP(F194,ShipShapeEnum!$B:$C,2,FALSE),"-")</f>
        <v>2</v>
      </c>
      <c r="H194" s="19" t="s">
        <v>0</v>
      </c>
      <c r="I194" s="19" t="s">
        <v>0</v>
      </c>
      <c r="J194" s="19" t="s">
        <v>0</v>
      </c>
      <c r="K194" s="19" t="s">
        <v>0</v>
      </c>
      <c r="L194" s="19" t="s">
        <v>0</v>
      </c>
      <c r="M194" s="4" t="s">
        <v>88</v>
      </c>
      <c r="N194" s="11">
        <f>IFERROR(VLOOKUP(M194,ShipShapeEnum!$H:$I,2,FALSE),"-")</f>
        <v>1</v>
      </c>
      <c r="O194" s="11" t="s">
        <v>0</v>
      </c>
      <c r="P194" s="11" t="s">
        <v>0</v>
      </c>
      <c r="Q194" s="19">
        <v>0</v>
      </c>
      <c r="R194" s="19" t="s">
        <v>1266</v>
      </c>
      <c r="S194" s="19" t="s">
        <v>0</v>
      </c>
      <c r="T194" s="19" t="s">
        <v>0</v>
      </c>
      <c r="U194" s="19" t="s">
        <v>0</v>
      </c>
      <c r="V194" s="19" t="s">
        <v>0</v>
      </c>
      <c r="W194" s="19" t="s">
        <v>0</v>
      </c>
      <c r="X194" s="19" t="s">
        <v>0</v>
      </c>
    </row>
    <row r="195" spans="1:24" ht="15.75" customHeight="1">
      <c r="A195" s="10">
        <f t="shared" si="5"/>
        <v>46200040</v>
      </c>
      <c r="B195" s="94" t="s">
        <v>1229</v>
      </c>
      <c r="C195" s="4" t="s">
        <v>112</v>
      </c>
      <c r="D195" s="11">
        <f>IFERROR(VLOOKUP(C195,ShipShapeEnum!$E:$F,2,FALSE),"-")</f>
        <v>3</v>
      </c>
      <c r="E195" s="19" t="s">
        <v>1230</v>
      </c>
      <c r="F195" s="4" t="s">
        <v>65</v>
      </c>
      <c r="G195" s="11">
        <f>IFERROR(VLOOKUP(F195,ShipShapeEnum!$B:$C,2,FALSE),"-")</f>
        <v>2</v>
      </c>
      <c r="H195" s="19" t="s">
        <v>0</v>
      </c>
      <c r="I195" s="19" t="s">
        <v>0</v>
      </c>
      <c r="J195" s="19" t="s">
        <v>0</v>
      </c>
      <c r="K195" s="19" t="s">
        <v>0</v>
      </c>
      <c r="L195" s="19" t="s">
        <v>0</v>
      </c>
      <c r="M195" s="4" t="s">
        <v>88</v>
      </c>
      <c r="N195" s="11">
        <f>IFERROR(VLOOKUP(M195,ShipShapeEnum!$H:$I,2,FALSE),"-")</f>
        <v>1</v>
      </c>
      <c r="O195" s="11" t="s">
        <v>0</v>
      </c>
      <c r="P195" s="11" t="s">
        <v>0</v>
      </c>
      <c r="Q195" s="19">
        <v>0</v>
      </c>
      <c r="R195" s="19" t="s">
        <v>1267</v>
      </c>
      <c r="S195" s="19" t="s">
        <v>0</v>
      </c>
      <c r="T195" s="19" t="s">
        <v>0</v>
      </c>
      <c r="U195" s="19" t="s">
        <v>0</v>
      </c>
      <c r="V195" s="19" t="s">
        <v>0</v>
      </c>
      <c r="W195" s="19" t="s">
        <v>0</v>
      </c>
      <c r="X195" s="19" t="s">
        <v>0</v>
      </c>
    </row>
    <row r="196" spans="1:24" ht="15.75" customHeight="1">
      <c r="A196" s="10">
        <f t="shared" si="5"/>
        <v>46200041</v>
      </c>
      <c r="B196" s="94" t="s">
        <v>1231</v>
      </c>
      <c r="C196" s="4" t="s">
        <v>112</v>
      </c>
      <c r="D196" s="11">
        <f>IFERROR(VLOOKUP(C196,ShipShapeEnum!$E:$F,2,FALSE),"-")</f>
        <v>3</v>
      </c>
      <c r="E196" s="19" t="s">
        <v>1232</v>
      </c>
      <c r="F196" s="4" t="s">
        <v>65</v>
      </c>
      <c r="G196" s="11">
        <f>IFERROR(VLOOKUP(F196,ShipShapeEnum!$B:$C,2,FALSE),"-")</f>
        <v>2</v>
      </c>
      <c r="H196" s="19" t="s">
        <v>0</v>
      </c>
      <c r="I196" s="19" t="s">
        <v>0</v>
      </c>
      <c r="J196" s="19" t="s">
        <v>0</v>
      </c>
      <c r="K196" s="19" t="s">
        <v>0</v>
      </c>
      <c r="L196" s="19" t="s">
        <v>0</v>
      </c>
      <c r="M196" s="4" t="s">
        <v>88</v>
      </c>
      <c r="N196" s="11">
        <f>IFERROR(VLOOKUP(M196,ShipShapeEnum!$H:$I,2,FALSE),"-")</f>
        <v>1</v>
      </c>
      <c r="O196" s="11" t="s">
        <v>0</v>
      </c>
      <c r="P196" s="11" t="s">
        <v>0</v>
      </c>
      <c r="Q196" s="19">
        <v>0</v>
      </c>
      <c r="R196" s="19" t="s">
        <v>1268</v>
      </c>
      <c r="S196" s="19" t="s">
        <v>0</v>
      </c>
      <c r="T196" s="19" t="s">
        <v>0</v>
      </c>
      <c r="U196" s="19" t="s">
        <v>0</v>
      </c>
      <c r="V196" s="19" t="s">
        <v>0</v>
      </c>
      <c r="W196" s="19" t="s">
        <v>0</v>
      </c>
      <c r="X196" s="19" t="s">
        <v>0</v>
      </c>
    </row>
    <row r="197" spans="1:24" ht="15.75" customHeight="1">
      <c r="A197" s="10">
        <f t="shared" si="5"/>
        <v>46200042</v>
      </c>
      <c r="B197" s="94" t="s">
        <v>1233</v>
      </c>
      <c r="C197" s="4" t="s">
        <v>112</v>
      </c>
      <c r="D197" s="11">
        <f>IFERROR(VLOOKUP(C197,ShipShapeEnum!$E:$F,2,FALSE),"-")</f>
        <v>3</v>
      </c>
      <c r="E197" s="19" t="s">
        <v>1234</v>
      </c>
      <c r="F197" s="4" t="s">
        <v>65</v>
      </c>
      <c r="G197" s="11">
        <f>IFERROR(VLOOKUP(F197,ShipShapeEnum!$B:$C,2,FALSE),"-")</f>
        <v>2</v>
      </c>
      <c r="H197" s="19" t="s">
        <v>0</v>
      </c>
      <c r="I197" s="19" t="s">
        <v>0</v>
      </c>
      <c r="J197" s="19" t="s">
        <v>0</v>
      </c>
      <c r="K197" s="19" t="s">
        <v>0</v>
      </c>
      <c r="L197" s="19" t="s">
        <v>0</v>
      </c>
      <c r="M197" s="4" t="s">
        <v>88</v>
      </c>
      <c r="N197" s="11">
        <f>IFERROR(VLOOKUP(M197,ShipShapeEnum!$H:$I,2,FALSE),"-")</f>
        <v>1</v>
      </c>
      <c r="O197" s="11" t="s">
        <v>0</v>
      </c>
      <c r="P197" s="11" t="s">
        <v>0</v>
      </c>
      <c r="Q197" s="19">
        <v>0</v>
      </c>
      <c r="R197" s="19" t="s">
        <v>1269</v>
      </c>
      <c r="S197" s="19" t="s">
        <v>0</v>
      </c>
      <c r="T197" s="19" t="s">
        <v>0</v>
      </c>
      <c r="U197" s="19" t="s">
        <v>0</v>
      </c>
      <c r="V197" s="19" t="s">
        <v>0</v>
      </c>
      <c r="W197" s="19" t="s">
        <v>0</v>
      </c>
      <c r="X197" s="19" t="s">
        <v>0</v>
      </c>
    </row>
    <row r="198" spans="1:24" ht="15.75" customHeight="1">
      <c r="A198" s="10">
        <f t="shared" si="5"/>
        <v>46200043</v>
      </c>
      <c r="B198" s="94" t="s">
        <v>1235</v>
      </c>
      <c r="C198" s="4" t="s">
        <v>112</v>
      </c>
      <c r="D198" s="11">
        <f>IFERROR(VLOOKUP(C198,ShipShapeEnum!$E:$F,2,FALSE),"-")</f>
        <v>3</v>
      </c>
      <c r="E198" s="19" t="s">
        <v>1236</v>
      </c>
      <c r="F198" s="4" t="s">
        <v>65</v>
      </c>
      <c r="G198" s="11">
        <f>IFERROR(VLOOKUP(F198,ShipShapeEnum!$B:$C,2,FALSE),"-")</f>
        <v>2</v>
      </c>
      <c r="H198" s="19" t="s">
        <v>0</v>
      </c>
      <c r="I198" s="19" t="s">
        <v>0</v>
      </c>
      <c r="J198" s="19" t="s">
        <v>0</v>
      </c>
      <c r="K198" s="19" t="s">
        <v>0</v>
      </c>
      <c r="L198" s="19" t="s">
        <v>0</v>
      </c>
      <c r="M198" s="4" t="s">
        <v>88</v>
      </c>
      <c r="N198" s="11">
        <f>IFERROR(VLOOKUP(M198,ShipShapeEnum!$H:$I,2,FALSE),"-")</f>
        <v>1</v>
      </c>
      <c r="O198" s="11" t="s">
        <v>0</v>
      </c>
      <c r="P198" s="11" t="s">
        <v>0</v>
      </c>
      <c r="Q198" s="19">
        <v>0</v>
      </c>
      <c r="R198" s="19" t="s">
        <v>1270</v>
      </c>
      <c r="S198" s="19" t="s">
        <v>0</v>
      </c>
      <c r="T198" s="19" t="s">
        <v>0</v>
      </c>
      <c r="U198" s="19" t="s">
        <v>0</v>
      </c>
      <c r="V198" s="19" t="s">
        <v>0</v>
      </c>
      <c r="W198" s="19" t="s">
        <v>0</v>
      </c>
      <c r="X198" s="19" t="s">
        <v>0</v>
      </c>
    </row>
    <row r="199" spans="1:24" ht="15.75" customHeight="1">
      <c r="A199" s="10">
        <f t="shared" si="5"/>
        <v>46200044</v>
      </c>
      <c r="B199" s="94" t="s">
        <v>1237</v>
      </c>
      <c r="C199" s="4" t="s">
        <v>112</v>
      </c>
      <c r="D199" s="11">
        <f>IFERROR(VLOOKUP(C199,ShipShapeEnum!$E:$F,2,FALSE),"-")</f>
        <v>3</v>
      </c>
      <c r="E199" s="19" t="s">
        <v>1238</v>
      </c>
      <c r="F199" s="4" t="s">
        <v>65</v>
      </c>
      <c r="G199" s="11">
        <f>IFERROR(VLOOKUP(F199,ShipShapeEnum!$B:$C,2,FALSE),"-")</f>
        <v>2</v>
      </c>
      <c r="H199" s="19" t="s">
        <v>0</v>
      </c>
      <c r="I199" s="19" t="s">
        <v>0</v>
      </c>
      <c r="J199" s="19" t="s">
        <v>0</v>
      </c>
      <c r="K199" s="19" t="s">
        <v>0</v>
      </c>
      <c r="L199" s="19" t="s">
        <v>0</v>
      </c>
      <c r="M199" s="4" t="s">
        <v>88</v>
      </c>
      <c r="N199" s="11">
        <f>IFERROR(VLOOKUP(M199,ShipShapeEnum!$H:$I,2,FALSE),"-")</f>
        <v>1</v>
      </c>
      <c r="O199" s="11" t="s">
        <v>0</v>
      </c>
      <c r="P199" s="11" t="s">
        <v>0</v>
      </c>
      <c r="Q199" s="19">
        <v>0</v>
      </c>
      <c r="R199" s="19" t="s">
        <v>1271</v>
      </c>
      <c r="S199" s="19" t="s">
        <v>0</v>
      </c>
      <c r="T199" s="19" t="s">
        <v>0</v>
      </c>
      <c r="U199" s="19" t="s">
        <v>0</v>
      </c>
      <c r="V199" s="19" t="s">
        <v>0</v>
      </c>
      <c r="W199" s="19" t="s">
        <v>0</v>
      </c>
      <c r="X199" s="19" t="s">
        <v>0</v>
      </c>
    </row>
    <row r="200" spans="1:24" ht="15.75" customHeight="1">
      <c r="A200" s="10">
        <f t="shared" si="5"/>
        <v>46200045</v>
      </c>
      <c r="B200" s="94" t="s">
        <v>1239</v>
      </c>
      <c r="C200" s="4" t="s">
        <v>112</v>
      </c>
      <c r="D200" s="11">
        <f>IFERROR(VLOOKUP(C200,ShipShapeEnum!$E:$F,2,FALSE),"-")</f>
        <v>3</v>
      </c>
      <c r="E200" s="19" t="s">
        <v>1240</v>
      </c>
      <c r="F200" s="4" t="s">
        <v>65</v>
      </c>
      <c r="G200" s="11">
        <f>IFERROR(VLOOKUP(F200,ShipShapeEnum!$B:$C,2,FALSE),"-")</f>
        <v>2</v>
      </c>
      <c r="H200" s="19" t="s">
        <v>0</v>
      </c>
      <c r="I200" s="19" t="s">
        <v>0</v>
      </c>
      <c r="J200" s="19" t="s">
        <v>0</v>
      </c>
      <c r="K200" s="19" t="s">
        <v>0</v>
      </c>
      <c r="L200" s="19" t="s">
        <v>0</v>
      </c>
      <c r="M200" s="4" t="s">
        <v>88</v>
      </c>
      <c r="N200" s="11">
        <f>IFERROR(VLOOKUP(M200,ShipShapeEnum!$H:$I,2,FALSE),"-")</f>
        <v>1</v>
      </c>
      <c r="O200" s="11" t="s">
        <v>0</v>
      </c>
      <c r="P200" s="11" t="s">
        <v>0</v>
      </c>
      <c r="Q200" s="19">
        <v>0</v>
      </c>
      <c r="R200" s="19" t="s">
        <v>1272</v>
      </c>
      <c r="S200" s="19" t="s">
        <v>0</v>
      </c>
      <c r="T200" s="19" t="s">
        <v>0</v>
      </c>
      <c r="U200" s="19" t="s">
        <v>0</v>
      </c>
      <c r="V200" s="19" t="s">
        <v>0</v>
      </c>
      <c r="W200" s="19" t="s">
        <v>0</v>
      </c>
      <c r="X200" s="19" t="s">
        <v>0</v>
      </c>
    </row>
    <row r="201" spans="1:24" ht="15.75" customHeight="1">
      <c r="A201" s="10">
        <f t="shared" si="5"/>
        <v>46200046</v>
      </c>
      <c r="B201" s="94" t="s">
        <v>1241</v>
      </c>
      <c r="C201" s="4" t="s">
        <v>112</v>
      </c>
      <c r="D201" s="11">
        <f>IFERROR(VLOOKUP(C201,ShipShapeEnum!$E:$F,2,FALSE),"-")</f>
        <v>3</v>
      </c>
      <c r="E201" s="19" t="s">
        <v>1242</v>
      </c>
      <c r="F201" s="4" t="s">
        <v>65</v>
      </c>
      <c r="G201" s="11">
        <f>IFERROR(VLOOKUP(F201,ShipShapeEnum!$B:$C,2,FALSE),"-")</f>
        <v>2</v>
      </c>
      <c r="H201" s="19" t="s">
        <v>0</v>
      </c>
      <c r="I201" s="19" t="s">
        <v>0</v>
      </c>
      <c r="J201" s="19" t="s">
        <v>0</v>
      </c>
      <c r="K201" s="19" t="s">
        <v>0</v>
      </c>
      <c r="L201" s="19" t="s">
        <v>0</v>
      </c>
      <c r="M201" s="4" t="s">
        <v>88</v>
      </c>
      <c r="N201" s="11">
        <f>IFERROR(VLOOKUP(M201,ShipShapeEnum!$H:$I,2,FALSE),"-")</f>
        <v>1</v>
      </c>
      <c r="O201" s="11" t="s">
        <v>0</v>
      </c>
      <c r="P201" s="11" t="s">
        <v>0</v>
      </c>
      <c r="Q201" s="19">
        <v>0</v>
      </c>
      <c r="R201" s="19" t="s">
        <v>1273</v>
      </c>
      <c r="S201" s="19" t="s">
        <v>0</v>
      </c>
      <c r="T201" s="19" t="s">
        <v>0</v>
      </c>
      <c r="U201" s="19" t="s">
        <v>0</v>
      </c>
      <c r="V201" s="19" t="s">
        <v>0</v>
      </c>
      <c r="W201" s="19" t="s">
        <v>0</v>
      </c>
      <c r="X201" s="19" t="s">
        <v>0</v>
      </c>
    </row>
    <row r="202" spans="1:24" ht="15.75" customHeight="1">
      <c r="A202" s="10">
        <f t="shared" si="5"/>
        <v>46200047</v>
      </c>
      <c r="B202" s="94" t="s">
        <v>1243</v>
      </c>
      <c r="C202" s="4" t="s">
        <v>112</v>
      </c>
      <c r="D202" s="11">
        <f>IFERROR(VLOOKUP(C202,ShipShapeEnum!$E:$F,2,FALSE),"-")</f>
        <v>3</v>
      </c>
      <c r="E202" s="19" t="s">
        <v>1244</v>
      </c>
      <c r="F202" s="4" t="s">
        <v>65</v>
      </c>
      <c r="G202" s="11">
        <f>IFERROR(VLOOKUP(F202,ShipShapeEnum!$B:$C,2,FALSE),"-")</f>
        <v>2</v>
      </c>
      <c r="H202" s="19" t="s">
        <v>0</v>
      </c>
      <c r="I202" s="19" t="s">
        <v>0</v>
      </c>
      <c r="J202" s="19" t="s">
        <v>0</v>
      </c>
      <c r="K202" s="19" t="s">
        <v>0</v>
      </c>
      <c r="L202" s="19" t="s">
        <v>0</v>
      </c>
      <c r="M202" s="4" t="s">
        <v>88</v>
      </c>
      <c r="N202" s="11">
        <f>IFERROR(VLOOKUP(M202,ShipShapeEnum!$H:$I,2,FALSE),"-")</f>
        <v>1</v>
      </c>
      <c r="O202" s="11" t="s">
        <v>0</v>
      </c>
      <c r="P202" s="11" t="s">
        <v>0</v>
      </c>
      <c r="Q202" s="19">
        <v>0</v>
      </c>
      <c r="R202" s="19" t="s">
        <v>1274</v>
      </c>
      <c r="S202" s="19" t="s">
        <v>0</v>
      </c>
      <c r="T202" s="19" t="s">
        <v>0</v>
      </c>
      <c r="U202" s="19" t="s">
        <v>0</v>
      </c>
      <c r="V202" s="19" t="s">
        <v>0</v>
      </c>
      <c r="W202" s="19" t="s">
        <v>0</v>
      </c>
      <c r="X202" s="19" t="s">
        <v>0</v>
      </c>
    </row>
    <row r="203" spans="1:24" ht="15.75" customHeight="1">
      <c r="A203" s="10">
        <f t="shared" si="5"/>
        <v>46200048</v>
      </c>
      <c r="B203" s="94" t="s">
        <v>1245</v>
      </c>
      <c r="C203" s="4" t="s">
        <v>112</v>
      </c>
      <c r="D203" s="11">
        <f>IFERROR(VLOOKUP(C203,ShipShapeEnum!$E:$F,2,FALSE),"-")</f>
        <v>3</v>
      </c>
      <c r="E203" s="19" t="s">
        <v>1246</v>
      </c>
      <c r="F203" s="4" t="s">
        <v>65</v>
      </c>
      <c r="G203" s="11">
        <f>IFERROR(VLOOKUP(F203,ShipShapeEnum!$B:$C,2,FALSE),"-")</f>
        <v>2</v>
      </c>
      <c r="H203" s="19" t="s">
        <v>0</v>
      </c>
      <c r="I203" s="19" t="s">
        <v>0</v>
      </c>
      <c r="J203" s="19" t="s">
        <v>0</v>
      </c>
      <c r="K203" s="19" t="s">
        <v>0</v>
      </c>
      <c r="L203" s="19" t="s">
        <v>0</v>
      </c>
      <c r="M203" s="4" t="s">
        <v>88</v>
      </c>
      <c r="N203" s="11">
        <f>IFERROR(VLOOKUP(M203,ShipShapeEnum!$H:$I,2,FALSE),"-")</f>
        <v>1</v>
      </c>
      <c r="O203" s="11" t="s">
        <v>0</v>
      </c>
      <c r="P203" s="11" t="s">
        <v>0</v>
      </c>
      <c r="Q203" s="19">
        <v>0</v>
      </c>
      <c r="R203" s="19" t="s">
        <v>1275</v>
      </c>
      <c r="S203" s="19" t="s">
        <v>0</v>
      </c>
      <c r="T203" s="19" t="s">
        <v>0</v>
      </c>
      <c r="U203" s="19" t="s">
        <v>0</v>
      </c>
      <c r="V203" s="19" t="s">
        <v>0</v>
      </c>
      <c r="W203" s="19" t="s">
        <v>0</v>
      </c>
      <c r="X203" s="19" t="s">
        <v>0</v>
      </c>
    </row>
    <row r="204" spans="1:24" ht="15.75" customHeight="1">
      <c r="A204" s="10">
        <f t="shared" si="5"/>
        <v>46200049</v>
      </c>
      <c r="B204" s="94" t="s">
        <v>1247</v>
      </c>
      <c r="C204" s="4" t="s">
        <v>112</v>
      </c>
      <c r="D204" s="11">
        <f>IFERROR(VLOOKUP(C204,ShipShapeEnum!$E:$F,2,FALSE),"-")</f>
        <v>3</v>
      </c>
      <c r="E204" s="19" t="s">
        <v>1248</v>
      </c>
      <c r="F204" s="4" t="s">
        <v>65</v>
      </c>
      <c r="G204" s="11">
        <f>IFERROR(VLOOKUP(F204,ShipShapeEnum!$B:$C,2,FALSE),"-")</f>
        <v>2</v>
      </c>
      <c r="H204" s="19" t="s">
        <v>0</v>
      </c>
      <c r="I204" s="19" t="s">
        <v>0</v>
      </c>
      <c r="J204" s="19" t="s">
        <v>0</v>
      </c>
      <c r="K204" s="19" t="s">
        <v>0</v>
      </c>
      <c r="L204" s="19" t="s">
        <v>0</v>
      </c>
      <c r="M204" s="4" t="s">
        <v>88</v>
      </c>
      <c r="N204" s="11">
        <f>IFERROR(VLOOKUP(M204,ShipShapeEnum!$H:$I,2,FALSE),"-")</f>
        <v>1</v>
      </c>
      <c r="O204" s="11" t="s">
        <v>0</v>
      </c>
      <c r="P204" s="11" t="s">
        <v>0</v>
      </c>
      <c r="Q204" s="19">
        <v>0</v>
      </c>
      <c r="R204" s="19" t="s">
        <v>1276</v>
      </c>
      <c r="S204" s="19" t="s">
        <v>0</v>
      </c>
      <c r="T204" s="19" t="s">
        <v>0</v>
      </c>
      <c r="U204" s="19" t="s">
        <v>0</v>
      </c>
      <c r="V204" s="19" t="s">
        <v>0</v>
      </c>
      <c r="W204" s="19" t="s">
        <v>0</v>
      </c>
      <c r="X204" s="19" t="s">
        <v>0</v>
      </c>
    </row>
    <row r="205" spans="1:24" ht="15.75" customHeight="1">
      <c r="A205" s="10">
        <f t="shared" si="5"/>
        <v>46200050</v>
      </c>
      <c r="B205" s="94" t="s">
        <v>1249</v>
      </c>
      <c r="C205" s="4" t="s">
        <v>112</v>
      </c>
      <c r="D205" s="11">
        <f>IFERROR(VLOOKUP(C205,ShipShapeEnum!$E:$F,2,FALSE),"-")</f>
        <v>3</v>
      </c>
      <c r="E205" s="19" t="s">
        <v>1250</v>
      </c>
      <c r="F205" s="4" t="s">
        <v>65</v>
      </c>
      <c r="G205" s="11">
        <f>IFERROR(VLOOKUP(F205,ShipShapeEnum!$B:$C,2,FALSE),"-")</f>
        <v>2</v>
      </c>
      <c r="H205" s="19" t="s">
        <v>0</v>
      </c>
      <c r="I205" s="19" t="s">
        <v>0</v>
      </c>
      <c r="J205" s="19" t="s">
        <v>0</v>
      </c>
      <c r="K205" s="19" t="s">
        <v>0</v>
      </c>
      <c r="L205" s="19" t="s">
        <v>0</v>
      </c>
      <c r="M205" s="4" t="s">
        <v>88</v>
      </c>
      <c r="N205" s="11">
        <f>IFERROR(VLOOKUP(M205,ShipShapeEnum!$H:$I,2,FALSE),"-")</f>
        <v>1</v>
      </c>
      <c r="O205" s="11" t="s">
        <v>0</v>
      </c>
      <c r="P205" s="11" t="s">
        <v>0</v>
      </c>
      <c r="Q205" s="19">
        <v>0</v>
      </c>
      <c r="R205" s="19" t="s">
        <v>1277</v>
      </c>
      <c r="S205" s="19" t="s">
        <v>0</v>
      </c>
      <c r="T205" s="19" t="s">
        <v>0</v>
      </c>
      <c r="U205" s="19" t="s">
        <v>0</v>
      </c>
      <c r="V205" s="19" t="s">
        <v>0</v>
      </c>
      <c r="W205" s="19" t="s">
        <v>0</v>
      </c>
      <c r="X205" s="19" t="s">
        <v>0</v>
      </c>
    </row>
    <row r="206" spans="1:24" ht="15.75" customHeight="1">
      <c r="A206" s="10">
        <f t="shared" si="5"/>
        <v>46200051</v>
      </c>
      <c r="B206" s="94" t="s">
        <v>1251</v>
      </c>
      <c r="C206" s="4" t="s">
        <v>112</v>
      </c>
      <c r="D206" s="11">
        <f>IFERROR(VLOOKUP(C206,ShipShapeEnum!$E:$F,2,FALSE),"-")</f>
        <v>3</v>
      </c>
      <c r="E206" s="19" t="s">
        <v>1252</v>
      </c>
      <c r="F206" s="4" t="s">
        <v>65</v>
      </c>
      <c r="G206" s="11">
        <f>IFERROR(VLOOKUP(F206,ShipShapeEnum!$B:$C,2,FALSE),"-")</f>
        <v>2</v>
      </c>
      <c r="H206" s="19" t="s">
        <v>0</v>
      </c>
      <c r="I206" s="19" t="s">
        <v>0</v>
      </c>
      <c r="J206" s="19" t="s">
        <v>0</v>
      </c>
      <c r="K206" s="19" t="s">
        <v>0</v>
      </c>
      <c r="L206" s="19" t="s">
        <v>0</v>
      </c>
      <c r="M206" s="4" t="s">
        <v>88</v>
      </c>
      <c r="N206" s="11">
        <f>IFERROR(VLOOKUP(M206,ShipShapeEnum!$H:$I,2,FALSE),"-")</f>
        <v>1</v>
      </c>
      <c r="O206" s="11" t="s">
        <v>0</v>
      </c>
      <c r="P206" s="11" t="s">
        <v>0</v>
      </c>
      <c r="Q206" s="19">
        <v>0</v>
      </c>
      <c r="R206" s="19" t="s">
        <v>1278</v>
      </c>
      <c r="S206" s="19" t="s">
        <v>0</v>
      </c>
      <c r="T206" s="19" t="s">
        <v>0</v>
      </c>
      <c r="U206" s="19" t="s">
        <v>0</v>
      </c>
      <c r="V206" s="19" t="s">
        <v>0</v>
      </c>
      <c r="W206" s="19" t="s">
        <v>0</v>
      </c>
      <c r="X206" s="19" t="s">
        <v>0</v>
      </c>
    </row>
    <row r="207" spans="1:24" ht="15.75" customHeight="1">
      <c r="A207" s="10">
        <f t="shared" si="5"/>
        <v>46200052</v>
      </c>
      <c r="B207" s="94" t="s">
        <v>1253</v>
      </c>
      <c r="C207" s="4" t="s">
        <v>112</v>
      </c>
      <c r="D207" s="11">
        <f>IFERROR(VLOOKUP(C207,ShipShapeEnum!$E:$F,2,FALSE),"-")</f>
        <v>3</v>
      </c>
      <c r="E207" s="19" t="s">
        <v>1254</v>
      </c>
      <c r="F207" s="4" t="s">
        <v>65</v>
      </c>
      <c r="G207" s="11">
        <f>IFERROR(VLOOKUP(F207,ShipShapeEnum!$B:$C,2,FALSE),"-")</f>
        <v>2</v>
      </c>
      <c r="H207" s="19" t="s">
        <v>0</v>
      </c>
      <c r="I207" s="19" t="s">
        <v>0</v>
      </c>
      <c r="J207" s="19" t="s">
        <v>0</v>
      </c>
      <c r="K207" s="19" t="s">
        <v>0</v>
      </c>
      <c r="L207" s="19" t="s">
        <v>0</v>
      </c>
      <c r="M207" s="4" t="s">
        <v>88</v>
      </c>
      <c r="N207" s="11">
        <f>IFERROR(VLOOKUP(M207,ShipShapeEnum!$H:$I,2,FALSE),"-")</f>
        <v>1</v>
      </c>
      <c r="O207" s="11" t="s">
        <v>0</v>
      </c>
      <c r="P207" s="11" t="s">
        <v>0</v>
      </c>
      <c r="Q207" s="19">
        <v>0</v>
      </c>
      <c r="R207" s="19" t="s">
        <v>1279</v>
      </c>
      <c r="S207" s="19" t="s">
        <v>0</v>
      </c>
      <c r="T207" s="19" t="s">
        <v>0</v>
      </c>
      <c r="U207" s="19" t="s">
        <v>0</v>
      </c>
      <c r="V207" s="19" t="s">
        <v>0</v>
      </c>
      <c r="W207" s="19" t="s">
        <v>0</v>
      </c>
      <c r="X207" s="19" t="s">
        <v>0</v>
      </c>
    </row>
    <row r="208" spans="1:24" ht="15.75" customHeight="1">
      <c r="A208" s="10">
        <f t="shared" si="5"/>
        <v>46200053</v>
      </c>
      <c r="B208" s="94" t="s">
        <v>1255</v>
      </c>
      <c r="C208" s="4" t="s">
        <v>112</v>
      </c>
      <c r="D208" s="11">
        <f>IFERROR(VLOOKUP(C208,ShipShapeEnum!$E:$F,2,FALSE),"-")</f>
        <v>3</v>
      </c>
      <c r="E208" s="19" t="s">
        <v>1256</v>
      </c>
      <c r="F208" s="4" t="s">
        <v>65</v>
      </c>
      <c r="G208" s="11">
        <f>IFERROR(VLOOKUP(F208,ShipShapeEnum!$B:$C,2,FALSE),"-")</f>
        <v>2</v>
      </c>
      <c r="H208" s="19" t="s">
        <v>0</v>
      </c>
      <c r="I208" s="19" t="s">
        <v>0</v>
      </c>
      <c r="J208" s="19" t="s">
        <v>0</v>
      </c>
      <c r="K208" s="19" t="s">
        <v>0</v>
      </c>
      <c r="L208" s="19" t="s">
        <v>0</v>
      </c>
      <c r="M208" s="4" t="s">
        <v>88</v>
      </c>
      <c r="N208" s="11">
        <f>IFERROR(VLOOKUP(M208,ShipShapeEnum!$H:$I,2,FALSE),"-")</f>
        <v>1</v>
      </c>
      <c r="O208" s="11" t="s">
        <v>0</v>
      </c>
      <c r="P208" s="11" t="s">
        <v>0</v>
      </c>
      <c r="Q208" s="19">
        <v>0</v>
      </c>
      <c r="R208" s="19" t="s">
        <v>1280</v>
      </c>
      <c r="S208" s="19" t="s">
        <v>0</v>
      </c>
      <c r="T208" s="19" t="s">
        <v>0</v>
      </c>
      <c r="U208" s="19" t="s">
        <v>0</v>
      </c>
      <c r="V208" s="19" t="s">
        <v>0</v>
      </c>
      <c r="W208" s="19" t="s">
        <v>0</v>
      </c>
      <c r="X208" s="19" t="s">
        <v>0</v>
      </c>
    </row>
    <row r="209" spans="1:24" ht="15">
      <c r="A209" s="10">
        <v>46300001</v>
      </c>
      <c r="B209" s="96" t="s">
        <v>113</v>
      </c>
      <c r="C209" s="4" t="s">
        <v>64</v>
      </c>
      <c r="D209" s="11">
        <f>IFERROR(VLOOKUP(C209,ShipShapeEnum!$E:$F,2,FALSE),"-")</f>
        <v>4</v>
      </c>
      <c r="E209" s="19" t="s">
        <v>98</v>
      </c>
      <c r="F209" s="4" t="s">
        <v>66</v>
      </c>
      <c r="G209" s="11">
        <f>IFERROR(VLOOKUP(F209,ShipShapeEnum!$B:$C,2,FALSE),"-")</f>
        <v>3</v>
      </c>
      <c r="H209" s="19" t="s">
        <v>84</v>
      </c>
      <c r="I209" s="19" t="s">
        <v>116</v>
      </c>
      <c r="J209" s="19" t="s">
        <v>116</v>
      </c>
      <c r="K209" s="19" t="s">
        <v>116</v>
      </c>
      <c r="L209" s="19" t="s">
        <v>116</v>
      </c>
      <c r="M209" s="4" t="s">
        <v>125</v>
      </c>
      <c r="N209" s="11">
        <f>IFERROR(VLOOKUP(M209,ShipShapeEnum!$H:$I,2,FALSE),"-")</f>
        <v>3</v>
      </c>
      <c r="O209" s="11" t="s">
        <v>0</v>
      </c>
      <c r="P209" s="11" t="s">
        <v>0</v>
      </c>
      <c r="Q209" s="19">
        <v>0</v>
      </c>
      <c r="R209" s="19" t="s">
        <v>203</v>
      </c>
      <c r="S209" s="19" t="s">
        <v>87</v>
      </c>
      <c r="T209" s="19" t="s">
        <v>96</v>
      </c>
      <c r="U209" s="19" t="s">
        <v>102</v>
      </c>
      <c r="V209" s="19" t="s">
        <v>103</v>
      </c>
      <c r="W209" s="19" t="s">
        <v>84</v>
      </c>
      <c r="X209" s="19" t="s">
        <v>84</v>
      </c>
    </row>
    <row r="210" spans="1:24" ht="15">
      <c r="A210" s="10">
        <v>46400001</v>
      </c>
      <c r="B210" s="91" t="s">
        <v>283</v>
      </c>
      <c r="C210" s="4" t="s">
        <v>284</v>
      </c>
      <c r="D210" s="11">
        <f>IFERROR(VLOOKUP(C210,ShipShapeEnum!$E:$F,2,FALSE),"-")</f>
        <v>5</v>
      </c>
      <c r="E210" s="19" t="s">
        <v>285</v>
      </c>
      <c r="F210" s="4" t="s">
        <v>65</v>
      </c>
      <c r="G210" s="11">
        <v>2</v>
      </c>
      <c r="H210" s="19" t="s">
        <v>0</v>
      </c>
      <c r="I210" s="19" t="s">
        <v>0</v>
      </c>
      <c r="J210" s="19" t="s">
        <v>0</v>
      </c>
      <c r="K210" s="19" t="s">
        <v>0</v>
      </c>
      <c r="L210" s="19" t="s">
        <v>0</v>
      </c>
      <c r="M210" s="4" t="s">
        <v>88</v>
      </c>
      <c r="N210" s="11">
        <f>IFERROR(VLOOKUP(M210,ShipShapeEnum!$H:$I,2,FALSE),"-")</f>
        <v>1</v>
      </c>
      <c r="O210" s="11" t="s">
        <v>0</v>
      </c>
      <c r="P210" s="11" t="s">
        <v>0</v>
      </c>
      <c r="Q210" s="19">
        <v>2</v>
      </c>
      <c r="R210" s="19" t="s">
        <v>286</v>
      </c>
      <c r="S210" s="19" t="s">
        <v>0</v>
      </c>
      <c r="T210" s="19" t="s">
        <v>0</v>
      </c>
      <c r="U210" s="19" t="s">
        <v>0</v>
      </c>
      <c r="V210" s="19" t="s">
        <v>0</v>
      </c>
      <c r="W210" s="19" t="s">
        <v>0</v>
      </c>
      <c r="X210" s="19" t="s">
        <v>0</v>
      </c>
    </row>
    <row r="211" spans="1:24" ht="15">
      <c r="A211" s="10">
        <f>A210+1</f>
        <v>46400002</v>
      </c>
      <c r="B211" s="91" t="s">
        <v>410</v>
      </c>
      <c r="C211" s="4" t="s">
        <v>284</v>
      </c>
      <c r="D211" s="11">
        <f>IFERROR(VLOOKUP(C211,ShipShapeEnum!$E:$F,2,FALSE),"-")</f>
        <v>5</v>
      </c>
      <c r="E211" s="19" t="s">
        <v>748</v>
      </c>
      <c r="F211" s="4" t="s">
        <v>61</v>
      </c>
      <c r="G211" s="11">
        <v>1</v>
      </c>
      <c r="H211" s="19" t="s">
        <v>0</v>
      </c>
      <c r="I211" s="19" t="s">
        <v>0</v>
      </c>
      <c r="J211" s="19" t="s">
        <v>0</v>
      </c>
      <c r="K211" s="19" t="s">
        <v>0</v>
      </c>
      <c r="L211" s="19" t="s">
        <v>0</v>
      </c>
      <c r="M211" s="4" t="s">
        <v>88</v>
      </c>
      <c r="N211" s="11">
        <f>IFERROR(VLOOKUP(M211,ShipShapeEnum!$H:$I,2,FALSE),"-")</f>
        <v>1</v>
      </c>
      <c r="O211" s="11" t="s">
        <v>0</v>
      </c>
      <c r="P211" s="11" t="s">
        <v>0</v>
      </c>
      <c r="Q211" s="19">
        <v>2</v>
      </c>
      <c r="R211" s="19" t="s">
        <v>749</v>
      </c>
      <c r="S211" s="19" t="s">
        <v>0</v>
      </c>
      <c r="T211" s="19" t="s">
        <v>0</v>
      </c>
      <c r="U211" s="19" t="s">
        <v>0</v>
      </c>
      <c r="V211" s="19" t="s">
        <v>0</v>
      </c>
      <c r="W211" s="19" t="s">
        <v>0</v>
      </c>
      <c r="X211" s="19" t="s">
        <v>0</v>
      </c>
    </row>
    <row r="212" spans="1:24" ht="15">
      <c r="A212" s="10">
        <f t="shared" ref="A212:A231" si="6">A211+1</f>
        <v>46400003</v>
      </c>
      <c r="B212" s="91" t="s">
        <v>741</v>
      </c>
      <c r="C212" s="4" t="s">
        <v>284</v>
      </c>
      <c r="D212" s="11">
        <f>IFERROR(VLOOKUP(C212,ShipShapeEnum!$E:$F,2,FALSE),"-")</f>
        <v>5</v>
      </c>
      <c r="E212" s="19" t="s">
        <v>748</v>
      </c>
      <c r="F212" s="4" t="s">
        <v>61</v>
      </c>
      <c r="G212" s="11">
        <f>IFERROR(VLOOKUP(F212,ShipShapeEnum!$B:$C,2,FALSE),"-")</f>
        <v>1</v>
      </c>
      <c r="H212" s="19" t="s">
        <v>0</v>
      </c>
      <c r="I212" s="19" t="s">
        <v>0</v>
      </c>
      <c r="J212" s="19" t="s">
        <v>0</v>
      </c>
      <c r="K212" s="19" t="s">
        <v>0</v>
      </c>
      <c r="L212" s="19" t="s">
        <v>0</v>
      </c>
      <c r="M212" s="4" t="s">
        <v>88</v>
      </c>
      <c r="N212" s="11">
        <f>IFERROR(VLOOKUP(M212,ShipShapeEnum!$H:$I,2,FALSE),"-")</f>
        <v>1</v>
      </c>
      <c r="O212" s="11" t="s">
        <v>0</v>
      </c>
      <c r="P212" s="11" t="s">
        <v>0</v>
      </c>
      <c r="Q212" s="19">
        <v>0</v>
      </c>
      <c r="R212" s="19" t="s">
        <v>749</v>
      </c>
      <c r="S212" s="19" t="s">
        <v>0</v>
      </c>
      <c r="T212" s="19" t="s">
        <v>0</v>
      </c>
      <c r="U212" s="19" t="s">
        <v>0</v>
      </c>
      <c r="V212" s="19" t="s">
        <v>0</v>
      </c>
      <c r="W212" s="19" t="s">
        <v>0</v>
      </c>
      <c r="X212" s="19" t="s">
        <v>0</v>
      </c>
    </row>
    <row r="213" spans="1:24" ht="15">
      <c r="A213" s="10">
        <f t="shared" si="6"/>
        <v>46400004</v>
      </c>
      <c r="B213" s="91" t="s">
        <v>742</v>
      </c>
      <c r="C213" s="4" t="s">
        <v>284</v>
      </c>
      <c r="D213" s="11">
        <f>IFERROR(VLOOKUP(C213,ShipShapeEnum!$E:$F,2,FALSE),"-")</f>
        <v>5</v>
      </c>
      <c r="E213" s="19" t="s">
        <v>746</v>
      </c>
      <c r="F213" s="4" t="s">
        <v>61</v>
      </c>
      <c r="G213" s="11">
        <f>IFERROR(VLOOKUP(F213,ShipShapeEnum!$B:$C,2,FALSE),"-")</f>
        <v>1</v>
      </c>
      <c r="H213" s="19" t="s">
        <v>0</v>
      </c>
      <c r="I213" s="19" t="s">
        <v>0</v>
      </c>
      <c r="J213" s="19" t="s">
        <v>0</v>
      </c>
      <c r="K213" s="19" t="s">
        <v>0</v>
      </c>
      <c r="L213" s="19" t="s">
        <v>0</v>
      </c>
      <c r="M213" s="4" t="s">
        <v>88</v>
      </c>
      <c r="N213" s="11">
        <f>IFERROR(VLOOKUP(M213,ShipShapeEnum!$H:$I,2,FALSE),"-")</f>
        <v>1</v>
      </c>
      <c r="O213" s="11" t="s">
        <v>0</v>
      </c>
      <c r="P213" s="11" t="s">
        <v>0</v>
      </c>
      <c r="Q213" s="19">
        <v>0</v>
      </c>
      <c r="R213" s="19" t="s">
        <v>751</v>
      </c>
      <c r="S213" s="19" t="s">
        <v>0</v>
      </c>
      <c r="T213" s="19" t="s">
        <v>0</v>
      </c>
      <c r="U213" s="19" t="s">
        <v>0</v>
      </c>
      <c r="V213" s="19" t="s">
        <v>0</v>
      </c>
      <c r="W213" s="19" t="s">
        <v>0</v>
      </c>
      <c r="X213" s="19" t="s">
        <v>0</v>
      </c>
    </row>
    <row r="214" spans="1:24" ht="15">
      <c r="A214" s="10">
        <f t="shared" si="6"/>
        <v>46400005</v>
      </c>
      <c r="B214" s="91" t="s">
        <v>743</v>
      </c>
      <c r="C214" s="4" t="s">
        <v>284</v>
      </c>
      <c r="D214" s="11">
        <f>IFERROR(VLOOKUP(C214,ShipShapeEnum!$E:$F,2,FALSE),"-")</f>
        <v>5</v>
      </c>
      <c r="E214" s="19" t="s">
        <v>745</v>
      </c>
      <c r="F214" s="4" t="s">
        <v>61</v>
      </c>
      <c r="G214" s="11">
        <f>IFERROR(VLOOKUP(F214,ShipShapeEnum!$B:$C,2,FALSE),"-")</f>
        <v>1</v>
      </c>
      <c r="H214" s="19" t="s">
        <v>0</v>
      </c>
      <c r="I214" s="19" t="s">
        <v>0</v>
      </c>
      <c r="J214" s="19" t="s">
        <v>0</v>
      </c>
      <c r="K214" s="19" t="s">
        <v>0</v>
      </c>
      <c r="L214" s="19" t="s">
        <v>0</v>
      </c>
      <c r="M214" s="4" t="s">
        <v>88</v>
      </c>
      <c r="N214" s="11">
        <f>IFERROR(VLOOKUP(M214,ShipShapeEnum!$H:$I,2,FALSE),"-")</f>
        <v>1</v>
      </c>
      <c r="O214" s="11" t="s">
        <v>0</v>
      </c>
      <c r="P214" s="11" t="s">
        <v>0</v>
      </c>
      <c r="Q214" s="19">
        <v>0</v>
      </c>
      <c r="R214" s="19" t="s">
        <v>752</v>
      </c>
      <c r="S214" s="19" t="s">
        <v>0</v>
      </c>
      <c r="T214" s="19" t="s">
        <v>0</v>
      </c>
      <c r="U214" s="19" t="s">
        <v>0</v>
      </c>
      <c r="V214" s="19" t="s">
        <v>0</v>
      </c>
      <c r="W214" s="19" t="s">
        <v>0</v>
      </c>
      <c r="X214" s="19" t="s">
        <v>0</v>
      </c>
    </row>
    <row r="215" spans="1:24" ht="15">
      <c r="A215" s="10">
        <f t="shared" si="6"/>
        <v>46400006</v>
      </c>
      <c r="B215" s="91" t="s">
        <v>744</v>
      </c>
      <c r="C215" s="4" t="s">
        <v>284</v>
      </c>
      <c r="D215" s="11">
        <f>IFERROR(VLOOKUP(C215,ShipShapeEnum!$E:$F,2,FALSE),"-")</f>
        <v>5</v>
      </c>
      <c r="E215" s="19" t="s">
        <v>747</v>
      </c>
      <c r="F215" s="4" t="s">
        <v>61</v>
      </c>
      <c r="G215" s="11">
        <f>IFERROR(VLOOKUP(F215,ShipShapeEnum!$B:$C,2,FALSE),"-")</f>
        <v>1</v>
      </c>
      <c r="H215" s="19" t="s">
        <v>0</v>
      </c>
      <c r="I215" s="19" t="s">
        <v>0</v>
      </c>
      <c r="J215" s="19" t="s">
        <v>0</v>
      </c>
      <c r="K215" s="19" t="s">
        <v>0</v>
      </c>
      <c r="L215" s="19" t="s">
        <v>0</v>
      </c>
      <c r="M215" s="4" t="s">
        <v>88</v>
      </c>
      <c r="N215" s="11">
        <f>IFERROR(VLOOKUP(M215,ShipShapeEnum!$H:$I,2,FALSE),"-")</f>
        <v>1</v>
      </c>
      <c r="O215" s="11" t="s">
        <v>0</v>
      </c>
      <c r="P215" s="11" t="s">
        <v>0</v>
      </c>
      <c r="Q215" s="19">
        <v>0</v>
      </c>
      <c r="R215" s="19" t="s">
        <v>750</v>
      </c>
      <c r="S215" s="19" t="s">
        <v>0</v>
      </c>
      <c r="T215" s="19" t="s">
        <v>0</v>
      </c>
      <c r="U215" s="19" t="s">
        <v>0</v>
      </c>
      <c r="V215" s="19" t="s">
        <v>0</v>
      </c>
      <c r="W215" s="19" t="s">
        <v>0</v>
      </c>
      <c r="X215" s="19" t="s">
        <v>0</v>
      </c>
    </row>
    <row r="216" spans="1:24" ht="15">
      <c r="A216" s="10">
        <f t="shared" si="6"/>
        <v>46400007</v>
      </c>
      <c r="B216" s="91" t="s">
        <v>1114</v>
      </c>
      <c r="C216" s="4" t="s">
        <v>284</v>
      </c>
      <c r="D216" s="11">
        <f>IFERROR(VLOOKUP(C216,ShipShapeEnum!$E:$F,2,FALSE),"-")</f>
        <v>5</v>
      </c>
      <c r="E216" s="19" t="s">
        <v>1130</v>
      </c>
      <c r="F216" s="4" t="s">
        <v>61</v>
      </c>
      <c r="G216" s="11">
        <f>IFERROR(VLOOKUP(F216,ShipShapeEnum!$B:$C,2,FALSE),"-")</f>
        <v>1</v>
      </c>
      <c r="H216" s="19" t="s">
        <v>0</v>
      </c>
      <c r="I216" s="19" t="s">
        <v>0</v>
      </c>
      <c r="J216" s="19" t="s">
        <v>0</v>
      </c>
      <c r="K216" s="19" t="s">
        <v>0</v>
      </c>
      <c r="L216" s="19" t="s">
        <v>0</v>
      </c>
      <c r="M216" s="4" t="s">
        <v>88</v>
      </c>
      <c r="N216" s="11">
        <f>IFERROR(VLOOKUP(M216,ShipShapeEnum!$H:$I,2,FALSE),"-")</f>
        <v>1</v>
      </c>
      <c r="O216" s="11" t="s">
        <v>0</v>
      </c>
      <c r="P216" s="11" t="s">
        <v>0</v>
      </c>
      <c r="Q216" s="19">
        <v>0</v>
      </c>
      <c r="R216" s="19" t="s">
        <v>1146</v>
      </c>
      <c r="S216" s="19" t="s">
        <v>0</v>
      </c>
      <c r="T216" s="19" t="s">
        <v>0</v>
      </c>
      <c r="U216" s="19" t="s">
        <v>0</v>
      </c>
      <c r="V216" s="19" t="s">
        <v>0</v>
      </c>
      <c r="W216" s="19" t="s">
        <v>0</v>
      </c>
      <c r="X216" s="19" t="s">
        <v>0</v>
      </c>
    </row>
    <row r="217" spans="1:24" ht="15">
      <c r="A217" s="10">
        <f t="shared" si="6"/>
        <v>46400008</v>
      </c>
      <c r="B217" s="91" t="s">
        <v>1115</v>
      </c>
      <c r="C217" s="4" t="s">
        <v>284</v>
      </c>
      <c r="D217" s="11">
        <f>IFERROR(VLOOKUP(C217,ShipShapeEnum!$E:$F,2,FALSE),"-")</f>
        <v>5</v>
      </c>
      <c r="E217" s="19" t="s">
        <v>1131</v>
      </c>
      <c r="F217" s="4" t="s">
        <v>61</v>
      </c>
      <c r="G217" s="11">
        <f>IFERROR(VLOOKUP(F217,ShipShapeEnum!$B:$C,2,FALSE),"-")</f>
        <v>1</v>
      </c>
      <c r="H217" s="19" t="s">
        <v>0</v>
      </c>
      <c r="I217" s="19" t="s">
        <v>0</v>
      </c>
      <c r="J217" s="19" t="s">
        <v>0</v>
      </c>
      <c r="K217" s="19" t="s">
        <v>0</v>
      </c>
      <c r="L217" s="19" t="s">
        <v>0</v>
      </c>
      <c r="M217" s="4" t="s">
        <v>88</v>
      </c>
      <c r="N217" s="11">
        <f>IFERROR(VLOOKUP(M217,ShipShapeEnum!$H:$I,2,FALSE),"-")</f>
        <v>1</v>
      </c>
      <c r="O217" s="11" t="s">
        <v>0</v>
      </c>
      <c r="P217" s="11" t="s">
        <v>0</v>
      </c>
      <c r="Q217" s="19">
        <v>0</v>
      </c>
      <c r="R217" s="19" t="s">
        <v>1147</v>
      </c>
      <c r="S217" s="19" t="s">
        <v>0</v>
      </c>
      <c r="T217" s="19" t="s">
        <v>0</v>
      </c>
      <c r="U217" s="19" t="s">
        <v>0</v>
      </c>
      <c r="V217" s="19" t="s">
        <v>0</v>
      </c>
      <c r="W217" s="19" t="s">
        <v>0</v>
      </c>
      <c r="X217" s="19" t="s">
        <v>0</v>
      </c>
    </row>
    <row r="218" spans="1:24" ht="15">
      <c r="A218" s="10">
        <f t="shared" si="6"/>
        <v>46400009</v>
      </c>
      <c r="B218" s="91" t="s">
        <v>1116</v>
      </c>
      <c r="C218" s="4" t="s">
        <v>284</v>
      </c>
      <c r="D218" s="11">
        <f>IFERROR(VLOOKUP(C218,ShipShapeEnum!$E:$F,2,FALSE),"-")</f>
        <v>5</v>
      </c>
      <c r="E218" s="19" t="s">
        <v>1132</v>
      </c>
      <c r="F218" s="4" t="s">
        <v>61</v>
      </c>
      <c r="G218" s="11">
        <f>IFERROR(VLOOKUP(F218,ShipShapeEnum!$B:$C,2,FALSE),"-")</f>
        <v>1</v>
      </c>
      <c r="H218" s="19" t="s">
        <v>0</v>
      </c>
      <c r="I218" s="19" t="s">
        <v>0</v>
      </c>
      <c r="J218" s="19" t="s">
        <v>0</v>
      </c>
      <c r="K218" s="19" t="s">
        <v>0</v>
      </c>
      <c r="L218" s="19" t="s">
        <v>0</v>
      </c>
      <c r="M218" s="4" t="s">
        <v>88</v>
      </c>
      <c r="N218" s="11">
        <f>IFERROR(VLOOKUP(M218,ShipShapeEnum!$H:$I,2,FALSE),"-")</f>
        <v>1</v>
      </c>
      <c r="O218" s="11" t="s">
        <v>0</v>
      </c>
      <c r="P218" s="11" t="s">
        <v>0</v>
      </c>
      <c r="Q218" s="19">
        <v>0</v>
      </c>
      <c r="R218" s="19" t="s">
        <v>1148</v>
      </c>
      <c r="S218" s="19" t="s">
        <v>0</v>
      </c>
      <c r="T218" s="19" t="s">
        <v>0</v>
      </c>
      <c r="U218" s="19" t="s">
        <v>0</v>
      </c>
      <c r="V218" s="19" t="s">
        <v>0</v>
      </c>
      <c r="W218" s="19" t="s">
        <v>0</v>
      </c>
      <c r="X218" s="19" t="s">
        <v>0</v>
      </c>
    </row>
    <row r="219" spans="1:24" ht="15">
      <c r="A219" s="10">
        <f t="shared" si="6"/>
        <v>46400010</v>
      </c>
      <c r="B219" s="91" t="s">
        <v>1117</v>
      </c>
      <c r="C219" s="4" t="s">
        <v>284</v>
      </c>
      <c r="D219" s="11">
        <f>IFERROR(VLOOKUP(C219,ShipShapeEnum!$E:$F,2,FALSE),"-")</f>
        <v>5</v>
      </c>
      <c r="E219" s="19" t="s">
        <v>1133</v>
      </c>
      <c r="F219" s="4" t="s">
        <v>61</v>
      </c>
      <c r="G219" s="11">
        <f>IFERROR(VLOOKUP(F219,ShipShapeEnum!$B:$C,2,FALSE),"-")</f>
        <v>1</v>
      </c>
      <c r="H219" s="19" t="s">
        <v>0</v>
      </c>
      <c r="I219" s="19" t="s">
        <v>0</v>
      </c>
      <c r="J219" s="19" t="s">
        <v>0</v>
      </c>
      <c r="K219" s="19" t="s">
        <v>0</v>
      </c>
      <c r="L219" s="19" t="s">
        <v>0</v>
      </c>
      <c r="M219" s="4" t="s">
        <v>88</v>
      </c>
      <c r="N219" s="11">
        <f>IFERROR(VLOOKUP(M219,ShipShapeEnum!$H:$I,2,FALSE),"-")</f>
        <v>1</v>
      </c>
      <c r="O219" s="11" t="s">
        <v>0</v>
      </c>
      <c r="P219" s="11" t="s">
        <v>0</v>
      </c>
      <c r="Q219" s="19">
        <v>0</v>
      </c>
      <c r="R219" s="19" t="s">
        <v>1149</v>
      </c>
      <c r="S219" s="19" t="s">
        <v>0</v>
      </c>
      <c r="T219" s="19" t="s">
        <v>0</v>
      </c>
      <c r="U219" s="19" t="s">
        <v>0</v>
      </c>
      <c r="V219" s="19" t="s">
        <v>0</v>
      </c>
      <c r="W219" s="19" t="s">
        <v>0</v>
      </c>
      <c r="X219" s="19" t="s">
        <v>0</v>
      </c>
    </row>
    <row r="220" spans="1:24" ht="15">
      <c r="A220" s="10">
        <f t="shared" si="6"/>
        <v>46400011</v>
      </c>
      <c r="B220" s="91" t="s">
        <v>1118</v>
      </c>
      <c r="C220" s="4" t="s">
        <v>284</v>
      </c>
      <c r="D220" s="11">
        <f>IFERROR(VLOOKUP(C220,ShipShapeEnum!$E:$F,2,FALSE),"-")</f>
        <v>5</v>
      </c>
      <c r="E220" s="19" t="s">
        <v>1134</v>
      </c>
      <c r="F220" s="4" t="s">
        <v>61</v>
      </c>
      <c r="G220" s="11">
        <f>IFERROR(VLOOKUP(F220,ShipShapeEnum!$B:$C,2,FALSE),"-")</f>
        <v>1</v>
      </c>
      <c r="H220" s="19" t="s">
        <v>0</v>
      </c>
      <c r="I220" s="19" t="s">
        <v>0</v>
      </c>
      <c r="J220" s="19" t="s">
        <v>0</v>
      </c>
      <c r="K220" s="19" t="s">
        <v>0</v>
      </c>
      <c r="L220" s="19" t="s">
        <v>0</v>
      </c>
      <c r="M220" s="4" t="s">
        <v>88</v>
      </c>
      <c r="N220" s="11">
        <f>IFERROR(VLOOKUP(M220,ShipShapeEnum!$H:$I,2,FALSE),"-")</f>
        <v>1</v>
      </c>
      <c r="O220" s="11" t="s">
        <v>0</v>
      </c>
      <c r="P220" s="11" t="s">
        <v>0</v>
      </c>
      <c r="Q220" s="19">
        <v>0</v>
      </c>
      <c r="R220" s="19" t="s">
        <v>1150</v>
      </c>
      <c r="S220" s="19" t="s">
        <v>0</v>
      </c>
      <c r="T220" s="19" t="s">
        <v>0</v>
      </c>
      <c r="U220" s="19" t="s">
        <v>0</v>
      </c>
      <c r="V220" s="19" t="s">
        <v>0</v>
      </c>
      <c r="W220" s="19" t="s">
        <v>0</v>
      </c>
      <c r="X220" s="19" t="s">
        <v>0</v>
      </c>
    </row>
    <row r="221" spans="1:24" ht="15">
      <c r="A221" s="10">
        <f t="shared" si="6"/>
        <v>46400012</v>
      </c>
      <c r="B221" s="91" t="s">
        <v>1119</v>
      </c>
      <c r="C221" s="4" t="s">
        <v>284</v>
      </c>
      <c r="D221" s="11">
        <f>IFERROR(VLOOKUP(C221,ShipShapeEnum!$E:$F,2,FALSE),"-")</f>
        <v>5</v>
      </c>
      <c r="E221" s="19" t="s">
        <v>1135</v>
      </c>
      <c r="F221" s="4" t="s">
        <v>61</v>
      </c>
      <c r="G221" s="11">
        <f>IFERROR(VLOOKUP(F221,ShipShapeEnum!$B:$C,2,FALSE),"-")</f>
        <v>1</v>
      </c>
      <c r="H221" s="19" t="s">
        <v>0</v>
      </c>
      <c r="I221" s="19" t="s">
        <v>0</v>
      </c>
      <c r="J221" s="19" t="s">
        <v>0</v>
      </c>
      <c r="K221" s="19" t="s">
        <v>0</v>
      </c>
      <c r="L221" s="19" t="s">
        <v>0</v>
      </c>
      <c r="M221" s="4" t="s">
        <v>88</v>
      </c>
      <c r="N221" s="11">
        <f>IFERROR(VLOOKUP(M221,ShipShapeEnum!$H:$I,2,FALSE),"-")</f>
        <v>1</v>
      </c>
      <c r="O221" s="11" t="s">
        <v>0</v>
      </c>
      <c r="P221" s="11" t="s">
        <v>0</v>
      </c>
      <c r="Q221" s="19">
        <v>0</v>
      </c>
      <c r="R221" s="19" t="s">
        <v>1151</v>
      </c>
      <c r="S221" s="19" t="s">
        <v>0</v>
      </c>
      <c r="T221" s="19" t="s">
        <v>0</v>
      </c>
      <c r="U221" s="19" t="s">
        <v>0</v>
      </c>
      <c r="V221" s="19" t="s">
        <v>0</v>
      </c>
      <c r="W221" s="19" t="s">
        <v>0</v>
      </c>
      <c r="X221" s="19" t="s">
        <v>0</v>
      </c>
    </row>
    <row r="222" spans="1:24" ht="15">
      <c r="A222" s="10">
        <f t="shared" si="6"/>
        <v>46400013</v>
      </c>
      <c r="B222" s="91" t="s">
        <v>1120</v>
      </c>
      <c r="C222" s="4" t="s">
        <v>284</v>
      </c>
      <c r="D222" s="11">
        <f>IFERROR(VLOOKUP(C222,ShipShapeEnum!$E:$F,2,FALSE),"-")</f>
        <v>5</v>
      </c>
      <c r="E222" s="19" t="s">
        <v>1136</v>
      </c>
      <c r="F222" s="4" t="s">
        <v>61</v>
      </c>
      <c r="G222" s="11">
        <f>IFERROR(VLOOKUP(F222,ShipShapeEnum!$B:$C,2,FALSE),"-")</f>
        <v>1</v>
      </c>
      <c r="H222" s="19" t="s">
        <v>0</v>
      </c>
      <c r="I222" s="19" t="s">
        <v>0</v>
      </c>
      <c r="J222" s="19" t="s">
        <v>0</v>
      </c>
      <c r="K222" s="19" t="s">
        <v>0</v>
      </c>
      <c r="L222" s="19" t="s">
        <v>0</v>
      </c>
      <c r="M222" s="4" t="s">
        <v>88</v>
      </c>
      <c r="N222" s="11">
        <f>IFERROR(VLOOKUP(M222,ShipShapeEnum!$H:$I,2,FALSE),"-")</f>
        <v>1</v>
      </c>
      <c r="O222" s="11" t="s">
        <v>0</v>
      </c>
      <c r="P222" s="11" t="s">
        <v>0</v>
      </c>
      <c r="Q222" s="19">
        <v>0</v>
      </c>
      <c r="R222" s="19" t="s">
        <v>1152</v>
      </c>
      <c r="S222" s="19" t="s">
        <v>0</v>
      </c>
      <c r="T222" s="19" t="s">
        <v>0</v>
      </c>
      <c r="U222" s="19" t="s">
        <v>0</v>
      </c>
      <c r="V222" s="19" t="s">
        <v>0</v>
      </c>
      <c r="W222" s="19" t="s">
        <v>0</v>
      </c>
      <c r="X222" s="19" t="s">
        <v>0</v>
      </c>
    </row>
    <row r="223" spans="1:24" ht="15">
      <c r="A223" s="10">
        <f t="shared" si="6"/>
        <v>46400014</v>
      </c>
      <c r="B223" s="91" t="s">
        <v>1121</v>
      </c>
      <c r="C223" s="4" t="s">
        <v>284</v>
      </c>
      <c r="D223" s="11">
        <f>IFERROR(VLOOKUP(C223,ShipShapeEnum!$E:$F,2,FALSE),"-")</f>
        <v>5</v>
      </c>
      <c r="E223" s="19" t="s">
        <v>1138</v>
      </c>
      <c r="F223" s="4" t="s">
        <v>61</v>
      </c>
      <c r="G223" s="11">
        <f>IFERROR(VLOOKUP(F223,ShipShapeEnum!$B:$C,2,FALSE),"-")</f>
        <v>1</v>
      </c>
      <c r="H223" s="19" t="s">
        <v>0</v>
      </c>
      <c r="I223" s="19" t="s">
        <v>0</v>
      </c>
      <c r="J223" s="19" t="s">
        <v>0</v>
      </c>
      <c r="K223" s="19" t="s">
        <v>0</v>
      </c>
      <c r="L223" s="19" t="s">
        <v>0</v>
      </c>
      <c r="M223" s="4" t="s">
        <v>88</v>
      </c>
      <c r="N223" s="11">
        <f>IFERROR(VLOOKUP(M223,ShipShapeEnum!$H:$I,2,FALSE),"-")</f>
        <v>1</v>
      </c>
      <c r="O223" s="11" t="s">
        <v>0</v>
      </c>
      <c r="P223" s="11" t="s">
        <v>0</v>
      </c>
      <c r="Q223" s="19">
        <v>0</v>
      </c>
      <c r="R223" s="19" t="s">
        <v>1153</v>
      </c>
      <c r="S223" s="19" t="s">
        <v>0</v>
      </c>
      <c r="T223" s="19" t="s">
        <v>0</v>
      </c>
      <c r="U223" s="19" t="s">
        <v>0</v>
      </c>
      <c r="V223" s="19" t="s">
        <v>0</v>
      </c>
      <c r="W223" s="19" t="s">
        <v>0</v>
      </c>
      <c r="X223" s="19" t="s">
        <v>0</v>
      </c>
    </row>
    <row r="224" spans="1:24" ht="15">
      <c r="A224" s="10">
        <f t="shared" si="6"/>
        <v>46400015</v>
      </c>
      <c r="B224" s="91" t="s">
        <v>1122</v>
      </c>
      <c r="C224" s="4" t="s">
        <v>284</v>
      </c>
      <c r="D224" s="11">
        <f>IFERROR(VLOOKUP(C224,ShipShapeEnum!$E:$F,2,FALSE),"-")</f>
        <v>5</v>
      </c>
      <c r="E224" s="19" t="s">
        <v>1139</v>
      </c>
      <c r="F224" s="4" t="s">
        <v>61</v>
      </c>
      <c r="G224" s="11">
        <f>IFERROR(VLOOKUP(F224,ShipShapeEnum!$B:$C,2,FALSE),"-")</f>
        <v>1</v>
      </c>
      <c r="H224" s="19" t="s">
        <v>0</v>
      </c>
      <c r="I224" s="19" t="s">
        <v>0</v>
      </c>
      <c r="J224" s="19" t="s">
        <v>0</v>
      </c>
      <c r="K224" s="19" t="s">
        <v>0</v>
      </c>
      <c r="L224" s="19" t="s">
        <v>0</v>
      </c>
      <c r="M224" s="4" t="s">
        <v>88</v>
      </c>
      <c r="N224" s="11">
        <f>IFERROR(VLOOKUP(M224,ShipShapeEnum!$H:$I,2,FALSE),"-")</f>
        <v>1</v>
      </c>
      <c r="O224" s="11" t="s">
        <v>0</v>
      </c>
      <c r="P224" s="11" t="s">
        <v>0</v>
      </c>
      <c r="Q224" s="19">
        <v>0</v>
      </c>
      <c r="R224" s="19" t="s">
        <v>1154</v>
      </c>
      <c r="S224" s="19" t="s">
        <v>0</v>
      </c>
      <c r="T224" s="19" t="s">
        <v>0</v>
      </c>
      <c r="U224" s="19" t="s">
        <v>0</v>
      </c>
      <c r="V224" s="19" t="s">
        <v>0</v>
      </c>
      <c r="W224" s="19" t="s">
        <v>0</v>
      </c>
      <c r="X224" s="19" t="s">
        <v>0</v>
      </c>
    </row>
    <row r="225" spans="1:24" ht="15">
      <c r="A225" s="10">
        <f t="shared" si="6"/>
        <v>46400016</v>
      </c>
      <c r="B225" s="91" t="s">
        <v>1124</v>
      </c>
      <c r="C225" s="4" t="s">
        <v>284</v>
      </c>
      <c r="D225" s="11">
        <f>IFERROR(VLOOKUP(C225,ShipShapeEnum!$E:$F,2,FALSE),"-")</f>
        <v>5</v>
      </c>
      <c r="E225" s="19" t="s">
        <v>1137</v>
      </c>
      <c r="F225" s="4" t="s">
        <v>61</v>
      </c>
      <c r="G225" s="11">
        <f>IFERROR(VLOOKUP(F225,ShipShapeEnum!$B:$C,2,FALSE),"-")</f>
        <v>1</v>
      </c>
      <c r="H225" s="19" t="s">
        <v>0</v>
      </c>
      <c r="I225" s="19" t="s">
        <v>0</v>
      </c>
      <c r="J225" s="19" t="s">
        <v>0</v>
      </c>
      <c r="K225" s="19" t="s">
        <v>0</v>
      </c>
      <c r="L225" s="19" t="s">
        <v>0</v>
      </c>
      <c r="M225" s="4" t="s">
        <v>88</v>
      </c>
      <c r="N225" s="11">
        <f>IFERROR(VLOOKUP(M225,ShipShapeEnum!$H:$I,2,FALSE),"-")</f>
        <v>1</v>
      </c>
      <c r="O225" s="11" t="s">
        <v>0</v>
      </c>
      <c r="P225" s="11" t="s">
        <v>0</v>
      </c>
      <c r="Q225" s="19">
        <v>0</v>
      </c>
      <c r="R225" s="19" t="s">
        <v>1155</v>
      </c>
      <c r="S225" s="19" t="s">
        <v>0</v>
      </c>
      <c r="T225" s="19" t="s">
        <v>0</v>
      </c>
      <c r="U225" s="19" t="s">
        <v>0</v>
      </c>
      <c r="V225" s="19" t="s">
        <v>0</v>
      </c>
      <c r="W225" s="19" t="s">
        <v>0</v>
      </c>
      <c r="X225" s="19" t="s">
        <v>0</v>
      </c>
    </row>
    <row r="226" spans="1:24" ht="15">
      <c r="A226" s="10">
        <f t="shared" si="6"/>
        <v>46400017</v>
      </c>
      <c r="B226" s="91" t="s">
        <v>1123</v>
      </c>
      <c r="C226" s="4" t="s">
        <v>284</v>
      </c>
      <c r="D226" s="11">
        <f>IFERROR(VLOOKUP(C226,ShipShapeEnum!$E:$F,2,FALSE),"-")</f>
        <v>5</v>
      </c>
      <c r="E226" s="19" t="s">
        <v>1140</v>
      </c>
      <c r="F226" s="4" t="s">
        <v>61</v>
      </c>
      <c r="G226" s="11">
        <f>IFERROR(VLOOKUP(F226,ShipShapeEnum!$B:$C,2,FALSE),"-")</f>
        <v>1</v>
      </c>
      <c r="H226" s="19" t="s">
        <v>0</v>
      </c>
      <c r="I226" s="19" t="s">
        <v>0</v>
      </c>
      <c r="J226" s="19" t="s">
        <v>0</v>
      </c>
      <c r="K226" s="19" t="s">
        <v>0</v>
      </c>
      <c r="L226" s="19" t="s">
        <v>0</v>
      </c>
      <c r="M226" s="4" t="s">
        <v>88</v>
      </c>
      <c r="N226" s="11">
        <f>IFERROR(VLOOKUP(M226,ShipShapeEnum!$H:$I,2,FALSE),"-")</f>
        <v>1</v>
      </c>
      <c r="O226" s="11" t="s">
        <v>0</v>
      </c>
      <c r="P226" s="11" t="s">
        <v>0</v>
      </c>
      <c r="Q226" s="19">
        <v>0</v>
      </c>
      <c r="R226" s="19" t="s">
        <v>1156</v>
      </c>
      <c r="S226" s="19" t="s">
        <v>0</v>
      </c>
      <c r="T226" s="19" t="s">
        <v>0</v>
      </c>
      <c r="U226" s="19" t="s">
        <v>0</v>
      </c>
      <c r="V226" s="19" t="s">
        <v>0</v>
      </c>
      <c r="W226" s="19" t="s">
        <v>0</v>
      </c>
      <c r="X226" s="19" t="s">
        <v>0</v>
      </c>
    </row>
    <row r="227" spans="1:24" ht="15">
      <c r="A227" s="10">
        <f t="shared" si="6"/>
        <v>46400018</v>
      </c>
      <c r="B227" s="91" t="s">
        <v>1125</v>
      </c>
      <c r="C227" s="4" t="s">
        <v>284</v>
      </c>
      <c r="D227" s="11">
        <f>IFERROR(VLOOKUP(C227,ShipShapeEnum!$E:$F,2,FALSE),"-")</f>
        <v>5</v>
      </c>
      <c r="E227" s="19" t="s">
        <v>1141</v>
      </c>
      <c r="F227" s="4" t="s">
        <v>61</v>
      </c>
      <c r="G227" s="11">
        <f>IFERROR(VLOOKUP(F227,ShipShapeEnum!$B:$C,2,FALSE),"-")</f>
        <v>1</v>
      </c>
      <c r="H227" s="19" t="s">
        <v>0</v>
      </c>
      <c r="I227" s="19" t="s">
        <v>0</v>
      </c>
      <c r="J227" s="19" t="s">
        <v>0</v>
      </c>
      <c r="K227" s="19" t="s">
        <v>0</v>
      </c>
      <c r="L227" s="19" t="s">
        <v>0</v>
      </c>
      <c r="M227" s="4" t="s">
        <v>88</v>
      </c>
      <c r="N227" s="11">
        <f>IFERROR(VLOOKUP(M227,ShipShapeEnum!$H:$I,2,FALSE),"-")</f>
        <v>1</v>
      </c>
      <c r="O227" s="11" t="s">
        <v>0</v>
      </c>
      <c r="P227" s="11" t="s">
        <v>0</v>
      </c>
      <c r="Q227" s="19">
        <v>0</v>
      </c>
      <c r="R227" s="19" t="s">
        <v>1157</v>
      </c>
      <c r="S227" s="19" t="s">
        <v>0</v>
      </c>
      <c r="T227" s="19" t="s">
        <v>0</v>
      </c>
      <c r="U227" s="19" t="s">
        <v>0</v>
      </c>
      <c r="V227" s="19" t="s">
        <v>0</v>
      </c>
      <c r="W227" s="19" t="s">
        <v>0</v>
      </c>
      <c r="X227" s="19" t="s">
        <v>0</v>
      </c>
    </row>
    <row r="228" spans="1:24" ht="15">
      <c r="A228" s="10">
        <f t="shared" si="6"/>
        <v>46400019</v>
      </c>
      <c r="B228" s="91" t="s">
        <v>1127</v>
      </c>
      <c r="C228" s="4" t="s">
        <v>284</v>
      </c>
      <c r="D228" s="11">
        <f>IFERROR(VLOOKUP(C228,ShipShapeEnum!$E:$F,2,FALSE),"-")</f>
        <v>5</v>
      </c>
      <c r="E228" s="19" t="s">
        <v>1142</v>
      </c>
      <c r="F228" s="4" t="s">
        <v>61</v>
      </c>
      <c r="G228" s="11">
        <f>IFERROR(VLOOKUP(F228,ShipShapeEnum!$B:$C,2,FALSE),"-")</f>
        <v>1</v>
      </c>
      <c r="H228" s="19" t="s">
        <v>0</v>
      </c>
      <c r="I228" s="19" t="s">
        <v>0</v>
      </c>
      <c r="J228" s="19" t="s">
        <v>0</v>
      </c>
      <c r="K228" s="19" t="s">
        <v>0</v>
      </c>
      <c r="L228" s="19" t="s">
        <v>0</v>
      </c>
      <c r="M228" s="4" t="s">
        <v>88</v>
      </c>
      <c r="N228" s="11">
        <f>IFERROR(VLOOKUP(M228,ShipShapeEnum!$H:$I,2,FALSE),"-")</f>
        <v>1</v>
      </c>
      <c r="O228" s="11" t="s">
        <v>0</v>
      </c>
      <c r="P228" s="11" t="s">
        <v>0</v>
      </c>
      <c r="Q228" s="19">
        <v>0</v>
      </c>
      <c r="R228" s="19" t="s">
        <v>1158</v>
      </c>
      <c r="S228" s="19" t="s">
        <v>0</v>
      </c>
      <c r="T228" s="19" t="s">
        <v>0</v>
      </c>
      <c r="U228" s="19" t="s">
        <v>0</v>
      </c>
      <c r="V228" s="19" t="s">
        <v>0</v>
      </c>
      <c r="W228" s="19" t="s">
        <v>0</v>
      </c>
      <c r="X228" s="19" t="s">
        <v>0</v>
      </c>
    </row>
    <row r="229" spans="1:24" ht="15">
      <c r="A229" s="10">
        <f t="shared" si="6"/>
        <v>46400020</v>
      </c>
      <c r="B229" s="91" t="s">
        <v>1128</v>
      </c>
      <c r="C229" s="4" t="s">
        <v>284</v>
      </c>
      <c r="D229" s="11">
        <f>IFERROR(VLOOKUP(C229,ShipShapeEnum!$E:$F,2,FALSE),"-")</f>
        <v>5</v>
      </c>
      <c r="E229" s="19" t="s">
        <v>1143</v>
      </c>
      <c r="F229" s="4" t="s">
        <v>61</v>
      </c>
      <c r="G229" s="11">
        <f>IFERROR(VLOOKUP(F229,ShipShapeEnum!$B:$C,2,FALSE),"-")</f>
        <v>1</v>
      </c>
      <c r="H229" s="19" t="s">
        <v>0</v>
      </c>
      <c r="I229" s="19" t="s">
        <v>0</v>
      </c>
      <c r="J229" s="19" t="s">
        <v>0</v>
      </c>
      <c r="K229" s="19" t="s">
        <v>0</v>
      </c>
      <c r="L229" s="19" t="s">
        <v>0</v>
      </c>
      <c r="M229" s="4" t="s">
        <v>88</v>
      </c>
      <c r="N229" s="11">
        <f>IFERROR(VLOOKUP(M229,ShipShapeEnum!$H:$I,2,FALSE),"-")</f>
        <v>1</v>
      </c>
      <c r="O229" s="11" t="s">
        <v>0</v>
      </c>
      <c r="P229" s="11" t="s">
        <v>0</v>
      </c>
      <c r="Q229" s="19">
        <v>0</v>
      </c>
      <c r="R229" s="19" t="s">
        <v>1159</v>
      </c>
      <c r="S229" s="19" t="s">
        <v>0</v>
      </c>
      <c r="T229" s="19" t="s">
        <v>0</v>
      </c>
      <c r="U229" s="19" t="s">
        <v>0</v>
      </c>
      <c r="V229" s="19" t="s">
        <v>0</v>
      </c>
      <c r="W229" s="19" t="s">
        <v>0</v>
      </c>
      <c r="X229" s="19" t="s">
        <v>0</v>
      </c>
    </row>
    <row r="230" spans="1:24" ht="15">
      <c r="A230" s="10">
        <f t="shared" si="6"/>
        <v>46400021</v>
      </c>
      <c r="B230" s="91" t="s">
        <v>1126</v>
      </c>
      <c r="C230" s="4" t="s">
        <v>284</v>
      </c>
      <c r="D230" s="11">
        <f>IFERROR(VLOOKUP(C230,ShipShapeEnum!$E:$F,2,FALSE),"-")</f>
        <v>5</v>
      </c>
      <c r="E230" s="19" t="s">
        <v>1144</v>
      </c>
      <c r="F230" s="4" t="s">
        <v>61</v>
      </c>
      <c r="G230" s="11">
        <f>IFERROR(VLOOKUP(F230,ShipShapeEnum!$B:$C,2,FALSE),"-")</f>
        <v>1</v>
      </c>
      <c r="H230" s="19" t="s">
        <v>0</v>
      </c>
      <c r="I230" s="19" t="s">
        <v>0</v>
      </c>
      <c r="J230" s="19" t="s">
        <v>0</v>
      </c>
      <c r="K230" s="19" t="s">
        <v>0</v>
      </c>
      <c r="L230" s="19" t="s">
        <v>0</v>
      </c>
      <c r="M230" s="4" t="s">
        <v>88</v>
      </c>
      <c r="N230" s="11">
        <f>IFERROR(VLOOKUP(M230,ShipShapeEnum!$H:$I,2,FALSE),"-")</f>
        <v>1</v>
      </c>
      <c r="O230" s="11" t="s">
        <v>0</v>
      </c>
      <c r="P230" s="11" t="s">
        <v>0</v>
      </c>
      <c r="Q230" s="19">
        <v>0</v>
      </c>
      <c r="R230" s="19" t="s">
        <v>1160</v>
      </c>
      <c r="S230" s="19" t="s">
        <v>0</v>
      </c>
      <c r="T230" s="19" t="s">
        <v>0</v>
      </c>
      <c r="U230" s="19" t="s">
        <v>0</v>
      </c>
      <c r="V230" s="19" t="s">
        <v>0</v>
      </c>
      <c r="W230" s="19" t="s">
        <v>0</v>
      </c>
      <c r="X230" s="19" t="s">
        <v>0</v>
      </c>
    </row>
    <row r="231" spans="1:24" ht="15">
      <c r="A231" s="10">
        <f t="shared" si="6"/>
        <v>46400022</v>
      </c>
      <c r="B231" s="91" t="s">
        <v>1129</v>
      </c>
      <c r="C231" s="4" t="s">
        <v>284</v>
      </c>
      <c r="D231" s="11">
        <f>IFERROR(VLOOKUP(C231,ShipShapeEnum!$E:$F,2,FALSE),"-")</f>
        <v>5</v>
      </c>
      <c r="E231" s="19" t="s">
        <v>1145</v>
      </c>
      <c r="F231" s="4" t="s">
        <v>61</v>
      </c>
      <c r="G231" s="11">
        <f>IFERROR(VLOOKUP(F231,ShipShapeEnum!$B:$C,2,FALSE),"-")</f>
        <v>1</v>
      </c>
      <c r="H231" s="19" t="s">
        <v>0</v>
      </c>
      <c r="I231" s="19" t="s">
        <v>0</v>
      </c>
      <c r="J231" s="19" t="s">
        <v>0</v>
      </c>
      <c r="K231" s="19" t="s">
        <v>0</v>
      </c>
      <c r="L231" s="19" t="s">
        <v>0</v>
      </c>
      <c r="M231" s="4" t="s">
        <v>88</v>
      </c>
      <c r="N231" s="11">
        <f>IFERROR(VLOOKUP(M231,ShipShapeEnum!$H:$I,2,FALSE),"-")</f>
        <v>1</v>
      </c>
      <c r="O231" s="11" t="s">
        <v>0</v>
      </c>
      <c r="P231" s="11" t="s">
        <v>0</v>
      </c>
      <c r="Q231" s="19">
        <v>0</v>
      </c>
      <c r="R231" s="19" t="s">
        <v>1161</v>
      </c>
      <c r="S231" s="19" t="s">
        <v>0</v>
      </c>
      <c r="T231" s="19" t="s">
        <v>0</v>
      </c>
      <c r="U231" s="19" t="s">
        <v>0</v>
      </c>
      <c r="V231" s="19" t="s">
        <v>0</v>
      </c>
      <c r="W231" s="19" t="s">
        <v>0</v>
      </c>
      <c r="X231" s="19" t="s">
        <v>0</v>
      </c>
    </row>
    <row r="232" spans="1:24" ht="15">
      <c r="A232" s="10">
        <v>46500001</v>
      </c>
      <c r="B232" s="95" t="s">
        <v>327</v>
      </c>
      <c r="C232" s="4" t="s">
        <v>328</v>
      </c>
      <c r="D232" s="11">
        <f>IFERROR(VLOOKUP(C232,ShipShapeEnum!$E:$F,2,FALSE),"-")</f>
        <v>6</v>
      </c>
      <c r="E232" s="19" t="s">
        <v>335</v>
      </c>
      <c r="F232" s="4" t="s">
        <v>61</v>
      </c>
      <c r="G232" s="11">
        <v>1</v>
      </c>
      <c r="H232" s="19" t="s">
        <v>0</v>
      </c>
      <c r="I232" s="19" t="s">
        <v>0</v>
      </c>
      <c r="J232" s="19" t="s">
        <v>0</v>
      </c>
      <c r="K232" s="19" t="s">
        <v>0</v>
      </c>
      <c r="L232" s="19" t="s">
        <v>0</v>
      </c>
      <c r="M232" s="4" t="s">
        <v>88</v>
      </c>
      <c r="N232" s="11">
        <f>IFERROR(VLOOKUP(M232,ShipShapeEnum!$H:$I,2,FALSE),"-")</f>
        <v>1</v>
      </c>
      <c r="O232" s="11" t="s">
        <v>0</v>
      </c>
      <c r="P232" s="11" t="s">
        <v>0</v>
      </c>
      <c r="Q232" s="19">
        <v>2</v>
      </c>
      <c r="R232" s="19" t="s">
        <v>329</v>
      </c>
      <c r="S232" s="19" t="s">
        <v>0</v>
      </c>
      <c r="T232" s="19" t="s">
        <v>0</v>
      </c>
      <c r="U232" s="19" t="s">
        <v>0</v>
      </c>
      <c r="V232" s="19" t="s">
        <v>0</v>
      </c>
      <c r="W232" s="19" t="s">
        <v>0</v>
      </c>
      <c r="X232" s="19" t="s">
        <v>0</v>
      </c>
    </row>
    <row r="233" spans="1:24" ht="15">
      <c r="A233" s="10">
        <f>A232+1</f>
        <v>46500002</v>
      </c>
      <c r="B233" s="95" t="s">
        <v>343</v>
      </c>
      <c r="C233" s="4" t="s">
        <v>328</v>
      </c>
      <c r="D233" s="11">
        <f>IFERROR(VLOOKUP(C233,ShipShapeEnum!$E:$F,2,FALSE),"-")</f>
        <v>6</v>
      </c>
      <c r="E233" s="19" t="s">
        <v>344</v>
      </c>
      <c r="F233" s="4" t="s">
        <v>61</v>
      </c>
      <c r="G233" s="11">
        <f>IFERROR(VLOOKUP(F233,ShipShapeEnum!$B:$C,2,FALSE),"-")</f>
        <v>1</v>
      </c>
      <c r="H233" s="19" t="s">
        <v>0</v>
      </c>
      <c r="I233" s="19" t="s">
        <v>0</v>
      </c>
      <c r="J233" s="19" t="s">
        <v>0</v>
      </c>
      <c r="K233" s="19" t="s">
        <v>0</v>
      </c>
      <c r="L233" s="19" t="s">
        <v>0</v>
      </c>
      <c r="M233" s="4" t="s">
        <v>88</v>
      </c>
      <c r="N233" s="11">
        <f>IFERROR(VLOOKUP(M233,ShipShapeEnum!$H:$I,2,FALSE),"-")</f>
        <v>1</v>
      </c>
      <c r="O233" s="11" t="s">
        <v>0</v>
      </c>
      <c r="P233" s="11" t="s">
        <v>0</v>
      </c>
      <c r="Q233" s="19">
        <v>2</v>
      </c>
      <c r="R233" s="19" t="s">
        <v>345</v>
      </c>
      <c r="S233" s="19" t="s">
        <v>0</v>
      </c>
      <c r="T233" s="19" t="s">
        <v>0</v>
      </c>
      <c r="U233" s="19" t="s">
        <v>0</v>
      </c>
      <c r="V233" s="19" t="s">
        <v>0</v>
      </c>
      <c r="W233" s="19" t="s">
        <v>0</v>
      </c>
      <c r="X233" s="19" t="s">
        <v>0</v>
      </c>
    </row>
    <row r="234" spans="1:24" ht="15">
      <c r="A234" s="10">
        <f t="shared" ref="A234:A241" si="7">A233+1</f>
        <v>46500003</v>
      </c>
      <c r="B234" s="95" t="s">
        <v>351</v>
      </c>
      <c r="C234" s="4" t="s">
        <v>328</v>
      </c>
      <c r="D234" s="11">
        <f>IFERROR(VLOOKUP(C234,ShipShapeEnum!$E:$F,2,FALSE),"-")</f>
        <v>6</v>
      </c>
      <c r="E234" s="19" t="s">
        <v>353</v>
      </c>
      <c r="F234" s="4" t="s">
        <v>61</v>
      </c>
      <c r="G234" s="11">
        <f>IFERROR(VLOOKUP(F234,ShipShapeEnum!$B:$C,2,FALSE),"-")</f>
        <v>1</v>
      </c>
      <c r="H234" s="19" t="s">
        <v>0</v>
      </c>
      <c r="I234" s="19" t="s">
        <v>0</v>
      </c>
      <c r="J234" s="19" t="s">
        <v>0</v>
      </c>
      <c r="K234" s="19" t="s">
        <v>0</v>
      </c>
      <c r="L234" s="19" t="s">
        <v>0</v>
      </c>
      <c r="M234" s="4" t="s">
        <v>88</v>
      </c>
      <c r="N234" s="11">
        <f>IFERROR(VLOOKUP(M234,ShipShapeEnum!$H:$I,2,FALSE),"-")</f>
        <v>1</v>
      </c>
      <c r="O234" s="11" t="s">
        <v>0</v>
      </c>
      <c r="P234" s="11" t="s">
        <v>0</v>
      </c>
      <c r="Q234" s="19">
        <v>2</v>
      </c>
      <c r="R234" s="19" t="s">
        <v>354</v>
      </c>
      <c r="S234" s="19" t="s">
        <v>0</v>
      </c>
      <c r="T234" s="19" t="s">
        <v>0</v>
      </c>
      <c r="U234" s="19" t="s">
        <v>0</v>
      </c>
      <c r="V234" s="19" t="s">
        <v>0</v>
      </c>
      <c r="W234" s="19" t="s">
        <v>0</v>
      </c>
      <c r="X234" s="19" t="s">
        <v>0</v>
      </c>
    </row>
    <row r="235" spans="1:24" ht="15">
      <c r="A235" s="10">
        <f t="shared" si="7"/>
        <v>46500004</v>
      </c>
      <c r="B235" s="95" t="s">
        <v>383</v>
      </c>
      <c r="C235" s="4" t="s">
        <v>328</v>
      </c>
      <c r="D235" s="11">
        <f>IFERROR(VLOOKUP(C235,ShipShapeEnum!$E:$F,2,FALSE),"-")</f>
        <v>6</v>
      </c>
      <c r="E235" s="19" t="s">
        <v>384</v>
      </c>
      <c r="F235" s="4" t="s">
        <v>61</v>
      </c>
      <c r="G235" s="11">
        <f>IFERROR(VLOOKUP(F235,ShipShapeEnum!$B:$C,2,FALSE),"-")</f>
        <v>1</v>
      </c>
      <c r="H235" s="19" t="s">
        <v>0</v>
      </c>
      <c r="I235" s="19" t="s">
        <v>0</v>
      </c>
      <c r="J235" s="19" t="s">
        <v>0</v>
      </c>
      <c r="K235" s="19" t="s">
        <v>0</v>
      </c>
      <c r="L235" s="19" t="s">
        <v>0</v>
      </c>
      <c r="M235" s="4" t="s">
        <v>88</v>
      </c>
      <c r="N235" s="11">
        <f>IFERROR(VLOOKUP(M235,ShipShapeEnum!$H:$I,2,FALSE),"-")</f>
        <v>1</v>
      </c>
      <c r="O235" s="11" t="s">
        <v>0</v>
      </c>
      <c r="P235" s="11" t="s">
        <v>0</v>
      </c>
      <c r="Q235" s="19">
        <v>2</v>
      </c>
      <c r="R235" s="19" t="s">
        <v>385</v>
      </c>
      <c r="S235" s="19" t="s">
        <v>0</v>
      </c>
      <c r="T235" s="19" t="s">
        <v>0</v>
      </c>
      <c r="U235" s="19" t="s">
        <v>0</v>
      </c>
      <c r="V235" s="19" t="s">
        <v>0</v>
      </c>
      <c r="W235" s="19" t="s">
        <v>0</v>
      </c>
      <c r="X235" s="19" t="s">
        <v>0</v>
      </c>
    </row>
    <row r="236" spans="1:24" ht="15">
      <c r="A236" s="10">
        <f t="shared" si="7"/>
        <v>46500005</v>
      </c>
      <c r="B236" s="95" t="s">
        <v>392</v>
      </c>
      <c r="C236" s="4" t="s">
        <v>328</v>
      </c>
      <c r="D236" s="11">
        <f>IFERROR(VLOOKUP(C236,ShipShapeEnum!$E:$F,2,FALSE),"-")</f>
        <v>6</v>
      </c>
      <c r="E236" s="19" t="s">
        <v>393</v>
      </c>
      <c r="F236" s="4" t="s">
        <v>61</v>
      </c>
      <c r="G236" s="11">
        <f>IFERROR(VLOOKUP(F236,ShipShapeEnum!$B:$C,2,FALSE),"-")</f>
        <v>1</v>
      </c>
      <c r="H236" s="19" t="s">
        <v>0</v>
      </c>
      <c r="I236" s="19" t="s">
        <v>0</v>
      </c>
      <c r="J236" s="19" t="s">
        <v>0</v>
      </c>
      <c r="K236" s="19" t="s">
        <v>0</v>
      </c>
      <c r="L236" s="19" t="s">
        <v>0</v>
      </c>
      <c r="M236" s="4" t="s">
        <v>88</v>
      </c>
      <c r="N236" s="11">
        <f>IFERROR(VLOOKUP(M236,ShipShapeEnum!$H:$I,2,FALSE),"-")</f>
        <v>1</v>
      </c>
      <c r="O236" s="11" t="s">
        <v>0</v>
      </c>
      <c r="P236" s="11" t="s">
        <v>0</v>
      </c>
      <c r="Q236" s="19">
        <v>2</v>
      </c>
      <c r="R236" s="19" t="s">
        <v>389</v>
      </c>
      <c r="S236" s="19" t="s">
        <v>0</v>
      </c>
      <c r="T236" s="19" t="s">
        <v>0</v>
      </c>
      <c r="U236" s="19" t="s">
        <v>0</v>
      </c>
      <c r="V236" s="19" t="s">
        <v>0</v>
      </c>
      <c r="W236" s="19" t="s">
        <v>0</v>
      </c>
      <c r="X236" s="19" t="s">
        <v>0</v>
      </c>
    </row>
    <row r="237" spans="1:24" ht="15">
      <c r="A237" s="10">
        <f t="shared" si="7"/>
        <v>46500006</v>
      </c>
      <c r="B237" s="95" t="s">
        <v>398</v>
      </c>
      <c r="C237" s="4" t="s">
        <v>328</v>
      </c>
      <c r="D237" s="11">
        <f>IFERROR(VLOOKUP(C237,ShipShapeEnum!$E:$F,2,FALSE),"-")</f>
        <v>6</v>
      </c>
      <c r="E237" s="19" t="s">
        <v>400</v>
      </c>
      <c r="F237" s="4" t="s">
        <v>61</v>
      </c>
      <c r="G237" s="11">
        <f>IFERROR(VLOOKUP(F237,ShipShapeEnum!$B:$C,2,FALSE),"-")</f>
        <v>1</v>
      </c>
      <c r="H237" s="19" t="s">
        <v>0</v>
      </c>
      <c r="I237" s="19" t="s">
        <v>0</v>
      </c>
      <c r="J237" s="19" t="s">
        <v>0</v>
      </c>
      <c r="K237" s="19" t="s">
        <v>0</v>
      </c>
      <c r="L237" s="19" t="s">
        <v>0</v>
      </c>
      <c r="M237" s="4" t="s">
        <v>88</v>
      </c>
      <c r="N237" s="11">
        <f>IFERROR(VLOOKUP(M237,ShipShapeEnum!$H:$I,2,FALSE),"-")</f>
        <v>1</v>
      </c>
      <c r="O237" s="11" t="s">
        <v>0</v>
      </c>
      <c r="P237" s="11" t="s">
        <v>0</v>
      </c>
      <c r="Q237" s="19">
        <v>2</v>
      </c>
      <c r="R237" s="19" t="s">
        <v>385</v>
      </c>
      <c r="S237" s="19" t="s">
        <v>0</v>
      </c>
      <c r="T237" s="19" t="s">
        <v>0</v>
      </c>
      <c r="U237" s="19" t="s">
        <v>0</v>
      </c>
      <c r="V237" s="19" t="s">
        <v>0</v>
      </c>
      <c r="W237" s="19" t="s">
        <v>0</v>
      </c>
      <c r="X237" s="19" t="s">
        <v>0</v>
      </c>
    </row>
    <row r="238" spans="1:24" ht="15">
      <c r="A238" s="10">
        <f t="shared" si="7"/>
        <v>46500007</v>
      </c>
      <c r="B238" s="95" t="s">
        <v>859</v>
      </c>
      <c r="C238" s="4" t="s">
        <v>328</v>
      </c>
      <c r="D238" s="11">
        <f>IFERROR(VLOOKUP(C238,ShipShapeEnum!$E:$F,2,FALSE),"-")</f>
        <v>6</v>
      </c>
      <c r="E238" s="19" t="s">
        <v>860</v>
      </c>
      <c r="F238" s="4" t="s">
        <v>61</v>
      </c>
      <c r="G238" s="11">
        <f>IFERROR(VLOOKUP(F238,ShipShapeEnum!$B:$C,2,FALSE),"-")</f>
        <v>1</v>
      </c>
      <c r="H238" s="19" t="s">
        <v>0</v>
      </c>
      <c r="I238" s="19" t="s">
        <v>0</v>
      </c>
      <c r="J238" s="19" t="s">
        <v>0</v>
      </c>
      <c r="K238" s="19" t="s">
        <v>0</v>
      </c>
      <c r="L238" s="19" t="s">
        <v>0</v>
      </c>
      <c r="M238" s="4" t="s">
        <v>88</v>
      </c>
      <c r="N238" s="11">
        <f>IFERROR(VLOOKUP(M238,ShipShapeEnum!$H:$I,2,FALSE),"-")</f>
        <v>1</v>
      </c>
      <c r="O238" s="11" t="s">
        <v>0</v>
      </c>
      <c r="P238" s="11" t="s">
        <v>0</v>
      </c>
      <c r="Q238" s="19">
        <v>0</v>
      </c>
      <c r="R238" s="19" t="s">
        <v>861</v>
      </c>
      <c r="S238" s="19" t="s">
        <v>0</v>
      </c>
      <c r="T238" s="19" t="s">
        <v>0</v>
      </c>
      <c r="U238" s="19" t="s">
        <v>0</v>
      </c>
      <c r="V238" s="19" t="s">
        <v>0</v>
      </c>
      <c r="W238" s="19" t="s">
        <v>0</v>
      </c>
      <c r="X238" s="19" t="s">
        <v>0</v>
      </c>
    </row>
    <row r="239" spans="1:24" ht="15">
      <c r="A239" s="10">
        <f t="shared" si="7"/>
        <v>46500008</v>
      </c>
      <c r="B239" s="95" t="s">
        <v>1743</v>
      </c>
      <c r="C239" s="4" t="s">
        <v>328</v>
      </c>
      <c r="D239" s="11">
        <f>IFERROR(VLOOKUP(C239,ShipShapeEnum!$E:$F,2,FALSE),"-")</f>
        <v>6</v>
      </c>
      <c r="E239" s="19" t="s">
        <v>1745</v>
      </c>
      <c r="F239" s="4" t="s">
        <v>61</v>
      </c>
      <c r="G239" s="11">
        <f>IFERROR(VLOOKUP(F239,ShipShapeEnum!$B:$C,2,FALSE),"-")</f>
        <v>1</v>
      </c>
      <c r="H239" s="19" t="s">
        <v>0</v>
      </c>
      <c r="I239" s="19" t="s">
        <v>0</v>
      </c>
      <c r="J239" s="19" t="s">
        <v>0</v>
      </c>
      <c r="K239" s="19" t="s">
        <v>0</v>
      </c>
      <c r="L239" s="19" t="s">
        <v>0</v>
      </c>
      <c r="M239" s="4" t="s">
        <v>88</v>
      </c>
      <c r="N239" s="11">
        <f>IFERROR(VLOOKUP(M239,ShipShapeEnum!$H:$I,2,FALSE),"-")</f>
        <v>1</v>
      </c>
      <c r="O239" s="11" t="s">
        <v>0</v>
      </c>
      <c r="P239" s="11" t="s">
        <v>0</v>
      </c>
      <c r="Q239" s="19">
        <v>0</v>
      </c>
      <c r="R239" s="19" t="s">
        <v>1746</v>
      </c>
      <c r="S239" s="19" t="s">
        <v>0</v>
      </c>
      <c r="T239" s="19" t="s">
        <v>0</v>
      </c>
      <c r="U239" s="19" t="s">
        <v>0</v>
      </c>
      <c r="V239" s="19" t="s">
        <v>0</v>
      </c>
      <c r="W239" s="19" t="s">
        <v>0</v>
      </c>
      <c r="X239" s="19" t="s">
        <v>0</v>
      </c>
    </row>
    <row r="240" spans="1:24" ht="15">
      <c r="A240" s="10">
        <f t="shared" si="7"/>
        <v>46500009</v>
      </c>
      <c r="B240" s="95" t="s">
        <v>1744</v>
      </c>
      <c r="C240" s="4" t="s">
        <v>328</v>
      </c>
      <c r="D240" s="11">
        <f>IFERROR(VLOOKUP(C240,ShipShapeEnum!$E:$F,2,FALSE),"-")</f>
        <v>6</v>
      </c>
      <c r="E240" s="19" t="s">
        <v>1752</v>
      </c>
      <c r="F240" s="4" t="s">
        <v>61</v>
      </c>
      <c r="G240" s="11">
        <f>IFERROR(VLOOKUP(F240,ShipShapeEnum!$B:$C,2,FALSE),"-")</f>
        <v>1</v>
      </c>
      <c r="H240" s="19" t="s">
        <v>0</v>
      </c>
      <c r="I240" s="19" t="s">
        <v>0</v>
      </c>
      <c r="J240" s="19" t="s">
        <v>0</v>
      </c>
      <c r="K240" s="19" t="s">
        <v>0</v>
      </c>
      <c r="L240" s="19" t="s">
        <v>0</v>
      </c>
      <c r="M240" s="4" t="s">
        <v>88</v>
      </c>
      <c r="N240" s="11">
        <f>IFERROR(VLOOKUP(M240,ShipShapeEnum!$H:$I,2,FALSE),"-")</f>
        <v>1</v>
      </c>
      <c r="O240" s="11" t="s">
        <v>0</v>
      </c>
      <c r="P240" s="11" t="s">
        <v>0</v>
      </c>
      <c r="Q240" s="19">
        <v>0</v>
      </c>
      <c r="R240" s="19" t="s">
        <v>1753</v>
      </c>
      <c r="S240" s="19" t="s">
        <v>0</v>
      </c>
      <c r="T240" s="19" t="s">
        <v>0</v>
      </c>
      <c r="U240" s="19" t="s">
        <v>0</v>
      </c>
      <c r="V240" s="19" t="s">
        <v>0</v>
      </c>
      <c r="W240" s="19" t="s">
        <v>0</v>
      </c>
      <c r="X240" s="19" t="s">
        <v>0</v>
      </c>
    </row>
    <row r="241" spans="1:24" ht="15">
      <c r="A241" s="10">
        <f t="shared" si="7"/>
        <v>46500010</v>
      </c>
      <c r="B241" s="95" t="s">
        <v>1763</v>
      </c>
      <c r="C241" s="4" t="s">
        <v>328</v>
      </c>
      <c r="D241" s="11">
        <f>IFERROR(VLOOKUP(C241,ShipShapeEnum!$E:$F,2,FALSE),"-")</f>
        <v>6</v>
      </c>
      <c r="E241" s="19" t="s">
        <v>1766</v>
      </c>
      <c r="F241" s="4" t="s">
        <v>61</v>
      </c>
      <c r="G241" s="11">
        <f>IFERROR(VLOOKUP(F241,ShipShapeEnum!$B:$C,2,FALSE),"-")</f>
        <v>1</v>
      </c>
      <c r="H241" s="19" t="s">
        <v>0</v>
      </c>
      <c r="I241" s="19" t="s">
        <v>0</v>
      </c>
      <c r="J241" s="19" t="s">
        <v>0</v>
      </c>
      <c r="K241" s="19" t="s">
        <v>0</v>
      </c>
      <c r="L241" s="19" t="s">
        <v>0</v>
      </c>
      <c r="M241" s="4" t="s">
        <v>88</v>
      </c>
      <c r="N241" s="11">
        <f>IFERROR(VLOOKUP(M241,ShipShapeEnum!$H:$I,2,FALSE),"-")</f>
        <v>1</v>
      </c>
      <c r="O241" s="11" t="s">
        <v>0</v>
      </c>
      <c r="P241" s="11" t="s">
        <v>0</v>
      </c>
      <c r="Q241" s="19">
        <v>0</v>
      </c>
      <c r="R241" s="19" t="s">
        <v>1767</v>
      </c>
      <c r="S241" s="19" t="s">
        <v>0</v>
      </c>
      <c r="T241" s="19" t="s">
        <v>0</v>
      </c>
      <c r="U241" s="19" t="s">
        <v>0</v>
      </c>
      <c r="V241" s="19" t="s">
        <v>0</v>
      </c>
      <c r="W241" s="19" t="s">
        <v>0</v>
      </c>
      <c r="X241" s="19" t="s">
        <v>0</v>
      </c>
    </row>
    <row r="242" spans="1:24" ht="15">
      <c r="A242" s="10">
        <f>A241+1</f>
        <v>46500011</v>
      </c>
      <c r="B242" s="95" t="s">
        <v>1765</v>
      </c>
      <c r="C242" s="4" t="s">
        <v>328</v>
      </c>
      <c r="D242" s="11">
        <f>IFERROR(VLOOKUP(C242,ShipShapeEnum!$E:$F,2,FALSE),"-")</f>
        <v>6</v>
      </c>
      <c r="E242" s="19" t="s">
        <v>1771</v>
      </c>
      <c r="F242" s="4" t="s">
        <v>61</v>
      </c>
      <c r="G242" s="11">
        <f>IFERROR(VLOOKUP(F242,ShipShapeEnum!$B:$C,2,FALSE),"-")</f>
        <v>1</v>
      </c>
      <c r="H242" s="19" t="s">
        <v>0</v>
      </c>
      <c r="I242" s="19" t="s">
        <v>0</v>
      </c>
      <c r="J242" s="19" t="s">
        <v>0</v>
      </c>
      <c r="K242" s="19" t="s">
        <v>0</v>
      </c>
      <c r="L242" s="19" t="s">
        <v>0</v>
      </c>
      <c r="M242" s="4" t="s">
        <v>88</v>
      </c>
      <c r="N242" s="11">
        <f>IFERROR(VLOOKUP(M242,ShipShapeEnum!$H:$I,2,FALSE),"-")</f>
        <v>1</v>
      </c>
      <c r="O242" s="11" t="s">
        <v>0</v>
      </c>
      <c r="P242" s="11" t="s">
        <v>0</v>
      </c>
      <c r="Q242" s="19">
        <v>0</v>
      </c>
      <c r="R242" s="19" t="s">
        <v>1770</v>
      </c>
      <c r="S242" s="19" t="s">
        <v>0</v>
      </c>
      <c r="T242" s="19" t="s">
        <v>0</v>
      </c>
      <c r="U242" s="19" t="s">
        <v>0</v>
      </c>
      <c r="V242" s="19" t="s">
        <v>0</v>
      </c>
      <c r="W242" s="19" t="s">
        <v>0</v>
      </c>
      <c r="X242" s="19" t="s">
        <v>0</v>
      </c>
    </row>
    <row r="243" spans="1:24" ht="15">
      <c r="A243" s="10">
        <f>A242+1</f>
        <v>46500012</v>
      </c>
      <c r="B243" s="95" t="s">
        <v>1787</v>
      </c>
      <c r="C243" s="4" t="s">
        <v>328</v>
      </c>
      <c r="D243" s="11">
        <f>IFERROR(VLOOKUP(C243,ShipShapeEnum!$E:$F,2,FALSE),"-")</f>
        <v>6</v>
      </c>
      <c r="E243" s="19" t="s">
        <v>1788</v>
      </c>
      <c r="F243" s="4" t="s">
        <v>61</v>
      </c>
      <c r="G243" s="11">
        <f>IFERROR(VLOOKUP(F243,ShipShapeEnum!$B:$C,2,FALSE),"-")</f>
        <v>1</v>
      </c>
      <c r="H243" s="19" t="s">
        <v>0</v>
      </c>
      <c r="I243" s="19" t="s">
        <v>0</v>
      </c>
      <c r="J243" s="19" t="s">
        <v>0</v>
      </c>
      <c r="K243" s="19" t="s">
        <v>0</v>
      </c>
      <c r="L243" s="19" t="s">
        <v>0</v>
      </c>
      <c r="M243" s="4" t="s">
        <v>88</v>
      </c>
      <c r="N243" s="11">
        <f>IFERROR(VLOOKUP(M243,ShipShapeEnum!$H:$I,2,FALSE),"-")</f>
        <v>1</v>
      </c>
      <c r="O243" s="11" t="s">
        <v>0</v>
      </c>
      <c r="P243" s="11" t="s">
        <v>0</v>
      </c>
      <c r="Q243" s="19">
        <v>0</v>
      </c>
      <c r="R243" s="19" t="s">
        <v>1789</v>
      </c>
      <c r="S243" s="19" t="s">
        <v>0</v>
      </c>
      <c r="T243" s="19" t="s">
        <v>0</v>
      </c>
      <c r="U243" s="19" t="s">
        <v>0</v>
      </c>
      <c r="V243" s="19" t="s">
        <v>0</v>
      </c>
      <c r="W243" s="19" t="s">
        <v>0</v>
      </c>
      <c r="X243" s="19" t="s">
        <v>0</v>
      </c>
    </row>
    <row r="244" spans="1:24" ht="15">
      <c r="A244" s="10">
        <f>A243+1</f>
        <v>46500013</v>
      </c>
      <c r="B244" s="95" t="s">
        <v>1798</v>
      </c>
      <c r="C244" s="4" t="s">
        <v>328</v>
      </c>
      <c r="D244" s="11">
        <f>IFERROR(VLOOKUP(C244,ShipShapeEnum!$E:$F,2,FALSE),"-")</f>
        <v>6</v>
      </c>
      <c r="E244" s="19" t="s">
        <v>1801</v>
      </c>
      <c r="F244" s="4" t="s">
        <v>61</v>
      </c>
      <c r="G244" s="11">
        <f>IFERROR(VLOOKUP(F244,ShipShapeEnum!$B:$C,2,FALSE),"-")</f>
        <v>1</v>
      </c>
      <c r="H244" s="19" t="s">
        <v>0</v>
      </c>
      <c r="I244" s="19" t="s">
        <v>0</v>
      </c>
      <c r="J244" s="19" t="s">
        <v>0</v>
      </c>
      <c r="K244" s="19" t="s">
        <v>0</v>
      </c>
      <c r="L244" s="19" t="s">
        <v>0</v>
      </c>
      <c r="M244" s="4" t="s">
        <v>88</v>
      </c>
      <c r="N244" s="11">
        <f>IFERROR(VLOOKUP(M244,ShipShapeEnum!$H:$I,2,FALSE),"-")</f>
        <v>1</v>
      </c>
      <c r="O244" s="11" t="s">
        <v>0</v>
      </c>
      <c r="P244" s="11" t="s">
        <v>0</v>
      </c>
      <c r="Q244" s="19">
        <v>0</v>
      </c>
      <c r="R244" s="19" t="s">
        <v>1802</v>
      </c>
      <c r="S244" s="19" t="s">
        <v>0</v>
      </c>
      <c r="T244" s="19" t="s">
        <v>0</v>
      </c>
      <c r="U244" s="19" t="s">
        <v>0</v>
      </c>
      <c r="V244" s="19" t="s">
        <v>0</v>
      </c>
      <c r="W244" s="19" t="s">
        <v>0</v>
      </c>
      <c r="X244" s="19" t="s">
        <v>0</v>
      </c>
    </row>
    <row r="245" spans="1:24" ht="15">
      <c r="A245" s="10">
        <v>46550001</v>
      </c>
      <c r="B245" s="97" t="s">
        <v>195</v>
      </c>
      <c r="C245" s="4" t="s">
        <v>196</v>
      </c>
      <c r="D245" s="11">
        <f>IFERROR(VLOOKUP(C245,ShipShapeEnum!$E:$F,2,FALSE),"-")</f>
        <v>91</v>
      </c>
      <c r="E245" s="19" t="s">
        <v>206</v>
      </c>
      <c r="F245" s="4" t="s">
        <v>66</v>
      </c>
      <c r="G245" s="11">
        <f>IFERROR(VLOOKUP(F245,ShipShapeEnum!$B:$C,2,FALSE),"-")</f>
        <v>3</v>
      </c>
      <c r="H245" s="19" t="s">
        <v>246</v>
      </c>
      <c r="I245" s="19" t="s">
        <v>116</v>
      </c>
      <c r="J245" s="19" t="s">
        <v>116</v>
      </c>
      <c r="K245" s="19" t="s">
        <v>116</v>
      </c>
      <c r="L245" s="19" t="s">
        <v>116</v>
      </c>
      <c r="M245" s="4" t="s">
        <v>125</v>
      </c>
      <c r="N245" s="11">
        <f>IFERROR(VLOOKUP(M245,ShipShapeEnum!$H:$I,2,FALSE),"-")</f>
        <v>3</v>
      </c>
      <c r="O245" s="11" t="s">
        <v>0</v>
      </c>
      <c r="P245" s="11" t="s">
        <v>0</v>
      </c>
      <c r="Q245" s="19">
        <v>0</v>
      </c>
      <c r="R245" s="19" t="s">
        <v>200</v>
      </c>
      <c r="S245" s="19" t="s">
        <v>87</v>
      </c>
      <c r="T245" s="19" t="s">
        <v>96</v>
      </c>
      <c r="U245" s="19" t="s">
        <v>102</v>
      </c>
      <c r="V245" s="19" t="s">
        <v>103</v>
      </c>
      <c r="W245" s="19" t="s">
        <v>84</v>
      </c>
      <c r="X245" s="19" t="s">
        <v>84</v>
      </c>
    </row>
    <row r="246" spans="1:24" ht="15">
      <c r="A246" s="10">
        <v>46600001</v>
      </c>
      <c r="B246" s="90" t="s">
        <v>866</v>
      </c>
      <c r="C246" s="4" t="s">
        <v>864</v>
      </c>
      <c r="D246" s="11">
        <f>IFERROR(VLOOKUP(C246,ShipShapeEnum!$E:$F,2,FALSE),"-")</f>
        <v>92</v>
      </c>
      <c r="E246" s="19" t="s">
        <v>865</v>
      </c>
      <c r="F246" s="4" t="s">
        <v>66</v>
      </c>
      <c r="G246" s="11">
        <f>IFERROR(VLOOKUP(F246,ShipShapeEnum!$B:$C,2,FALSE),"-")</f>
        <v>3</v>
      </c>
      <c r="H246" s="19" t="s">
        <v>903</v>
      </c>
      <c r="I246" s="19">
        <v>1</v>
      </c>
      <c r="J246" s="19">
        <v>8</v>
      </c>
      <c r="K246" s="19" t="s">
        <v>0</v>
      </c>
      <c r="L246" s="19" t="s">
        <v>0</v>
      </c>
      <c r="M246" s="4" t="s">
        <v>125</v>
      </c>
      <c r="N246" s="11">
        <f>IFERROR(VLOOKUP(M246,ShipShapeEnum!$H:$I,2,FALSE),"-")</f>
        <v>3</v>
      </c>
      <c r="O246" s="11" t="s">
        <v>0</v>
      </c>
      <c r="P246" s="11" t="s">
        <v>0</v>
      </c>
      <c r="Q246" s="19">
        <v>0</v>
      </c>
      <c r="R246" s="19" t="s">
        <v>914</v>
      </c>
      <c r="S246" s="19" t="s">
        <v>0</v>
      </c>
      <c r="T246" s="19" t="s">
        <v>0</v>
      </c>
      <c r="U246" s="19" t="s">
        <v>0</v>
      </c>
      <c r="V246" s="19" t="s">
        <v>0</v>
      </c>
      <c r="W246" s="19" t="s">
        <v>0</v>
      </c>
      <c r="X246" s="19" t="s">
        <v>0</v>
      </c>
    </row>
    <row r="247" spans="1:24" ht="15">
      <c r="A247" s="10">
        <f>A246+1</f>
        <v>46600002</v>
      </c>
      <c r="B247" s="90" t="s">
        <v>867</v>
      </c>
      <c r="C247" s="4" t="s">
        <v>941</v>
      </c>
      <c r="D247" s="11">
        <f>IFERROR(VLOOKUP(C247,ShipShapeEnum!$E:$F,2,FALSE),"-")</f>
        <v>93</v>
      </c>
      <c r="E247" s="19" t="s">
        <v>885</v>
      </c>
      <c r="F247" s="4" t="s">
        <v>66</v>
      </c>
      <c r="G247" s="11">
        <f>IFERROR(VLOOKUP(F247,ShipShapeEnum!$B:$C,2,FALSE),"-")</f>
        <v>3</v>
      </c>
      <c r="H247" s="19" t="s">
        <v>904</v>
      </c>
      <c r="I247" s="19">
        <v>1</v>
      </c>
      <c r="J247" s="19">
        <v>8</v>
      </c>
      <c r="K247" s="19" t="s">
        <v>0</v>
      </c>
      <c r="L247" s="19" t="s">
        <v>0</v>
      </c>
      <c r="M247" s="4" t="s">
        <v>125</v>
      </c>
      <c r="N247" s="11">
        <f>IFERROR(VLOOKUP(M247,ShipShapeEnum!$H:$I,2,FALSE),"-")</f>
        <v>3</v>
      </c>
      <c r="O247" s="11" t="s">
        <v>0</v>
      </c>
      <c r="P247" s="11" t="s">
        <v>0</v>
      </c>
      <c r="Q247" s="19">
        <v>0</v>
      </c>
      <c r="R247" s="19" t="s">
        <v>914</v>
      </c>
      <c r="S247" s="19" t="s">
        <v>0</v>
      </c>
      <c r="T247" s="19" t="s">
        <v>0</v>
      </c>
      <c r="U247" s="19" t="s">
        <v>0</v>
      </c>
      <c r="V247" s="19" t="s">
        <v>0</v>
      </c>
      <c r="W247" s="19" t="s">
        <v>0</v>
      </c>
      <c r="X247" s="19" t="s">
        <v>0</v>
      </c>
    </row>
    <row r="248" spans="1:24" ht="15">
      <c r="A248" s="10">
        <f t="shared" ref="A248:A264" si="8">A247+1</f>
        <v>46600003</v>
      </c>
      <c r="B248" s="90" t="s">
        <v>868</v>
      </c>
      <c r="C248" s="4" t="s">
        <v>942</v>
      </c>
      <c r="D248" s="11">
        <f>IFERROR(VLOOKUP(C248,ShipShapeEnum!$E:$F,2,FALSE),"-")</f>
        <v>94</v>
      </c>
      <c r="E248" s="19" t="s">
        <v>886</v>
      </c>
      <c r="F248" s="4" t="s">
        <v>66</v>
      </c>
      <c r="G248" s="11">
        <f>IFERROR(VLOOKUP(F248,ShipShapeEnum!$B:$C,2,FALSE),"-")</f>
        <v>3</v>
      </c>
      <c r="H248" s="19" t="s">
        <v>905</v>
      </c>
      <c r="I248" s="19">
        <v>1</v>
      </c>
      <c r="J248" s="19">
        <v>8</v>
      </c>
      <c r="K248" s="19" t="s">
        <v>0</v>
      </c>
      <c r="L248" s="19" t="s">
        <v>0</v>
      </c>
      <c r="M248" s="4" t="s">
        <v>125</v>
      </c>
      <c r="N248" s="11">
        <f>IFERROR(VLOOKUP(M248,ShipShapeEnum!$H:$I,2,FALSE),"-")</f>
        <v>3</v>
      </c>
      <c r="O248" s="11" t="s">
        <v>0</v>
      </c>
      <c r="P248" s="11" t="s">
        <v>0</v>
      </c>
      <c r="Q248" s="19">
        <v>0</v>
      </c>
      <c r="R248" s="19" t="s">
        <v>914</v>
      </c>
      <c r="S248" s="19" t="s">
        <v>0</v>
      </c>
      <c r="T248" s="19" t="s">
        <v>0</v>
      </c>
      <c r="U248" s="19" t="s">
        <v>0</v>
      </c>
      <c r="V248" s="19" t="s">
        <v>0</v>
      </c>
      <c r="W248" s="19" t="s">
        <v>0</v>
      </c>
      <c r="X248" s="19" t="s">
        <v>0</v>
      </c>
    </row>
    <row r="249" spans="1:24" ht="15">
      <c r="A249" s="10">
        <f t="shared" si="8"/>
        <v>46600004</v>
      </c>
      <c r="B249" s="90" t="s">
        <v>869</v>
      </c>
      <c r="C249" s="4" t="s">
        <v>943</v>
      </c>
      <c r="D249" s="11">
        <f>IFERROR(VLOOKUP(C249,ShipShapeEnum!$E:$F,2,FALSE),"-")</f>
        <v>95</v>
      </c>
      <c r="E249" s="19" t="s">
        <v>887</v>
      </c>
      <c r="F249" s="4" t="s">
        <v>66</v>
      </c>
      <c r="G249" s="11">
        <f>IFERROR(VLOOKUP(F249,ShipShapeEnum!$B:$C,2,FALSE),"-")</f>
        <v>3</v>
      </c>
      <c r="H249" s="19" t="s">
        <v>906</v>
      </c>
      <c r="I249" s="19">
        <v>1</v>
      </c>
      <c r="J249" s="19">
        <v>8</v>
      </c>
      <c r="K249" s="19" t="s">
        <v>0</v>
      </c>
      <c r="L249" s="19" t="s">
        <v>0</v>
      </c>
      <c r="M249" s="4" t="s">
        <v>125</v>
      </c>
      <c r="N249" s="11">
        <f>IFERROR(VLOOKUP(M249,ShipShapeEnum!$H:$I,2,FALSE),"-")</f>
        <v>3</v>
      </c>
      <c r="O249" s="11" t="s">
        <v>0</v>
      </c>
      <c r="P249" s="11" t="s">
        <v>0</v>
      </c>
      <c r="Q249" s="19">
        <v>0</v>
      </c>
      <c r="R249" s="19" t="s">
        <v>914</v>
      </c>
      <c r="S249" s="19" t="s">
        <v>0</v>
      </c>
      <c r="T249" s="19" t="s">
        <v>0</v>
      </c>
      <c r="U249" s="19" t="s">
        <v>0</v>
      </c>
      <c r="V249" s="19" t="s">
        <v>0</v>
      </c>
      <c r="W249" s="19" t="s">
        <v>0</v>
      </c>
      <c r="X249" s="19" t="s">
        <v>0</v>
      </c>
    </row>
    <row r="250" spans="1:24" ht="15">
      <c r="A250" s="10">
        <f t="shared" si="8"/>
        <v>46600005</v>
      </c>
      <c r="B250" s="90" t="s">
        <v>870</v>
      </c>
      <c r="C250" s="4" t="s">
        <v>1081</v>
      </c>
      <c r="D250" s="11">
        <f>IFERROR(VLOOKUP(C250,ShipShapeEnum!$E:$F,2,FALSE),"-")</f>
        <v>96</v>
      </c>
      <c r="E250" s="19" t="s">
        <v>888</v>
      </c>
      <c r="F250" s="4" t="s">
        <v>66</v>
      </c>
      <c r="G250" s="11">
        <f>IFERROR(VLOOKUP(F250,ShipShapeEnum!$B:$C,2,FALSE),"-")</f>
        <v>3</v>
      </c>
      <c r="H250" s="19" t="s">
        <v>907</v>
      </c>
      <c r="I250" s="19">
        <v>1</v>
      </c>
      <c r="J250" s="19">
        <v>8</v>
      </c>
      <c r="K250" s="19" t="s">
        <v>0</v>
      </c>
      <c r="L250" s="19" t="s">
        <v>0</v>
      </c>
      <c r="M250" s="4" t="s">
        <v>125</v>
      </c>
      <c r="N250" s="11">
        <f>IFERROR(VLOOKUP(M250,ShipShapeEnum!$H:$I,2,FALSE),"-")</f>
        <v>3</v>
      </c>
      <c r="O250" s="11" t="s">
        <v>0</v>
      </c>
      <c r="P250" s="11" t="s">
        <v>0</v>
      </c>
      <c r="Q250" s="19">
        <v>0</v>
      </c>
      <c r="R250" s="19" t="s">
        <v>914</v>
      </c>
      <c r="S250" s="19" t="s">
        <v>0</v>
      </c>
      <c r="T250" s="19" t="s">
        <v>0</v>
      </c>
      <c r="U250" s="19" t="s">
        <v>0</v>
      </c>
      <c r="V250" s="19" t="s">
        <v>0</v>
      </c>
      <c r="W250" s="19" t="s">
        <v>0</v>
      </c>
      <c r="X250" s="19" t="s">
        <v>0</v>
      </c>
    </row>
    <row r="251" spans="1:24" ht="15">
      <c r="A251" s="10">
        <f t="shared" si="8"/>
        <v>46600006</v>
      </c>
      <c r="B251" s="90" t="s">
        <v>871</v>
      </c>
      <c r="C251" s="4" t="s">
        <v>1082</v>
      </c>
      <c r="D251" s="11">
        <f>IFERROR(VLOOKUP(C251,ShipShapeEnum!$E:$F,2,FALSE),"-")</f>
        <v>97</v>
      </c>
      <c r="E251" s="19" t="s">
        <v>889</v>
      </c>
      <c r="F251" s="4" t="s">
        <v>66</v>
      </c>
      <c r="G251" s="11">
        <f>IFERROR(VLOOKUP(F251,ShipShapeEnum!$B:$C,2,FALSE),"-")</f>
        <v>3</v>
      </c>
      <c r="H251" s="19" t="s">
        <v>908</v>
      </c>
      <c r="I251" s="19">
        <v>1</v>
      </c>
      <c r="J251" s="19">
        <v>8</v>
      </c>
      <c r="K251" s="19" t="s">
        <v>0</v>
      </c>
      <c r="L251" s="19" t="s">
        <v>0</v>
      </c>
      <c r="M251" s="4" t="s">
        <v>125</v>
      </c>
      <c r="N251" s="11">
        <f>IFERROR(VLOOKUP(M251,ShipShapeEnum!$H:$I,2,FALSE),"-")</f>
        <v>3</v>
      </c>
      <c r="O251" s="11" t="s">
        <v>0</v>
      </c>
      <c r="P251" s="11" t="s">
        <v>0</v>
      </c>
      <c r="Q251" s="19">
        <v>0</v>
      </c>
      <c r="R251" s="19" t="s">
        <v>914</v>
      </c>
      <c r="S251" s="19" t="s">
        <v>0</v>
      </c>
      <c r="T251" s="19" t="s">
        <v>0</v>
      </c>
      <c r="U251" s="19" t="s">
        <v>0</v>
      </c>
      <c r="V251" s="19" t="s">
        <v>0</v>
      </c>
      <c r="W251" s="19" t="s">
        <v>0</v>
      </c>
      <c r="X251" s="19" t="s">
        <v>0</v>
      </c>
    </row>
    <row r="252" spans="1:24" ht="15">
      <c r="A252" s="10">
        <f t="shared" si="8"/>
        <v>46600007</v>
      </c>
      <c r="B252" s="90" t="s">
        <v>872</v>
      </c>
      <c r="C252" s="4" t="s">
        <v>1083</v>
      </c>
      <c r="D252" s="11">
        <f>IFERROR(VLOOKUP(C252,ShipShapeEnum!$E:$F,2,FALSE),"-")</f>
        <v>98</v>
      </c>
      <c r="E252" s="19" t="s">
        <v>890</v>
      </c>
      <c r="F252" s="4" t="s">
        <v>66</v>
      </c>
      <c r="G252" s="11">
        <f>IFERROR(VLOOKUP(F252,ShipShapeEnum!$B:$C,2,FALSE),"-")</f>
        <v>3</v>
      </c>
      <c r="H252" s="19" t="s">
        <v>909</v>
      </c>
      <c r="I252" s="19">
        <v>1</v>
      </c>
      <c r="J252" s="19">
        <v>8</v>
      </c>
      <c r="K252" s="19" t="s">
        <v>0</v>
      </c>
      <c r="L252" s="19" t="s">
        <v>0</v>
      </c>
      <c r="M252" s="4" t="s">
        <v>125</v>
      </c>
      <c r="N252" s="11">
        <f>IFERROR(VLOOKUP(M252,ShipShapeEnum!$H:$I,2,FALSE),"-")</f>
        <v>3</v>
      </c>
      <c r="O252" s="11" t="s">
        <v>0</v>
      </c>
      <c r="P252" s="11" t="s">
        <v>0</v>
      </c>
      <c r="Q252" s="19">
        <v>0</v>
      </c>
      <c r="R252" s="19" t="s">
        <v>914</v>
      </c>
      <c r="S252" s="19" t="s">
        <v>0</v>
      </c>
      <c r="T252" s="19" t="s">
        <v>0</v>
      </c>
      <c r="U252" s="19" t="s">
        <v>0</v>
      </c>
      <c r="V252" s="19" t="s">
        <v>0</v>
      </c>
      <c r="W252" s="19" t="s">
        <v>0</v>
      </c>
      <c r="X252" s="19" t="s">
        <v>0</v>
      </c>
    </row>
    <row r="253" spans="1:24" ht="15">
      <c r="A253" s="10">
        <f t="shared" si="8"/>
        <v>46600008</v>
      </c>
      <c r="B253" s="90" t="s">
        <v>873</v>
      </c>
      <c r="C253" s="4" t="s">
        <v>1084</v>
      </c>
      <c r="D253" s="11">
        <f>IFERROR(VLOOKUP(C253,ShipShapeEnum!$E:$F,2,FALSE),"-")</f>
        <v>99</v>
      </c>
      <c r="E253" s="19" t="s">
        <v>891</v>
      </c>
      <c r="F253" s="4" t="s">
        <v>66</v>
      </c>
      <c r="G253" s="11">
        <f>IFERROR(VLOOKUP(F253,ShipShapeEnum!$B:$C,2,FALSE),"-")</f>
        <v>3</v>
      </c>
      <c r="H253" s="19" t="s">
        <v>910</v>
      </c>
      <c r="I253" s="19">
        <v>1</v>
      </c>
      <c r="J253" s="19">
        <v>8</v>
      </c>
      <c r="K253" s="19" t="s">
        <v>0</v>
      </c>
      <c r="L253" s="19" t="s">
        <v>0</v>
      </c>
      <c r="M253" s="4" t="s">
        <v>125</v>
      </c>
      <c r="N253" s="11">
        <f>IFERROR(VLOOKUP(M253,ShipShapeEnum!$H:$I,2,FALSE),"-")</f>
        <v>3</v>
      </c>
      <c r="O253" s="11" t="s">
        <v>0</v>
      </c>
      <c r="P253" s="11" t="s">
        <v>0</v>
      </c>
      <c r="Q253" s="19">
        <v>0</v>
      </c>
      <c r="R253" s="19" t="s">
        <v>914</v>
      </c>
      <c r="S253" s="19" t="s">
        <v>0</v>
      </c>
      <c r="T253" s="19" t="s">
        <v>0</v>
      </c>
      <c r="U253" s="19" t="s">
        <v>0</v>
      </c>
      <c r="V253" s="19" t="s">
        <v>0</v>
      </c>
      <c r="W253" s="19" t="s">
        <v>0</v>
      </c>
      <c r="X253" s="19" t="s">
        <v>0</v>
      </c>
    </row>
    <row r="254" spans="1:24" ht="15">
      <c r="A254" s="10">
        <f t="shared" si="8"/>
        <v>46600009</v>
      </c>
      <c r="B254" s="90" t="s">
        <v>874</v>
      </c>
      <c r="C254" s="4" t="s">
        <v>1085</v>
      </c>
      <c r="D254" s="11">
        <f>IFERROR(VLOOKUP(C254,ShipShapeEnum!$E:$F,2,FALSE),"-")</f>
        <v>100</v>
      </c>
      <c r="E254" s="19" t="s">
        <v>892</v>
      </c>
      <c r="F254" s="4" t="s">
        <v>66</v>
      </c>
      <c r="G254" s="11">
        <f>IFERROR(VLOOKUP(F254,ShipShapeEnum!$B:$C,2,FALSE),"-")</f>
        <v>3</v>
      </c>
      <c r="H254" s="19" t="s">
        <v>911</v>
      </c>
      <c r="I254" s="19">
        <v>1</v>
      </c>
      <c r="J254" s="19">
        <v>8</v>
      </c>
      <c r="K254" s="19" t="s">
        <v>0</v>
      </c>
      <c r="L254" s="19" t="s">
        <v>0</v>
      </c>
      <c r="M254" s="4" t="s">
        <v>125</v>
      </c>
      <c r="N254" s="11">
        <f>IFERROR(VLOOKUP(M254,ShipShapeEnum!$H:$I,2,FALSE),"-")</f>
        <v>3</v>
      </c>
      <c r="O254" s="11" t="s">
        <v>0</v>
      </c>
      <c r="P254" s="11" t="s">
        <v>0</v>
      </c>
      <c r="Q254" s="19">
        <v>0</v>
      </c>
      <c r="R254" s="19" t="s">
        <v>914</v>
      </c>
      <c r="S254" s="19" t="s">
        <v>0</v>
      </c>
      <c r="T254" s="19" t="s">
        <v>0</v>
      </c>
      <c r="U254" s="19" t="s">
        <v>0</v>
      </c>
      <c r="V254" s="19" t="s">
        <v>0</v>
      </c>
      <c r="W254" s="19" t="s">
        <v>0</v>
      </c>
      <c r="X254" s="19" t="s">
        <v>0</v>
      </c>
    </row>
    <row r="255" spans="1:24" ht="15">
      <c r="A255" s="10">
        <f t="shared" si="8"/>
        <v>46600010</v>
      </c>
      <c r="B255" s="90" t="s">
        <v>875</v>
      </c>
      <c r="C255" s="4" t="s">
        <v>1086</v>
      </c>
      <c r="D255" s="11">
        <f>IFERROR(VLOOKUP(C255,ShipShapeEnum!$E:$F,2,FALSE),"-")</f>
        <v>101</v>
      </c>
      <c r="E255" s="19" t="s">
        <v>893</v>
      </c>
      <c r="F255" s="4" t="s">
        <v>66</v>
      </c>
      <c r="G255" s="11">
        <f>IFERROR(VLOOKUP(F255,ShipShapeEnum!$B:$C,2,FALSE),"-")</f>
        <v>3</v>
      </c>
      <c r="H255" s="19" t="s">
        <v>912</v>
      </c>
      <c r="I255" s="19">
        <v>1</v>
      </c>
      <c r="J255" s="19">
        <v>8</v>
      </c>
      <c r="K255" s="19" t="s">
        <v>0</v>
      </c>
      <c r="L255" s="19" t="s">
        <v>0</v>
      </c>
      <c r="M255" s="4" t="s">
        <v>125</v>
      </c>
      <c r="N255" s="11">
        <f>IFERROR(VLOOKUP(M255,ShipShapeEnum!$H:$I,2,FALSE),"-")</f>
        <v>3</v>
      </c>
      <c r="O255" s="11" t="s">
        <v>0</v>
      </c>
      <c r="P255" s="11" t="s">
        <v>0</v>
      </c>
      <c r="Q255" s="19">
        <v>0</v>
      </c>
      <c r="R255" s="19" t="s">
        <v>914</v>
      </c>
      <c r="S255" s="19" t="s">
        <v>0</v>
      </c>
      <c r="T255" s="19" t="s">
        <v>0</v>
      </c>
      <c r="U255" s="19" t="s">
        <v>0</v>
      </c>
      <c r="V255" s="19" t="s">
        <v>0</v>
      </c>
      <c r="W255" s="19" t="s">
        <v>0</v>
      </c>
      <c r="X255" s="19" t="s">
        <v>0</v>
      </c>
    </row>
    <row r="256" spans="1:24" ht="15">
      <c r="A256" s="10">
        <f t="shared" si="8"/>
        <v>46600011</v>
      </c>
      <c r="B256" s="90" t="s">
        <v>876</v>
      </c>
      <c r="C256" s="4" t="s">
        <v>1087</v>
      </c>
      <c r="D256" s="11">
        <f>IFERROR(VLOOKUP(C256,ShipShapeEnum!$E:$F,2,FALSE),"-")</f>
        <v>102</v>
      </c>
      <c r="E256" s="19" t="s">
        <v>894</v>
      </c>
      <c r="F256" s="4" t="s">
        <v>66</v>
      </c>
      <c r="G256" s="11">
        <f>IFERROR(VLOOKUP(F256,ShipShapeEnum!$B:$C,2,FALSE),"-")</f>
        <v>3</v>
      </c>
      <c r="H256" s="19" t="s">
        <v>913</v>
      </c>
      <c r="I256" s="19">
        <v>1</v>
      </c>
      <c r="J256" s="19">
        <v>8</v>
      </c>
      <c r="K256" s="19" t="s">
        <v>0</v>
      </c>
      <c r="L256" s="19" t="s">
        <v>0</v>
      </c>
      <c r="M256" s="4" t="s">
        <v>125</v>
      </c>
      <c r="N256" s="11">
        <f>IFERROR(VLOOKUP(M256,ShipShapeEnum!$H:$I,2,FALSE),"-")</f>
        <v>3</v>
      </c>
      <c r="O256" s="11" t="s">
        <v>0</v>
      </c>
      <c r="P256" s="11" t="s">
        <v>0</v>
      </c>
      <c r="Q256" s="19">
        <v>0</v>
      </c>
      <c r="R256" s="19" t="s">
        <v>914</v>
      </c>
      <c r="S256" s="19" t="s">
        <v>0</v>
      </c>
      <c r="T256" s="19" t="s">
        <v>0</v>
      </c>
      <c r="U256" s="19" t="s">
        <v>0</v>
      </c>
      <c r="V256" s="19" t="s">
        <v>0</v>
      </c>
      <c r="W256" s="19" t="s">
        <v>0</v>
      </c>
      <c r="X256" s="19" t="s">
        <v>0</v>
      </c>
    </row>
    <row r="257" spans="1:25" ht="15">
      <c r="A257" s="10">
        <f t="shared" si="8"/>
        <v>46600012</v>
      </c>
      <c r="B257" s="90" t="s">
        <v>877</v>
      </c>
      <c r="C257" s="4" t="s">
        <v>864</v>
      </c>
      <c r="D257" s="11">
        <f>IFERROR(VLOOKUP(C257,ShipShapeEnum!$E:$F,2,FALSE),"-")</f>
        <v>92</v>
      </c>
      <c r="E257" s="19" t="s">
        <v>895</v>
      </c>
      <c r="F257" s="4" t="s">
        <v>66</v>
      </c>
      <c r="G257" s="11">
        <f>IFERROR(VLOOKUP(F257,ShipShapeEnum!$B:$C,2,FALSE),"-")</f>
        <v>3</v>
      </c>
      <c r="H257" s="19" t="s">
        <v>903</v>
      </c>
      <c r="I257" s="19">
        <v>1</v>
      </c>
      <c r="J257" s="19">
        <v>8</v>
      </c>
      <c r="K257" s="19" t="s">
        <v>0</v>
      </c>
      <c r="L257" s="19" t="s">
        <v>0</v>
      </c>
      <c r="M257" s="4" t="s">
        <v>125</v>
      </c>
      <c r="N257" s="11">
        <f>IFERROR(VLOOKUP(M257,ShipShapeEnum!$H:$I,2,FALSE),"-")</f>
        <v>3</v>
      </c>
      <c r="O257" s="11" t="s">
        <v>0</v>
      </c>
      <c r="P257" s="11" t="s">
        <v>0</v>
      </c>
      <c r="Q257" s="19">
        <v>0</v>
      </c>
      <c r="R257" s="19" t="s">
        <v>915</v>
      </c>
      <c r="S257" s="19" t="s">
        <v>0</v>
      </c>
      <c r="T257" s="19" t="s">
        <v>0</v>
      </c>
      <c r="U257" s="19" t="s">
        <v>0</v>
      </c>
      <c r="V257" s="19" t="s">
        <v>0</v>
      </c>
      <c r="W257" s="19" t="s">
        <v>0</v>
      </c>
      <c r="X257" s="19" t="s">
        <v>0</v>
      </c>
    </row>
    <row r="258" spans="1:25" ht="15">
      <c r="A258" s="10">
        <f t="shared" si="8"/>
        <v>46600013</v>
      </c>
      <c r="B258" s="90" t="s">
        <v>878</v>
      </c>
      <c r="C258" s="4" t="s">
        <v>941</v>
      </c>
      <c r="D258" s="11">
        <f>IFERROR(VLOOKUP(C258,ShipShapeEnum!$E:$F,2,FALSE),"-")</f>
        <v>93</v>
      </c>
      <c r="E258" s="19" t="s">
        <v>896</v>
      </c>
      <c r="F258" s="4" t="s">
        <v>66</v>
      </c>
      <c r="G258" s="11">
        <f>IFERROR(VLOOKUP(F258,ShipShapeEnum!$B:$C,2,FALSE),"-")</f>
        <v>3</v>
      </c>
      <c r="H258" s="19" t="s">
        <v>904</v>
      </c>
      <c r="I258" s="19">
        <v>1</v>
      </c>
      <c r="J258" s="19">
        <v>8</v>
      </c>
      <c r="K258" s="19" t="s">
        <v>0</v>
      </c>
      <c r="L258" s="19" t="s">
        <v>0</v>
      </c>
      <c r="M258" s="4" t="s">
        <v>125</v>
      </c>
      <c r="N258" s="11">
        <f>IFERROR(VLOOKUP(M258,ShipShapeEnum!$H:$I,2,FALSE),"-")</f>
        <v>3</v>
      </c>
      <c r="O258" s="11" t="s">
        <v>0</v>
      </c>
      <c r="P258" s="11" t="s">
        <v>0</v>
      </c>
      <c r="Q258" s="19">
        <v>0</v>
      </c>
      <c r="R258" s="19" t="s">
        <v>915</v>
      </c>
      <c r="S258" s="19" t="s">
        <v>0</v>
      </c>
      <c r="T258" s="19" t="s">
        <v>0</v>
      </c>
      <c r="U258" s="19" t="s">
        <v>0</v>
      </c>
      <c r="V258" s="19" t="s">
        <v>0</v>
      </c>
      <c r="W258" s="19" t="s">
        <v>0</v>
      </c>
      <c r="X258" s="19" t="s">
        <v>0</v>
      </c>
    </row>
    <row r="259" spans="1:25" ht="15">
      <c r="A259" s="10">
        <f t="shared" si="8"/>
        <v>46600014</v>
      </c>
      <c r="B259" s="90" t="s">
        <v>879</v>
      </c>
      <c r="C259" s="4" t="s">
        <v>942</v>
      </c>
      <c r="D259" s="11">
        <f>IFERROR(VLOOKUP(C259,ShipShapeEnum!$E:$F,2,FALSE),"-")</f>
        <v>94</v>
      </c>
      <c r="E259" s="19" t="s">
        <v>897</v>
      </c>
      <c r="F259" s="4" t="s">
        <v>66</v>
      </c>
      <c r="G259" s="11">
        <f>IFERROR(VLOOKUP(F259,ShipShapeEnum!$B:$C,2,FALSE),"-")</f>
        <v>3</v>
      </c>
      <c r="H259" s="19" t="s">
        <v>905</v>
      </c>
      <c r="I259" s="19">
        <v>1</v>
      </c>
      <c r="J259" s="19">
        <v>8</v>
      </c>
      <c r="K259" s="19" t="s">
        <v>0</v>
      </c>
      <c r="L259" s="19" t="s">
        <v>0</v>
      </c>
      <c r="M259" s="4" t="s">
        <v>125</v>
      </c>
      <c r="N259" s="11">
        <f>IFERROR(VLOOKUP(M259,ShipShapeEnum!$H:$I,2,FALSE),"-")</f>
        <v>3</v>
      </c>
      <c r="O259" s="11" t="s">
        <v>0</v>
      </c>
      <c r="P259" s="11" t="s">
        <v>0</v>
      </c>
      <c r="Q259" s="19">
        <v>0</v>
      </c>
      <c r="R259" s="19" t="s">
        <v>915</v>
      </c>
      <c r="S259" s="19" t="s">
        <v>0</v>
      </c>
      <c r="T259" s="19" t="s">
        <v>0</v>
      </c>
      <c r="U259" s="19" t="s">
        <v>0</v>
      </c>
      <c r="V259" s="19" t="s">
        <v>0</v>
      </c>
      <c r="W259" s="19" t="s">
        <v>0</v>
      </c>
      <c r="X259" s="19" t="s">
        <v>0</v>
      </c>
    </row>
    <row r="260" spans="1:25" ht="15">
      <c r="A260" s="10">
        <f t="shared" si="8"/>
        <v>46600015</v>
      </c>
      <c r="B260" s="90" t="s">
        <v>880</v>
      </c>
      <c r="C260" s="4" t="s">
        <v>943</v>
      </c>
      <c r="D260" s="11">
        <f>IFERROR(VLOOKUP(C260,ShipShapeEnum!$E:$F,2,FALSE),"-")</f>
        <v>95</v>
      </c>
      <c r="E260" s="19" t="s">
        <v>898</v>
      </c>
      <c r="F260" s="4" t="s">
        <v>66</v>
      </c>
      <c r="G260" s="11">
        <f>IFERROR(VLOOKUP(F260,ShipShapeEnum!$B:$C,2,FALSE),"-")</f>
        <v>3</v>
      </c>
      <c r="H260" s="19" t="s">
        <v>906</v>
      </c>
      <c r="I260" s="19">
        <v>1</v>
      </c>
      <c r="J260" s="19">
        <v>8</v>
      </c>
      <c r="K260" s="19" t="s">
        <v>0</v>
      </c>
      <c r="L260" s="19" t="s">
        <v>0</v>
      </c>
      <c r="M260" s="4" t="s">
        <v>125</v>
      </c>
      <c r="N260" s="11">
        <f>IFERROR(VLOOKUP(M260,ShipShapeEnum!$H:$I,2,FALSE),"-")</f>
        <v>3</v>
      </c>
      <c r="O260" s="11" t="s">
        <v>0</v>
      </c>
      <c r="P260" s="11" t="s">
        <v>0</v>
      </c>
      <c r="Q260" s="19">
        <v>0</v>
      </c>
      <c r="R260" s="19" t="s">
        <v>915</v>
      </c>
      <c r="S260" s="19" t="s">
        <v>0</v>
      </c>
      <c r="T260" s="19" t="s">
        <v>0</v>
      </c>
      <c r="U260" s="19" t="s">
        <v>0</v>
      </c>
      <c r="V260" s="19" t="s">
        <v>0</v>
      </c>
      <c r="W260" s="19" t="s">
        <v>0</v>
      </c>
      <c r="X260" s="19" t="s">
        <v>0</v>
      </c>
    </row>
    <row r="261" spans="1:25" ht="15">
      <c r="A261" s="10">
        <f t="shared" si="8"/>
        <v>46600016</v>
      </c>
      <c r="B261" s="90" t="s">
        <v>881</v>
      </c>
      <c r="C261" s="4" t="s">
        <v>1081</v>
      </c>
      <c r="D261" s="11">
        <f>IFERROR(VLOOKUP(C261,ShipShapeEnum!$E:$F,2,FALSE),"-")</f>
        <v>96</v>
      </c>
      <c r="E261" s="19" t="s">
        <v>899</v>
      </c>
      <c r="F261" s="4" t="s">
        <v>66</v>
      </c>
      <c r="G261" s="11">
        <f>IFERROR(VLOOKUP(F261,ShipShapeEnum!$B:$C,2,FALSE),"-")</f>
        <v>3</v>
      </c>
      <c r="H261" s="19" t="s">
        <v>907</v>
      </c>
      <c r="I261" s="19">
        <v>1</v>
      </c>
      <c r="J261" s="19">
        <v>8</v>
      </c>
      <c r="K261" s="19" t="s">
        <v>0</v>
      </c>
      <c r="L261" s="19" t="s">
        <v>0</v>
      </c>
      <c r="M261" s="4" t="s">
        <v>125</v>
      </c>
      <c r="N261" s="11">
        <f>IFERROR(VLOOKUP(M261,ShipShapeEnum!$H:$I,2,FALSE),"-")</f>
        <v>3</v>
      </c>
      <c r="O261" s="11" t="s">
        <v>0</v>
      </c>
      <c r="P261" s="11" t="s">
        <v>0</v>
      </c>
      <c r="Q261" s="19">
        <v>0</v>
      </c>
      <c r="R261" s="19" t="s">
        <v>915</v>
      </c>
      <c r="S261" s="19" t="s">
        <v>0</v>
      </c>
      <c r="T261" s="19" t="s">
        <v>0</v>
      </c>
      <c r="U261" s="19" t="s">
        <v>0</v>
      </c>
      <c r="V261" s="19" t="s">
        <v>0</v>
      </c>
      <c r="W261" s="19" t="s">
        <v>0</v>
      </c>
      <c r="X261" s="19" t="s">
        <v>0</v>
      </c>
    </row>
    <row r="262" spans="1:25" ht="15">
      <c r="A262" s="10">
        <f t="shared" si="8"/>
        <v>46600017</v>
      </c>
      <c r="B262" s="90" t="s">
        <v>882</v>
      </c>
      <c r="C262" s="4" t="s">
        <v>1082</v>
      </c>
      <c r="D262" s="11">
        <f>IFERROR(VLOOKUP(C262,ShipShapeEnum!$E:$F,2,FALSE),"-")</f>
        <v>97</v>
      </c>
      <c r="E262" s="19" t="s">
        <v>900</v>
      </c>
      <c r="F262" s="4" t="s">
        <v>66</v>
      </c>
      <c r="G262" s="11">
        <f>IFERROR(VLOOKUP(F262,ShipShapeEnum!$B:$C,2,FALSE),"-")</f>
        <v>3</v>
      </c>
      <c r="H262" s="19" t="s">
        <v>908</v>
      </c>
      <c r="I262" s="19">
        <v>1</v>
      </c>
      <c r="J262" s="19">
        <v>8</v>
      </c>
      <c r="K262" s="19" t="s">
        <v>0</v>
      </c>
      <c r="L262" s="19" t="s">
        <v>0</v>
      </c>
      <c r="M262" s="4" t="s">
        <v>125</v>
      </c>
      <c r="N262" s="11">
        <f>IFERROR(VLOOKUP(M262,ShipShapeEnum!$H:$I,2,FALSE),"-")</f>
        <v>3</v>
      </c>
      <c r="O262" s="11" t="s">
        <v>0</v>
      </c>
      <c r="P262" s="11" t="s">
        <v>0</v>
      </c>
      <c r="Q262" s="19">
        <v>0</v>
      </c>
      <c r="R262" s="19" t="s">
        <v>915</v>
      </c>
      <c r="S262" s="19" t="s">
        <v>0</v>
      </c>
      <c r="T262" s="19" t="s">
        <v>0</v>
      </c>
      <c r="U262" s="19" t="s">
        <v>0</v>
      </c>
      <c r="V262" s="19" t="s">
        <v>0</v>
      </c>
      <c r="W262" s="19" t="s">
        <v>0</v>
      </c>
      <c r="X262" s="19" t="s">
        <v>0</v>
      </c>
    </row>
    <row r="263" spans="1:25" ht="15">
      <c r="A263" s="10">
        <f t="shared" si="8"/>
        <v>46600018</v>
      </c>
      <c r="B263" s="90" t="s">
        <v>883</v>
      </c>
      <c r="C263" s="4" t="s">
        <v>1083</v>
      </c>
      <c r="D263" s="11">
        <f>IFERROR(VLOOKUP(C263,ShipShapeEnum!$E:$F,2,FALSE),"-")</f>
        <v>98</v>
      </c>
      <c r="E263" s="19" t="s">
        <v>901</v>
      </c>
      <c r="F263" s="4" t="s">
        <v>66</v>
      </c>
      <c r="G263" s="11">
        <f>IFERROR(VLOOKUP(F263,ShipShapeEnum!$B:$C,2,FALSE),"-")</f>
        <v>3</v>
      </c>
      <c r="H263" s="19" t="s">
        <v>909</v>
      </c>
      <c r="I263" s="19">
        <v>1</v>
      </c>
      <c r="J263" s="19">
        <v>8</v>
      </c>
      <c r="K263" s="19" t="s">
        <v>0</v>
      </c>
      <c r="L263" s="19" t="s">
        <v>0</v>
      </c>
      <c r="M263" s="4" t="s">
        <v>125</v>
      </c>
      <c r="N263" s="11">
        <f>IFERROR(VLOOKUP(M263,ShipShapeEnum!$H:$I,2,FALSE),"-")</f>
        <v>3</v>
      </c>
      <c r="O263" s="11" t="s">
        <v>0</v>
      </c>
      <c r="P263" s="11" t="s">
        <v>0</v>
      </c>
      <c r="Q263" s="19">
        <v>0</v>
      </c>
      <c r="R263" s="19" t="s">
        <v>915</v>
      </c>
      <c r="S263" s="19" t="s">
        <v>0</v>
      </c>
      <c r="T263" s="19" t="s">
        <v>0</v>
      </c>
      <c r="U263" s="19" t="s">
        <v>0</v>
      </c>
      <c r="V263" s="19" t="s">
        <v>0</v>
      </c>
      <c r="W263" s="19" t="s">
        <v>0</v>
      </c>
      <c r="X263" s="19" t="s">
        <v>0</v>
      </c>
    </row>
    <row r="264" spans="1:25" ht="15">
      <c r="A264" s="10">
        <f t="shared" si="8"/>
        <v>46600019</v>
      </c>
      <c r="B264" s="90" t="s">
        <v>884</v>
      </c>
      <c r="C264" s="4" t="s">
        <v>1084</v>
      </c>
      <c r="D264" s="11">
        <f>IFERROR(VLOOKUP(C264,ShipShapeEnum!$E:$F,2,FALSE),"-")</f>
        <v>99</v>
      </c>
      <c r="E264" s="19" t="s">
        <v>902</v>
      </c>
      <c r="F264" s="4" t="s">
        <v>66</v>
      </c>
      <c r="G264" s="11">
        <f>IFERROR(VLOOKUP(F264,ShipShapeEnum!$B:$C,2,FALSE),"-")</f>
        <v>3</v>
      </c>
      <c r="H264" s="19" t="s">
        <v>910</v>
      </c>
      <c r="I264" s="19">
        <v>1</v>
      </c>
      <c r="J264" s="19">
        <v>8</v>
      </c>
      <c r="K264" s="19" t="s">
        <v>0</v>
      </c>
      <c r="L264" s="19" t="s">
        <v>0</v>
      </c>
      <c r="M264" s="4" t="s">
        <v>125</v>
      </c>
      <c r="N264" s="11">
        <f>IFERROR(VLOOKUP(M264,ShipShapeEnum!$H:$I,2,FALSE),"-")</f>
        <v>3</v>
      </c>
      <c r="O264" s="11" t="s">
        <v>0</v>
      </c>
      <c r="P264" s="11" t="s">
        <v>0</v>
      </c>
      <c r="Q264" s="19">
        <v>0</v>
      </c>
      <c r="R264" s="19" t="s">
        <v>915</v>
      </c>
      <c r="S264" s="19" t="s">
        <v>0</v>
      </c>
      <c r="T264" s="19" t="s">
        <v>0</v>
      </c>
      <c r="U264" s="19" t="s">
        <v>0</v>
      </c>
      <c r="V264" s="19" t="s">
        <v>0</v>
      </c>
      <c r="W264" s="19" t="s">
        <v>0</v>
      </c>
      <c r="X264" s="19" t="s">
        <v>0</v>
      </c>
    </row>
    <row r="265" spans="1:25" ht="15">
      <c r="A265" s="10">
        <v>46700001</v>
      </c>
      <c r="B265" s="24" t="s">
        <v>94</v>
      </c>
      <c r="C265" s="4" t="s">
        <v>247</v>
      </c>
      <c r="D265" s="11">
        <f>IFERROR(VLOOKUP(C265,ShipShapeEnum!$E:$F,2,FALSE),"-")</f>
        <v>51</v>
      </c>
      <c r="E265" s="19" t="s">
        <v>19</v>
      </c>
      <c r="F265" s="4" t="s">
        <v>66</v>
      </c>
      <c r="G265" s="11">
        <f>IFERROR(VLOOKUP(F265,ShipShapeEnum!$B:$C,2,FALSE),"-")</f>
        <v>3</v>
      </c>
      <c r="H265" s="19" t="s">
        <v>84</v>
      </c>
      <c r="I265" s="19" t="s">
        <v>115</v>
      </c>
      <c r="J265" s="19" t="s">
        <v>115</v>
      </c>
      <c r="K265" s="19" t="s">
        <v>256</v>
      </c>
      <c r="L265" s="19" t="s">
        <v>258</v>
      </c>
      <c r="M265" s="4" t="s">
        <v>125</v>
      </c>
      <c r="N265" s="11">
        <f>IFERROR(VLOOKUP(M265,ShipShapeEnum!$H:$I,2,FALSE),"-")</f>
        <v>3</v>
      </c>
      <c r="O265" s="11" t="s">
        <v>0</v>
      </c>
      <c r="P265" s="11" t="s">
        <v>0</v>
      </c>
      <c r="Q265" s="19">
        <v>0</v>
      </c>
      <c r="R265" s="19" t="s">
        <v>208</v>
      </c>
      <c r="S265" s="19" t="s">
        <v>97</v>
      </c>
      <c r="T265" s="19" t="s">
        <v>121</v>
      </c>
      <c r="U265" s="19" t="s">
        <v>84</v>
      </c>
      <c r="V265" s="19" t="s">
        <v>104</v>
      </c>
      <c r="W265" s="19" t="s">
        <v>101</v>
      </c>
      <c r="X265" s="19" t="s">
        <v>84</v>
      </c>
    </row>
    <row r="266" spans="1:25" ht="15">
      <c r="A266" s="10">
        <f>A265+1</f>
        <v>46700002</v>
      </c>
      <c r="B266" s="24" t="s">
        <v>210</v>
      </c>
      <c r="C266" s="4" t="s">
        <v>247</v>
      </c>
      <c r="D266" s="11">
        <f>IFERROR(VLOOKUP(C266,ShipShapeEnum!$E:$F,2,FALSE),"-")</f>
        <v>51</v>
      </c>
      <c r="E266" s="19" t="s">
        <v>198</v>
      </c>
      <c r="F266" s="4" t="s">
        <v>66</v>
      </c>
      <c r="G266" s="11">
        <f>IFERROR(VLOOKUP(F266,ShipShapeEnum!$B:$C,2,FALSE),"-")</f>
        <v>3</v>
      </c>
      <c r="H266" s="19" t="s">
        <v>84</v>
      </c>
      <c r="I266" s="19">
        <v>1</v>
      </c>
      <c r="J266" s="19">
        <v>5</v>
      </c>
      <c r="K266" s="19" t="s">
        <v>256</v>
      </c>
      <c r="L266" s="19" t="s">
        <v>258</v>
      </c>
      <c r="M266" s="4" t="s">
        <v>125</v>
      </c>
      <c r="N266" s="11">
        <f>IFERROR(VLOOKUP(M266,ShipShapeEnum!$H:$I,2,FALSE),"-")</f>
        <v>3</v>
      </c>
      <c r="O266" s="11" t="s">
        <v>0</v>
      </c>
      <c r="P266" s="11" t="s">
        <v>0</v>
      </c>
      <c r="Q266" s="19">
        <v>0</v>
      </c>
      <c r="R266" s="19" t="s">
        <v>208</v>
      </c>
      <c r="S266" s="19" t="s">
        <v>97</v>
      </c>
      <c r="T266" s="19" t="s">
        <v>121</v>
      </c>
      <c r="U266" s="19" t="s">
        <v>84</v>
      </c>
      <c r="V266" s="19" t="s">
        <v>104</v>
      </c>
      <c r="W266" s="19" t="s">
        <v>101</v>
      </c>
      <c r="X266" s="19" t="s">
        <v>84</v>
      </c>
    </row>
    <row r="267" spans="1:25" ht="15">
      <c r="A267" s="10">
        <f>A266+1</f>
        <v>46700003</v>
      </c>
      <c r="B267" s="24" t="s">
        <v>205</v>
      </c>
      <c r="C267" s="4" t="s">
        <v>247</v>
      </c>
      <c r="D267" s="11">
        <f>IFERROR(VLOOKUP(C267,ShipShapeEnum!$E:$F,2,FALSE),"-")</f>
        <v>51</v>
      </c>
      <c r="E267" s="19" t="s">
        <v>207</v>
      </c>
      <c r="F267" s="4" t="s">
        <v>66</v>
      </c>
      <c r="G267" s="11">
        <f>IFERROR(VLOOKUP(F267,ShipShapeEnum!$B:$C,2,FALSE),"-")</f>
        <v>3</v>
      </c>
      <c r="H267" s="19" t="s">
        <v>24</v>
      </c>
      <c r="I267" s="19">
        <v>1</v>
      </c>
      <c r="J267" s="19">
        <v>5</v>
      </c>
      <c r="K267" s="19" t="s">
        <v>256</v>
      </c>
      <c r="L267" s="19" t="s">
        <v>258</v>
      </c>
      <c r="M267" s="4" t="s">
        <v>125</v>
      </c>
      <c r="N267" s="11">
        <f>IFERROR(VLOOKUP(M267,ShipShapeEnum!$H:$I,2,FALSE),"-")</f>
        <v>3</v>
      </c>
      <c r="O267" s="11" t="s">
        <v>0</v>
      </c>
      <c r="P267" s="11" t="s">
        <v>0</v>
      </c>
      <c r="Q267" s="19">
        <v>0</v>
      </c>
      <c r="R267" s="19" t="s">
        <v>208</v>
      </c>
      <c r="S267" s="19" t="s">
        <v>24</v>
      </c>
      <c r="T267" s="19" t="s">
        <v>24</v>
      </c>
      <c r="U267" s="19" t="s">
        <v>24</v>
      </c>
      <c r="V267" s="19" t="s">
        <v>24</v>
      </c>
      <c r="W267" s="19" t="s">
        <v>24</v>
      </c>
      <c r="X267" s="19" t="s">
        <v>24</v>
      </c>
    </row>
    <row r="268" spans="1:25" ht="15">
      <c r="A268" s="12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5" t="s">
        <v>8</v>
      </c>
    </row>
    <row r="269" spans="1:25" ht="111.75" customHeight="1">
      <c r="B269" s="18"/>
      <c r="C269" s="18"/>
      <c r="D269" s="18"/>
      <c r="E269" s="18"/>
      <c r="F269" s="18"/>
      <c r="G269" s="18"/>
      <c r="H269" s="18" t="s">
        <v>37</v>
      </c>
      <c r="I269" s="106" t="s">
        <v>251</v>
      </c>
      <c r="J269" s="107"/>
      <c r="K269" s="21" t="s">
        <v>259</v>
      </c>
      <c r="L269" s="21" t="s">
        <v>260</v>
      </c>
      <c r="M269" s="18"/>
      <c r="N269" s="18" t="s">
        <v>41</v>
      </c>
      <c r="O269" s="18"/>
      <c r="P269" s="18"/>
    </row>
    <row r="276" spans="2:25" ht="15">
      <c r="Y276" s="5"/>
    </row>
    <row r="285" spans="2:25" ht="14.25">
      <c r="B285"/>
    </row>
    <row r="286" spans="2:25" ht="14.25">
      <c r="B286"/>
    </row>
    <row r="287" spans="2:25" ht="14.25">
      <c r="B287"/>
    </row>
    <row r="288" spans="2:25" ht="14.25">
      <c r="B288"/>
    </row>
    <row r="289" spans="2:2" ht="14.25">
      <c r="B289"/>
    </row>
    <row r="290" spans="2:2" ht="14.25">
      <c r="B290"/>
    </row>
    <row r="291" spans="2:2" ht="14.25">
      <c r="B291"/>
    </row>
  </sheetData>
  <autoFilter ref="A8:AD269" xr:uid="{00000000-0009-0000-0000-000001000000}"/>
  <mergeCells count="1">
    <mergeCell ref="I269:J269"/>
  </mergeCells>
  <phoneticPr fontId="5" type="noConversion"/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OFFSET(ShipShapeEnum!$B:$B,1,0,COUNTA(ShipShapeEnum!$B:$B)-1,1)</xm:f>
          </x14:formula1>
          <xm:sqref>F10:F119 F156:F267</xm:sqref>
        </x14:dataValidation>
        <x14:dataValidation type="list" allowBlank="1" showInputMessage="1" showErrorMessage="1" xr:uid="{00000000-0002-0000-0100-000001000000}">
          <x14:formula1>
            <xm:f>OFFSET(ShipShapeEnum!$E:$E,1,0,COUNTA(ShipShapeEnum!$E:$E)-1,1)</xm:f>
          </x14:formula1>
          <xm:sqref>C10:C119 C156:C267</xm:sqref>
        </x14:dataValidation>
        <x14:dataValidation type="list" allowBlank="1" showInputMessage="1" showErrorMessage="1" xr:uid="{00000000-0002-0000-0100-000002000000}">
          <x14:formula1>
            <xm:f>OFFSET(ShipShapeEnum!$H:$H,1,0,COUNTA(ShipShapeEnum!$H:$H)-1,1)</xm:f>
          </x14:formula1>
          <xm:sqref>M10:M119 M156:M267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4"/>
  <sheetViews>
    <sheetView zoomScaleNormal="100" workbookViewId="0">
      <selection activeCell="G36" sqref="G36"/>
    </sheetView>
  </sheetViews>
  <sheetFormatPr defaultRowHeight="13.5"/>
  <cols>
    <col min="1" max="1" width="19" style="27" customWidth="1"/>
    <col min="2" max="2" width="20" style="27" bestFit="1" customWidth="1"/>
    <col min="3" max="3" width="23.140625" style="27" customWidth="1"/>
    <col min="4" max="4" width="25.5703125" style="27" bestFit="1" customWidth="1"/>
    <col min="5" max="5" width="20" style="27" customWidth="1"/>
    <col min="6" max="6" width="20" style="27" bestFit="1" customWidth="1"/>
    <col min="7" max="8" width="20" style="27" customWidth="1"/>
    <col min="9" max="9" width="20" style="27" bestFit="1" customWidth="1"/>
    <col min="10" max="11" width="20" style="27" customWidth="1"/>
    <col min="12" max="12" width="20" style="27" bestFit="1" customWidth="1"/>
    <col min="13" max="15" width="20" style="27" customWidth="1"/>
    <col min="16" max="16" width="31.42578125" style="27" customWidth="1"/>
    <col min="17" max="17" width="11" style="27" bestFit="1" customWidth="1"/>
    <col min="18" max="18" width="9.140625" style="27"/>
    <col min="19" max="19" width="24.7109375" style="27" customWidth="1"/>
    <col min="20" max="20" width="22.5703125" style="27" customWidth="1"/>
    <col min="21" max="16384" width="9.140625" style="27"/>
  </cols>
  <sheetData>
    <row r="1" spans="1:14">
      <c r="A1" s="6" t="s">
        <v>5</v>
      </c>
      <c r="B1" s="25"/>
      <c r="C1" s="26" t="s">
        <v>724</v>
      </c>
      <c r="D1" s="26" t="s">
        <v>1559</v>
      </c>
      <c r="E1" s="26" t="s">
        <v>1032</v>
      </c>
      <c r="F1" s="25"/>
      <c r="G1" s="26" t="s">
        <v>753</v>
      </c>
      <c r="H1" s="26" t="s">
        <v>754</v>
      </c>
      <c r="I1" s="25"/>
      <c r="J1" s="26" t="s">
        <v>755</v>
      </c>
      <c r="K1" s="26" t="s">
        <v>756</v>
      </c>
      <c r="L1" s="25"/>
      <c r="M1" s="26" t="s">
        <v>836</v>
      </c>
      <c r="N1" s="26" t="s">
        <v>837</v>
      </c>
    </row>
    <row r="2" spans="1:14" ht="27">
      <c r="A2" s="6" t="s">
        <v>528</v>
      </c>
      <c r="B2" s="25"/>
      <c r="C2" s="26" t="s">
        <v>6</v>
      </c>
      <c r="D2" s="26" t="s">
        <v>6</v>
      </c>
      <c r="E2" s="26" t="s">
        <v>1033</v>
      </c>
      <c r="F2" s="25"/>
      <c r="G2" s="26" t="s">
        <v>7</v>
      </c>
      <c r="H2" s="26" t="s">
        <v>7</v>
      </c>
      <c r="I2" s="25"/>
      <c r="J2" s="26" t="s">
        <v>7</v>
      </c>
      <c r="K2" s="26" t="s">
        <v>7</v>
      </c>
      <c r="L2" s="25"/>
      <c r="M2" s="26" t="s">
        <v>7</v>
      </c>
      <c r="N2" s="26" t="s">
        <v>7</v>
      </c>
    </row>
    <row r="3" spans="1:14">
      <c r="A3" s="8" t="s">
        <v>1</v>
      </c>
      <c r="B3" s="25"/>
      <c r="C3" s="28">
        <v>1</v>
      </c>
      <c r="D3" s="28" t="s">
        <v>1561</v>
      </c>
      <c r="E3" s="28">
        <v>1</v>
      </c>
      <c r="F3" s="25"/>
      <c r="G3" s="28" t="s">
        <v>0</v>
      </c>
      <c r="H3" s="28" t="s">
        <v>0</v>
      </c>
      <c r="I3" s="25"/>
      <c r="J3" s="28" t="s">
        <v>0</v>
      </c>
      <c r="K3" s="28" t="s">
        <v>0</v>
      </c>
      <c r="L3" s="25"/>
      <c r="M3" s="28" t="s">
        <v>0</v>
      </c>
      <c r="N3" s="28" t="s">
        <v>0</v>
      </c>
    </row>
    <row r="4" spans="1:14">
      <c r="A4" s="8" t="s">
        <v>2</v>
      </c>
      <c r="B4" s="25"/>
      <c r="C4" s="28" t="s">
        <v>0</v>
      </c>
      <c r="D4" s="28" t="s">
        <v>0</v>
      </c>
      <c r="E4" s="28" t="s">
        <v>830</v>
      </c>
      <c r="F4" s="25"/>
      <c r="G4" s="28" t="s">
        <v>0</v>
      </c>
      <c r="H4" s="28" t="s">
        <v>0</v>
      </c>
      <c r="I4" s="25"/>
      <c r="J4" s="28" t="s">
        <v>0</v>
      </c>
      <c r="K4" s="28" t="s">
        <v>0</v>
      </c>
      <c r="L4" s="25"/>
      <c r="M4" s="28" t="s">
        <v>0</v>
      </c>
      <c r="N4" s="28" t="s">
        <v>0</v>
      </c>
    </row>
    <row r="5" spans="1:14">
      <c r="A5" s="8" t="s">
        <v>3</v>
      </c>
      <c r="B5" s="25"/>
      <c r="C5" s="28" t="s">
        <v>0</v>
      </c>
      <c r="D5" s="28" t="s">
        <v>0</v>
      </c>
      <c r="E5" s="28" t="s">
        <v>830</v>
      </c>
      <c r="F5" s="25"/>
      <c r="G5" s="28" t="s">
        <v>0</v>
      </c>
      <c r="H5" s="28" t="s">
        <v>0</v>
      </c>
      <c r="I5" s="25"/>
      <c r="J5" s="28" t="s">
        <v>0</v>
      </c>
      <c r="K5" s="28" t="s">
        <v>0</v>
      </c>
      <c r="L5" s="25"/>
      <c r="M5" s="28" t="s">
        <v>0</v>
      </c>
      <c r="N5" s="28" t="s">
        <v>0</v>
      </c>
    </row>
    <row r="6" spans="1:14">
      <c r="A6" s="8" t="s">
        <v>4</v>
      </c>
      <c r="B6" s="25"/>
      <c r="C6" s="28" t="s">
        <v>0</v>
      </c>
      <c r="D6" s="28" t="s">
        <v>0</v>
      </c>
      <c r="E6" s="28" t="s">
        <v>830</v>
      </c>
      <c r="F6" s="25"/>
      <c r="G6" s="28" t="s">
        <v>0</v>
      </c>
      <c r="H6" s="28" t="s">
        <v>0</v>
      </c>
      <c r="I6" s="25"/>
      <c r="J6" s="28" t="s">
        <v>0</v>
      </c>
      <c r="K6" s="28" t="s">
        <v>0</v>
      </c>
      <c r="L6" s="25"/>
      <c r="M6" s="28" t="s">
        <v>0</v>
      </c>
      <c r="N6" s="28" t="s">
        <v>0</v>
      </c>
    </row>
    <row r="7" spans="1:14">
      <c r="A7" s="8" t="s">
        <v>10</v>
      </c>
      <c r="B7" s="25"/>
      <c r="C7" s="28" t="s">
        <v>0</v>
      </c>
      <c r="D7" s="28" t="s">
        <v>0</v>
      </c>
      <c r="E7" s="28" t="s">
        <v>830</v>
      </c>
      <c r="F7" s="25"/>
      <c r="G7" s="28" t="s">
        <v>0</v>
      </c>
      <c r="H7" s="28" t="s">
        <v>0</v>
      </c>
      <c r="I7" s="25"/>
      <c r="J7" s="28" t="s">
        <v>0</v>
      </c>
      <c r="K7" s="28" t="s">
        <v>0</v>
      </c>
      <c r="L7" s="25"/>
      <c r="M7" s="28" t="s">
        <v>0</v>
      </c>
      <c r="N7" s="28" t="s">
        <v>0</v>
      </c>
    </row>
    <row r="8" spans="1:14">
      <c r="A8" s="8" t="s">
        <v>844</v>
      </c>
      <c r="B8" s="25"/>
      <c r="C8" s="28">
        <v>1</v>
      </c>
      <c r="D8" s="28">
        <v>1</v>
      </c>
      <c r="E8" s="28" t="s">
        <v>830</v>
      </c>
      <c r="F8" s="25"/>
      <c r="G8" s="28" t="s">
        <v>0</v>
      </c>
      <c r="H8" s="28" t="s">
        <v>0</v>
      </c>
      <c r="I8" s="25"/>
      <c r="J8" s="28" t="s">
        <v>0</v>
      </c>
      <c r="K8" s="28" t="s">
        <v>0</v>
      </c>
      <c r="L8" s="25"/>
      <c r="M8" s="28" t="s">
        <v>0</v>
      </c>
      <c r="N8" s="28" t="s">
        <v>0</v>
      </c>
    </row>
    <row r="9" spans="1:14">
      <c r="A9" s="29">
        <v>47100000</v>
      </c>
      <c r="B9" s="30" t="s">
        <v>1062</v>
      </c>
      <c r="C9" s="35" t="s">
        <v>1808</v>
      </c>
      <c r="D9" s="35" t="s">
        <v>1807</v>
      </c>
      <c r="E9" s="88" t="b">
        <v>1</v>
      </c>
      <c r="F9" s="30"/>
      <c r="G9" s="35" t="s">
        <v>1063</v>
      </c>
      <c r="H9" s="35" t="s">
        <v>1063</v>
      </c>
      <c r="I9" s="30"/>
      <c r="J9" s="35" t="s">
        <v>1063</v>
      </c>
      <c r="K9" s="35" t="s">
        <v>1063</v>
      </c>
      <c r="L9" s="30" t="s">
        <v>830</v>
      </c>
      <c r="M9" s="35" t="s">
        <v>830</v>
      </c>
      <c r="N9" s="35" t="s">
        <v>830</v>
      </c>
    </row>
    <row r="10" spans="1:14">
      <c r="A10" s="29">
        <v>47100001</v>
      </c>
      <c r="B10" s="30" t="s">
        <v>529</v>
      </c>
      <c r="C10" s="35" t="s">
        <v>1455</v>
      </c>
      <c r="D10" s="35" t="s">
        <v>1562</v>
      </c>
      <c r="E10" s="88" t="b">
        <v>1</v>
      </c>
      <c r="F10" s="30" t="s">
        <v>757</v>
      </c>
      <c r="G10" s="35">
        <v>100001</v>
      </c>
      <c r="H10" s="35">
        <v>10000</v>
      </c>
      <c r="I10" s="30" t="s">
        <v>848</v>
      </c>
      <c r="J10" s="35">
        <v>100001</v>
      </c>
      <c r="K10" s="35">
        <v>100000</v>
      </c>
      <c r="L10" s="30" t="s">
        <v>1291</v>
      </c>
      <c r="M10" s="35">
        <v>23311000</v>
      </c>
      <c r="N10" s="35">
        <v>1</v>
      </c>
    </row>
    <row r="11" spans="1:14">
      <c r="A11" s="29">
        <v>47100002</v>
      </c>
      <c r="B11" s="30" t="s">
        <v>530</v>
      </c>
      <c r="C11" s="35" t="s">
        <v>1456</v>
      </c>
      <c r="D11" s="35" t="s">
        <v>1563</v>
      </c>
      <c r="E11" s="88" t="b">
        <v>1</v>
      </c>
      <c r="F11" s="30" t="s">
        <v>757</v>
      </c>
      <c r="G11" s="35">
        <v>100001</v>
      </c>
      <c r="H11" s="35">
        <v>10000</v>
      </c>
      <c r="I11" s="30" t="s">
        <v>848</v>
      </c>
      <c r="J11" s="35">
        <v>100001</v>
      </c>
      <c r="K11" s="35">
        <v>100000</v>
      </c>
      <c r="L11" s="30" t="s">
        <v>1292</v>
      </c>
      <c r="M11" s="35">
        <v>23311001</v>
      </c>
      <c r="N11" s="35">
        <v>1</v>
      </c>
    </row>
    <row r="12" spans="1:14">
      <c r="A12" s="29">
        <v>47100003</v>
      </c>
      <c r="B12" s="30" t="s">
        <v>531</v>
      </c>
      <c r="C12" s="35" t="s">
        <v>1457</v>
      </c>
      <c r="D12" s="35" t="s">
        <v>1564</v>
      </c>
      <c r="E12" s="88" t="b">
        <v>1</v>
      </c>
      <c r="F12" s="30" t="s">
        <v>757</v>
      </c>
      <c r="G12" s="35">
        <v>100001</v>
      </c>
      <c r="H12" s="35">
        <v>10000</v>
      </c>
      <c r="I12" s="30" t="s">
        <v>848</v>
      </c>
      <c r="J12" s="35">
        <v>100001</v>
      </c>
      <c r="K12" s="35">
        <v>100000</v>
      </c>
      <c r="L12" s="30" t="s">
        <v>1293</v>
      </c>
      <c r="M12" s="35">
        <v>23311002</v>
      </c>
      <c r="N12" s="35">
        <v>1</v>
      </c>
    </row>
    <row r="13" spans="1:14">
      <c r="A13" s="29">
        <v>47100004</v>
      </c>
      <c r="B13" s="30" t="s">
        <v>532</v>
      </c>
      <c r="C13" s="35" t="s">
        <v>1458</v>
      </c>
      <c r="D13" s="35" t="s">
        <v>1565</v>
      </c>
      <c r="E13" s="88" t="b">
        <v>1</v>
      </c>
      <c r="F13" s="30" t="s">
        <v>757</v>
      </c>
      <c r="G13" s="35">
        <v>100001</v>
      </c>
      <c r="H13" s="35">
        <v>10000</v>
      </c>
      <c r="I13" s="30" t="s">
        <v>848</v>
      </c>
      <c r="J13" s="35">
        <v>100001</v>
      </c>
      <c r="K13" s="35">
        <v>100000</v>
      </c>
      <c r="L13" s="30" t="s">
        <v>1294</v>
      </c>
      <c r="M13" s="35">
        <v>23311003</v>
      </c>
      <c r="N13" s="35">
        <v>1</v>
      </c>
    </row>
    <row r="14" spans="1:14">
      <c r="A14" s="29">
        <v>47100005</v>
      </c>
      <c r="B14" s="30" t="s">
        <v>533</v>
      </c>
      <c r="C14" s="35" t="s">
        <v>1459</v>
      </c>
      <c r="D14" s="35" t="s">
        <v>1566</v>
      </c>
      <c r="E14" s="88" t="b">
        <v>1</v>
      </c>
      <c r="F14" s="30" t="s">
        <v>757</v>
      </c>
      <c r="G14" s="35">
        <v>100001</v>
      </c>
      <c r="H14" s="35">
        <v>10000</v>
      </c>
      <c r="I14" s="30" t="s">
        <v>849</v>
      </c>
      <c r="J14" s="35">
        <v>100003</v>
      </c>
      <c r="K14" s="35">
        <v>1000</v>
      </c>
      <c r="L14" s="30" t="s">
        <v>1295</v>
      </c>
      <c r="M14" s="35">
        <v>23311004</v>
      </c>
      <c r="N14" s="35">
        <v>1</v>
      </c>
    </row>
    <row r="15" spans="1:14">
      <c r="A15" s="29">
        <v>47100006</v>
      </c>
      <c r="B15" s="30" t="s">
        <v>534</v>
      </c>
      <c r="C15" s="35" t="s">
        <v>1460</v>
      </c>
      <c r="D15" s="35" t="s">
        <v>1567</v>
      </c>
      <c r="E15" s="88" t="b">
        <v>1</v>
      </c>
      <c r="F15" s="30" t="s">
        <v>757</v>
      </c>
      <c r="G15" s="35">
        <v>100001</v>
      </c>
      <c r="H15" s="35">
        <v>10000</v>
      </c>
      <c r="I15" s="30" t="s">
        <v>848</v>
      </c>
      <c r="J15" s="35">
        <v>100001</v>
      </c>
      <c r="K15" s="35">
        <v>100000</v>
      </c>
      <c r="L15" s="30" t="s">
        <v>1296</v>
      </c>
      <c r="M15" s="35">
        <v>23311005</v>
      </c>
      <c r="N15" s="35">
        <v>1</v>
      </c>
    </row>
    <row r="16" spans="1:14">
      <c r="A16" s="29">
        <v>47100007</v>
      </c>
      <c r="B16" s="30" t="s">
        <v>535</v>
      </c>
      <c r="C16" s="35" t="s">
        <v>1461</v>
      </c>
      <c r="D16" s="35" t="s">
        <v>1568</v>
      </c>
      <c r="E16" s="88" t="b">
        <v>1</v>
      </c>
      <c r="F16" s="30" t="s">
        <v>757</v>
      </c>
      <c r="G16" s="35">
        <v>100001</v>
      </c>
      <c r="H16" s="35">
        <v>10000</v>
      </c>
      <c r="I16" s="30" t="s">
        <v>848</v>
      </c>
      <c r="J16" s="35">
        <v>100001</v>
      </c>
      <c r="K16" s="35">
        <v>100000</v>
      </c>
      <c r="L16" s="30" t="s">
        <v>1297</v>
      </c>
      <c r="M16" s="35">
        <v>23311006</v>
      </c>
      <c r="N16" s="35">
        <v>1</v>
      </c>
    </row>
    <row r="17" spans="1:14">
      <c r="A17" s="29">
        <v>47100008</v>
      </c>
      <c r="B17" s="30" t="s">
        <v>536</v>
      </c>
      <c r="C17" s="35" t="s">
        <v>1462</v>
      </c>
      <c r="D17" s="35" t="s">
        <v>1569</v>
      </c>
      <c r="E17" s="88" t="b">
        <v>1</v>
      </c>
      <c r="F17" s="30" t="s">
        <v>757</v>
      </c>
      <c r="G17" s="35">
        <v>100001</v>
      </c>
      <c r="H17" s="35">
        <v>10000</v>
      </c>
      <c r="I17" s="30" t="s">
        <v>848</v>
      </c>
      <c r="J17" s="35">
        <v>100001</v>
      </c>
      <c r="K17" s="35">
        <v>100000</v>
      </c>
      <c r="L17" s="30" t="s">
        <v>1298</v>
      </c>
      <c r="M17" s="35">
        <v>23311007</v>
      </c>
      <c r="N17" s="35">
        <v>1</v>
      </c>
    </row>
    <row r="18" spans="1:14">
      <c r="A18" s="29">
        <v>47100009</v>
      </c>
      <c r="B18" s="30" t="s">
        <v>537</v>
      </c>
      <c r="C18" s="35" t="s">
        <v>1463</v>
      </c>
      <c r="D18" s="35" t="s">
        <v>1570</v>
      </c>
      <c r="E18" s="88" t="b">
        <v>1</v>
      </c>
      <c r="F18" s="30" t="s">
        <v>757</v>
      </c>
      <c r="G18" s="35">
        <v>100001</v>
      </c>
      <c r="H18" s="35">
        <v>10000</v>
      </c>
      <c r="I18" s="30" t="s">
        <v>848</v>
      </c>
      <c r="J18" s="35">
        <v>100001</v>
      </c>
      <c r="K18" s="35">
        <v>100000</v>
      </c>
      <c r="L18" s="30" t="s">
        <v>1299</v>
      </c>
      <c r="M18" s="35">
        <v>23311008</v>
      </c>
      <c r="N18" s="35">
        <v>1</v>
      </c>
    </row>
    <row r="19" spans="1:14">
      <c r="A19" s="29">
        <v>47100010</v>
      </c>
      <c r="B19" s="30" t="s">
        <v>538</v>
      </c>
      <c r="C19" s="35" t="s">
        <v>1464</v>
      </c>
      <c r="D19" s="35" t="s">
        <v>1571</v>
      </c>
      <c r="E19" s="88" t="b">
        <v>1</v>
      </c>
      <c r="F19" s="30" t="s">
        <v>757</v>
      </c>
      <c r="G19" s="35">
        <v>100001</v>
      </c>
      <c r="H19" s="35">
        <v>10000</v>
      </c>
      <c r="I19" s="30" t="s">
        <v>849</v>
      </c>
      <c r="J19" s="35">
        <v>100003</v>
      </c>
      <c r="K19" s="35">
        <v>1000</v>
      </c>
      <c r="L19" s="30" t="s">
        <v>1300</v>
      </c>
      <c r="M19" s="35">
        <v>23311009</v>
      </c>
      <c r="N19" s="35">
        <v>1</v>
      </c>
    </row>
    <row r="20" spans="1:14">
      <c r="A20" s="29">
        <v>47100011</v>
      </c>
      <c r="B20" s="30" t="s">
        <v>539</v>
      </c>
      <c r="C20" s="35" t="s">
        <v>1465</v>
      </c>
      <c r="D20" s="35" t="s">
        <v>1572</v>
      </c>
      <c r="E20" s="88" t="b">
        <v>1</v>
      </c>
      <c r="F20" s="30" t="s">
        <v>757</v>
      </c>
      <c r="G20" s="35">
        <v>100001</v>
      </c>
      <c r="H20" s="35">
        <v>10000</v>
      </c>
      <c r="I20" s="30" t="s">
        <v>849</v>
      </c>
      <c r="J20" s="35">
        <v>100003</v>
      </c>
      <c r="K20" s="35">
        <v>1000</v>
      </c>
      <c r="L20" s="30" t="s">
        <v>1301</v>
      </c>
      <c r="M20" s="35">
        <v>23311010</v>
      </c>
      <c r="N20" s="35">
        <v>1</v>
      </c>
    </row>
    <row r="21" spans="1:14">
      <c r="A21" s="29">
        <v>47100012</v>
      </c>
      <c r="B21" s="30" t="s">
        <v>540</v>
      </c>
      <c r="C21" s="35" t="s">
        <v>1466</v>
      </c>
      <c r="D21" s="35" t="s">
        <v>1573</v>
      </c>
      <c r="E21" s="88" t="b">
        <v>1</v>
      </c>
      <c r="F21" s="30" t="s">
        <v>757</v>
      </c>
      <c r="G21" s="35">
        <v>100001</v>
      </c>
      <c r="H21" s="35">
        <v>10000</v>
      </c>
      <c r="I21" s="30" t="s">
        <v>848</v>
      </c>
      <c r="J21" s="35">
        <v>100001</v>
      </c>
      <c r="K21" s="35">
        <v>100000</v>
      </c>
      <c r="L21" s="30" t="s">
        <v>1302</v>
      </c>
      <c r="M21" s="35">
        <v>23311011</v>
      </c>
      <c r="N21" s="35">
        <v>1</v>
      </c>
    </row>
    <row r="22" spans="1:14">
      <c r="A22" s="29">
        <v>47100013</v>
      </c>
      <c r="B22" s="30" t="s">
        <v>541</v>
      </c>
      <c r="C22" s="35" t="s">
        <v>1467</v>
      </c>
      <c r="D22" s="35" t="s">
        <v>1574</v>
      </c>
      <c r="E22" s="88" t="b">
        <v>1</v>
      </c>
      <c r="F22" s="30" t="s">
        <v>757</v>
      </c>
      <c r="G22" s="35">
        <v>100001</v>
      </c>
      <c r="H22" s="35">
        <v>10000</v>
      </c>
      <c r="I22" s="30" t="s">
        <v>848</v>
      </c>
      <c r="J22" s="35">
        <v>100001</v>
      </c>
      <c r="K22" s="35">
        <v>100000</v>
      </c>
      <c r="L22" s="30" t="s">
        <v>1303</v>
      </c>
      <c r="M22" s="35">
        <v>23311012</v>
      </c>
      <c r="N22" s="35">
        <v>1</v>
      </c>
    </row>
    <row r="23" spans="1:14">
      <c r="A23" s="29">
        <v>47100014</v>
      </c>
      <c r="B23" s="30" t="s">
        <v>542</v>
      </c>
      <c r="C23" s="35" t="s">
        <v>1468</v>
      </c>
      <c r="D23" s="35" t="s">
        <v>1575</v>
      </c>
      <c r="E23" s="88" t="b">
        <v>1</v>
      </c>
      <c r="F23" s="30" t="s">
        <v>757</v>
      </c>
      <c r="G23" s="35">
        <v>100001</v>
      </c>
      <c r="H23" s="35">
        <v>10000</v>
      </c>
      <c r="I23" s="30" t="s">
        <v>848</v>
      </c>
      <c r="J23" s="35">
        <v>100001</v>
      </c>
      <c r="K23" s="35">
        <v>100000</v>
      </c>
      <c r="L23" s="30" t="s">
        <v>1304</v>
      </c>
      <c r="M23" s="35">
        <v>23311013</v>
      </c>
      <c r="N23" s="35">
        <v>1</v>
      </c>
    </row>
    <row r="24" spans="1:14">
      <c r="A24" s="29">
        <v>47100015</v>
      </c>
      <c r="B24" s="30" t="s">
        <v>543</v>
      </c>
      <c r="C24" s="35" t="s">
        <v>1469</v>
      </c>
      <c r="D24" s="35" t="s">
        <v>1576</v>
      </c>
      <c r="E24" s="88" t="b">
        <v>1</v>
      </c>
      <c r="F24" s="30" t="s">
        <v>757</v>
      </c>
      <c r="G24" s="35">
        <v>100001</v>
      </c>
      <c r="H24" s="35">
        <v>10000</v>
      </c>
      <c r="I24" s="30" t="s">
        <v>848</v>
      </c>
      <c r="J24" s="35">
        <v>100001</v>
      </c>
      <c r="K24" s="35">
        <v>100000</v>
      </c>
      <c r="L24" s="30" t="s">
        <v>1305</v>
      </c>
      <c r="M24" s="35">
        <v>23311014</v>
      </c>
      <c r="N24" s="35">
        <v>1</v>
      </c>
    </row>
    <row r="25" spans="1:14">
      <c r="A25" s="29">
        <v>47100016</v>
      </c>
      <c r="B25" s="30" t="s">
        <v>544</v>
      </c>
      <c r="C25" s="35" t="s">
        <v>1470</v>
      </c>
      <c r="D25" s="35" t="s">
        <v>1577</v>
      </c>
      <c r="E25" s="88" t="b">
        <v>1</v>
      </c>
      <c r="F25" s="30" t="s">
        <v>757</v>
      </c>
      <c r="G25" s="35">
        <v>100001</v>
      </c>
      <c r="H25" s="35">
        <v>10000</v>
      </c>
      <c r="I25" s="30" t="s">
        <v>848</v>
      </c>
      <c r="J25" s="35">
        <v>100001</v>
      </c>
      <c r="K25" s="35">
        <v>100000</v>
      </c>
      <c r="L25" s="30" t="s">
        <v>1306</v>
      </c>
      <c r="M25" s="35">
        <v>23311015</v>
      </c>
      <c r="N25" s="35">
        <v>1</v>
      </c>
    </row>
    <row r="26" spans="1:14">
      <c r="A26" s="29">
        <v>47100017</v>
      </c>
      <c r="B26" s="30" t="s">
        <v>545</v>
      </c>
      <c r="C26" s="35" t="s">
        <v>1471</v>
      </c>
      <c r="D26" s="35" t="s">
        <v>1578</v>
      </c>
      <c r="E26" s="88" t="b">
        <v>1</v>
      </c>
      <c r="F26" s="30" t="s">
        <v>757</v>
      </c>
      <c r="G26" s="35">
        <v>100001</v>
      </c>
      <c r="H26" s="35">
        <v>10000</v>
      </c>
      <c r="I26" s="30" t="s">
        <v>848</v>
      </c>
      <c r="J26" s="35">
        <v>100001</v>
      </c>
      <c r="K26" s="35">
        <v>100000</v>
      </c>
      <c r="L26" s="30" t="s">
        <v>1307</v>
      </c>
      <c r="M26" s="35">
        <v>23311016</v>
      </c>
      <c r="N26" s="35">
        <v>1</v>
      </c>
    </row>
    <row r="27" spans="1:14">
      <c r="A27" s="29">
        <v>47100018</v>
      </c>
      <c r="B27" s="30" t="s">
        <v>546</v>
      </c>
      <c r="C27" s="35" t="s">
        <v>1472</v>
      </c>
      <c r="D27" s="35" t="s">
        <v>1579</v>
      </c>
      <c r="E27" s="88" t="b">
        <v>1</v>
      </c>
      <c r="F27" s="30" t="s">
        <v>757</v>
      </c>
      <c r="G27" s="35">
        <v>100001</v>
      </c>
      <c r="H27" s="35">
        <v>10000</v>
      </c>
      <c r="I27" s="30" t="s">
        <v>848</v>
      </c>
      <c r="J27" s="35">
        <v>100001</v>
      </c>
      <c r="K27" s="35">
        <v>100000</v>
      </c>
      <c r="L27" s="30" t="s">
        <v>1308</v>
      </c>
      <c r="M27" s="35">
        <v>23311017</v>
      </c>
      <c r="N27" s="35">
        <v>1</v>
      </c>
    </row>
    <row r="28" spans="1:14">
      <c r="A28" s="29">
        <v>47100019</v>
      </c>
      <c r="B28" s="30" t="s">
        <v>547</v>
      </c>
      <c r="C28" s="35" t="s">
        <v>1473</v>
      </c>
      <c r="D28" s="35" t="s">
        <v>1580</v>
      </c>
      <c r="E28" s="88" t="b">
        <v>1</v>
      </c>
      <c r="F28" s="30" t="s">
        <v>757</v>
      </c>
      <c r="G28" s="35">
        <v>100001</v>
      </c>
      <c r="H28" s="35">
        <v>10000</v>
      </c>
      <c r="I28" s="30" t="s">
        <v>848</v>
      </c>
      <c r="J28" s="35">
        <v>100001</v>
      </c>
      <c r="K28" s="35">
        <v>100000</v>
      </c>
      <c r="L28" s="30" t="s">
        <v>1309</v>
      </c>
      <c r="M28" s="35">
        <v>23311018</v>
      </c>
      <c r="N28" s="35">
        <v>1</v>
      </c>
    </row>
    <row r="29" spans="1:14">
      <c r="A29" s="29">
        <v>47100020</v>
      </c>
      <c r="B29" s="30" t="s">
        <v>548</v>
      </c>
      <c r="C29" s="35" t="s">
        <v>1474</v>
      </c>
      <c r="D29" s="35" t="s">
        <v>1581</v>
      </c>
      <c r="E29" s="88" t="b">
        <v>1</v>
      </c>
      <c r="F29" s="30" t="s">
        <v>757</v>
      </c>
      <c r="G29" s="35">
        <v>100001</v>
      </c>
      <c r="H29" s="35">
        <v>10000</v>
      </c>
      <c r="I29" s="30" t="s">
        <v>848</v>
      </c>
      <c r="J29" s="35">
        <v>100001</v>
      </c>
      <c r="K29" s="35">
        <v>100000</v>
      </c>
      <c r="L29" s="30" t="s">
        <v>1310</v>
      </c>
      <c r="M29" s="35">
        <v>23311019</v>
      </c>
      <c r="N29" s="35">
        <v>1</v>
      </c>
    </row>
    <row r="30" spans="1:14">
      <c r="A30" s="29">
        <v>47100021</v>
      </c>
      <c r="B30" s="30" t="s">
        <v>549</v>
      </c>
      <c r="C30" s="35" t="s">
        <v>1475</v>
      </c>
      <c r="D30" s="35" t="s">
        <v>1582</v>
      </c>
      <c r="E30" s="88" t="b">
        <v>1</v>
      </c>
      <c r="F30" s="30" t="s">
        <v>757</v>
      </c>
      <c r="G30" s="35">
        <v>100001</v>
      </c>
      <c r="H30" s="35">
        <v>10000</v>
      </c>
      <c r="I30" s="30" t="s">
        <v>848</v>
      </c>
      <c r="J30" s="35">
        <v>100001</v>
      </c>
      <c r="K30" s="35">
        <v>100000</v>
      </c>
      <c r="L30" s="30" t="s">
        <v>1311</v>
      </c>
      <c r="M30" s="35">
        <v>23311020</v>
      </c>
      <c r="N30" s="35">
        <v>1</v>
      </c>
    </row>
    <row r="31" spans="1:14">
      <c r="A31" s="29">
        <v>47100022</v>
      </c>
      <c r="B31" s="30" t="s">
        <v>550</v>
      </c>
      <c r="C31" s="35" t="s">
        <v>1476</v>
      </c>
      <c r="D31" s="35" t="s">
        <v>1583</v>
      </c>
      <c r="E31" s="88" t="b">
        <v>1</v>
      </c>
      <c r="F31" s="30" t="s">
        <v>757</v>
      </c>
      <c r="G31" s="35">
        <v>100001</v>
      </c>
      <c r="H31" s="35">
        <v>10000</v>
      </c>
      <c r="I31" s="30" t="s">
        <v>848</v>
      </c>
      <c r="J31" s="35">
        <v>100001</v>
      </c>
      <c r="K31" s="35">
        <v>100000</v>
      </c>
      <c r="L31" s="30" t="s">
        <v>1312</v>
      </c>
      <c r="M31" s="35">
        <v>23311021</v>
      </c>
      <c r="N31" s="35">
        <v>1</v>
      </c>
    </row>
    <row r="32" spans="1:14">
      <c r="A32" s="29">
        <v>47100023</v>
      </c>
      <c r="B32" s="30" t="s">
        <v>551</v>
      </c>
      <c r="C32" s="35" t="s">
        <v>1477</v>
      </c>
      <c r="D32" s="35" t="s">
        <v>1584</v>
      </c>
      <c r="E32" s="88" t="b">
        <v>1</v>
      </c>
      <c r="F32" s="30" t="s">
        <v>757</v>
      </c>
      <c r="G32" s="35">
        <v>100001</v>
      </c>
      <c r="H32" s="35">
        <v>10000</v>
      </c>
      <c r="I32" s="30" t="s">
        <v>848</v>
      </c>
      <c r="J32" s="35">
        <v>100001</v>
      </c>
      <c r="K32" s="35">
        <v>100000</v>
      </c>
      <c r="L32" s="30" t="s">
        <v>1313</v>
      </c>
      <c r="M32" s="35">
        <v>23311022</v>
      </c>
      <c r="N32" s="35">
        <v>1</v>
      </c>
    </row>
    <row r="33" spans="1:14">
      <c r="A33" s="29">
        <v>47100024</v>
      </c>
      <c r="B33" s="30" t="s">
        <v>552</v>
      </c>
      <c r="C33" s="35" t="s">
        <v>1478</v>
      </c>
      <c r="D33" s="35" t="s">
        <v>1585</v>
      </c>
      <c r="E33" s="88" t="b">
        <v>1</v>
      </c>
      <c r="F33" s="30" t="s">
        <v>757</v>
      </c>
      <c r="G33" s="35">
        <v>100001</v>
      </c>
      <c r="H33" s="35">
        <v>10000</v>
      </c>
      <c r="I33" s="30" t="s">
        <v>848</v>
      </c>
      <c r="J33" s="35">
        <v>100001</v>
      </c>
      <c r="K33" s="35">
        <v>100000</v>
      </c>
      <c r="L33" s="30" t="s">
        <v>1314</v>
      </c>
      <c r="M33" s="35">
        <v>23311023</v>
      </c>
      <c r="N33" s="35">
        <v>1</v>
      </c>
    </row>
    <row r="34" spans="1:14">
      <c r="A34" s="29">
        <v>47100025</v>
      </c>
      <c r="B34" s="30" t="s">
        <v>553</v>
      </c>
      <c r="C34" s="35" t="s">
        <v>1479</v>
      </c>
      <c r="D34" s="35" t="s">
        <v>1586</v>
      </c>
      <c r="E34" s="88" t="b">
        <v>1</v>
      </c>
      <c r="F34" s="30" t="s">
        <v>757</v>
      </c>
      <c r="G34" s="35">
        <v>100001</v>
      </c>
      <c r="H34" s="35">
        <v>10000</v>
      </c>
      <c r="I34" s="30" t="s">
        <v>848</v>
      </c>
      <c r="J34" s="35">
        <v>100001</v>
      </c>
      <c r="K34" s="35">
        <v>100000</v>
      </c>
      <c r="L34" s="30" t="s">
        <v>1315</v>
      </c>
      <c r="M34" s="35">
        <v>23311024</v>
      </c>
      <c r="N34" s="35">
        <v>1</v>
      </c>
    </row>
    <row r="35" spans="1:14">
      <c r="A35" s="29">
        <v>47100026</v>
      </c>
      <c r="B35" s="30" t="s">
        <v>554</v>
      </c>
      <c r="C35" s="35" t="s">
        <v>1480</v>
      </c>
      <c r="D35" s="35" t="s">
        <v>1587</v>
      </c>
      <c r="E35" s="88" t="b">
        <v>1</v>
      </c>
      <c r="F35" s="30" t="s">
        <v>757</v>
      </c>
      <c r="G35" s="35">
        <v>100001</v>
      </c>
      <c r="H35" s="35">
        <v>10000</v>
      </c>
      <c r="I35" s="30" t="s">
        <v>848</v>
      </c>
      <c r="J35" s="35">
        <v>100001</v>
      </c>
      <c r="K35" s="35">
        <v>100000</v>
      </c>
      <c r="L35" s="30" t="s">
        <v>1316</v>
      </c>
      <c r="M35" s="35">
        <v>23311025</v>
      </c>
      <c r="N35" s="35">
        <v>1</v>
      </c>
    </row>
    <row r="36" spans="1:14">
      <c r="A36" s="29">
        <v>47100027</v>
      </c>
      <c r="B36" s="30" t="s">
        <v>555</v>
      </c>
      <c r="C36" s="35" t="s">
        <v>1481</v>
      </c>
      <c r="D36" s="35" t="s">
        <v>1588</v>
      </c>
      <c r="E36" s="88" t="b">
        <v>1</v>
      </c>
      <c r="F36" s="30" t="s">
        <v>757</v>
      </c>
      <c r="G36" s="35">
        <v>100001</v>
      </c>
      <c r="H36" s="35">
        <v>10000</v>
      </c>
      <c r="I36" s="30" t="s">
        <v>848</v>
      </c>
      <c r="J36" s="35">
        <v>100001</v>
      </c>
      <c r="K36" s="35">
        <v>100000</v>
      </c>
      <c r="L36" s="30" t="s">
        <v>1317</v>
      </c>
      <c r="M36" s="35">
        <v>23311026</v>
      </c>
      <c r="N36" s="35">
        <v>1</v>
      </c>
    </row>
    <row r="37" spans="1:14">
      <c r="A37" s="29">
        <v>47100028</v>
      </c>
      <c r="B37" s="30" t="s">
        <v>556</v>
      </c>
      <c r="C37" s="35" t="s">
        <v>1482</v>
      </c>
      <c r="D37" s="35" t="s">
        <v>1589</v>
      </c>
      <c r="E37" s="88" t="b">
        <v>1</v>
      </c>
      <c r="F37" s="30" t="s">
        <v>757</v>
      </c>
      <c r="G37" s="35">
        <v>100001</v>
      </c>
      <c r="H37" s="35">
        <v>10000</v>
      </c>
      <c r="I37" s="30" t="s">
        <v>848</v>
      </c>
      <c r="J37" s="35">
        <v>100001</v>
      </c>
      <c r="K37" s="35">
        <v>100000</v>
      </c>
      <c r="L37" s="30" t="s">
        <v>1318</v>
      </c>
      <c r="M37" s="35">
        <v>23311027</v>
      </c>
      <c r="N37" s="35">
        <v>1</v>
      </c>
    </row>
    <row r="38" spans="1:14">
      <c r="A38" s="29">
        <v>47100029</v>
      </c>
      <c r="B38" s="30" t="s">
        <v>557</v>
      </c>
      <c r="C38" s="35" t="s">
        <v>1483</v>
      </c>
      <c r="D38" s="35" t="s">
        <v>1590</v>
      </c>
      <c r="E38" s="88" t="b">
        <v>1</v>
      </c>
      <c r="F38" s="30" t="s">
        <v>757</v>
      </c>
      <c r="G38" s="35">
        <v>100001</v>
      </c>
      <c r="H38" s="35">
        <v>10000</v>
      </c>
      <c r="I38" s="30" t="s">
        <v>848</v>
      </c>
      <c r="J38" s="35">
        <v>100001</v>
      </c>
      <c r="K38" s="35">
        <v>100000</v>
      </c>
      <c r="L38" s="30" t="s">
        <v>1319</v>
      </c>
      <c r="M38" s="35">
        <v>23311028</v>
      </c>
      <c r="N38" s="35">
        <v>1</v>
      </c>
    </row>
    <row r="39" spans="1:14">
      <c r="A39" s="29">
        <v>47100030</v>
      </c>
      <c r="B39" s="30" t="s">
        <v>558</v>
      </c>
      <c r="C39" s="35" t="s">
        <v>1484</v>
      </c>
      <c r="D39" s="35" t="s">
        <v>1591</v>
      </c>
      <c r="E39" s="88" t="b">
        <v>1</v>
      </c>
      <c r="F39" s="30" t="s">
        <v>757</v>
      </c>
      <c r="G39" s="35">
        <v>100001</v>
      </c>
      <c r="H39" s="35">
        <v>10000</v>
      </c>
      <c r="I39" s="30" t="s">
        <v>848</v>
      </c>
      <c r="J39" s="35">
        <v>100001</v>
      </c>
      <c r="K39" s="35">
        <v>100000</v>
      </c>
      <c r="L39" s="30" t="s">
        <v>1320</v>
      </c>
      <c r="M39" s="35">
        <v>23311029</v>
      </c>
      <c r="N39" s="35">
        <v>1</v>
      </c>
    </row>
    <row r="40" spans="1:14">
      <c r="A40" s="29">
        <v>47100031</v>
      </c>
      <c r="B40" s="30" t="s">
        <v>559</v>
      </c>
      <c r="C40" s="35" t="s">
        <v>1485</v>
      </c>
      <c r="D40" s="35" t="s">
        <v>1592</v>
      </c>
      <c r="E40" s="88" t="b">
        <v>1</v>
      </c>
      <c r="F40" s="30" t="s">
        <v>757</v>
      </c>
      <c r="G40" s="35">
        <v>100001</v>
      </c>
      <c r="H40" s="35">
        <v>10000</v>
      </c>
      <c r="I40" s="30" t="s">
        <v>848</v>
      </c>
      <c r="J40" s="35">
        <v>100001</v>
      </c>
      <c r="K40" s="35">
        <v>100000</v>
      </c>
      <c r="L40" s="30" t="s">
        <v>1321</v>
      </c>
      <c r="M40" s="35">
        <v>23311030</v>
      </c>
      <c r="N40" s="35">
        <v>1</v>
      </c>
    </row>
    <row r="41" spans="1:14">
      <c r="A41" s="29">
        <v>47100032</v>
      </c>
      <c r="B41" s="30" t="s">
        <v>560</v>
      </c>
      <c r="C41" s="35" t="s">
        <v>1486</v>
      </c>
      <c r="D41" s="35" t="s">
        <v>1593</v>
      </c>
      <c r="E41" s="88" t="b">
        <v>1</v>
      </c>
      <c r="F41" s="30" t="s">
        <v>757</v>
      </c>
      <c r="G41" s="35">
        <v>100001</v>
      </c>
      <c r="H41" s="35">
        <v>10000</v>
      </c>
      <c r="I41" s="30" t="s">
        <v>848</v>
      </c>
      <c r="J41" s="35">
        <v>100001</v>
      </c>
      <c r="K41" s="35">
        <v>100000</v>
      </c>
      <c r="L41" s="30" t="s">
        <v>1322</v>
      </c>
      <c r="M41" s="35">
        <v>23311031</v>
      </c>
      <c r="N41" s="35">
        <v>1</v>
      </c>
    </row>
    <row r="42" spans="1:14">
      <c r="A42" s="29">
        <v>47100033</v>
      </c>
      <c r="B42" s="30" t="s">
        <v>561</v>
      </c>
      <c r="C42" s="35" t="s">
        <v>1487</v>
      </c>
      <c r="D42" s="35" t="s">
        <v>1594</v>
      </c>
      <c r="E42" s="88" t="b">
        <v>1</v>
      </c>
      <c r="F42" s="30" t="s">
        <v>757</v>
      </c>
      <c r="G42" s="35">
        <v>100001</v>
      </c>
      <c r="H42" s="35">
        <v>10000</v>
      </c>
      <c r="I42" s="30" t="s">
        <v>848</v>
      </c>
      <c r="J42" s="35">
        <v>100001</v>
      </c>
      <c r="K42" s="35">
        <v>100000</v>
      </c>
      <c r="L42" s="30" t="s">
        <v>1323</v>
      </c>
      <c r="M42" s="35">
        <v>23311032</v>
      </c>
      <c r="N42" s="35">
        <v>1</v>
      </c>
    </row>
    <row r="43" spans="1:14">
      <c r="A43" s="29">
        <v>47100034</v>
      </c>
      <c r="B43" s="30" t="s">
        <v>562</v>
      </c>
      <c r="C43" s="35" t="s">
        <v>1488</v>
      </c>
      <c r="D43" s="35" t="s">
        <v>1595</v>
      </c>
      <c r="E43" s="88" t="b">
        <v>1</v>
      </c>
      <c r="F43" s="30" t="s">
        <v>757</v>
      </c>
      <c r="G43" s="35">
        <v>100001</v>
      </c>
      <c r="H43" s="35">
        <v>10000</v>
      </c>
      <c r="I43" s="30" t="s">
        <v>848</v>
      </c>
      <c r="J43" s="35">
        <v>100001</v>
      </c>
      <c r="K43" s="35">
        <v>100000</v>
      </c>
      <c r="L43" s="30" t="s">
        <v>1324</v>
      </c>
      <c r="M43" s="35">
        <v>23311033</v>
      </c>
      <c r="N43" s="35">
        <v>1</v>
      </c>
    </row>
    <row r="44" spans="1:14">
      <c r="A44" s="29">
        <v>47100035</v>
      </c>
      <c r="B44" s="30" t="s">
        <v>563</v>
      </c>
      <c r="C44" s="35" t="s">
        <v>1489</v>
      </c>
      <c r="D44" s="35" t="s">
        <v>1596</v>
      </c>
      <c r="E44" s="88" t="b">
        <v>1</v>
      </c>
      <c r="F44" s="30" t="s">
        <v>757</v>
      </c>
      <c r="G44" s="35">
        <v>100001</v>
      </c>
      <c r="H44" s="35">
        <v>10000</v>
      </c>
      <c r="I44" s="30" t="s">
        <v>848</v>
      </c>
      <c r="J44" s="35">
        <v>100001</v>
      </c>
      <c r="K44" s="35">
        <v>100000</v>
      </c>
      <c r="L44" s="30" t="s">
        <v>1325</v>
      </c>
      <c r="M44" s="35">
        <v>23311034</v>
      </c>
      <c r="N44" s="35">
        <v>1</v>
      </c>
    </row>
    <row r="45" spans="1:14">
      <c r="A45" s="29">
        <v>47100036</v>
      </c>
      <c r="B45" s="30" t="s">
        <v>564</v>
      </c>
      <c r="C45" s="35" t="s">
        <v>1490</v>
      </c>
      <c r="D45" s="35" t="s">
        <v>1597</v>
      </c>
      <c r="E45" s="88" t="b">
        <v>1</v>
      </c>
      <c r="F45" s="30" t="s">
        <v>757</v>
      </c>
      <c r="G45" s="35">
        <v>100001</v>
      </c>
      <c r="H45" s="35">
        <v>10000</v>
      </c>
      <c r="I45" s="30" t="s">
        <v>848</v>
      </c>
      <c r="J45" s="35">
        <v>100001</v>
      </c>
      <c r="K45" s="35">
        <v>100000</v>
      </c>
      <c r="L45" s="30" t="s">
        <v>1326</v>
      </c>
      <c r="M45" s="35">
        <v>23311035</v>
      </c>
      <c r="N45" s="35">
        <v>1</v>
      </c>
    </row>
    <row r="46" spans="1:14">
      <c r="A46" s="29">
        <v>47100037</v>
      </c>
      <c r="B46" s="30" t="s">
        <v>565</v>
      </c>
      <c r="C46" s="35" t="s">
        <v>1491</v>
      </c>
      <c r="D46" s="35" t="s">
        <v>1598</v>
      </c>
      <c r="E46" s="88" t="b">
        <v>1</v>
      </c>
      <c r="F46" s="30" t="s">
        <v>757</v>
      </c>
      <c r="G46" s="35">
        <v>100001</v>
      </c>
      <c r="H46" s="35">
        <v>10000</v>
      </c>
      <c r="I46" s="30" t="s">
        <v>848</v>
      </c>
      <c r="J46" s="35">
        <v>100001</v>
      </c>
      <c r="K46" s="35">
        <v>100000</v>
      </c>
      <c r="L46" s="30" t="s">
        <v>1327</v>
      </c>
      <c r="M46" s="35">
        <v>23311036</v>
      </c>
      <c r="N46" s="35">
        <v>1</v>
      </c>
    </row>
    <row r="47" spans="1:14">
      <c r="A47" s="29">
        <v>47100038</v>
      </c>
      <c r="B47" s="30" t="s">
        <v>566</v>
      </c>
      <c r="C47" s="35" t="s">
        <v>1492</v>
      </c>
      <c r="D47" s="35" t="s">
        <v>1599</v>
      </c>
      <c r="E47" s="88" t="b">
        <v>1</v>
      </c>
      <c r="F47" s="30" t="s">
        <v>757</v>
      </c>
      <c r="G47" s="35">
        <v>100001</v>
      </c>
      <c r="H47" s="35">
        <v>10000</v>
      </c>
      <c r="I47" s="30" t="s">
        <v>848</v>
      </c>
      <c r="J47" s="35">
        <v>100001</v>
      </c>
      <c r="K47" s="35">
        <v>100000</v>
      </c>
      <c r="L47" s="30" t="s">
        <v>1328</v>
      </c>
      <c r="M47" s="35">
        <v>23311037</v>
      </c>
      <c r="N47" s="35">
        <v>1</v>
      </c>
    </row>
    <row r="48" spans="1:14">
      <c r="A48" s="29">
        <v>47100039</v>
      </c>
      <c r="B48" s="30" t="s">
        <v>567</v>
      </c>
      <c r="C48" s="35" t="s">
        <v>1493</v>
      </c>
      <c r="D48" s="35" t="s">
        <v>1600</v>
      </c>
      <c r="E48" s="88" t="b">
        <v>1</v>
      </c>
      <c r="F48" s="30" t="s">
        <v>757</v>
      </c>
      <c r="G48" s="35">
        <v>100001</v>
      </c>
      <c r="H48" s="35">
        <v>10000</v>
      </c>
      <c r="I48" s="30" t="s">
        <v>848</v>
      </c>
      <c r="J48" s="35">
        <v>100001</v>
      </c>
      <c r="K48" s="35">
        <v>100000</v>
      </c>
      <c r="L48" s="30" t="s">
        <v>1329</v>
      </c>
      <c r="M48" s="35">
        <v>23311038</v>
      </c>
      <c r="N48" s="35">
        <v>1</v>
      </c>
    </row>
    <row r="49" spans="1:14">
      <c r="A49" s="29">
        <v>47100040</v>
      </c>
      <c r="B49" s="30" t="s">
        <v>568</v>
      </c>
      <c r="C49" s="35" t="s">
        <v>1494</v>
      </c>
      <c r="D49" s="35" t="s">
        <v>1601</v>
      </c>
      <c r="E49" s="88" t="b">
        <v>1</v>
      </c>
      <c r="F49" s="30" t="s">
        <v>757</v>
      </c>
      <c r="G49" s="35">
        <v>100001</v>
      </c>
      <c r="H49" s="35">
        <v>10000</v>
      </c>
      <c r="I49" s="30" t="s">
        <v>848</v>
      </c>
      <c r="J49" s="35">
        <v>100001</v>
      </c>
      <c r="K49" s="35">
        <v>100000</v>
      </c>
      <c r="L49" s="30" t="s">
        <v>1330</v>
      </c>
      <c r="M49" s="35">
        <v>23311039</v>
      </c>
      <c r="N49" s="35">
        <v>1</v>
      </c>
    </row>
    <row r="50" spans="1:14">
      <c r="A50" s="29">
        <v>47100041</v>
      </c>
      <c r="B50" s="30" t="s">
        <v>569</v>
      </c>
      <c r="C50" s="35" t="s">
        <v>1495</v>
      </c>
      <c r="D50" s="35" t="s">
        <v>1602</v>
      </c>
      <c r="E50" s="88" t="b">
        <v>1</v>
      </c>
      <c r="F50" s="30" t="s">
        <v>757</v>
      </c>
      <c r="G50" s="35">
        <v>100001</v>
      </c>
      <c r="H50" s="35">
        <v>10000</v>
      </c>
      <c r="I50" s="30" t="s">
        <v>848</v>
      </c>
      <c r="J50" s="35">
        <v>100001</v>
      </c>
      <c r="K50" s="35">
        <v>100000</v>
      </c>
      <c r="L50" s="30" t="s">
        <v>1331</v>
      </c>
      <c r="M50" s="35">
        <v>23311040</v>
      </c>
      <c r="N50" s="35">
        <v>1</v>
      </c>
    </row>
    <row r="51" spans="1:14">
      <c r="A51" s="29">
        <v>47100042</v>
      </c>
      <c r="B51" s="30" t="s">
        <v>570</v>
      </c>
      <c r="C51" s="35" t="s">
        <v>1496</v>
      </c>
      <c r="D51" s="35" t="s">
        <v>1603</v>
      </c>
      <c r="E51" s="88" t="b">
        <v>1</v>
      </c>
      <c r="F51" s="30" t="s">
        <v>757</v>
      </c>
      <c r="G51" s="35">
        <v>100001</v>
      </c>
      <c r="H51" s="35">
        <v>10000</v>
      </c>
      <c r="I51" s="30" t="s">
        <v>848</v>
      </c>
      <c r="J51" s="35">
        <v>100001</v>
      </c>
      <c r="K51" s="35">
        <v>100000</v>
      </c>
      <c r="L51" s="30" t="s">
        <v>1332</v>
      </c>
      <c r="M51" s="35">
        <v>23311041</v>
      </c>
      <c r="N51" s="35">
        <v>1</v>
      </c>
    </row>
    <row r="52" spans="1:14">
      <c r="A52" s="29">
        <v>47100043</v>
      </c>
      <c r="B52" s="30" t="s">
        <v>571</v>
      </c>
      <c r="C52" s="35" t="s">
        <v>1497</v>
      </c>
      <c r="D52" s="35" t="s">
        <v>1604</v>
      </c>
      <c r="E52" s="88" t="b">
        <v>1</v>
      </c>
      <c r="F52" s="30" t="s">
        <v>757</v>
      </c>
      <c r="G52" s="35">
        <v>100001</v>
      </c>
      <c r="H52" s="35">
        <v>10000</v>
      </c>
      <c r="I52" s="30" t="s">
        <v>848</v>
      </c>
      <c r="J52" s="35">
        <v>100001</v>
      </c>
      <c r="K52" s="35">
        <v>100000</v>
      </c>
      <c r="L52" s="30" t="s">
        <v>1333</v>
      </c>
      <c r="M52" s="35">
        <v>23311042</v>
      </c>
      <c r="N52" s="35">
        <v>1</v>
      </c>
    </row>
    <row r="53" spans="1:14">
      <c r="A53" s="29">
        <v>47100044</v>
      </c>
      <c r="B53" s="30" t="s">
        <v>572</v>
      </c>
      <c r="C53" s="35" t="s">
        <v>1498</v>
      </c>
      <c r="D53" s="35" t="s">
        <v>1605</v>
      </c>
      <c r="E53" s="88" t="b">
        <v>1</v>
      </c>
      <c r="F53" s="30" t="s">
        <v>757</v>
      </c>
      <c r="G53" s="35">
        <v>100001</v>
      </c>
      <c r="H53" s="35">
        <v>10000</v>
      </c>
      <c r="I53" s="30" t="s">
        <v>848</v>
      </c>
      <c r="J53" s="35">
        <v>100001</v>
      </c>
      <c r="K53" s="35">
        <v>100000</v>
      </c>
      <c r="L53" s="30" t="s">
        <v>1334</v>
      </c>
      <c r="M53" s="35">
        <v>23311043</v>
      </c>
      <c r="N53" s="35">
        <v>1</v>
      </c>
    </row>
    <row r="54" spans="1:14">
      <c r="A54" s="29">
        <v>47100045</v>
      </c>
      <c r="B54" s="30" t="s">
        <v>1289</v>
      </c>
      <c r="C54" s="35" t="s">
        <v>1499</v>
      </c>
      <c r="D54" s="35" t="s">
        <v>1606</v>
      </c>
      <c r="E54" s="88" t="b">
        <v>1</v>
      </c>
      <c r="F54" s="30" t="s">
        <v>757</v>
      </c>
      <c r="G54" s="35">
        <v>100001</v>
      </c>
      <c r="H54" s="35">
        <v>10000</v>
      </c>
      <c r="I54" s="30" t="s">
        <v>848</v>
      </c>
      <c r="J54" s="35">
        <v>100001</v>
      </c>
      <c r="K54" s="35">
        <v>100000</v>
      </c>
      <c r="L54" s="30" t="s">
        <v>1335</v>
      </c>
      <c r="M54" s="35">
        <v>23311044</v>
      </c>
      <c r="N54" s="35">
        <v>1</v>
      </c>
    </row>
    <row r="55" spans="1:14">
      <c r="A55" s="29">
        <v>47100046</v>
      </c>
      <c r="B55" s="30" t="s">
        <v>573</v>
      </c>
      <c r="C55" s="35" t="s">
        <v>1500</v>
      </c>
      <c r="D55" s="35" t="s">
        <v>1607</v>
      </c>
      <c r="E55" s="88" t="b">
        <v>1</v>
      </c>
      <c r="F55" s="30" t="s">
        <v>757</v>
      </c>
      <c r="G55" s="35">
        <v>100001</v>
      </c>
      <c r="H55" s="35">
        <v>10000</v>
      </c>
      <c r="I55" s="30" t="s">
        <v>848</v>
      </c>
      <c r="J55" s="35">
        <v>100001</v>
      </c>
      <c r="K55" s="35">
        <v>100000</v>
      </c>
      <c r="L55" s="30" t="s">
        <v>1336</v>
      </c>
      <c r="M55" s="35">
        <v>23311045</v>
      </c>
      <c r="N55" s="35">
        <v>1</v>
      </c>
    </row>
    <row r="56" spans="1:14">
      <c r="A56" s="29">
        <v>47100047</v>
      </c>
      <c r="B56" s="30" t="s">
        <v>574</v>
      </c>
      <c r="C56" s="35" t="s">
        <v>1501</v>
      </c>
      <c r="D56" s="35" t="s">
        <v>1608</v>
      </c>
      <c r="E56" s="88" t="b">
        <v>1</v>
      </c>
      <c r="F56" s="30" t="s">
        <v>757</v>
      </c>
      <c r="G56" s="35">
        <v>100001</v>
      </c>
      <c r="H56" s="35">
        <v>10000</v>
      </c>
      <c r="I56" s="30" t="s">
        <v>848</v>
      </c>
      <c r="J56" s="35">
        <v>100001</v>
      </c>
      <c r="K56" s="35">
        <v>100000</v>
      </c>
      <c r="L56" s="30" t="s">
        <v>1337</v>
      </c>
      <c r="M56" s="35">
        <v>23311046</v>
      </c>
      <c r="N56" s="35">
        <v>1</v>
      </c>
    </row>
    <row r="57" spans="1:14">
      <c r="A57" s="29">
        <v>47100048</v>
      </c>
      <c r="B57" s="30" t="s">
        <v>575</v>
      </c>
      <c r="C57" s="35" t="s">
        <v>1502</v>
      </c>
      <c r="D57" s="35" t="s">
        <v>1609</v>
      </c>
      <c r="E57" s="88" t="b">
        <v>1</v>
      </c>
      <c r="F57" s="30" t="s">
        <v>757</v>
      </c>
      <c r="G57" s="35">
        <v>100001</v>
      </c>
      <c r="H57" s="35">
        <v>10000</v>
      </c>
      <c r="I57" s="30" t="s">
        <v>850</v>
      </c>
      <c r="J57" s="35" t="s">
        <v>830</v>
      </c>
      <c r="K57" s="35" t="s">
        <v>830</v>
      </c>
      <c r="L57" s="30" t="s">
        <v>1338</v>
      </c>
      <c r="M57" s="35">
        <v>23311047</v>
      </c>
      <c r="N57" s="35">
        <v>1</v>
      </c>
    </row>
    <row r="58" spans="1:14">
      <c r="A58" s="29">
        <v>47100049</v>
      </c>
      <c r="B58" s="30" t="s">
        <v>576</v>
      </c>
      <c r="C58" s="35" t="s">
        <v>1503</v>
      </c>
      <c r="D58" s="35" t="s">
        <v>1610</v>
      </c>
      <c r="E58" s="88" t="b">
        <v>1</v>
      </c>
      <c r="F58" s="30" t="s">
        <v>757</v>
      </c>
      <c r="G58" s="35">
        <v>100001</v>
      </c>
      <c r="H58" s="35">
        <v>10000</v>
      </c>
      <c r="I58" s="30" t="s">
        <v>848</v>
      </c>
      <c r="J58" s="35">
        <v>100001</v>
      </c>
      <c r="K58" s="35">
        <v>100000</v>
      </c>
      <c r="L58" s="30" t="s">
        <v>1339</v>
      </c>
      <c r="M58" s="35">
        <v>23311048</v>
      </c>
      <c r="N58" s="35">
        <v>1</v>
      </c>
    </row>
    <row r="59" spans="1:14">
      <c r="A59" s="29">
        <v>47100050</v>
      </c>
      <c r="B59" s="30" t="s">
        <v>577</v>
      </c>
      <c r="C59" s="35" t="s">
        <v>1504</v>
      </c>
      <c r="D59" s="35" t="s">
        <v>1611</v>
      </c>
      <c r="E59" s="88" t="b">
        <v>1</v>
      </c>
      <c r="F59" s="30" t="s">
        <v>757</v>
      </c>
      <c r="G59" s="35">
        <v>100001</v>
      </c>
      <c r="H59" s="35">
        <v>10000</v>
      </c>
      <c r="I59" s="30" t="s">
        <v>848</v>
      </c>
      <c r="J59" s="35">
        <v>100001</v>
      </c>
      <c r="K59" s="35">
        <v>100000</v>
      </c>
      <c r="L59" s="30" t="s">
        <v>1340</v>
      </c>
      <c r="M59" s="35">
        <v>23311049</v>
      </c>
      <c r="N59" s="35">
        <v>1</v>
      </c>
    </row>
    <row r="60" spans="1:14">
      <c r="A60" s="29">
        <v>47100051</v>
      </c>
      <c r="B60" s="30" t="s">
        <v>578</v>
      </c>
      <c r="C60" s="35" t="s">
        <v>1505</v>
      </c>
      <c r="D60" s="35" t="s">
        <v>1612</v>
      </c>
      <c r="E60" s="88" t="b">
        <v>1</v>
      </c>
      <c r="F60" s="30" t="s">
        <v>757</v>
      </c>
      <c r="G60" s="35">
        <v>100001</v>
      </c>
      <c r="H60" s="35">
        <v>10000</v>
      </c>
      <c r="I60" s="30" t="s">
        <v>848</v>
      </c>
      <c r="J60" s="35">
        <v>100001</v>
      </c>
      <c r="K60" s="35">
        <v>100000</v>
      </c>
      <c r="L60" s="30" t="s">
        <v>1341</v>
      </c>
      <c r="M60" s="35">
        <v>23311050</v>
      </c>
      <c r="N60" s="35">
        <v>1</v>
      </c>
    </row>
    <row r="61" spans="1:14">
      <c r="A61" s="29">
        <v>47100052</v>
      </c>
      <c r="B61" s="30" t="s">
        <v>579</v>
      </c>
      <c r="C61" s="35" t="s">
        <v>1506</v>
      </c>
      <c r="D61" s="35" t="s">
        <v>1613</v>
      </c>
      <c r="E61" s="88" t="b">
        <v>1</v>
      </c>
      <c r="F61" s="30" t="s">
        <v>757</v>
      </c>
      <c r="G61" s="35">
        <v>100001</v>
      </c>
      <c r="H61" s="35">
        <v>10000</v>
      </c>
      <c r="I61" s="30" t="s">
        <v>848</v>
      </c>
      <c r="J61" s="35">
        <v>100001</v>
      </c>
      <c r="K61" s="35">
        <v>100000</v>
      </c>
      <c r="L61" s="30" t="s">
        <v>1342</v>
      </c>
      <c r="M61" s="35">
        <v>23311051</v>
      </c>
      <c r="N61" s="35">
        <v>1</v>
      </c>
    </row>
    <row r="62" spans="1:14">
      <c r="A62" s="29">
        <v>47100053</v>
      </c>
      <c r="B62" s="30" t="s">
        <v>580</v>
      </c>
      <c r="C62" s="35" t="s">
        <v>1507</v>
      </c>
      <c r="D62" s="35" t="s">
        <v>1614</v>
      </c>
      <c r="E62" s="88" t="b">
        <v>1</v>
      </c>
      <c r="F62" s="30" t="s">
        <v>757</v>
      </c>
      <c r="G62" s="35">
        <v>100001</v>
      </c>
      <c r="H62" s="35">
        <v>10000</v>
      </c>
      <c r="I62" s="30" t="s">
        <v>848</v>
      </c>
      <c r="J62" s="35">
        <v>100001</v>
      </c>
      <c r="K62" s="35">
        <v>100000</v>
      </c>
      <c r="L62" s="30" t="s">
        <v>1343</v>
      </c>
      <c r="M62" s="35">
        <v>23311052</v>
      </c>
      <c r="N62" s="35">
        <v>1</v>
      </c>
    </row>
    <row r="63" spans="1:14">
      <c r="A63" s="29">
        <v>47100054</v>
      </c>
      <c r="B63" s="30" t="s">
        <v>581</v>
      </c>
      <c r="C63" s="35" t="s">
        <v>1508</v>
      </c>
      <c r="D63" s="35" t="s">
        <v>1615</v>
      </c>
      <c r="E63" s="88" t="b">
        <v>1</v>
      </c>
      <c r="F63" s="30" t="s">
        <v>757</v>
      </c>
      <c r="G63" s="35">
        <v>100001</v>
      </c>
      <c r="H63" s="35">
        <v>10000</v>
      </c>
      <c r="I63" s="30" t="s">
        <v>848</v>
      </c>
      <c r="J63" s="35">
        <v>100001</v>
      </c>
      <c r="K63" s="35">
        <v>100000</v>
      </c>
      <c r="L63" s="30" t="s">
        <v>1344</v>
      </c>
      <c r="M63" s="35">
        <v>23311053</v>
      </c>
      <c r="N63" s="35">
        <v>1</v>
      </c>
    </row>
    <row r="64" spans="1:14">
      <c r="A64" s="29">
        <v>47100055</v>
      </c>
      <c r="B64" s="30" t="s">
        <v>582</v>
      </c>
      <c r="C64" s="35" t="s">
        <v>1509</v>
      </c>
      <c r="D64" s="35" t="s">
        <v>1616</v>
      </c>
      <c r="E64" s="88" t="b">
        <v>1</v>
      </c>
      <c r="F64" s="30" t="s">
        <v>757</v>
      </c>
      <c r="G64" s="35">
        <v>100001</v>
      </c>
      <c r="H64" s="35">
        <v>10000</v>
      </c>
      <c r="I64" s="30" t="s">
        <v>848</v>
      </c>
      <c r="J64" s="35">
        <v>100001</v>
      </c>
      <c r="K64" s="35">
        <v>100000</v>
      </c>
      <c r="L64" s="30" t="s">
        <v>1345</v>
      </c>
      <c r="M64" s="35">
        <v>23311054</v>
      </c>
      <c r="N64" s="35">
        <v>1</v>
      </c>
    </row>
    <row r="65" spans="1:14">
      <c r="A65" s="29">
        <v>47100056</v>
      </c>
      <c r="B65" s="30" t="s">
        <v>583</v>
      </c>
      <c r="C65" s="35" t="s">
        <v>1510</v>
      </c>
      <c r="D65" s="35" t="s">
        <v>1617</v>
      </c>
      <c r="E65" s="88" t="b">
        <v>1</v>
      </c>
      <c r="F65" s="30" t="s">
        <v>757</v>
      </c>
      <c r="G65" s="35">
        <v>100001</v>
      </c>
      <c r="H65" s="35">
        <v>10000</v>
      </c>
      <c r="I65" s="30" t="s">
        <v>848</v>
      </c>
      <c r="J65" s="35">
        <v>100001</v>
      </c>
      <c r="K65" s="35">
        <v>100000</v>
      </c>
      <c r="L65" s="30" t="s">
        <v>1346</v>
      </c>
      <c r="M65" s="35">
        <v>23311055</v>
      </c>
      <c r="N65" s="35">
        <v>1</v>
      </c>
    </row>
    <row r="66" spans="1:14">
      <c r="A66" s="29">
        <v>47100057</v>
      </c>
      <c r="B66" s="30" t="s">
        <v>584</v>
      </c>
      <c r="C66" s="35" t="s">
        <v>1511</v>
      </c>
      <c r="D66" s="35" t="s">
        <v>1618</v>
      </c>
      <c r="E66" s="88" t="b">
        <v>1</v>
      </c>
      <c r="F66" s="30" t="s">
        <v>757</v>
      </c>
      <c r="G66" s="35">
        <v>100001</v>
      </c>
      <c r="H66" s="35">
        <v>10000</v>
      </c>
      <c r="I66" s="30" t="s">
        <v>848</v>
      </c>
      <c r="J66" s="35">
        <v>100001</v>
      </c>
      <c r="K66" s="35">
        <v>100000</v>
      </c>
      <c r="L66" s="30" t="s">
        <v>1347</v>
      </c>
      <c r="M66" s="35">
        <v>23311056</v>
      </c>
      <c r="N66" s="35">
        <v>1</v>
      </c>
    </row>
    <row r="67" spans="1:14">
      <c r="A67" s="29">
        <v>47100058</v>
      </c>
      <c r="B67" s="30" t="s">
        <v>585</v>
      </c>
      <c r="C67" s="35" t="s">
        <v>1512</v>
      </c>
      <c r="D67" s="35" t="s">
        <v>1619</v>
      </c>
      <c r="E67" s="88" t="b">
        <v>1</v>
      </c>
      <c r="F67" s="30" t="s">
        <v>757</v>
      </c>
      <c r="G67" s="35">
        <v>100001</v>
      </c>
      <c r="H67" s="35">
        <v>10000</v>
      </c>
      <c r="I67" s="30" t="s">
        <v>848</v>
      </c>
      <c r="J67" s="35">
        <v>100001</v>
      </c>
      <c r="K67" s="35">
        <v>100000</v>
      </c>
      <c r="L67" s="30" t="s">
        <v>1348</v>
      </c>
      <c r="M67" s="35">
        <v>23311057</v>
      </c>
      <c r="N67" s="35">
        <v>1</v>
      </c>
    </row>
    <row r="68" spans="1:14">
      <c r="A68" s="29">
        <v>47100059</v>
      </c>
      <c r="B68" s="30" t="s">
        <v>586</v>
      </c>
      <c r="C68" s="35" t="s">
        <v>1513</v>
      </c>
      <c r="D68" s="35" t="s">
        <v>1620</v>
      </c>
      <c r="E68" s="88" t="b">
        <v>1</v>
      </c>
      <c r="F68" s="30" t="s">
        <v>757</v>
      </c>
      <c r="G68" s="35">
        <v>100001</v>
      </c>
      <c r="H68" s="35">
        <v>10000</v>
      </c>
      <c r="I68" s="30" t="s">
        <v>848</v>
      </c>
      <c r="J68" s="35">
        <v>100001</v>
      </c>
      <c r="K68" s="35">
        <v>100000</v>
      </c>
      <c r="L68" s="30" t="s">
        <v>1349</v>
      </c>
      <c r="M68" s="35">
        <v>23311058</v>
      </c>
      <c r="N68" s="35">
        <v>1</v>
      </c>
    </row>
    <row r="69" spans="1:14">
      <c r="A69" s="29">
        <v>47100060</v>
      </c>
      <c r="B69" s="30" t="s">
        <v>587</v>
      </c>
      <c r="C69" s="35" t="s">
        <v>1514</v>
      </c>
      <c r="D69" s="35" t="s">
        <v>1621</v>
      </c>
      <c r="E69" s="88" t="b">
        <v>1</v>
      </c>
      <c r="F69" s="30" t="s">
        <v>757</v>
      </c>
      <c r="G69" s="35">
        <v>100001</v>
      </c>
      <c r="H69" s="35">
        <v>10000</v>
      </c>
      <c r="I69" s="30" t="s">
        <v>848</v>
      </c>
      <c r="J69" s="35">
        <v>100001</v>
      </c>
      <c r="K69" s="35">
        <v>100000</v>
      </c>
      <c r="L69" s="30" t="s">
        <v>1350</v>
      </c>
      <c r="M69" s="35">
        <v>23311059</v>
      </c>
      <c r="N69" s="35">
        <v>1</v>
      </c>
    </row>
    <row r="70" spans="1:14">
      <c r="A70" s="29">
        <v>47100061</v>
      </c>
      <c r="B70" s="30" t="s">
        <v>588</v>
      </c>
      <c r="C70" s="35" t="s">
        <v>1515</v>
      </c>
      <c r="D70" s="35" t="s">
        <v>1622</v>
      </c>
      <c r="E70" s="88" t="b">
        <v>1</v>
      </c>
      <c r="F70" s="30" t="s">
        <v>757</v>
      </c>
      <c r="G70" s="35">
        <v>100001</v>
      </c>
      <c r="H70" s="35">
        <v>10000</v>
      </c>
      <c r="I70" s="30" t="s">
        <v>848</v>
      </c>
      <c r="J70" s="35">
        <v>100001</v>
      </c>
      <c r="K70" s="35">
        <v>100000</v>
      </c>
      <c r="L70" s="30" t="s">
        <v>1351</v>
      </c>
      <c r="M70" s="35">
        <v>23311060</v>
      </c>
      <c r="N70" s="35">
        <v>1</v>
      </c>
    </row>
    <row r="71" spans="1:14">
      <c r="A71" s="29">
        <v>47100062</v>
      </c>
      <c r="B71" s="30" t="s">
        <v>589</v>
      </c>
      <c r="C71" s="35" t="s">
        <v>1516</v>
      </c>
      <c r="D71" s="35" t="s">
        <v>1623</v>
      </c>
      <c r="E71" s="88" t="b">
        <v>1</v>
      </c>
      <c r="F71" s="30" t="s">
        <v>757</v>
      </c>
      <c r="G71" s="35">
        <v>100001</v>
      </c>
      <c r="H71" s="35">
        <v>10000</v>
      </c>
      <c r="I71" s="30" t="s">
        <v>848</v>
      </c>
      <c r="J71" s="35">
        <v>100001</v>
      </c>
      <c r="K71" s="35">
        <v>100000</v>
      </c>
      <c r="L71" s="30" t="s">
        <v>1352</v>
      </c>
      <c r="M71" s="35">
        <v>23311061</v>
      </c>
      <c r="N71" s="35">
        <v>1</v>
      </c>
    </row>
    <row r="72" spans="1:14">
      <c r="A72" s="29">
        <v>47100063</v>
      </c>
      <c r="B72" s="30" t="s">
        <v>590</v>
      </c>
      <c r="C72" s="35" t="s">
        <v>1517</v>
      </c>
      <c r="D72" s="35" t="s">
        <v>1624</v>
      </c>
      <c r="E72" s="88" t="b">
        <v>1</v>
      </c>
      <c r="F72" s="30" t="s">
        <v>757</v>
      </c>
      <c r="G72" s="35">
        <v>100001</v>
      </c>
      <c r="H72" s="35">
        <v>10000</v>
      </c>
      <c r="I72" s="30" t="s">
        <v>848</v>
      </c>
      <c r="J72" s="35">
        <v>100001</v>
      </c>
      <c r="K72" s="35">
        <v>100000</v>
      </c>
      <c r="L72" s="30" t="s">
        <v>1353</v>
      </c>
      <c r="M72" s="35">
        <v>23311062</v>
      </c>
      <c r="N72" s="35">
        <v>1</v>
      </c>
    </row>
    <row r="73" spans="1:14">
      <c r="A73" s="29">
        <v>47100064</v>
      </c>
      <c r="B73" s="30" t="s">
        <v>591</v>
      </c>
      <c r="C73" s="35" t="s">
        <v>1518</v>
      </c>
      <c r="D73" s="35" t="s">
        <v>1625</v>
      </c>
      <c r="E73" s="88" t="b">
        <v>1</v>
      </c>
      <c r="F73" s="30" t="s">
        <v>757</v>
      </c>
      <c r="G73" s="35">
        <v>100001</v>
      </c>
      <c r="H73" s="35">
        <v>10000</v>
      </c>
      <c r="I73" s="30" t="s">
        <v>848</v>
      </c>
      <c r="J73" s="35">
        <v>100001</v>
      </c>
      <c r="K73" s="35">
        <v>100000</v>
      </c>
      <c r="L73" s="30" t="s">
        <v>1354</v>
      </c>
      <c r="M73" s="35">
        <v>23311063</v>
      </c>
      <c r="N73" s="35">
        <v>1</v>
      </c>
    </row>
    <row r="74" spans="1:14">
      <c r="A74" s="29">
        <v>47100065</v>
      </c>
      <c r="B74" s="30" t="s">
        <v>592</v>
      </c>
      <c r="C74" s="35" t="s">
        <v>1519</v>
      </c>
      <c r="D74" s="35" t="s">
        <v>1626</v>
      </c>
      <c r="E74" s="88" t="b">
        <v>1</v>
      </c>
      <c r="F74" s="30" t="s">
        <v>757</v>
      </c>
      <c r="G74" s="35">
        <v>100001</v>
      </c>
      <c r="H74" s="35">
        <v>10000</v>
      </c>
      <c r="I74" s="30" t="s">
        <v>848</v>
      </c>
      <c r="J74" s="35">
        <v>100001</v>
      </c>
      <c r="K74" s="35">
        <v>100000</v>
      </c>
      <c r="L74" s="30" t="s">
        <v>1355</v>
      </c>
      <c r="M74" s="35">
        <v>23311064</v>
      </c>
      <c r="N74" s="35">
        <v>1</v>
      </c>
    </row>
    <row r="75" spans="1:14">
      <c r="A75" s="29">
        <v>47100066</v>
      </c>
      <c r="B75" s="30" t="s">
        <v>593</v>
      </c>
      <c r="C75" s="35" t="s">
        <v>1520</v>
      </c>
      <c r="D75" s="35" t="s">
        <v>1627</v>
      </c>
      <c r="E75" s="88" t="b">
        <v>1</v>
      </c>
      <c r="F75" s="30" t="s">
        <v>757</v>
      </c>
      <c r="G75" s="35">
        <v>100001</v>
      </c>
      <c r="H75" s="35">
        <v>10000</v>
      </c>
      <c r="I75" s="30" t="s">
        <v>848</v>
      </c>
      <c r="J75" s="35">
        <v>100001</v>
      </c>
      <c r="K75" s="35">
        <v>100000</v>
      </c>
      <c r="L75" s="30" t="s">
        <v>1356</v>
      </c>
      <c r="M75" s="35">
        <v>23311065</v>
      </c>
      <c r="N75" s="35">
        <v>1</v>
      </c>
    </row>
    <row r="76" spans="1:14">
      <c r="A76" s="29">
        <v>47100067</v>
      </c>
      <c r="B76" s="30" t="s">
        <v>594</v>
      </c>
      <c r="C76" s="35" t="s">
        <v>1521</v>
      </c>
      <c r="D76" s="35" t="s">
        <v>1628</v>
      </c>
      <c r="E76" s="88" t="b">
        <v>1</v>
      </c>
      <c r="F76" s="30" t="s">
        <v>757</v>
      </c>
      <c r="G76" s="35">
        <v>100001</v>
      </c>
      <c r="H76" s="35">
        <v>10000</v>
      </c>
      <c r="I76" s="30" t="s">
        <v>848</v>
      </c>
      <c r="J76" s="35">
        <v>100001</v>
      </c>
      <c r="K76" s="35">
        <v>100000</v>
      </c>
      <c r="L76" s="30" t="s">
        <v>1357</v>
      </c>
      <c r="M76" s="35">
        <v>23311066</v>
      </c>
      <c r="N76" s="35">
        <v>1</v>
      </c>
    </row>
    <row r="77" spans="1:14">
      <c r="A77" s="29">
        <v>47100068</v>
      </c>
      <c r="B77" s="30" t="s">
        <v>595</v>
      </c>
      <c r="C77" s="35" t="s">
        <v>1522</v>
      </c>
      <c r="D77" s="35" t="s">
        <v>1629</v>
      </c>
      <c r="E77" s="88" t="b">
        <v>1</v>
      </c>
      <c r="F77" s="30" t="s">
        <v>757</v>
      </c>
      <c r="G77" s="35">
        <v>100001</v>
      </c>
      <c r="H77" s="35">
        <v>10000</v>
      </c>
      <c r="I77" s="30" t="s">
        <v>851</v>
      </c>
      <c r="J77" s="35" t="s">
        <v>830</v>
      </c>
      <c r="K77" s="35" t="s">
        <v>830</v>
      </c>
      <c r="L77" s="30" t="s">
        <v>1358</v>
      </c>
      <c r="M77" s="35">
        <v>23311067</v>
      </c>
      <c r="N77" s="35">
        <v>1</v>
      </c>
    </row>
    <row r="78" spans="1:14">
      <c r="A78" s="29">
        <v>47100069</v>
      </c>
      <c r="B78" s="30" t="s">
        <v>596</v>
      </c>
      <c r="C78" s="35" t="s">
        <v>1523</v>
      </c>
      <c r="D78" s="35" t="s">
        <v>1630</v>
      </c>
      <c r="E78" s="88" t="b">
        <v>1</v>
      </c>
      <c r="F78" s="30" t="s">
        <v>757</v>
      </c>
      <c r="G78" s="35">
        <v>100001</v>
      </c>
      <c r="H78" s="35">
        <v>10000</v>
      </c>
      <c r="I78" s="30" t="s">
        <v>849</v>
      </c>
      <c r="J78" s="35">
        <v>100003</v>
      </c>
      <c r="K78" s="35">
        <v>1000</v>
      </c>
      <c r="L78" s="30" t="s">
        <v>1359</v>
      </c>
      <c r="M78" s="35">
        <v>23311068</v>
      </c>
      <c r="N78" s="35">
        <v>1</v>
      </c>
    </row>
    <row r="79" spans="1:14">
      <c r="A79" s="29">
        <v>47100070</v>
      </c>
      <c r="B79" s="30" t="s">
        <v>597</v>
      </c>
      <c r="C79" s="35" t="s">
        <v>1524</v>
      </c>
      <c r="D79" s="35" t="s">
        <v>1631</v>
      </c>
      <c r="E79" s="88" t="b">
        <v>1</v>
      </c>
      <c r="F79" s="30" t="s">
        <v>757</v>
      </c>
      <c r="G79" s="35">
        <v>100001</v>
      </c>
      <c r="H79" s="35">
        <v>10000</v>
      </c>
      <c r="I79" s="30" t="s">
        <v>851</v>
      </c>
      <c r="J79" s="35" t="s">
        <v>830</v>
      </c>
      <c r="K79" s="35" t="s">
        <v>830</v>
      </c>
      <c r="L79" s="30" t="s">
        <v>1360</v>
      </c>
      <c r="M79" s="35">
        <v>23311069</v>
      </c>
      <c r="N79" s="35">
        <v>1</v>
      </c>
    </row>
    <row r="80" spans="1:14">
      <c r="A80" s="29">
        <v>47100071</v>
      </c>
      <c r="B80" s="30" t="s">
        <v>598</v>
      </c>
      <c r="C80" s="35" t="s">
        <v>1525</v>
      </c>
      <c r="D80" s="35" t="s">
        <v>1632</v>
      </c>
      <c r="E80" s="88" t="b">
        <v>1</v>
      </c>
      <c r="F80" s="30" t="s">
        <v>757</v>
      </c>
      <c r="G80" s="35">
        <v>100001</v>
      </c>
      <c r="H80" s="35">
        <v>10000</v>
      </c>
      <c r="I80" s="30" t="s">
        <v>849</v>
      </c>
      <c r="J80" s="35">
        <v>100003</v>
      </c>
      <c r="K80" s="35">
        <v>1000</v>
      </c>
      <c r="L80" s="30" t="s">
        <v>1361</v>
      </c>
      <c r="M80" s="35">
        <v>23311070</v>
      </c>
      <c r="N80" s="35">
        <v>1</v>
      </c>
    </row>
    <row r="81" spans="1:14">
      <c r="A81" s="29">
        <v>47100072</v>
      </c>
      <c r="B81" s="30" t="s">
        <v>599</v>
      </c>
      <c r="C81" s="35" t="s">
        <v>1526</v>
      </c>
      <c r="D81" s="35" t="s">
        <v>1633</v>
      </c>
      <c r="E81" s="88" t="b">
        <v>1</v>
      </c>
      <c r="F81" s="30" t="s">
        <v>757</v>
      </c>
      <c r="G81" s="35">
        <v>100001</v>
      </c>
      <c r="H81" s="35">
        <v>10000</v>
      </c>
      <c r="I81" s="30" t="s">
        <v>849</v>
      </c>
      <c r="J81" s="35">
        <v>100003</v>
      </c>
      <c r="K81" s="35">
        <v>1000</v>
      </c>
      <c r="L81" s="30" t="s">
        <v>1362</v>
      </c>
      <c r="M81" s="35">
        <v>23311071</v>
      </c>
      <c r="N81" s="35">
        <v>1</v>
      </c>
    </row>
    <row r="82" spans="1:14">
      <c r="A82" s="29">
        <v>47100073</v>
      </c>
      <c r="B82" s="30" t="s">
        <v>600</v>
      </c>
      <c r="C82" s="35" t="s">
        <v>1527</v>
      </c>
      <c r="D82" s="35" t="s">
        <v>1634</v>
      </c>
      <c r="E82" s="88" t="b">
        <v>1</v>
      </c>
      <c r="F82" s="30" t="s">
        <v>757</v>
      </c>
      <c r="G82" s="35">
        <v>100001</v>
      </c>
      <c r="H82" s="35">
        <v>10000</v>
      </c>
      <c r="I82" s="30" t="s">
        <v>849</v>
      </c>
      <c r="J82" s="35">
        <v>100003</v>
      </c>
      <c r="K82" s="35">
        <v>1000</v>
      </c>
      <c r="L82" s="30" t="s">
        <v>1363</v>
      </c>
      <c r="M82" s="35">
        <v>23311072</v>
      </c>
      <c r="N82" s="35">
        <v>1</v>
      </c>
    </row>
    <row r="83" spans="1:14">
      <c r="A83" s="29">
        <v>47100074</v>
      </c>
      <c r="B83" s="30" t="s">
        <v>601</v>
      </c>
      <c r="C83" s="35" t="s">
        <v>1528</v>
      </c>
      <c r="D83" s="35" t="s">
        <v>1635</v>
      </c>
      <c r="E83" s="88" t="b">
        <v>1</v>
      </c>
      <c r="F83" s="30" t="s">
        <v>757</v>
      </c>
      <c r="G83" s="35">
        <v>100001</v>
      </c>
      <c r="H83" s="35">
        <v>10000</v>
      </c>
      <c r="I83" s="30" t="s">
        <v>849</v>
      </c>
      <c r="J83" s="35">
        <v>100003</v>
      </c>
      <c r="K83" s="35">
        <v>1000</v>
      </c>
      <c r="L83" s="30" t="s">
        <v>1364</v>
      </c>
      <c r="M83" s="35">
        <v>23311073</v>
      </c>
      <c r="N83" s="35">
        <v>1</v>
      </c>
    </row>
    <row r="84" spans="1:14">
      <c r="A84" s="29">
        <v>47100075</v>
      </c>
      <c r="B84" s="30" t="s">
        <v>602</v>
      </c>
      <c r="C84" s="35" t="s">
        <v>1529</v>
      </c>
      <c r="D84" s="35" t="s">
        <v>1636</v>
      </c>
      <c r="E84" s="88" t="b">
        <v>1</v>
      </c>
      <c r="F84" s="30" t="s">
        <v>757</v>
      </c>
      <c r="G84" s="35">
        <v>100001</v>
      </c>
      <c r="H84" s="35">
        <v>10000</v>
      </c>
      <c r="I84" s="30" t="s">
        <v>849</v>
      </c>
      <c r="J84" s="35">
        <v>100003</v>
      </c>
      <c r="K84" s="35">
        <v>1000</v>
      </c>
      <c r="L84" s="30" t="s">
        <v>1365</v>
      </c>
      <c r="M84" s="35">
        <v>23311074</v>
      </c>
      <c r="N84" s="35">
        <v>1</v>
      </c>
    </row>
    <row r="85" spans="1:14">
      <c r="A85" s="29">
        <v>47100076</v>
      </c>
      <c r="B85" s="30" t="s">
        <v>603</v>
      </c>
      <c r="C85" s="35" t="s">
        <v>1530</v>
      </c>
      <c r="D85" s="35" t="s">
        <v>1637</v>
      </c>
      <c r="E85" s="88" t="b">
        <v>1</v>
      </c>
      <c r="F85" s="30" t="s">
        <v>757</v>
      </c>
      <c r="G85" s="35">
        <v>100001</v>
      </c>
      <c r="H85" s="35">
        <v>10000</v>
      </c>
      <c r="I85" s="30" t="s">
        <v>849</v>
      </c>
      <c r="J85" s="35">
        <v>100003</v>
      </c>
      <c r="K85" s="35">
        <v>1000</v>
      </c>
      <c r="L85" s="30" t="s">
        <v>1366</v>
      </c>
      <c r="M85" s="35">
        <v>23311075</v>
      </c>
      <c r="N85" s="35">
        <v>1</v>
      </c>
    </row>
    <row r="86" spans="1:14">
      <c r="A86" s="29">
        <v>47100077</v>
      </c>
      <c r="B86" s="30" t="s">
        <v>604</v>
      </c>
      <c r="C86" s="35" t="s">
        <v>1531</v>
      </c>
      <c r="D86" s="35" t="s">
        <v>1638</v>
      </c>
      <c r="E86" s="88" t="b">
        <v>1</v>
      </c>
      <c r="F86" s="30" t="s">
        <v>757</v>
      </c>
      <c r="G86" s="35">
        <v>100001</v>
      </c>
      <c r="H86" s="35">
        <v>10000</v>
      </c>
      <c r="I86" s="30" t="s">
        <v>849</v>
      </c>
      <c r="J86" s="35">
        <v>100003</v>
      </c>
      <c r="K86" s="35">
        <v>1000</v>
      </c>
      <c r="L86" s="30" t="s">
        <v>1367</v>
      </c>
      <c r="M86" s="35">
        <v>23311076</v>
      </c>
      <c r="N86" s="35">
        <v>1</v>
      </c>
    </row>
    <row r="87" spans="1:14">
      <c r="A87" s="29">
        <v>47100078</v>
      </c>
      <c r="B87" s="30" t="s">
        <v>605</v>
      </c>
      <c r="C87" s="35" t="s">
        <v>1532</v>
      </c>
      <c r="D87" s="35" t="s">
        <v>1639</v>
      </c>
      <c r="E87" s="88" t="b">
        <v>1</v>
      </c>
      <c r="F87" s="30" t="s">
        <v>757</v>
      </c>
      <c r="G87" s="35">
        <v>100001</v>
      </c>
      <c r="H87" s="35">
        <v>10000</v>
      </c>
      <c r="I87" s="30" t="s">
        <v>849</v>
      </c>
      <c r="J87" s="35">
        <v>100003</v>
      </c>
      <c r="K87" s="35">
        <v>1000</v>
      </c>
      <c r="L87" s="30" t="s">
        <v>1368</v>
      </c>
      <c r="M87" s="35">
        <v>23311077</v>
      </c>
      <c r="N87" s="35">
        <v>1</v>
      </c>
    </row>
    <row r="88" spans="1:14">
      <c r="A88" s="29">
        <v>47100079</v>
      </c>
      <c r="B88" s="30" t="s">
        <v>1290</v>
      </c>
      <c r="C88" s="35" t="s">
        <v>1558</v>
      </c>
      <c r="D88" s="35" t="s">
        <v>1640</v>
      </c>
      <c r="E88" s="88" t="b">
        <v>1</v>
      </c>
      <c r="F88" s="30" t="s">
        <v>757</v>
      </c>
      <c r="G88" s="35">
        <v>100001</v>
      </c>
      <c r="H88" s="35">
        <v>10000</v>
      </c>
      <c r="I88" s="30" t="s">
        <v>849</v>
      </c>
      <c r="J88" s="35">
        <v>100003</v>
      </c>
      <c r="K88" s="35">
        <v>1000</v>
      </c>
      <c r="L88" s="30" t="s">
        <v>1369</v>
      </c>
      <c r="M88" s="35">
        <v>23311078</v>
      </c>
      <c r="N88" s="35">
        <v>1</v>
      </c>
    </row>
    <row r="89" spans="1:14">
      <c r="A89" s="29">
        <v>47100080</v>
      </c>
      <c r="B89" s="30" t="s">
        <v>606</v>
      </c>
      <c r="C89" s="35" t="s">
        <v>1533</v>
      </c>
      <c r="D89" s="35" t="s">
        <v>1641</v>
      </c>
      <c r="E89" s="88" t="b">
        <v>1</v>
      </c>
      <c r="F89" s="30" t="s">
        <v>757</v>
      </c>
      <c r="G89" s="35">
        <v>100001</v>
      </c>
      <c r="H89" s="35">
        <v>10000</v>
      </c>
      <c r="I89" s="30" t="s">
        <v>849</v>
      </c>
      <c r="J89" s="35">
        <v>100003</v>
      </c>
      <c r="K89" s="35">
        <v>1000</v>
      </c>
      <c r="L89" s="30" t="s">
        <v>1370</v>
      </c>
      <c r="M89" s="35">
        <v>23311079</v>
      </c>
      <c r="N89" s="35">
        <v>1</v>
      </c>
    </row>
    <row r="90" spans="1:14">
      <c r="A90" s="29">
        <v>47100081</v>
      </c>
      <c r="B90" s="30" t="s">
        <v>607</v>
      </c>
      <c r="C90" s="35" t="s">
        <v>1534</v>
      </c>
      <c r="D90" s="35" t="s">
        <v>1642</v>
      </c>
      <c r="E90" s="88" t="b">
        <v>1</v>
      </c>
      <c r="F90" s="30" t="s">
        <v>757</v>
      </c>
      <c r="G90" s="35">
        <v>100001</v>
      </c>
      <c r="H90" s="35">
        <v>10000</v>
      </c>
      <c r="I90" s="30" t="s">
        <v>849</v>
      </c>
      <c r="J90" s="35">
        <v>100003</v>
      </c>
      <c r="K90" s="35">
        <v>1000</v>
      </c>
      <c r="L90" s="30" t="s">
        <v>1371</v>
      </c>
      <c r="M90" s="35">
        <v>23311080</v>
      </c>
      <c r="N90" s="35">
        <v>1</v>
      </c>
    </row>
    <row r="91" spans="1:14">
      <c r="A91" s="29">
        <v>47100082</v>
      </c>
      <c r="B91" s="30" t="s">
        <v>608</v>
      </c>
      <c r="C91" s="35" t="s">
        <v>1535</v>
      </c>
      <c r="D91" s="35" t="s">
        <v>1643</v>
      </c>
      <c r="E91" s="88" t="b">
        <v>1</v>
      </c>
      <c r="F91" s="30" t="s">
        <v>757</v>
      </c>
      <c r="G91" s="35">
        <v>100001</v>
      </c>
      <c r="H91" s="35">
        <v>10000</v>
      </c>
      <c r="I91" s="30" t="s">
        <v>849</v>
      </c>
      <c r="J91" s="35">
        <v>100003</v>
      </c>
      <c r="K91" s="35">
        <v>1000</v>
      </c>
      <c r="L91" s="30" t="s">
        <v>1372</v>
      </c>
      <c r="M91" s="35">
        <v>23311081</v>
      </c>
      <c r="N91" s="35">
        <v>1</v>
      </c>
    </row>
    <row r="92" spans="1:14">
      <c r="A92" s="29">
        <v>47100083</v>
      </c>
      <c r="B92" s="30" t="s">
        <v>609</v>
      </c>
      <c r="C92" s="35" t="s">
        <v>1536</v>
      </c>
      <c r="D92" s="35" t="s">
        <v>1644</v>
      </c>
      <c r="E92" s="88" t="b">
        <v>1</v>
      </c>
      <c r="F92" s="30" t="s">
        <v>757</v>
      </c>
      <c r="G92" s="35">
        <v>100001</v>
      </c>
      <c r="H92" s="35">
        <v>10000</v>
      </c>
      <c r="I92" s="30" t="s">
        <v>849</v>
      </c>
      <c r="J92" s="35">
        <v>100003</v>
      </c>
      <c r="K92" s="35">
        <v>1000</v>
      </c>
      <c r="L92" s="30" t="s">
        <v>1373</v>
      </c>
      <c r="M92" s="35">
        <v>23311082</v>
      </c>
      <c r="N92" s="35">
        <v>1</v>
      </c>
    </row>
    <row r="93" spans="1:14">
      <c r="A93" s="29">
        <v>47100084</v>
      </c>
      <c r="B93" s="30" t="s">
        <v>610</v>
      </c>
      <c r="C93" s="35" t="s">
        <v>1537</v>
      </c>
      <c r="D93" s="35" t="s">
        <v>1645</v>
      </c>
      <c r="E93" s="88" t="b">
        <v>1</v>
      </c>
      <c r="F93" s="30" t="s">
        <v>757</v>
      </c>
      <c r="G93" s="35">
        <v>100001</v>
      </c>
      <c r="H93" s="35">
        <v>10000</v>
      </c>
      <c r="I93" s="30" t="s">
        <v>851</v>
      </c>
      <c r="J93" s="35" t="s">
        <v>830</v>
      </c>
      <c r="K93" s="35" t="s">
        <v>830</v>
      </c>
      <c r="L93" s="30" t="s">
        <v>1374</v>
      </c>
      <c r="M93" s="35">
        <v>23311083</v>
      </c>
      <c r="N93" s="35">
        <v>1</v>
      </c>
    </row>
    <row r="94" spans="1:14">
      <c r="A94" s="29">
        <v>47100085</v>
      </c>
      <c r="B94" s="30" t="s">
        <v>1088</v>
      </c>
      <c r="C94" s="35" t="s">
        <v>1538</v>
      </c>
      <c r="D94" s="35" t="s">
        <v>1646</v>
      </c>
      <c r="E94" s="88" t="b">
        <v>1</v>
      </c>
      <c r="F94" s="30" t="s">
        <v>757</v>
      </c>
      <c r="G94" s="35">
        <v>100001</v>
      </c>
      <c r="H94" s="35">
        <v>10000</v>
      </c>
      <c r="I94" s="30" t="s">
        <v>849</v>
      </c>
      <c r="J94" s="35">
        <v>100003</v>
      </c>
      <c r="K94" s="35">
        <v>1000</v>
      </c>
      <c r="L94" s="30" t="s">
        <v>1375</v>
      </c>
      <c r="M94" s="35">
        <v>23311084</v>
      </c>
      <c r="N94" s="35">
        <v>1</v>
      </c>
    </row>
    <row r="95" spans="1:14">
      <c r="A95" s="29">
        <v>47100086</v>
      </c>
      <c r="B95" s="30" t="s">
        <v>1089</v>
      </c>
      <c r="C95" s="35" t="s">
        <v>1539</v>
      </c>
      <c r="D95" s="35" t="s">
        <v>1647</v>
      </c>
      <c r="E95" s="88" t="b">
        <v>1</v>
      </c>
      <c r="F95" s="30" t="s">
        <v>757</v>
      </c>
      <c r="G95" s="35">
        <v>100001</v>
      </c>
      <c r="H95" s="35">
        <v>10000</v>
      </c>
      <c r="I95" s="30" t="s">
        <v>849</v>
      </c>
      <c r="J95" s="35">
        <v>100003</v>
      </c>
      <c r="K95" s="35">
        <v>1000</v>
      </c>
      <c r="L95" s="30" t="s">
        <v>1376</v>
      </c>
      <c r="M95" s="35">
        <v>23311085</v>
      </c>
      <c r="N95" s="35">
        <v>1</v>
      </c>
    </row>
    <row r="96" spans="1:14">
      <c r="A96" s="29">
        <v>47100087</v>
      </c>
      <c r="B96" s="30" t="s">
        <v>1090</v>
      </c>
      <c r="C96" s="35" t="s">
        <v>1540</v>
      </c>
      <c r="D96" s="35" t="s">
        <v>1648</v>
      </c>
      <c r="E96" s="88" t="b">
        <v>1</v>
      </c>
      <c r="F96" s="30" t="s">
        <v>757</v>
      </c>
      <c r="G96" s="35">
        <v>100001</v>
      </c>
      <c r="H96" s="35">
        <v>10000</v>
      </c>
      <c r="I96" s="30" t="s">
        <v>849</v>
      </c>
      <c r="J96" s="35">
        <v>100003</v>
      </c>
      <c r="K96" s="35">
        <v>1000</v>
      </c>
      <c r="L96" s="30" t="s">
        <v>1377</v>
      </c>
      <c r="M96" s="35">
        <v>23311086</v>
      </c>
      <c r="N96" s="35">
        <v>1</v>
      </c>
    </row>
    <row r="97" spans="1:14">
      <c r="A97" s="29">
        <v>47100088</v>
      </c>
      <c r="B97" s="30" t="s">
        <v>1091</v>
      </c>
      <c r="C97" s="35" t="s">
        <v>1541</v>
      </c>
      <c r="D97" s="35" t="s">
        <v>1649</v>
      </c>
      <c r="E97" s="88" t="b">
        <v>1</v>
      </c>
      <c r="F97" s="30" t="s">
        <v>757</v>
      </c>
      <c r="G97" s="35">
        <v>100001</v>
      </c>
      <c r="H97" s="35">
        <v>10000</v>
      </c>
      <c r="I97" s="30" t="s">
        <v>849</v>
      </c>
      <c r="J97" s="35">
        <v>100003</v>
      </c>
      <c r="K97" s="35">
        <v>1000</v>
      </c>
      <c r="L97" s="30" t="s">
        <v>1378</v>
      </c>
      <c r="M97" s="35">
        <v>23311087</v>
      </c>
      <c r="N97" s="35">
        <v>1</v>
      </c>
    </row>
    <row r="98" spans="1:14">
      <c r="A98" s="29">
        <v>47100089</v>
      </c>
      <c r="B98" s="30" t="s">
        <v>1092</v>
      </c>
      <c r="C98" s="35" t="s">
        <v>1542</v>
      </c>
      <c r="D98" s="35" t="s">
        <v>1650</v>
      </c>
      <c r="E98" s="88" t="b">
        <v>1</v>
      </c>
      <c r="F98" s="30" t="s">
        <v>757</v>
      </c>
      <c r="G98" s="35">
        <v>100001</v>
      </c>
      <c r="H98" s="35">
        <v>10000</v>
      </c>
      <c r="I98" s="30" t="s">
        <v>849</v>
      </c>
      <c r="J98" s="35">
        <v>100003</v>
      </c>
      <c r="K98" s="35">
        <v>1000</v>
      </c>
      <c r="L98" s="30" t="s">
        <v>1379</v>
      </c>
      <c r="M98" s="35">
        <v>23311088</v>
      </c>
      <c r="N98" s="35">
        <v>1</v>
      </c>
    </row>
    <row r="99" spans="1:14">
      <c r="A99" s="29">
        <v>47100090</v>
      </c>
      <c r="B99" s="30" t="s">
        <v>1093</v>
      </c>
      <c r="C99" s="35" t="s">
        <v>1543</v>
      </c>
      <c r="D99" s="35" t="s">
        <v>1651</v>
      </c>
      <c r="E99" s="88" t="b">
        <v>1</v>
      </c>
      <c r="F99" s="30" t="s">
        <v>757</v>
      </c>
      <c r="G99" s="35">
        <v>100001</v>
      </c>
      <c r="H99" s="35">
        <v>10000</v>
      </c>
      <c r="I99" s="30" t="s">
        <v>849</v>
      </c>
      <c r="J99" s="35">
        <v>100003</v>
      </c>
      <c r="K99" s="35">
        <v>1000</v>
      </c>
      <c r="L99" s="30" t="s">
        <v>1380</v>
      </c>
      <c r="M99" s="35">
        <v>23311089</v>
      </c>
      <c r="N99" s="35">
        <v>1</v>
      </c>
    </row>
    <row r="100" spans="1:14">
      <c r="A100" s="29">
        <v>47100091</v>
      </c>
      <c r="B100" s="30" t="s">
        <v>1094</v>
      </c>
      <c r="C100" s="35" t="s">
        <v>1544</v>
      </c>
      <c r="D100" s="35" t="s">
        <v>1652</v>
      </c>
      <c r="E100" s="88" t="b">
        <v>1</v>
      </c>
      <c r="F100" s="30" t="s">
        <v>757</v>
      </c>
      <c r="G100" s="35">
        <v>100001</v>
      </c>
      <c r="H100" s="35">
        <v>10000</v>
      </c>
      <c r="I100" s="30" t="s">
        <v>849</v>
      </c>
      <c r="J100" s="35">
        <v>100003</v>
      </c>
      <c r="K100" s="35">
        <v>1000</v>
      </c>
      <c r="L100" s="30" t="s">
        <v>1381</v>
      </c>
      <c r="M100" s="35">
        <v>23311090</v>
      </c>
      <c r="N100" s="35">
        <v>1</v>
      </c>
    </row>
    <row r="101" spans="1:14">
      <c r="A101" s="29">
        <v>47100092</v>
      </c>
      <c r="B101" s="30" t="s">
        <v>1095</v>
      </c>
      <c r="C101" s="35" t="s">
        <v>1545</v>
      </c>
      <c r="D101" s="35" t="s">
        <v>1653</v>
      </c>
      <c r="E101" s="88" t="b">
        <v>1</v>
      </c>
      <c r="F101" s="30" t="s">
        <v>757</v>
      </c>
      <c r="G101" s="35">
        <v>100001</v>
      </c>
      <c r="H101" s="35">
        <v>10000</v>
      </c>
      <c r="I101" s="30" t="s">
        <v>849</v>
      </c>
      <c r="J101" s="35">
        <v>100003</v>
      </c>
      <c r="K101" s="35">
        <v>1000</v>
      </c>
      <c r="L101" s="30" t="s">
        <v>1382</v>
      </c>
      <c r="M101" s="35">
        <v>23311091</v>
      </c>
      <c r="N101" s="35">
        <v>1</v>
      </c>
    </row>
    <row r="102" spans="1:14">
      <c r="A102" s="29">
        <v>47100093</v>
      </c>
      <c r="B102" s="30" t="s">
        <v>1096</v>
      </c>
      <c r="C102" s="35" t="s">
        <v>1546</v>
      </c>
      <c r="D102" s="35" t="s">
        <v>1654</v>
      </c>
      <c r="E102" s="88" t="b">
        <v>1</v>
      </c>
      <c r="F102" s="30" t="s">
        <v>757</v>
      </c>
      <c r="G102" s="35">
        <v>100001</v>
      </c>
      <c r="H102" s="35">
        <v>10000</v>
      </c>
      <c r="I102" s="30" t="s">
        <v>849</v>
      </c>
      <c r="J102" s="35">
        <v>100003</v>
      </c>
      <c r="K102" s="35">
        <v>1000</v>
      </c>
      <c r="L102" s="30" t="s">
        <v>1383</v>
      </c>
      <c r="M102" s="35">
        <v>23311092</v>
      </c>
      <c r="N102" s="35">
        <v>1</v>
      </c>
    </row>
    <row r="103" spans="1:14">
      <c r="A103" s="29">
        <v>47100094</v>
      </c>
      <c r="B103" s="30" t="s">
        <v>1097</v>
      </c>
      <c r="C103" s="35" t="s">
        <v>1547</v>
      </c>
      <c r="D103" s="35" t="s">
        <v>1655</v>
      </c>
      <c r="E103" s="88" t="b">
        <v>1</v>
      </c>
      <c r="F103" s="30" t="s">
        <v>757</v>
      </c>
      <c r="G103" s="35">
        <v>100001</v>
      </c>
      <c r="H103" s="35">
        <v>10000</v>
      </c>
      <c r="I103" s="30" t="s">
        <v>849</v>
      </c>
      <c r="J103" s="35">
        <v>100003</v>
      </c>
      <c r="K103" s="35">
        <v>1000</v>
      </c>
      <c r="L103" s="30" t="s">
        <v>1384</v>
      </c>
      <c r="M103" s="35">
        <v>23311093</v>
      </c>
      <c r="N103" s="35">
        <v>1</v>
      </c>
    </row>
    <row r="104" spans="1:14">
      <c r="A104" s="29">
        <v>47100095</v>
      </c>
      <c r="B104" s="30" t="s">
        <v>1098</v>
      </c>
      <c r="C104" s="35" t="s">
        <v>1548</v>
      </c>
      <c r="D104" s="35" t="s">
        <v>1656</v>
      </c>
      <c r="E104" s="88" t="b">
        <v>1</v>
      </c>
      <c r="F104" s="30" t="s">
        <v>757</v>
      </c>
      <c r="G104" s="35">
        <v>100001</v>
      </c>
      <c r="H104" s="35">
        <v>10000</v>
      </c>
      <c r="I104" s="30" t="s">
        <v>849</v>
      </c>
      <c r="J104" s="35">
        <v>100003</v>
      </c>
      <c r="K104" s="35">
        <v>1000</v>
      </c>
      <c r="L104" s="30" t="s">
        <v>1385</v>
      </c>
      <c r="M104" s="35">
        <v>23311094</v>
      </c>
      <c r="N104" s="35">
        <v>1</v>
      </c>
    </row>
    <row r="105" spans="1:14">
      <c r="A105" s="29">
        <v>47100096</v>
      </c>
      <c r="B105" s="30" t="s">
        <v>1099</v>
      </c>
      <c r="C105" s="35" t="s">
        <v>1549</v>
      </c>
      <c r="D105" s="35" t="s">
        <v>1657</v>
      </c>
      <c r="E105" s="88" t="b">
        <v>1</v>
      </c>
      <c r="F105" s="30" t="s">
        <v>757</v>
      </c>
      <c r="G105" s="35">
        <v>100001</v>
      </c>
      <c r="H105" s="35">
        <v>10000</v>
      </c>
      <c r="I105" s="30" t="s">
        <v>849</v>
      </c>
      <c r="J105" s="35">
        <v>100003</v>
      </c>
      <c r="K105" s="35">
        <v>1000</v>
      </c>
      <c r="L105" s="30" t="s">
        <v>1386</v>
      </c>
      <c r="M105" s="35">
        <v>23311095</v>
      </c>
      <c r="N105" s="35">
        <v>1</v>
      </c>
    </row>
    <row r="106" spans="1:14">
      <c r="A106" s="29">
        <v>47100097</v>
      </c>
      <c r="B106" s="30" t="s">
        <v>1100</v>
      </c>
      <c r="C106" s="35" t="s">
        <v>1550</v>
      </c>
      <c r="D106" s="35" t="s">
        <v>1658</v>
      </c>
      <c r="E106" s="88" t="b">
        <v>1</v>
      </c>
      <c r="F106" s="30" t="s">
        <v>757</v>
      </c>
      <c r="G106" s="35">
        <v>100001</v>
      </c>
      <c r="H106" s="35">
        <v>10000</v>
      </c>
      <c r="I106" s="30" t="s">
        <v>849</v>
      </c>
      <c r="J106" s="35">
        <v>100003</v>
      </c>
      <c r="K106" s="35">
        <v>1000</v>
      </c>
      <c r="L106" s="30" t="s">
        <v>1387</v>
      </c>
      <c r="M106" s="35">
        <v>23311096</v>
      </c>
      <c r="N106" s="35">
        <v>1</v>
      </c>
    </row>
    <row r="107" spans="1:14">
      <c r="A107" s="29">
        <v>47100098</v>
      </c>
      <c r="B107" s="30" t="s">
        <v>1101</v>
      </c>
      <c r="C107" s="35" t="s">
        <v>1551</v>
      </c>
      <c r="D107" s="35" t="s">
        <v>1659</v>
      </c>
      <c r="E107" s="88" t="b">
        <v>1</v>
      </c>
      <c r="F107" s="30" t="s">
        <v>757</v>
      </c>
      <c r="G107" s="35">
        <v>100001</v>
      </c>
      <c r="H107" s="35">
        <v>10000</v>
      </c>
      <c r="I107" s="30" t="s">
        <v>849</v>
      </c>
      <c r="J107" s="35">
        <v>100003</v>
      </c>
      <c r="K107" s="35">
        <v>1000</v>
      </c>
      <c r="L107" s="30" t="s">
        <v>1388</v>
      </c>
      <c r="M107" s="35">
        <v>23311097</v>
      </c>
      <c r="N107" s="35">
        <v>1</v>
      </c>
    </row>
    <row r="108" spans="1:14">
      <c r="A108" s="29">
        <v>47100099</v>
      </c>
      <c r="B108" s="30" t="s">
        <v>1102</v>
      </c>
      <c r="C108" s="35" t="s">
        <v>1552</v>
      </c>
      <c r="D108" s="35" t="s">
        <v>1660</v>
      </c>
      <c r="E108" s="88" t="b">
        <v>1</v>
      </c>
      <c r="F108" s="30" t="s">
        <v>757</v>
      </c>
      <c r="G108" s="35">
        <v>100001</v>
      </c>
      <c r="H108" s="35">
        <v>10000</v>
      </c>
      <c r="I108" s="30" t="s">
        <v>849</v>
      </c>
      <c r="J108" s="35">
        <v>100003</v>
      </c>
      <c r="K108" s="35">
        <v>1000</v>
      </c>
      <c r="L108" s="30" t="s">
        <v>1389</v>
      </c>
      <c r="M108" s="35">
        <v>23311098</v>
      </c>
      <c r="N108" s="35">
        <v>1</v>
      </c>
    </row>
    <row r="109" spans="1:14">
      <c r="A109" s="29">
        <v>47100100</v>
      </c>
      <c r="B109" s="30" t="s">
        <v>1103</v>
      </c>
      <c r="C109" s="35" t="s">
        <v>1553</v>
      </c>
      <c r="D109" s="35" t="s">
        <v>1661</v>
      </c>
      <c r="E109" s="88" t="b">
        <v>1</v>
      </c>
      <c r="F109" s="30" t="s">
        <v>757</v>
      </c>
      <c r="G109" s="35">
        <v>100001</v>
      </c>
      <c r="H109" s="35">
        <v>10000</v>
      </c>
      <c r="I109" s="30" t="s">
        <v>849</v>
      </c>
      <c r="J109" s="35">
        <v>100003</v>
      </c>
      <c r="K109" s="35">
        <v>1000</v>
      </c>
      <c r="L109" s="30" t="s">
        <v>1390</v>
      </c>
      <c r="M109" s="35">
        <v>23311099</v>
      </c>
      <c r="N109" s="35">
        <v>1</v>
      </c>
    </row>
    <row r="110" spans="1:14">
      <c r="A110" s="29">
        <v>47100101</v>
      </c>
      <c r="B110" s="30" t="s">
        <v>1104</v>
      </c>
      <c r="C110" s="35" t="s">
        <v>1554</v>
      </c>
      <c r="D110" s="35" t="s">
        <v>1662</v>
      </c>
      <c r="E110" s="88" t="b">
        <v>1</v>
      </c>
      <c r="F110" s="30" t="s">
        <v>757</v>
      </c>
      <c r="G110" s="35">
        <v>100001</v>
      </c>
      <c r="H110" s="35">
        <v>10000</v>
      </c>
      <c r="I110" s="30" t="s">
        <v>849</v>
      </c>
      <c r="J110" s="35">
        <v>100003</v>
      </c>
      <c r="K110" s="35">
        <v>1000</v>
      </c>
      <c r="L110" s="30" t="s">
        <v>1391</v>
      </c>
      <c r="M110" s="35">
        <v>23311100</v>
      </c>
      <c r="N110" s="35">
        <v>1</v>
      </c>
    </row>
    <row r="111" spans="1:14">
      <c r="A111" s="29">
        <v>47100102</v>
      </c>
      <c r="B111" s="30" t="s">
        <v>1105</v>
      </c>
      <c r="C111" s="35" t="s">
        <v>1555</v>
      </c>
      <c r="D111" s="35" t="s">
        <v>1663</v>
      </c>
      <c r="E111" s="88" t="b">
        <v>1</v>
      </c>
      <c r="F111" s="30" t="s">
        <v>757</v>
      </c>
      <c r="G111" s="35">
        <v>100001</v>
      </c>
      <c r="H111" s="35">
        <v>10000</v>
      </c>
      <c r="I111" s="30" t="s">
        <v>849</v>
      </c>
      <c r="J111" s="35">
        <v>100003</v>
      </c>
      <c r="K111" s="35">
        <v>1000</v>
      </c>
      <c r="L111" s="30" t="s">
        <v>1392</v>
      </c>
      <c r="M111" s="35">
        <v>23311101</v>
      </c>
      <c r="N111" s="35">
        <v>1</v>
      </c>
    </row>
    <row r="112" spans="1:14">
      <c r="A112" s="29">
        <v>47100103</v>
      </c>
      <c r="B112" s="30" t="s">
        <v>1106</v>
      </c>
      <c r="C112" s="35" t="s">
        <v>1556</v>
      </c>
      <c r="D112" s="35" t="s">
        <v>1664</v>
      </c>
      <c r="E112" s="88" t="b">
        <v>1</v>
      </c>
      <c r="F112" s="30" t="s">
        <v>757</v>
      </c>
      <c r="G112" s="35">
        <v>100001</v>
      </c>
      <c r="H112" s="35">
        <v>10000</v>
      </c>
      <c r="I112" s="30" t="s">
        <v>849</v>
      </c>
      <c r="J112" s="35">
        <v>100003</v>
      </c>
      <c r="K112" s="35">
        <v>1000</v>
      </c>
      <c r="L112" s="30" t="s">
        <v>1393</v>
      </c>
      <c r="M112" s="35">
        <v>23311102</v>
      </c>
      <c r="N112" s="35">
        <v>1</v>
      </c>
    </row>
    <row r="113" spans="1:15">
      <c r="A113" s="29">
        <v>47100104</v>
      </c>
      <c r="B113" s="30" t="s">
        <v>1107</v>
      </c>
      <c r="C113" s="35" t="s">
        <v>1557</v>
      </c>
      <c r="D113" s="35" t="s">
        <v>1665</v>
      </c>
      <c r="E113" s="88" t="b">
        <v>1</v>
      </c>
      <c r="F113" s="30" t="s">
        <v>757</v>
      </c>
      <c r="G113" s="35">
        <v>100001</v>
      </c>
      <c r="H113" s="35">
        <v>10000</v>
      </c>
      <c r="I113" s="30" t="s">
        <v>849</v>
      </c>
      <c r="J113" s="35">
        <v>100003</v>
      </c>
      <c r="K113" s="35">
        <v>1000</v>
      </c>
      <c r="L113" s="30" t="s">
        <v>1394</v>
      </c>
      <c r="M113" s="35">
        <v>23311103</v>
      </c>
      <c r="N113" s="35">
        <v>1</v>
      </c>
    </row>
    <row r="114" spans="1:15">
      <c r="A114" s="33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27" t="s">
        <v>8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74"/>
  <sheetViews>
    <sheetView zoomScale="85" zoomScaleNormal="85" workbookViewId="0">
      <selection activeCell="I30" sqref="I30"/>
    </sheetView>
  </sheetViews>
  <sheetFormatPr defaultRowHeight="13.5"/>
  <cols>
    <col min="1" max="1" width="19" style="27" customWidth="1"/>
    <col min="2" max="2" width="22.7109375" style="27" bestFit="1" customWidth="1"/>
    <col min="3" max="3" width="20" style="27" bestFit="1" customWidth="1"/>
    <col min="4" max="5" width="20" style="27" customWidth="1"/>
    <col min="6" max="6" width="20" style="27" bestFit="1" customWidth="1"/>
    <col min="7" max="8" width="20" style="27" customWidth="1"/>
    <col min="9" max="9" width="20" style="27" bestFit="1" customWidth="1"/>
    <col min="10" max="11" width="20" style="27" customWidth="1"/>
    <col min="12" max="12" width="20" style="27" bestFit="1" customWidth="1"/>
    <col min="13" max="14" width="20" style="27" customWidth="1"/>
    <col min="15" max="20" width="20" style="27" bestFit="1" customWidth="1"/>
    <col min="21" max="21" width="20" style="27" customWidth="1"/>
    <col min="22" max="22" width="31.42578125" style="27" customWidth="1"/>
    <col min="23" max="23" width="11" style="27" bestFit="1" customWidth="1"/>
    <col min="24" max="24" width="9.140625" style="27"/>
    <col min="25" max="25" width="24.7109375" style="27" customWidth="1"/>
    <col min="26" max="26" width="22.5703125" style="27" customWidth="1"/>
    <col min="27" max="16384" width="9.140625" style="27"/>
  </cols>
  <sheetData>
    <row r="1" spans="1:20">
      <c r="A1" s="6" t="s">
        <v>5</v>
      </c>
      <c r="B1" s="25"/>
      <c r="C1" s="26" t="s">
        <v>811</v>
      </c>
      <c r="D1" s="26" t="s">
        <v>1560</v>
      </c>
      <c r="E1" s="26" t="s">
        <v>1032</v>
      </c>
      <c r="F1" s="25"/>
      <c r="G1" s="26" t="s">
        <v>753</v>
      </c>
      <c r="H1" s="26" t="s">
        <v>754</v>
      </c>
      <c r="I1" s="25"/>
      <c r="J1" s="26" t="s">
        <v>755</v>
      </c>
      <c r="K1" s="26" t="s">
        <v>756</v>
      </c>
      <c r="L1" s="25"/>
      <c r="M1" s="26" t="s">
        <v>836</v>
      </c>
      <c r="N1" s="26" t="s">
        <v>837</v>
      </c>
      <c r="O1" s="25"/>
      <c r="P1" s="26" t="s">
        <v>758</v>
      </c>
      <c r="Q1" s="25"/>
      <c r="R1" s="26" t="s">
        <v>759</v>
      </c>
      <c r="S1" s="25"/>
      <c r="T1" s="26" t="s">
        <v>760</v>
      </c>
    </row>
    <row r="2" spans="1:20" ht="27">
      <c r="A2" s="6" t="s">
        <v>611</v>
      </c>
      <c r="B2" s="25"/>
      <c r="C2" s="26" t="s">
        <v>6</v>
      </c>
      <c r="D2" s="26" t="s">
        <v>6</v>
      </c>
      <c r="E2" s="26" t="s">
        <v>1033</v>
      </c>
      <c r="F2" s="25"/>
      <c r="G2" s="26" t="s">
        <v>7</v>
      </c>
      <c r="H2" s="26" t="s">
        <v>7</v>
      </c>
      <c r="I2" s="25"/>
      <c r="J2" s="26" t="s">
        <v>7</v>
      </c>
      <c r="K2" s="26" t="s">
        <v>7</v>
      </c>
      <c r="L2" s="25"/>
      <c r="M2" s="26" t="s">
        <v>7</v>
      </c>
      <c r="N2" s="26" t="s">
        <v>7</v>
      </c>
      <c r="O2" s="25"/>
      <c r="P2" s="26" t="s">
        <v>7</v>
      </c>
      <c r="Q2" s="25"/>
      <c r="R2" s="26" t="s">
        <v>7</v>
      </c>
      <c r="S2" s="25"/>
      <c r="T2" s="26" t="s">
        <v>7</v>
      </c>
    </row>
    <row r="3" spans="1:20">
      <c r="A3" s="8" t="s">
        <v>1</v>
      </c>
      <c r="B3" s="25"/>
      <c r="C3" s="28">
        <v>1</v>
      </c>
      <c r="D3" s="28" t="s">
        <v>1561</v>
      </c>
      <c r="E3" s="28">
        <v>1</v>
      </c>
      <c r="F3" s="25"/>
      <c r="G3" s="28" t="s">
        <v>0</v>
      </c>
      <c r="H3" s="28" t="s">
        <v>0</v>
      </c>
      <c r="I3" s="25"/>
      <c r="J3" s="28" t="s">
        <v>0</v>
      </c>
      <c r="K3" s="28" t="s">
        <v>0</v>
      </c>
      <c r="L3" s="25"/>
      <c r="M3" s="28" t="s">
        <v>0</v>
      </c>
      <c r="N3" s="28" t="s">
        <v>0</v>
      </c>
      <c r="O3" s="25"/>
      <c r="P3" s="28" t="s">
        <v>0</v>
      </c>
      <c r="Q3" s="25"/>
      <c r="R3" s="28" t="s">
        <v>0</v>
      </c>
      <c r="S3" s="25"/>
      <c r="T3" s="28" t="s">
        <v>0</v>
      </c>
    </row>
    <row r="4" spans="1:20">
      <c r="A4" s="8" t="s">
        <v>2</v>
      </c>
      <c r="B4" s="25"/>
      <c r="C4" s="28" t="s">
        <v>0</v>
      </c>
      <c r="D4" s="28" t="s">
        <v>0</v>
      </c>
      <c r="E4" s="28" t="s">
        <v>830</v>
      </c>
      <c r="F4" s="25"/>
      <c r="G4" s="28" t="s">
        <v>0</v>
      </c>
      <c r="H4" s="28" t="s">
        <v>0</v>
      </c>
      <c r="I4" s="25"/>
      <c r="J4" s="28" t="s">
        <v>0</v>
      </c>
      <c r="K4" s="28" t="s">
        <v>0</v>
      </c>
      <c r="L4" s="25"/>
      <c r="M4" s="28" t="s">
        <v>0</v>
      </c>
      <c r="N4" s="28" t="s">
        <v>0</v>
      </c>
      <c r="O4" s="25"/>
      <c r="P4" s="28" t="s">
        <v>0</v>
      </c>
      <c r="Q4" s="25"/>
      <c r="R4" s="28" t="s">
        <v>0</v>
      </c>
      <c r="S4" s="25"/>
      <c r="T4" s="28" t="s">
        <v>0</v>
      </c>
    </row>
    <row r="5" spans="1:20">
      <c r="A5" s="8" t="s">
        <v>3</v>
      </c>
      <c r="B5" s="25"/>
      <c r="C5" s="28" t="s">
        <v>0</v>
      </c>
      <c r="D5" s="28" t="s">
        <v>0</v>
      </c>
      <c r="E5" s="28" t="s">
        <v>830</v>
      </c>
      <c r="F5" s="25"/>
      <c r="G5" s="28" t="s">
        <v>0</v>
      </c>
      <c r="H5" s="28" t="s">
        <v>0</v>
      </c>
      <c r="I5" s="25"/>
      <c r="J5" s="28" t="s">
        <v>0</v>
      </c>
      <c r="K5" s="28" t="s">
        <v>0</v>
      </c>
      <c r="L5" s="25"/>
      <c r="M5" s="28" t="s">
        <v>0</v>
      </c>
      <c r="N5" s="28" t="s">
        <v>0</v>
      </c>
      <c r="O5" s="25"/>
      <c r="P5" s="28" t="s">
        <v>0</v>
      </c>
      <c r="Q5" s="25"/>
      <c r="R5" s="28" t="s">
        <v>0</v>
      </c>
      <c r="S5" s="25"/>
      <c r="T5" s="28" t="s">
        <v>0</v>
      </c>
    </row>
    <row r="6" spans="1:20">
      <c r="A6" s="8" t="s">
        <v>4</v>
      </c>
      <c r="B6" s="25"/>
      <c r="C6" s="28" t="s">
        <v>0</v>
      </c>
      <c r="D6" s="28" t="s">
        <v>0</v>
      </c>
      <c r="E6" s="28" t="s">
        <v>830</v>
      </c>
      <c r="F6" s="25"/>
      <c r="G6" s="28" t="s">
        <v>0</v>
      </c>
      <c r="H6" s="28" t="s">
        <v>0</v>
      </c>
      <c r="I6" s="25"/>
      <c r="J6" s="28" t="s">
        <v>0</v>
      </c>
      <c r="K6" s="28" t="s">
        <v>0</v>
      </c>
      <c r="L6" s="25"/>
      <c r="M6" s="28" t="s">
        <v>0</v>
      </c>
      <c r="N6" s="28" t="s">
        <v>0</v>
      </c>
      <c r="O6" s="25"/>
      <c r="P6" s="28" t="s">
        <v>0</v>
      </c>
      <c r="Q6" s="25"/>
      <c r="R6" s="28" t="s">
        <v>0</v>
      </c>
      <c r="S6" s="25"/>
      <c r="T6" s="28" t="s">
        <v>0</v>
      </c>
    </row>
    <row r="7" spans="1:20">
      <c r="A7" s="8" t="s">
        <v>10</v>
      </c>
      <c r="B7" s="25"/>
      <c r="C7" s="28" t="s">
        <v>0</v>
      </c>
      <c r="D7" s="28" t="s">
        <v>0</v>
      </c>
      <c r="E7" s="28" t="s">
        <v>830</v>
      </c>
      <c r="F7" s="25"/>
      <c r="G7" s="28" t="s">
        <v>0</v>
      </c>
      <c r="H7" s="28" t="s">
        <v>0</v>
      </c>
      <c r="I7" s="25"/>
      <c r="J7" s="28" t="s">
        <v>0</v>
      </c>
      <c r="K7" s="28" t="s">
        <v>0</v>
      </c>
      <c r="L7" s="25"/>
      <c r="M7" s="28" t="s">
        <v>0</v>
      </c>
      <c r="N7" s="28" t="s">
        <v>0</v>
      </c>
      <c r="O7" s="25"/>
      <c r="P7" s="28" t="s">
        <v>761</v>
      </c>
      <c r="Q7" s="25"/>
      <c r="R7" s="28" t="s">
        <v>761</v>
      </c>
      <c r="S7" s="25"/>
      <c r="T7" s="28" t="s">
        <v>761</v>
      </c>
    </row>
    <row r="8" spans="1:20">
      <c r="A8" s="8" t="s">
        <v>846</v>
      </c>
      <c r="B8" s="25"/>
      <c r="C8" s="28">
        <v>1</v>
      </c>
      <c r="D8" s="28">
        <v>1</v>
      </c>
      <c r="E8" s="28" t="s">
        <v>830</v>
      </c>
      <c r="F8" s="25"/>
      <c r="G8" s="28" t="s">
        <v>0</v>
      </c>
      <c r="H8" s="28" t="s">
        <v>0</v>
      </c>
      <c r="I8" s="25"/>
      <c r="J8" s="28" t="s">
        <v>0</v>
      </c>
      <c r="K8" s="28" t="s">
        <v>0</v>
      </c>
      <c r="L8" s="25"/>
      <c r="M8" s="28" t="s">
        <v>0</v>
      </c>
      <c r="N8" s="28" t="s">
        <v>0</v>
      </c>
      <c r="O8" s="25"/>
      <c r="P8" s="28" t="s">
        <v>0</v>
      </c>
      <c r="Q8" s="25"/>
      <c r="R8" s="28" t="s">
        <v>0</v>
      </c>
      <c r="S8" s="25"/>
      <c r="T8" s="28" t="s">
        <v>0</v>
      </c>
    </row>
    <row r="9" spans="1:20">
      <c r="A9" s="29">
        <v>47200000</v>
      </c>
      <c r="B9" s="30" t="s">
        <v>1059</v>
      </c>
      <c r="C9" s="35" t="s">
        <v>1060</v>
      </c>
      <c r="D9" s="35" t="s">
        <v>1806</v>
      </c>
      <c r="E9" s="88" t="b">
        <v>1</v>
      </c>
      <c r="F9" s="30"/>
      <c r="G9" s="35" t="s">
        <v>1061</v>
      </c>
      <c r="H9" s="35" t="s">
        <v>1061</v>
      </c>
      <c r="I9" s="30"/>
      <c r="J9" s="35" t="s">
        <v>1061</v>
      </c>
      <c r="K9" s="35" t="s">
        <v>1061</v>
      </c>
      <c r="L9" s="30" t="s">
        <v>830</v>
      </c>
      <c r="M9" s="35" t="s">
        <v>830</v>
      </c>
      <c r="N9" s="35" t="s">
        <v>830</v>
      </c>
      <c r="O9" s="30" t="s">
        <v>1058</v>
      </c>
      <c r="P9" s="36">
        <f>IFERROR(INDEX(SailPatternColor!$A:$A,MATCH(O9,SailPatternColor!$B:$B,0)),"-")</f>
        <v>47300000</v>
      </c>
      <c r="Q9" s="30"/>
      <c r="R9" s="36" t="str">
        <f>IFERROR(INDEX(SailPatternColor!$A:$A,MATCH(Q9,SailPatternColor!$B:$B,0)),"-")</f>
        <v>-</v>
      </c>
      <c r="S9" s="30"/>
      <c r="T9" s="36" t="str">
        <f>IFERROR(INDEX(SailPatternColor!$A:$A,MATCH(S9,SailPatternColor!$B:$B,0)),"-")</f>
        <v>-</v>
      </c>
    </row>
    <row r="10" spans="1:20">
      <c r="A10" s="29">
        <v>47200001</v>
      </c>
      <c r="B10" s="30" t="s">
        <v>612</v>
      </c>
      <c r="C10" s="35" t="s">
        <v>845</v>
      </c>
      <c r="D10" s="35" t="s">
        <v>1666</v>
      </c>
      <c r="E10" s="88" t="b">
        <v>1</v>
      </c>
      <c r="F10" s="30" t="s">
        <v>757</v>
      </c>
      <c r="G10" s="35">
        <v>100001</v>
      </c>
      <c r="H10" s="35">
        <v>10000</v>
      </c>
      <c r="I10" s="30" t="s">
        <v>848</v>
      </c>
      <c r="J10" s="35">
        <v>100001</v>
      </c>
      <c r="K10" s="35">
        <v>100000</v>
      </c>
      <c r="L10" s="30" t="s">
        <v>1395</v>
      </c>
      <c r="M10" s="35">
        <v>23311200</v>
      </c>
      <c r="N10" s="35">
        <v>1</v>
      </c>
      <c r="O10" s="30" t="s">
        <v>1058</v>
      </c>
      <c r="P10" s="36">
        <f>IFERROR(INDEX(SailPatternColor!$A:$A,MATCH(O10,SailPatternColor!$B:$B,0)),"-")</f>
        <v>47300000</v>
      </c>
      <c r="Q10" s="30" t="s">
        <v>1064</v>
      </c>
      <c r="R10" s="36">
        <f>IFERROR(INDEX(SailPatternColor!$A:$A,MATCH(Q10,SailPatternColor!$B:$B,0)),"-")</f>
        <v>47300001</v>
      </c>
      <c r="S10" s="30"/>
      <c r="T10" s="36" t="str">
        <f>IFERROR(INDEX(SailPatternColor!$A:$A,MATCH(S10,SailPatternColor!$B:$B,0)),"-")</f>
        <v>-</v>
      </c>
    </row>
    <row r="11" spans="1:20">
      <c r="A11" s="29">
        <v>47200002</v>
      </c>
      <c r="B11" s="30" t="s">
        <v>614</v>
      </c>
      <c r="C11" s="35" t="s">
        <v>615</v>
      </c>
      <c r="D11" s="35" t="s">
        <v>1667</v>
      </c>
      <c r="E11" s="88" t="b">
        <v>1</v>
      </c>
      <c r="F11" s="30" t="s">
        <v>757</v>
      </c>
      <c r="G11" s="35">
        <v>100001</v>
      </c>
      <c r="H11" s="35">
        <v>10000</v>
      </c>
      <c r="I11" s="30" t="s">
        <v>848</v>
      </c>
      <c r="J11" s="35">
        <v>100001</v>
      </c>
      <c r="K11" s="35">
        <v>100000</v>
      </c>
      <c r="L11" s="30" t="s">
        <v>1396</v>
      </c>
      <c r="M11" s="35">
        <v>23311201</v>
      </c>
      <c r="N11" s="35">
        <v>1</v>
      </c>
      <c r="O11" s="30" t="s">
        <v>1058</v>
      </c>
      <c r="P11" s="36">
        <f>IFERROR(INDEX(SailPatternColor!$A:$A,MATCH(O11,SailPatternColor!$B:$B,0)),"-")</f>
        <v>47300000</v>
      </c>
      <c r="Q11" s="30" t="s">
        <v>1064</v>
      </c>
      <c r="R11" s="36">
        <f>IFERROR(INDEX(SailPatternColor!$A:$A,MATCH(Q11,SailPatternColor!$B:$B,0)),"-")</f>
        <v>47300001</v>
      </c>
      <c r="S11" s="30"/>
      <c r="T11" s="36" t="str">
        <f>IFERROR(INDEX(SailPatternColor!$A:$A,MATCH(S11,SailPatternColor!$B:$B,0)),"-")</f>
        <v>-</v>
      </c>
    </row>
    <row r="12" spans="1:20">
      <c r="A12" s="29">
        <v>47200003</v>
      </c>
      <c r="B12" s="30" t="s">
        <v>616</v>
      </c>
      <c r="C12" s="35" t="s">
        <v>617</v>
      </c>
      <c r="D12" s="35" t="s">
        <v>1668</v>
      </c>
      <c r="E12" s="88" t="b">
        <v>1</v>
      </c>
      <c r="F12" s="30" t="s">
        <v>757</v>
      </c>
      <c r="G12" s="35">
        <v>100001</v>
      </c>
      <c r="H12" s="35">
        <v>10000</v>
      </c>
      <c r="I12" s="30" t="s">
        <v>848</v>
      </c>
      <c r="J12" s="35">
        <v>100001</v>
      </c>
      <c r="K12" s="35">
        <v>100000</v>
      </c>
      <c r="L12" s="30" t="s">
        <v>1397</v>
      </c>
      <c r="M12" s="35">
        <v>23311202</v>
      </c>
      <c r="N12" s="35">
        <v>1</v>
      </c>
      <c r="O12" s="30" t="s">
        <v>1058</v>
      </c>
      <c r="P12" s="36">
        <f>IFERROR(INDEX(SailPatternColor!$A:$A,MATCH(O12,SailPatternColor!$B:$B,0)),"-")</f>
        <v>47300000</v>
      </c>
      <c r="Q12" s="30" t="s">
        <v>821</v>
      </c>
      <c r="R12" s="36">
        <f>IFERROR(INDEX(SailPatternColor!$A:$A,MATCH(Q12,SailPatternColor!$B:$B,0)),"-")</f>
        <v>47300002</v>
      </c>
      <c r="S12" s="30" t="s">
        <v>768</v>
      </c>
      <c r="T12" s="36">
        <f>IFERROR(INDEX(SailPatternColor!$A:$A,MATCH(S12,SailPatternColor!$B:$B,0)),"-")</f>
        <v>47300006</v>
      </c>
    </row>
    <row r="13" spans="1:20">
      <c r="A13" s="29">
        <v>47200004</v>
      </c>
      <c r="B13" s="30" t="s">
        <v>618</v>
      </c>
      <c r="C13" s="35" t="s">
        <v>619</v>
      </c>
      <c r="D13" s="35" t="s">
        <v>1669</v>
      </c>
      <c r="E13" s="88" t="b">
        <v>1</v>
      </c>
      <c r="F13" s="30" t="s">
        <v>757</v>
      </c>
      <c r="G13" s="35">
        <v>100001</v>
      </c>
      <c r="H13" s="35">
        <v>10000</v>
      </c>
      <c r="I13" s="30" t="s">
        <v>848</v>
      </c>
      <c r="J13" s="35">
        <v>100001</v>
      </c>
      <c r="K13" s="35">
        <v>100000</v>
      </c>
      <c r="L13" s="30" t="s">
        <v>1397</v>
      </c>
      <c r="M13" s="35">
        <v>23311203</v>
      </c>
      <c r="N13" s="35">
        <v>1</v>
      </c>
      <c r="O13" s="30" t="s">
        <v>1058</v>
      </c>
      <c r="P13" s="36">
        <f>IFERROR(INDEX(SailPatternColor!$A:$A,MATCH(O13,SailPatternColor!$B:$B,0)),"-")</f>
        <v>47300000</v>
      </c>
      <c r="Q13" s="30" t="s">
        <v>769</v>
      </c>
      <c r="R13" s="36">
        <f>IFERROR(INDEX(SailPatternColor!$A:$A,MATCH(Q13,SailPatternColor!$B:$B,0)),"-")</f>
        <v>47300007</v>
      </c>
      <c r="S13" s="30" t="s">
        <v>772</v>
      </c>
      <c r="T13" s="36">
        <f>IFERROR(INDEX(SailPatternColor!$A:$A,MATCH(S13,SailPatternColor!$B:$B,0)),"-")</f>
        <v>47300010</v>
      </c>
    </row>
    <row r="14" spans="1:20">
      <c r="A14" s="29">
        <v>47200005</v>
      </c>
      <c r="B14" s="30" t="s">
        <v>620</v>
      </c>
      <c r="C14" s="35" t="s">
        <v>621</v>
      </c>
      <c r="D14" s="35" t="s">
        <v>1670</v>
      </c>
      <c r="E14" s="88" t="b">
        <v>1</v>
      </c>
      <c r="F14" s="30" t="s">
        <v>757</v>
      </c>
      <c r="G14" s="35">
        <v>100001</v>
      </c>
      <c r="H14" s="35">
        <v>10000</v>
      </c>
      <c r="I14" s="30" t="s">
        <v>848</v>
      </c>
      <c r="J14" s="35">
        <v>100001</v>
      </c>
      <c r="K14" s="35">
        <v>100000</v>
      </c>
      <c r="L14" s="30" t="s">
        <v>1398</v>
      </c>
      <c r="M14" s="35">
        <v>23311204</v>
      </c>
      <c r="N14" s="35">
        <v>1</v>
      </c>
      <c r="O14" s="30" t="s">
        <v>1058</v>
      </c>
      <c r="P14" s="36">
        <f>IFERROR(INDEX(SailPatternColor!$A:$A,MATCH(O14,SailPatternColor!$B:$B,0)),"-")</f>
        <v>47300000</v>
      </c>
      <c r="Q14" s="30" t="s">
        <v>766</v>
      </c>
      <c r="R14" s="36">
        <f>IFERROR(INDEX(SailPatternColor!$A:$A,MATCH(Q14,SailPatternColor!$B:$B,0)),"-")</f>
        <v>47300004</v>
      </c>
      <c r="S14" s="30" t="s">
        <v>773</v>
      </c>
      <c r="T14" s="36">
        <f>IFERROR(INDEX(SailPatternColor!$A:$A,MATCH(S14,SailPatternColor!$B:$B,0)),"-")</f>
        <v>47300011</v>
      </c>
    </row>
    <row r="15" spans="1:20">
      <c r="A15" s="29">
        <v>47200006</v>
      </c>
      <c r="B15" s="30" t="s">
        <v>622</v>
      </c>
      <c r="C15" s="35" t="s">
        <v>623</v>
      </c>
      <c r="D15" s="35" t="s">
        <v>1671</v>
      </c>
      <c r="E15" s="88" t="b">
        <v>1</v>
      </c>
      <c r="F15" s="30" t="s">
        <v>757</v>
      </c>
      <c r="G15" s="35">
        <v>100001</v>
      </c>
      <c r="H15" s="35">
        <v>10000</v>
      </c>
      <c r="I15" s="30" t="s">
        <v>848</v>
      </c>
      <c r="J15" s="35">
        <v>100001</v>
      </c>
      <c r="K15" s="35">
        <v>100000</v>
      </c>
      <c r="L15" s="30" t="s">
        <v>1398</v>
      </c>
      <c r="M15" s="35">
        <v>23311205</v>
      </c>
      <c r="N15" s="35">
        <v>1</v>
      </c>
      <c r="O15" s="30" t="s">
        <v>1058</v>
      </c>
      <c r="P15" s="36">
        <f>IFERROR(INDEX(SailPatternColor!$A:$A,MATCH(O15,SailPatternColor!$B:$B,0)),"-")</f>
        <v>47300000</v>
      </c>
      <c r="Q15" s="30"/>
      <c r="R15" s="36" t="str">
        <f>IFERROR(INDEX(SailPatternColor!$A:$A,MATCH(Q15,SailPatternColor!$B:$B,0)),"-")</f>
        <v>-</v>
      </c>
      <c r="S15" s="30"/>
      <c r="T15" s="36" t="str">
        <f>IFERROR(INDEX(SailPatternColor!$A:$A,MATCH(S15,SailPatternColor!$B:$B,0)),"-")</f>
        <v>-</v>
      </c>
    </row>
    <row r="16" spans="1:20">
      <c r="A16" s="29">
        <v>47200007</v>
      </c>
      <c r="B16" s="30" t="s">
        <v>624</v>
      </c>
      <c r="C16" s="35" t="s">
        <v>625</v>
      </c>
      <c r="D16" s="35" t="s">
        <v>1672</v>
      </c>
      <c r="E16" s="88" t="b">
        <v>1</v>
      </c>
      <c r="F16" s="30" t="s">
        <v>757</v>
      </c>
      <c r="G16" s="35">
        <v>100001</v>
      </c>
      <c r="H16" s="35">
        <v>10000</v>
      </c>
      <c r="I16" s="30" t="s">
        <v>848</v>
      </c>
      <c r="J16" s="35">
        <v>100001</v>
      </c>
      <c r="K16" s="35">
        <v>100000</v>
      </c>
      <c r="L16" s="30" t="s">
        <v>1399</v>
      </c>
      <c r="M16" s="35">
        <v>23311206</v>
      </c>
      <c r="N16" s="35">
        <v>1</v>
      </c>
      <c r="O16" s="30" t="s">
        <v>1058</v>
      </c>
      <c r="P16" s="36">
        <f>IFERROR(INDEX(SailPatternColor!$A:$A,MATCH(O16,SailPatternColor!$B:$B,0)),"-")</f>
        <v>47300000</v>
      </c>
      <c r="Q16" s="30" t="s">
        <v>773</v>
      </c>
      <c r="R16" s="36">
        <f>IFERROR(INDEX(SailPatternColor!$A:$A,MATCH(Q16,SailPatternColor!$B:$B,0)),"-")</f>
        <v>47300011</v>
      </c>
      <c r="S16" s="30" t="s">
        <v>773</v>
      </c>
      <c r="T16" s="36">
        <f>IFERROR(INDEX(SailPatternColor!$A:$A,MATCH(S16,SailPatternColor!$B:$B,0)),"-")</f>
        <v>47300011</v>
      </c>
    </row>
    <row r="17" spans="1:20">
      <c r="A17" s="29">
        <v>47200008</v>
      </c>
      <c r="B17" s="30" t="s">
        <v>626</v>
      </c>
      <c r="C17" s="35" t="s">
        <v>627</v>
      </c>
      <c r="D17" s="35" t="s">
        <v>1673</v>
      </c>
      <c r="E17" s="88" t="b">
        <v>1</v>
      </c>
      <c r="F17" s="30" t="s">
        <v>757</v>
      </c>
      <c r="G17" s="35">
        <v>100001</v>
      </c>
      <c r="H17" s="35">
        <v>10000</v>
      </c>
      <c r="I17" s="30" t="s">
        <v>848</v>
      </c>
      <c r="J17" s="35">
        <v>100001</v>
      </c>
      <c r="K17" s="35">
        <v>100000</v>
      </c>
      <c r="L17" s="30" t="s">
        <v>1400</v>
      </c>
      <c r="M17" s="35">
        <v>23311207</v>
      </c>
      <c r="N17" s="35">
        <v>1</v>
      </c>
      <c r="O17" s="30" t="s">
        <v>1058</v>
      </c>
      <c r="P17" s="36">
        <f>IFERROR(INDEX(SailPatternColor!$A:$A,MATCH(O17,SailPatternColor!$B:$B,0)),"-")</f>
        <v>47300000</v>
      </c>
      <c r="Q17" s="30" t="s">
        <v>771</v>
      </c>
      <c r="R17" s="36">
        <f>IFERROR(INDEX(SailPatternColor!$A:$A,MATCH(Q17,SailPatternColor!$B:$B,0)),"-")</f>
        <v>47300009</v>
      </c>
      <c r="S17" s="30" t="s">
        <v>773</v>
      </c>
      <c r="T17" s="36">
        <f>IFERROR(INDEX(SailPatternColor!$A:$A,MATCH(S17,SailPatternColor!$B:$B,0)),"-")</f>
        <v>47300011</v>
      </c>
    </row>
    <row r="18" spans="1:20">
      <c r="A18" s="29">
        <v>47200009</v>
      </c>
      <c r="B18" s="30" t="s">
        <v>628</v>
      </c>
      <c r="C18" s="35" t="s">
        <v>629</v>
      </c>
      <c r="D18" s="35" t="s">
        <v>1674</v>
      </c>
      <c r="E18" s="88" t="b">
        <v>1</v>
      </c>
      <c r="F18" s="30" t="s">
        <v>757</v>
      </c>
      <c r="G18" s="35">
        <v>100001</v>
      </c>
      <c r="H18" s="35">
        <v>10000</v>
      </c>
      <c r="I18" s="30" t="s">
        <v>848</v>
      </c>
      <c r="J18" s="35">
        <v>100001</v>
      </c>
      <c r="K18" s="35">
        <v>100000</v>
      </c>
      <c r="L18" s="30" t="s">
        <v>1401</v>
      </c>
      <c r="M18" s="35">
        <v>23311208</v>
      </c>
      <c r="N18" s="35">
        <v>1</v>
      </c>
      <c r="O18" s="30" t="s">
        <v>1058</v>
      </c>
      <c r="P18" s="36">
        <f>IFERROR(INDEX(SailPatternColor!$A:$A,MATCH(O18,SailPatternColor!$B:$B,0)),"-")</f>
        <v>47300000</v>
      </c>
      <c r="Q18" s="30" t="s">
        <v>773</v>
      </c>
      <c r="R18" s="36">
        <f>IFERROR(INDEX(SailPatternColor!$A:$A,MATCH(Q18,SailPatternColor!$B:$B,0)),"-")</f>
        <v>47300011</v>
      </c>
      <c r="S18" s="30"/>
      <c r="T18" s="36" t="str">
        <f>IFERROR(INDEX(SailPatternColor!$A:$A,MATCH(S18,SailPatternColor!$B:$B,0)),"-")</f>
        <v>-</v>
      </c>
    </row>
    <row r="19" spans="1:20">
      <c r="A19" s="29">
        <v>47200010</v>
      </c>
      <c r="B19" s="30" t="s">
        <v>630</v>
      </c>
      <c r="C19" s="35" t="s">
        <v>631</v>
      </c>
      <c r="D19" s="35" t="s">
        <v>1675</v>
      </c>
      <c r="E19" s="88" t="b">
        <v>1</v>
      </c>
      <c r="F19" s="30" t="s">
        <v>757</v>
      </c>
      <c r="G19" s="35">
        <v>100001</v>
      </c>
      <c r="H19" s="35">
        <v>10000</v>
      </c>
      <c r="I19" s="30" t="s">
        <v>848</v>
      </c>
      <c r="J19" s="35">
        <v>100001</v>
      </c>
      <c r="K19" s="35">
        <v>100000</v>
      </c>
      <c r="L19" s="30" t="s">
        <v>1401</v>
      </c>
      <c r="M19" s="35">
        <v>23311209</v>
      </c>
      <c r="N19" s="35">
        <v>1</v>
      </c>
      <c r="O19" s="30" t="s">
        <v>1058</v>
      </c>
      <c r="P19" s="36">
        <f>IFERROR(INDEX(SailPatternColor!$A:$A,MATCH(O19,SailPatternColor!$B:$B,0)),"-")</f>
        <v>47300000</v>
      </c>
      <c r="Q19" s="30" t="s">
        <v>773</v>
      </c>
      <c r="R19" s="36">
        <f>IFERROR(INDEX(SailPatternColor!$A:$A,MATCH(Q19,SailPatternColor!$B:$B,0)),"-")</f>
        <v>47300011</v>
      </c>
      <c r="S19" s="30"/>
      <c r="T19" s="36" t="str">
        <f>IFERROR(INDEX(SailPatternColor!$A:$A,MATCH(S19,SailPatternColor!$B:$B,0)),"-")</f>
        <v>-</v>
      </c>
    </row>
    <row r="20" spans="1:20">
      <c r="A20" s="29">
        <v>47200011</v>
      </c>
      <c r="B20" s="30" t="s">
        <v>632</v>
      </c>
      <c r="C20" s="35" t="s">
        <v>633</v>
      </c>
      <c r="D20" s="35" t="s">
        <v>1676</v>
      </c>
      <c r="E20" s="88" t="b">
        <v>1</v>
      </c>
      <c r="F20" s="30" t="s">
        <v>757</v>
      </c>
      <c r="G20" s="35">
        <v>100001</v>
      </c>
      <c r="H20" s="35">
        <v>10000</v>
      </c>
      <c r="I20" s="30" t="s">
        <v>848</v>
      </c>
      <c r="J20" s="35">
        <v>100001</v>
      </c>
      <c r="K20" s="35">
        <v>100000</v>
      </c>
      <c r="L20" s="30" t="s">
        <v>1402</v>
      </c>
      <c r="M20" s="35">
        <v>23311210</v>
      </c>
      <c r="N20" s="35">
        <v>1</v>
      </c>
      <c r="O20" s="30" t="s">
        <v>1058</v>
      </c>
      <c r="P20" s="36">
        <f>IFERROR(INDEX(SailPatternColor!$A:$A,MATCH(O20,SailPatternColor!$B:$B,0)),"-")</f>
        <v>47300000</v>
      </c>
      <c r="Q20" s="30" t="s">
        <v>821</v>
      </c>
      <c r="R20" s="36">
        <f>IFERROR(INDEX(SailPatternColor!$A:$A,MATCH(Q20,SailPatternColor!$B:$B,0)),"-")</f>
        <v>47300002</v>
      </c>
      <c r="S20" s="30"/>
      <c r="T20" s="36" t="str">
        <f>IFERROR(INDEX(SailPatternColor!$A:$A,MATCH(S20,SailPatternColor!$B:$B,0)),"-")</f>
        <v>-</v>
      </c>
    </row>
    <row r="21" spans="1:20">
      <c r="A21" s="29">
        <v>47200012</v>
      </c>
      <c r="B21" s="30" t="s">
        <v>634</v>
      </c>
      <c r="C21" s="35" t="s">
        <v>635</v>
      </c>
      <c r="D21" s="35" t="s">
        <v>1677</v>
      </c>
      <c r="E21" s="88" t="b">
        <v>1</v>
      </c>
      <c r="F21" s="30" t="s">
        <v>757</v>
      </c>
      <c r="G21" s="35">
        <v>100001</v>
      </c>
      <c r="H21" s="35">
        <v>10000</v>
      </c>
      <c r="I21" s="30" t="s">
        <v>848</v>
      </c>
      <c r="J21" s="35">
        <v>100001</v>
      </c>
      <c r="K21" s="35">
        <v>100000</v>
      </c>
      <c r="L21" s="30" t="s">
        <v>1403</v>
      </c>
      <c r="M21" s="35">
        <v>23311211</v>
      </c>
      <c r="N21" s="35">
        <v>1</v>
      </c>
      <c r="O21" s="30" t="s">
        <v>1058</v>
      </c>
      <c r="P21" s="36">
        <f>IFERROR(INDEX(SailPatternColor!$A:$A,MATCH(O21,SailPatternColor!$B:$B,0)),"-")</f>
        <v>47300000</v>
      </c>
      <c r="Q21" s="30" t="s">
        <v>773</v>
      </c>
      <c r="R21" s="36">
        <f>IFERROR(INDEX(SailPatternColor!$A:$A,MATCH(Q21,SailPatternColor!$B:$B,0)),"-")</f>
        <v>47300011</v>
      </c>
      <c r="S21" s="30"/>
      <c r="T21" s="36" t="str">
        <f>IFERROR(INDEX(SailPatternColor!$A:$A,MATCH(S21,SailPatternColor!$B:$B,0)),"-")</f>
        <v>-</v>
      </c>
    </row>
    <row r="22" spans="1:20">
      <c r="A22" s="29">
        <v>47200013</v>
      </c>
      <c r="B22" s="30" t="s">
        <v>636</v>
      </c>
      <c r="C22" s="35" t="s">
        <v>637</v>
      </c>
      <c r="D22" s="35" t="s">
        <v>1678</v>
      </c>
      <c r="E22" s="88" t="b">
        <v>1</v>
      </c>
      <c r="F22" s="30" t="s">
        <v>757</v>
      </c>
      <c r="G22" s="35">
        <v>100001</v>
      </c>
      <c r="H22" s="35">
        <v>10000</v>
      </c>
      <c r="I22" s="30" t="s">
        <v>848</v>
      </c>
      <c r="J22" s="35">
        <v>100001</v>
      </c>
      <c r="K22" s="35">
        <v>100000</v>
      </c>
      <c r="L22" s="30" t="s">
        <v>1404</v>
      </c>
      <c r="M22" s="35">
        <v>23311212</v>
      </c>
      <c r="N22" s="35">
        <v>1</v>
      </c>
      <c r="O22" s="30" t="s">
        <v>1058</v>
      </c>
      <c r="P22" s="36">
        <f>IFERROR(INDEX(SailPatternColor!$A:$A,MATCH(O22,SailPatternColor!$B:$B,0)),"-")</f>
        <v>47300000</v>
      </c>
      <c r="Q22" s="30" t="s">
        <v>773</v>
      </c>
      <c r="R22" s="36">
        <f>IFERROR(INDEX(SailPatternColor!$A:$A,MATCH(Q22,SailPatternColor!$B:$B,0)),"-")</f>
        <v>47300011</v>
      </c>
      <c r="S22" s="30"/>
      <c r="T22" s="36" t="str">
        <f>IFERROR(INDEX(SailPatternColor!$A:$A,MATCH(S22,SailPatternColor!$B:$B,0)),"-")</f>
        <v>-</v>
      </c>
    </row>
    <row r="23" spans="1:20">
      <c r="A23" s="29">
        <v>47200014</v>
      </c>
      <c r="B23" s="30" t="s">
        <v>638</v>
      </c>
      <c r="C23" s="35" t="s">
        <v>639</v>
      </c>
      <c r="D23" s="35" t="s">
        <v>1679</v>
      </c>
      <c r="E23" s="88" t="b">
        <v>1</v>
      </c>
      <c r="F23" s="30" t="s">
        <v>757</v>
      </c>
      <c r="G23" s="35">
        <v>100001</v>
      </c>
      <c r="H23" s="35">
        <v>10000</v>
      </c>
      <c r="I23" s="30" t="s">
        <v>848</v>
      </c>
      <c r="J23" s="35">
        <v>100001</v>
      </c>
      <c r="K23" s="35">
        <v>100000</v>
      </c>
      <c r="L23" s="30" t="s">
        <v>1404</v>
      </c>
      <c r="M23" s="35">
        <v>23311213</v>
      </c>
      <c r="N23" s="35">
        <v>1</v>
      </c>
      <c r="O23" s="30" t="s">
        <v>1058</v>
      </c>
      <c r="P23" s="36">
        <f>IFERROR(INDEX(SailPatternColor!$A:$A,MATCH(O23,SailPatternColor!$B:$B,0)),"-")</f>
        <v>47300000</v>
      </c>
      <c r="Q23" s="30" t="s">
        <v>773</v>
      </c>
      <c r="R23" s="36">
        <f>IFERROR(INDEX(SailPatternColor!$A:$A,MATCH(Q23,SailPatternColor!$B:$B,0)),"-")</f>
        <v>47300011</v>
      </c>
      <c r="S23" s="30" t="s">
        <v>773</v>
      </c>
      <c r="T23" s="36">
        <f>IFERROR(INDEX(SailPatternColor!$A:$A,MATCH(S23,SailPatternColor!$B:$B,0)),"-")</f>
        <v>47300011</v>
      </c>
    </row>
    <row r="24" spans="1:20">
      <c r="A24" s="29">
        <v>47200015</v>
      </c>
      <c r="B24" s="30" t="s">
        <v>640</v>
      </c>
      <c r="C24" s="35" t="s">
        <v>641</v>
      </c>
      <c r="D24" s="35" t="s">
        <v>1680</v>
      </c>
      <c r="E24" s="88" t="b">
        <v>1</v>
      </c>
      <c r="F24" s="30" t="s">
        <v>757</v>
      </c>
      <c r="G24" s="35">
        <v>100001</v>
      </c>
      <c r="H24" s="35">
        <v>10000</v>
      </c>
      <c r="I24" s="30" t="s">
        <v>848</v>
      </c>
      <c r="J24" s="35">
        <v>100001</v>
      </c>
      <c r="K24" s="35">
        <v>100000</v>
      </c>
      <c r="L24" s="30" t="s">
        <v>1405</v>
      </c>
      <c r="M24" s="35">
        <v>23311214</v>
      </c>
      <c r="N24" s="35">
        <v>1</v>
      </c>
      <c r="O24" s="30" t="s">
        <v>1058</v>
      </c>
      <c r="P24" s="36">
        <f>IFERROR(INDEX(SailPatternColor!$A:$A,MATCH(O24,SailPatternColor!$B:$B,0)),"-")</f>
        <v>47300000</v>
      </c>
      <c r="Q24" s="30" t="s">
        <v>773</v>
      </c>
      <c r="R24" s="36">
        <f>IFERROR(INDEX(SailPatternColor!$A:$A,MATCH(Q24,SailPatternColor!$B:$B,0)),"-")</f>
        <v>47300011</v>
      </c>
      <c r="S24" s="30" t="s">
        <v>773</v>
      </c>
      <c r="T24" s="36">
        <f>IFERROR(INDEX(SailPatternColor!$A:$A,MATCH(S24,SailPatternColor!$B:$B,0)),"-")</f>
        <v>47300011</v>
      </c>
    </row>
    <row r="25" spans="1:20">
      <c r="A25" s="29">
        <v>47200016</v>
      </c>
      <c r="B25" s="30" t="s">
        <v>642</v>
      </c>
      <c r="C25" s="35" t="s">
        <v>643</v>
      </c>
      <c r="D25" s="35" t="s">
        <v>1681</v>
      </c>
      <c r="E25" s="88" t="b">
        <v>1</v>
      </c>
      <c r="F25" s="30" t="s">
        <v>757</v>
      </c>
      <c r="G25" s="35">
        <v>100001</v>
      </c>
      <c r="H25" s="35">
        <v>10000</v>
      </c>
      <c r="I25" s="30" t="s">
        <v>849</v>
      </c>
      <c r="J25" s="35">
        <v>100003</v>
      </c>
      <c r="K25" s="35">
        <v>1000</v>
      </c>
      <c r="L25" s="30" t="s">
        <v>1405</v>
      </c>
      <c r="M25" s="35">
        <v>23311215</v>
      </c>
      <c r="N25" s="35">
        <v>1</v>
      </c>
      <c r="O25" s="30" t="s">
        <v>1058</v>
      </c>
      <c r="P25" s="36">
        <f>IFERROR(INDEX(SailPatternColor!$A:$A,MATCH(O25,SailPatternColor!$B:$B,0)),"-")</f>
        <v>47300000</v>
      </c>
      <c r="Q25" s="30" t="s">
        <v>773</v>
      </c>
      <c r="R25" s="36">
        <f>IFERROR(INDEX(SailPatternColor!$A:$A,MATCH(Q25,SailPatternColor!$B:$B,0)),"-")</f>
        <v>47300011</v>
      </c>
      <c r="S25" s="30" t="s">
        <v>773</v>
      </c>
      <c r="T25" s="36">
        <f>IFERROR(INDEX(SailPatternColor!$A:$A,MATCH(S25,SailPatternColor!$B:$B,0)),"-")</f>
        <v>47300011</v>
      </c>
    </row>
    <row r="26" spans="1:20">
      <c r="A26" s="29">
        <v>47200017</v>
      </c>
      <c r="B26" s="30" t="s">
        <v>644</v>
      </c>
      <c r="C26" s="35" t="s">
        <v>645</v>
      </c>
      <c r="D26" s="35" t="s">
        <v>1682</v>
      </c>
      <c r="E26" s="88" t="b">
        <v>1</v>
      </c>
      <c r="F26" s="30" t="s">
        <v>757</v>
      </c>
      <c r="G26" s="35">
        <v>100001</v>
      </c>
      <c r="H26" s="35">
        <v>10000</v>
      </c>
      <c r="I26" s="30" t="s">
        <v>848</v>
      </c>
      <c r="J26" s="35">
        <v>100001</v>
      </c>
      <c r="K26" s="35">
        <v>100000</v>
      </c>
      <c r="L26" s="30" t="s">
        <v>1406</v>
      </c>
      <c r="M26" s="35">
        <v>23311216</v>
      </c>
      <c r="N26" s="35">
        <v>1</v>
      </c>
      <c r="O26" s="30" t="s">
        <v>1058</v>
      </c>
      <c r="P26" s="36">
        <f>IFERROR(INDEX(SailPatternColor!$A:$A,MATCH(O26,SailPatternColor!$B:$B,0)),"-")</f>
        <v>47300000</v>
      </c>
      <c r="Q26" s="30" t="s">
        <v>821</v>
      </c>
      <c r="R26" s="36">
        <f>IFERROR(INDEX(SailPatternColor!$A:$A,MATCH(Q26,SailPatternColor!$B:$B,0)),"-")</f>
        <v>47300002</v>
      </c>
      <c r="S26" s="30" t="s">
        <v>773</v>
      </c>
      <c r="T26" s="36">
        <f>IFERROR(INDEX(SailPatternColor!$A:$A,MATCH(S26,SailPatternColor!$B:$B,0)),"-")</f>
        <v>47300011</v>
      </c>
    </row>
    <row r="27" spans="1:20">
      <c r="A27" s="29">
        <v>47200018</v>
      </c>
      <c r="B27" s="30" t="s">
        <v>646</v>
      </c>
      <c r="C27" s="35" t="s">
        <v>647</v>
      </c>
      <c r="D27" s="35" t="s">
        <v>1683</v>
      </c>
      <c r="E27" s="88" t="b">
        <v>1</v>
      </c>
      <c r="F27" s="30" t="s">
        <v>757</v>
      </c>
      <c r="G27" s="35">
        <v>100001</v>
      </c>
      <c r="H27" s="35">
        <v>10000</v>
      </c>
      <c r="I27" s="30" t="s">
        <v>848</v>
      </c>
      <c r="J27" s="35">
        <v>100001</v>
      </c>
      <c r="K27" s="35">
        <v>100000</v>
      </c>
      <c r="L27" s="30" t="s">
        <v>1407</v>
      </c>
      <c r="M27" s="35">
        <v>23311217</v>
      </c>
      <c r="N27" s="35">
        <v>1</v>
      </c>
      <c r="O27" s="30" t="s">
        <v>1058</v>
      </c>
      <c r="P27" s="36">
        <f>IFERROR(INDEX(SailPatternColor!$A:$A,MATCH(O27,SailPatternColor!$B:$B,0)),"-")</f>
        <v>47300000</v>
      </c>
      <c r="Q27" s="30" t="s">
        <v>773</v>
      </c>
      <c r="R27" s="36">
        <f>IFERROR(INDEX(SailPatternColor!$A:$A,MATCH(Q27,SailPatternColor!$B:$B,0)),"-")</f>
        <v>47300011</v>
      </c>
      <c r="S27" s="30" t="s">
        <v>773</v>
      </c>
      <c r="T27" s="36">
        <f>IFERROR(INDEX(SailPatternColor!$A:$A,MATCH(S27,SailPatternColor!$B:$B,0)),"-")</f>
        <v>47300011</v>
      </c>
    </row>
    <row r="28" spans="1:20">
      <c r="A28" s="29">
        <v>47200019</v>
      </c>
      <c r="B28" s="30" t="s">
        <v>648</v>
      </c>
      <c r="C28" s="35" t="s">
        <v>649</v>
      </c>
      <c r="D28" s="35" t="s">
        <v>1684</v>
      </c>
      <c r="E28" s="88" t="b">
        <v>1</v>
      </c>
      <c r="F28" s="30" t="s">
        <v>757</v>
      </c>
      <c r="G28" s="35">
        <v>100001</v>
      </c>
      <c r="H28" s="35">
        <v>10000</v>
      </c>
      <c r="I28" s="30" t="s">
        <v>849</v>
      </c>
      <c r="J28" s="35">
        <v>100003</v>
      </c>
      <c r="K28" s="35">
        <v>1000</v>
      </c>
      <c r="L28" s="30" t="s">
        <v>1408</v>
      </c>
      <c r="M28" s="35">
        <v>23311218</v>
      </c>
      <c r="N28" s="35">
        <v>1</v>
      </c>
      <c r="O28" s="30" t="s">
        <v>1058</v>
      </c>
      <c r="P28" s="36">
        <f>IFERROR(INDEX(SailPatternColor!$A:$A,MATCH(O28,SailPatternColor!$B:$B,0)),"-")</f>
        <v>47300000</v>
      </c>
      <c r="Q28" s="30" t="s">
        <v>773</v>
      </c>
      <c r="R28" s="36">
        <f>IFERROR(INDEX(SailPatternColor!$A:$A,MATCH(Q28,SailPatternColor!$B:$B,0)),"-")</f>
        <v>47300011</v>
      </c>
      <c r="S28" s="30" t="s">
        <v>773</v>
      </c>
      <c r="T28" s="36">
        <f>IFERROR(INDEX(SailPatternColor!$A:$A,MATCH(S28,SailPatternColor!$B:$B,0)),"-")</f>
        <v>47300011</v>
      </c>
    </row>
    <row r="29" spans="1:20">
      <c r="A29" s="29">
        <v>47200020</v>
      </c>
      <c r="B29" s="30" t="s">
        <v>650</v>
      </c>
      <c r="C29" s="35" t="s">
        <v>651</v>
      </c>
      <c r="D29" s="35" t="s">
        <v>1685</v>
      </c>
      <c r="E29" s="88" t="b">
        <v>1</v>
      </c>
      <c r="F29" s="30" t="s">
        <v>757</v>
      </c>
      <c r="G29" s="35">
        <v>100001</v>
      </c>
      <c r="H29" s="35">
        <v>10000</v>
      </c>
      <c r="I29" s="30" t="s">
        <v>849</v>
      </c>
      <c r="J29" s="35">
        <v>100003</v>
      </c>
      <c r="K29" s="35">
        <v>1000</v>
      </c>
      <c r="L29" s="30" t="s">
        <v>1409</v>
      </c>
      <c r="M29" s="35">
        <v>23311219</v>
      </c>
      <c r="N29" s="35">
        <v>1</v>
      </c>
      <c r="O29" s="30" t="s">
        <v>1058</v>
      </c>
      <c r="P29" s="36">
        <f>IFERROR(INDEX(SailPatternColor!$A:$A,MATCH(O29,SailPatternColor!$B:$B,0)),"-")</f>
        <v>47300000</v>
      </c>
      <c r="Q29" s="30" t="s">
        <v>773</v>
      </c>
      <c r="R29" s="36">
        <f>IFERROR(INDEX(SailPatternColor!$A:$A,MATCH(Q29,SailPatternColor!$B:$B,0)),"-")</f>
        <v>47300011</v>
      </c>
      <c r="S29" s="30" t="s">
        <v>773</v>
      </c>
      <c r="T29" s="36">
        <f>IFERROR(INDEX(SailPatternColor!$A:$A,MATCH(S29,SailPatternColor!$B:$B,0)),"-")</f>
        <v>47300011</v>
      </c>
    </row>
    <row r="30" spans="1:20">
      <c r="A30" s="29">
        <v>47200021</v>
      </c>
      <c r="B30" s="30" t="s">
        <v>652</v>
      </c>
      <c r="C30" s="35" t="s">
        <v>653</v>
      </c>
      <c r="D30" s="35" t="s">
        <v>1686</v>
      </c>
      <c r="E30" s="88" t="b">
        <v>1</v>
      </c>
      <c r="F30" s="30" t="s">
        <v>757</v>
      </c>
      <c r="G30" s="35">
        <v>100001</v>
      </c>
      <c r="H30" s="35">
        <v>10000</v>
      </c>
      <c r="I30" s="30" t="s">
        <v>848</v>
      </c>
      <c r="J30" s="35">
        <v>100001</v>
      </c>
      <c r="K30" s="35">
        <v>100000</v>
      </c>
      <c r="L30" s="30" t="s">
        <v>1410</v>
      </c>
      <c r="M30" s="35">
        <v>23311220</v>
      </c>
      <c r="N30" s="35">
        <v>1</v>
      </c>
      <c r="O30" s="30" t="s">
        <v>1058</v>
      </c>
      <c r="P30" s="36">
        <f>IFERROR(INDEX(SailPatternColor!$A:$A,MATCH(O30,SailPatternColor!$B:$B,0)),"-")</f>
        <v>47300000</v>
      </c>
      <c r="Q30" s="30" t="s">
        <v>773</v>
      </c>
      <c r="R30" s="36">
        <f>IFERROR(INDEX(SailPatternColor!$A:$A,MATCH(Q30,SailPatternColor!$B:$B,0)),"-")</f>
        <v>47300011</v>
      </c>
      <c r="S30" s="30" t="s">
        <v>773</v>
      </c>
      <c r="T30" s="36">
        <f>IFERROR(INDEX(SailPatternColor!$A:$A,MATCH(S30,SailPatternColor!$B:$B,0)),"-")</f>
        <v>47300011</v>
      </c>
    </row>
    <row r="31" spans="1:20">
      <c r="A31" s="29">
        <v>47200022</v>
      </c>
      <c r="B31" s="30" t="s">
        <v>654</v>
      </c>
      <c r="C31" s="35" t="s">
        <v>655</v>
      </c>
      <c r="D31" s="35" t="s">
        <v>1687</v>
      </c>
      <c r="E31" s="88" t="b">
        <v>1</v>
      </c>
      <c r="F31" s="30" t="s">
        <v>757</v>
      </c>
      <c r="G31" s="35">
        <v>100001</v>
      </c>
      <c r="H31" s="35">
        <v>10000</v>
      </c>
      <c r="I31" s="30" t="s">
        <v>849</v>
      </c>
      <c r="J31" s="35">
        <v>100003</v>
      </c>
      <c r="K31" s="35">
        <v>1000</v>
      </c>
      <c r="L31" s="30" t="s">
        <v>1411</v>
      </c>
      <c r="M31" s="35">
        <v>23311221</v>
      </c>
      <c r="N31" s="35">
        <v>1</v>
      </c>
      <c r="O31" s="30" t="s">
        <v>1058</v>
      </c>
      <c r="P31" s="36">
        <f>IFERROR(INDEX(SailPatternColor!$A:$A,MATCH(O31,SailPatternColor!$B:$B,0)),"-")</f>
        <v>47300000</v>
      </c>
      <c r="Q31" s="30" t="s">
        <v>773</v>
      </c>
      <c r="R31" s="36">
        <f>IFERROR(INDEX(SailPatternColor!$A:$A,MATCH(Q31,SailPatternColor!$B:$B,0)),"-")</f>
        <v>47300011</v>
      </c>
      <c r="S31" s="30" t="s">
        <v>773</v>
      </c>
      <c r="T31" s="36">
        <f>IFERROR(INDEX(SailPatternColor!$A:$A,MATCH(S31,SailPatternColor!$B:$B,0)),"-")</f>
        <v>47300011</v>
      </c>
    </row>
    <row r="32" spans="1:20">
      <c r="A32" s="29">
        <v>47200023</v>
      </c>
      <c r="B32" s="30" t="s">
        <v>656</v>
      </c>
      <c r="C32" s="35" t="s">
        <v>657</v>
      </c>
      <c r="D32" s="35" t="s">
        <v>1688</v>
      </c>
      <c r="E32" s="88" t="b">
        <v>1</v>
      </c>
      <c r="F32" s="30" t="s">
        <v>757</v>
      </c>
      <c r="G32" s="35">
        <v>100001</v>
      </c>
      <c r="H32" s="35">
        <v>10000</v>
      </c>
      <c r="I32" s="30" t="s">
        <v>848</v>
      </c>
      <c r="J32" s="35">
        <v>100001</v>
      </c>
      <c r="K32" s="35">
        <v>100000</v>
      </c>
      <c r="L32" s="30" t="s">
        <v>1412</v>
      </c>
      <c r="M32" s="35">
        <v>23311222</v>
      </c>
      <c r="N32" s="35">
        <v>1</v>
      </c>
      <c r="O32" s="30" t="s">
        <v>1058</v>
      </c>
      <c r="P32" s="36">
        <f>IFERROR(INDEX(SailPatternColor!$A:$A,MATCH(O32,SailPatternColor!$B:$B,0)),"-")</f>
        <v>47300000</v>
      </c>
      <c r="Q32" s="30" t="s">
        <v>773</v>
      </c>
      <c r="R32" s="36">
        <f>IFERROR(INDEX(SailPatternColor!$A:$A,MATCH(Q32,SailPatternColor!$B:$B,0)),"-")</f>
        <v>47300011</v>
      </c>
      <c r="S32" s="30" t="s">
        <v>773</v>
      </c>
      <c r="T32" s="36">
        <f>IFERROR(INDEX(SailPatternColor!$A:$A,MATCH(S32,SailPatternColor!$B:$B,0)),"-")</f>
        <v>47300011</v>
      </c>
    </row>
    <row r="33" spans="1:20">
      <c r="A33" s="29">
        <v>47200024</v>
      </c>
      <c r="B33" s="30" t="s">
        <v>658</v>
      </c>
      <c r="C33" s="35" t="s">
        <v>659</v>
      </c>
      <c r="D33" s="35" t="s">
        <v>1689</v>
      </c>
      <c r="E33" s="88" t="b">
        <v>1</v>
      </c>
      <c r="F33" s="30" t="s">
        <v>757</v>
      </c>
      <c r="G33" s="35">
        <v>100001</v>
      </c>
      <c r="H33" s="35">
        <v>10000</v>
      </c>
      <c r="I33" s="30" t="s">
        <v>848</v>
      </c>
      <c r="J33" s="35">
        <v>100001</v>
      </c>
      <c r="K33" s="35">
        <v>100000</v>
      </c>
      <c r="L33" s="30" t="s">
        <v>1413</v>
      </c>
      <c r="M33" s="35">
        <v>23311223</v>
      </c>
      <c r="N33" s="35">
        <v>1</v>
      </c>
      <c r="O33" s="30" t="s">
        <v>1058</v>
      </c>
      <c r="P33" s="36">
        <f>IFERROR(INDEX(SailPatternColor!$A:$A,MATCH(O33,SailPatternColor!$B:$B,0)),"-")</f>
        <v>47300000</v>
      </c>
      <c r="Q33" s="30" t="s">
        <v>773</v>
      </c>
      <c r="R33" s="36">
        <f>IFERROR(INDEX(SailPatternColor!$A:$A,MATCH(Q33,SailPatternColor!$B:$B,0)),"-")</f>
        <v>47300011</v>
      </c>
      <c r="S33" s="30" t="s">
        <v>773</v>
      </c>
      <c r="T33" s="36">
        <f>IFERROR(INDEX(SailPatternColor!$A:$A,MATCH(S33,SailPatternColor!$B:$B,0)),"-")</f>
        <v>47300011</v>
      </c>
    </row>
    <row r="34" spans="1:20">
      <c r="A34" s="29">
        <v>47200025</v>
      </c>
      <c r="B34" s="30" t="s">
        <v>660</v>
      </c>
      <c r="C34" s="35" t="s">
        <v>661</v>
      </c>
      <c r="D34" s="35" t="s">
        <v>1690</v>
      </c>
      <c r="E34" s="88" t="b">
        <v>1</v>
      </c>
      <c r="F34" s="30" t="s">
        <v>757</v>
      </c>
      <c r="G34" s="35">
        <v>100001</v>
      </c>
      <c r="H34" s="35">
        <v>10000</v>
      </c>
      <c r="I34" s="30" t="s">
        <v>848</v>
      </c>
      <c r="J34" s="35">
        <v>100001</v>
      </c>
      <c r="K34" s="35">
        <v>100000</v>
      </c>
      <c r="L34" s="30" t="s">
        <v>1413</v>
      </c>
      <c r="M34" s="35">
        <v>23311224</v>
      </c>
      <c r="N34" s="35">
        <v>1</v>
      </c>
      <c r="O34" s="30" t="s">
        <v>1058</v>
      </c>
      <c r="P34" s="36">
        <f>IFERROR(INDEX(SailPatternColor!$A:$A,MATCH(O34,SailPatternColor!$B:$B,0)),"-")</f>
        <v>47300000</v>
      </c>
      <c r="Q34" s="30" t="s">
        <v>773</v>
      </c>
      <c r="R34" s="36">
        <f>IFERROR(INDEX(SailPatternColor!$A:$A,MATCH(Q34,SailPatternColor!$B:$B,0)),"-")</f>
        <v>47300011</v>
      </c>
      <c r="S34" s="30"/>
      <c r="T34" s="36" t="str">
        <f>IFERROR(INDEX(SailPatternColor!$A:$A,MATCH(S34,SailPatternColor!$B:$B,0)),"-")</f>
        <v>-</v>
      </c>
    </row>
    <row r="35" spans="1:20">
      <c r="A35" s="29">
        <v>47200026</v>
      </c>
      <c r="B35" s="30" t="s">
        <v>662</v>
      </c>
      <c r="C35" s="35" t="s">
        <v>663</v>
      </c>
      <c r="D35" s="35" t="s">
        <v>1691</v>
      </c>
      <c r="E35" s="88" t="b">
        <v>1</v>
      </c>
      <c r="F35" s="30" t="s">
        <v>757</v>
      </c>
      <c r="G35" s="35">
        <v>100001</v>
      </c>
      <c r="H35" s="35">
        <v>10000</v>
      </c>
      <c r="I35" s="30" t="s">
        <v>848</v>
      </c>
      <c r="J35" s="35">
        <v>100001</v>
      </c>
      <c r="K35" s="35">
        <v>100000</v>
      </c>
      <c r="L35" s="30" t="s">
        <v>1410</v>
      </c>
      <c r="M35" s="35">
        <v>23311225</v>
      </c>
      <c r="N35" s="35">
        <v>1</v>
      </c>
      <c r="O35" s="30" t="s">
        <v>1058</v>
      </c>
      <c r="P35" s="36">
        <f>IFERROR(INDEX(SailPatternColor!$A:$A,MATCH(O35,SailPatternColor!$B:$B,0)),"-")</f>
        <v>47300000</v>
      </c>
      <c r="Q35" s="30" t="s">
        <v>773</v>
      </c>
      <c r="R35" s="36">
        <f>IFERROR(INDEX(SailPatternColor!$A:$A,MATCH(Q35,SailPatternColor!$B:$B,0)),"-")</f>
        <v>47300011</v>
      </c>
      <c r="S35" s="30" t="s">
        <v>773</v>
      </c>
      <c r="T35" s="36">
        <f>IFERROR(INDEX(SailPatternColor!$A:$A,MATCH(S35,SailPatternColor!$B:$B,0)),"-")</f>
        <v>47300011</v>
      </c>
    </row>
    <row r="36" spans="1:20">
      <c r="A36" s="29">
        <v>47200027</v>
      </c>
      <c r="B36" s="30" t="s">
        <v>664</v>
      </c>
      <c r="C36" s="35" t="s">
        <v>665</v>
      </c>
      <c r="D36" s="35" t="s">
        <v>1692</v>
      </c>
      <c r="E36" s="88" t="b">
        <v>1</v>
      </c>
      <c r="F36" s="30" t="s">
        <v>757</v>
      </c>
      <c r="G36" s="35">
        <v>100001</v>
      </c>
      <c r="H36" s="35">
        <v>10000</v>
      </c>
      <c r="I36" s="30" t="s">
        <v>848</v>
      </c>
      <c r="J36" s="35">
        <v>100001</v>
      </c>
      <c r="K36" s="35">
        <v>100000</v>
      </c>
      <c r="L36" s="30" t="s">
        <v>1414</v>
      </c>
      <c r="M36" s="35">
        <v>23311226</v>
      </c>
      <c r="N36" s="35">
        <v>1</v>
      </c>
      <c r="O36" s="30" t="s">
        <v>1058</v>
      </c>
      <c r="P36" s="36">
        <f>IFERROR(INDEX(SailPatternColor!$A:$A,MATCH(O36,SailPatternColor!$B:$B,0)),"-")</f>
        <v>47300000</v>
      </c>
      <c r="Q36" s="30"/>
      <c r="R36" s="36" t="str">
        <f>IFERROR(INDEX(SailPatternColor!$A:$A,MATCH(Q36,SailPatternColor!$B:$B,0)),"-")</f>
        <v>-</v>
      </c>
      <c r="S36" s="30"/>
      <c r="T36" s="36" t="str">
        <f>IFERROR(INDEX(SailPatternColor!$A:$A,MATCH(S36,SailPatternColor!$B:$B,0)),"-")</f>
        <v>-</v>
      </c>
    </row>
    <row r="37" spans="1:20">
      <c r="A37" s="29">
        <v>47200028</v>
      </c>
      <c r="B37" s="30" t="s">
        <v>666</v>
      </c>
      <c r="C37" s="35" t="s">
        <v>667</v>
      </c>
      <c r="D37" s="35" t="s">
        <v>1693</v>
      </c>
      <c r="E37" s="88" t="b">
        <v>1</v>
      </c>
      <c r="F37" s="30" t="s">
        <v>757</v>
      </c>
      <c r="G37" s="35">
        <v>100001</v>
      </c>
      <c r="H37" s="35">
        <v>10000</v>
      </c>
      <c r="I37" s="30" t="s">
        <v>849</v>
      </c>
      <c r="J37" s="35">
        <v>100003</v>
      </c>
      <c r="K37" s="35">
        <v>1000</v>
      </c>
      <c r="L37" s="30" t="s">
        <v>1415</v>
      </c>
      <c r="M37" s="35">
        <v>23311227</v>
      </c>
      <c r="N37" s="35">
        <v>1</v>
      </c>
      <c r="O37" s="30" t="s">
        <v>1058</v>
      </c>
      <c r="P37" s="36">
        <f>IFERROR(INDEX(SailPatternColor!$A:$A,MATCH(O37,SailPatternColor!$B:$B,0)),"-")</f>
        <v>47300000</v>
      </c>
      <c r="Q37" s="30" t="s">
        <v>773</v>
      </c>
      <c r="R37" s="36">
        <f>IFERROR(INDEX(SailPatternColor!$A:$A,MATCH(Q37,SailPatternColor!$B:$B,0)),"-")</f>
        <v>47300011</v>
      </c>
      <c r="S37" s="30" t="s">
        <v>773</v>
      </c>
      <c r="T37" s="36">
        <f>IFERROR(INDEX(SailPatternColor!$A:$A,MATCH(S37,SailPatternColor!$B:$B,0)),"-")</f>
        <v>47300011</v>
      </c>
    </row>
    <row r="38" spans="1:20">
      <c r="A38" s="29">
        <v>47200029</v>
      </c>
      <c r="B38" s="30" t="s">
        <v>668</v>
      </c>
      <c r="C38" s="35" t="s">
        <v>669</v>
      </c>
      <c r="D38" s="35" t="s">
        <v>1694</v>
      </c>
      <c r="E38" s="88" t="b">
        <v>1</v>
      </c>
      <c r="F38" s="30" t="s">
        <v>757</v>
      </c>
      <c r="G38" s="35">
        <v>100001</v>
      </c>
      <c r="H38" s="35">
        <v>10000</v>
      </c>
      <c r="I38" s="30" t="s">
        <v>848</v>
      </c>
      <c r="J38" s="35">
        <v>100001</v>
      </c>
      <c r="K38" s="35">
        <v>100000</v>
      </c>
      <c r="L38" s="30" t="s">
        <v>1416</v>
      </c>
      <c r="M38" s="35">
        <v>23311228</v>
      </c>
      <c r="N38" s="35">
        <v>1</v>
      </c>
      <c r="O38" s="30" t="s">
        <v>1058</v>
      </c>
      <c r="P38" s="36">
        <f>IFERROR(INDEX(SailPatternColor!$A:$A,MATCH(O38,SailPatternColor!$B:$B,0)),"-")</f>
        <v>47300000</v>
      </c>
      <c r="Q38" s="30" t="s">
        <v>773</v>
      </c>
      <c r="R38" s="36">
        <f>IFERROR(INDEX(SailPatternColor!$A:$A,MATCH(Q38,SailPatternColor!$B:$B,0)),"-")</f>
        <v>47300011</v>
      </c>
      <c r="S38" s="30" t="s">
        <v>773</v>
      </c>
      <c r="T38" s="36">
        <f>IFERROR(INDEX(SailPatternColor!$A:$A,MATCH(S38,SailPatternColor!$B:$B,0)),"-")</f>
        <v>47300011</v>
      </c>
    </row>
    <row r="39" spans="1:20">
      <c r="A39" s="29">
        <v>47200030</v>
      </c>
      <c r="B39" s="30" t="s">
        <v>670</v>
      </c>
      <c r="C39" s="35" t="s">
        <v>671</v>
      </c>
      <c r="D39" s="35" t="s">
        <v>1695</v>
      </c>
      <c r="E39" s="88" t="b">
        <v>1</v>
      </c>
      <c r="F39" s="30" t="s">
        <v>757</v>
      </c>
      <c r="G39" s="35">
        <v>100001</v>
      </c>
      <c r="H39" s="35">
        <v>10000</v>
      </c>
      <c r="I39" s="30" t="s">
        <v>849</v>
      </c>
      <c r="J39" s="35">
        <v>100003</v>
      </c>
      <c r="K39" s="35">
        <v>1000</v>
      </c>
      <c r="L39" s="30" t="s">
        <v>1417</v>
      </c>
      <c r="M39" s="35">
        <v>23311229</v>
      </c>
      <c r="N39" s="35">
        <v>1</v>
      </c>
      <c r="O39" s="30" t="s">
        <v>1058</v>
      </c>
      <c r="P39" s="36">
        <f>IFERROR(INDEX(SailPatternColor!$A:$A,MATCH(O39,SailPatternColor!$B:$B,0)),"-")</f>
        <v>47300000</v>
      </c>
      <c r="Q39" s="30" t="s">
        <v>773</v>
      </c>
      <c r="R39" s="36">
        <f>IFERROR(INDEX(SailPatternColor!$A:$A,MATCH(Q39,SailPatternColor!$B:$B,0)),"-")</f>
        <v>47300011</v>
      </c>
      <c r="S39" s="30" t="s">
        <v>773</v>
      </c>
      <c r="T39" s="36">
        <f>IFERROR(INDEX(SailPatternColor!$A:$A,MATCH(S39,SailPatternColor!$B:$B,0)),"-")</f>
        <v>47300011</v>
      </c>
    </row>
    <row r="40" spans="1:20">
      <c r="A40" s="29">
        <v>47200031</v>
      </c>
      <c r="B40" s="30" t="s">
        <v>672</v>
      </c>
      <c r="C40" s="35" t="s">
        <v>673</v>
      </c>
      <c r="D40" s="35" t="s">
        <v>1696</v>
      </c>
      <c r="E40" s="88" t="b">
        <v>1</v>
      </c>
      <c r="F40" s="30" t="s">
        <v>757</v>
      </c>
      <c r="G40" s="35">
        <v>100001</v>
      </c>
      <c r="H40" s="35">
        <v>10000</v>
      </c>
      <c r="I40" s="30" t="s">
        <v>849</v>
      </c>
      <c r="J40" s="35">
        <v>100003</v>
      </c>
      <c r="K40" s="35">
        <v>1000</v>
      </c>
      <c r="L40" s="30" t="s">
        <v>1415</v>
      </c>
      <c r="M40" s="35">
        <v>23311230</v>
      </c>
      <c r="N40" s="35">
        <v>1</v>
      </c>
      <c r="O40" s="30" t="s">
        <v>1058</v>
      </c>
      <c r="P40" s="36">
        <f>IFERROR(INDEX(SailPatternColor!$A:$A,MATCH(O40,SailPatternColor!$B:$B,0)),"-")</f>
        <v>47300000</v>
      </c>
      <c r="Q40" s="30" t="s">
        <v>773</v>
      </c>
      <c r="R40" s="36">
        <f>IFERROR(INDEX(SailPatternColor!$A:$A,MATCH(Q40,SailPatternColor!$B:$B,0)),"-")</f>
        <v>47300011</v>
      </c>
      <c r="S40" s="30" t="s">
        <v>773</v>
      </c>
      <c r="T40" s="36">
        <f>IFERROR(INDEX(SailPatternColor!$A:$A,MATCH(S40,SailPatternColor!$B:$B,0)),"-")</f>
        <v>47300011</v>
      </c>
    </row>
    <row r="41" spans="1:20">
      <c r="A41" s="29">
        <v>47200032</v>
      </c>
      <c r="B41" s="30" t="s">
        <v>674</v>
      </c>
      <c r="C41" s="35" t="s">
        <v>675</v>
      </c>
      <c r="D41" s="35" t="s">
        <v>1697</v>
      </c>
      <c r="E41" s="88" t="b">
        <v>1</v>
      </c>
      <c r="F41" s="30" t="s">
        <v>757</v>
      </c>
      <c r="G41" s="35">
        <v>100001</v>
      </c>
      <c r="H41" s="35">
        <v>10000</v>
      </c>
      <c r="I41" s="30" t="s">
        <v>848</v>
      </c>
      <c r="J41" s="35">
        <v>100001</v>
      </c>
      <c r="K41" s="35">
        <v>100000</v>
      </c>
      <c r="L41" s="30" t="s">
        <v>1418</v>
      </c>
      <c r="M41" s="35">
        <v>23311231</v>
      </c>
      <c r="N41" s="35">
        <v>1</v>
      </c>
      <c r="O41" s="30" t="s">
        <v>1058</v>
      </c>
      <c r="P41" s="36">
        <f>IFERROR(INDEX(SailPatternColor!$A:$A,MATCH(O41,SailPatternColor!$B:$B,0)),"-")</f>
        <v>47300000</v>
      </c>
      <c r="Q41" s="30" t="s">
        <v>773</v>
      </c>
      <c r="R41" s="36">
        <f>IFERROR(INDEX(SailPatternColor!$A:$A,MATCH(Q41,SailPatternColor!$B:$B,0)),"-")</f>
        <v>47300011</v>
      </c>
      <c r="S41" s="30" t="s">
        <v>773</v>
      </c>
      <c r="T41" s="36">
        <f>IFERROR(INDEX(SailPatternColor!$A:$A,MATCH(S41,SailPatternColor!$B:$B,0)),"-")</f>
        <v>47300011</v>
      </c>
    </row>
    <row r="42" spans="1:20">
      <c r="A42" s="29">
        <v>47200033</v>
      </c>
      <c r="B42" s="30" t="s">
        <v>676</v>
      </c>
      <c r="C42" s="35" t="s">
        <v>677</v>
      </c>
      <c r="D42" s="35" t="s">
        <v>1698</v>
      </c>
      <c r="E42" s="88" t="b">
        <v>1</v>
      </c>
      <c r="F42" s="30" t="s">
        <v>757</v>
      </c>
      <c r="G42" s="35">
        <v>100001</v>
      </c>
      <c r="H42" s="35">
        <v>10000</v>
      </c>
      <c r="I42" s="30" t="s">
        <v>848</v>
      </c>
      <c r="J42" s="35">
        <v>100001</v>
      </c>
      <c r="K42" s="35">
        <v>100000</v>
      </c>
      <c r="L42" s="30" t="s">
        <v>1419</v>
      </c>
      <c r="M42" s="35">
        <v>23311232</v>
      </c>
      <c r="N42" s="35">
        <v>1</v>
      </c>
      <c r="O42" s="30" t="s">
        <v>1058</v>
      </c>
      <c r="P42" s="36">
        <f>IFERROR(INDEX(SailPatternColor!$A:$A,MATCH(O42,SailPatternColor!$B:$B,0)),"-")</f>
        <v>47300000</v>
      </c>
      <c r="Q42" s="30" t="s">
        <v>773</v>
      </c>
      <c r="R42" s="36">
        <f>IFERROR(INDEX(SailPatternColor!$A:$A,MATCH(Q42,SailPatternColor!$B:$B,0)),"-")</f>
        <v>47300011</v>
      </c>
      <c r="S42" s="30" t="s">
        <v>773</v>
      </c>
      <c r="T42" s="36">
        <f>IFERROR(INDEX(SailPatternColor!$A:$A,MATCH(S42,SailPatternColor!$B:$B,0)),"-")</f>
        <v>47300011</v>
      </c>
    </row>
    <row r="43" spans="1:20">
      <c r="A43" s="29">
        <v>47200034</v>
      </c>
      <c r="B43" s="30" t="s">
        <v>678</v>
      </c>
      <c r="C43" s="35" t="s">
        <v>679</v>
      </c>
      <c r="D43" s="35" t="s">
        <v>1699</v>
      </c>
      <c r="E43" s="88" t="b">
        <v>1</v>
      </c>
      <c r="F43" s="30" t="s">
        <v>757</v>
      </c>
      <c r="G43" s="35">
        <v>100001</v>
      </c>
      <c r="H43" s="35">
        <v>10000</v>
      </c>
      <c r="I43" s="30" t="s">
        <v>848</v>
      </c>
      <c r="J43" s="35">
        <v>100001</v>
      </c>
      <c r="K43" s="35">
        <v>100000</v>
      </c>
      <c r="L43" s="30" t="s">
        <v>1413</v>
      </c>
      <c r="M43" s="35">
        <v>23311233</v>
      </c>
      <c r="N43" s="35">
        <v>1</v>
      </c>
      <c r="O43" s="30" t="s">
        <v>1058</v>
      </c>
      <c r="P43" s="36">
        <f>IFERROR(INDEX(SailPatternColor!$A:$A,MATCH(O43,SailPatternColor!$B:$B,0)),"-")</f>
        <v>47300000</v>
      </c>
      <c r="Q43" s="30" t="s">
        <v>773</v>
      </c>
      <c r="R43" s="36">
        <f>IFERROR(INDEX(SailPatternColor!$A:$A,MATCH(Q43,SailPatternColor!$B:$B,0)),"-")</f>
        <v>47300011</v>
      </c>
      <c r="S43" s="30" t="s">
        <v>773</v>
      </c>
      <c r="T43" s="36">
        <f>IFERROR(INDEX(SailPatternColor!$A:$A,MATCH(S43,SailPatternColor!$B:$B,0)),"-")</f>
        <v>47300011</v>
      </c>
    </row>
    <row r="44" spans="1:20">
      <c r="A44" s="29">
        <v>47200035</v>
      </c>
      <c r="B44" s="30" t="s">
        <v>680</v>
      </c>
      <c r="C44" s="35" t="s">
        <v>681</v>
      </c>
      <c r="D44" s="35" t="s">
        <v>1700</v>
      </c>
      <c r="E44" s="88" t="b">
        <v>1</v>
      </c>
      <c r="F44" s="30" t="s">
        <v>757</v>
      </c>
      <c r="G44" s="35">
        <v>100001</v>
      </c>
      <c r="H44" s="35">
        <v>10000</v>
      </c>
      <c r="I44" s="30" t="s">
        <v>848</v>
      </c>
      <c r="J44" s="35">
        <v>100001</v>
      </c>
      <c r="K44" s="35">
        <v>100000</v>
      </c>
      <c r="L44" s="30" t="s">
        <v>1418</v>
      </c>
      <c r="M44" s="35">
        <v>23311234</v>
      </c>
      <c r="N44" s="35">
        <v>1</v>
      </c>
      <c r="O44" s="30" t="s">
        <v>1058</v>
      </c>
      <c r="P44" s="36">
        <f>IFERROR(INDEX(SailPatternColor!$A:$A,MATCH(O44,SailPatternColor!$B:$B,0)),"-")</f>
        <v>47300000</v>
      </c>
      <c r="Q44" s="30" t="s">
        <v>773</v>
      </c>
      <c r="R44" s="36">
        <f>IFERROR(INDEX(SailPatternColor!$A:$A,MATCH(Q44,SailPatternColor!$B:$B,0)),"-")</f>
        <v>47300011</v>
      </c>
      <c r="S44" s="30" t="s">
        <v>773</v>
      </c>
      <c r="T44" s="36">
        <f>IFERROR(INDEX(SailPatternColor!$A:$A,MATCH(S44,SailPatternColor!$B:$B,0)),"-")</f>
        <v>47300011</v>
      </c>
    </row>
    <row r="45" spans="1:20">
      <c r="A45" s="29">
        <v>47200036</v>
      </c>
      <c r="B45" s="30" t="s">
        <v>682</v>
      </c>
      <c r="C45" s="35" t="s">
        <v>683</v>
      </c>
      <c r="D45" s="35" t="s">
        <v>1701</v>
      </c>
      <c r="E45" s="88" t="b">
        <v>1</v>
      </c>
      <c r="F45" s="30" t="s">
        <v>757</v>
      </c>
      <c r="G45" s="35">
        <v>100001</v>
      </c>
      <c r="H45" s="35">
        <v>10000</v>
      </c>
      <c r="I45" s="30" t="s">
        <v>848</v>
      </c>
      <c r="J45" s="35">
        <v>100001</v>
      </c>
      <c r="K45" s="35">
        <v>100000</v>
      </c>
      <c r="L45" s="30" t="s">
        <v>1409</v>
      </c>
      <c r="M45" s="35">
        <v>23311235</v>
      </c>
      <c r="N45" s="35">
        <v>1</v>
      </c>
      <c r="O45" s="30" t="s">
        <v>1058</v>
      </c>
      <c r="P45" s="36">
        <f>IFERROR(INDEX(SailPatternColor!$A:$A,MATCH(O45,SailPatternColor!$B:$B,0)),"-")</f>
        <v>47300000</v>
      </c>
      <c r="Q45" s="30" t="s">
        <v>773</v>
      </c>
      <c r="R45" s="36">
        <f>IFERROR(INDEX(SailPatternColor!$A:$A,MATCH(Q45,SailPatternColor!$B:$B,0)),"-")</f>
        <v>47300011</v>
      </c>
      <c r="S45" s="30" t="s">
        <v>773</v>
      </c>
      <c r="T45" s="36">
        <f>IFERROR(INDEX(SailPatternColor!$A:$A,MATCH(S45,SailPatternColor!$B:$B,0)),"-")</f>
        <v>47300011</v>
      </c>
    </row>
    <row r="46" spans="1:20">
      <c r="A46" s="29">
        <v>47200037</v>
      </c>
      <c r="B46" s="30" t="s">
        <v>684</v>
      </c>
      <c r="C46" s="35" t="s">
        <v>685</v>
      </c>
      <c r="D46" s="35" t="s">
        <v>1702</v>
      </c>
      <c r="E46" s="88" t="b">
        <v>1</v>
      </c>
      <c r="F46" s="30" t="s">
        <v>757</v>
      </c>
      <c r="G46" s="35">
        <v>100001</v>
      </c>
      <c r="H46" s="35">
        <v>10000</v>
      </c>
      <c r="I46" s="30" t="s">
        <v>851</v>
      </c>
      <c r="J46" s="35" t="s">
        <v>830</v>
      </c>
      <c r="K46" s="35" t="s">
        <v>830</v>
      </c>
      <c r="L46" s="30" t="s">
        <v>1405</v>
      </c>
      <c r="M46" s="35">
        <v>23311236</v>
      </c>
      <c r="N46" s="35">
        <v>1</v>
      </c>
      <c r="O46" s="30" t="s">
        <v>773</v>
      </c>
      <c r="P46" s="36">
        <f>IFERROR(INDEX(SailPatternColor!$A:$A,MATCH(O46,SailPatternColor!$B:$B,0)),"-")</f>
        <v>47300011</v>
      </c>
      <c r="Q46" s="30" t="s">
        <v>773</v>
      </c>
      <c r="R46" s="36">
        <f>IFERROR(INDEX(SailPatternColor!$A:$A,MATCH(Q46,SailPatternColor!$B:$B,0)),"-")</f>
        <v>47300011</v>
      </c>
      <c r="S46" s="30" t="s">
        <v>773</v>
      </c>
      <c r="T46" s="36">
        <f>IFERROR(INDEX(SailPatternColor!$A:$A,MATCH(S46,SailPatternColor!$B:$B,0)),"-")</f>
        <v>47300011</v>
      </c>
    </row>
    <row r="47" spans="1:20">
      <c r="A47" s="29">
        <v>47200038</v>
      </c>
      <c r="B47" s="30" t="s">
        <v>686</v>
      </c>
      <c r="C47" s="35" t="s">
        <v>687</v>
      </c>
      <c r="D47" s="35" t="s">
        <v>1703</v>
      </c>
      <c r="E47" s="88" t="b">
        <v>1</v>
      </c>
      <c r="F47" s="30" t="s">
        <v>757</v>
      </c>
      <c r="G47" s="35">
        <v>100001</v>
      </c>
      <c r="H47" s="35">
        <v>10000</v>
      </c>
      <c r="I47" s="30" t="s">
        <v>849</v>
      </c>
      <c r="J47" s="35">
        <v>100003</v>
      </c>
      <c r="K47" s="35">
        <v>1000</v>
      </c>
      <c r="L47" s="30" t="s">
        <v>1420</v>
      </c>
      <c r="M47" s="35">
        <v>23311237</v>
      </c>
      <c r="N47" s="35">
        <v>1</v>
      </c>
      <c r="O47" s="30" t="s">
        <v>1058</v>
      </c>
      <c r="P47" s="36">
        <f>IFERROR(INDEX(SailPatternColor!$A:$A,MATCH(O47,SailPatternColor!$B:$B,0)),"-")</f>
        <v>47300000</v>
      </c>
      <c r="Q47" s="30" t="s">
        <v>773</v>
      </c>
      <c r="R47" s="36">
        <f>IFERROR(INDEX(SailPatternColor!$A:$A,MATCH(Q47,SailPatternColor!$B:$B,0)),"-")</f>
        <v>47300011</v>
      </c>
      <c r="S47" s="30" t="s">
        <v>773</v>
      </c>
      <c r="T47" s="36">
        <f>IFERROR(INDEX(SailPatternColor!$A:$A,MATCH(S47,SailPatternColor!$B:$B,0)),"-")</f>
        <v>47300011</v>
      </c>
    </row>
    <row r="48" spans="1:20">
      <c r="A48" s="29">
        <v>47200039</v>
      </c>
      <c r="B48" s="30" t="s">
        <v>688</v>
      </c>
      <c r="C48" s="35" t="s">
        <v>689</v>
      </c>
      <c r="D48" s="35" t="s">
        <v>1704</v>
      </c>
      <c r="E48" s="88" t="b">
        <v>1</v>
      </c>
      <c r="F48" s="30" t="s">
        <v>757</v>
      </c>
      <c r="G48" s="35">
        <v>100001</v>
      </c>
      <c r="H48" s="35">
        <v>10000</v>
      </c>
      <c r="I48" s="30" t="s">
        <v>848</v>
      </c>
      <c r="J48" s="35">
        <v>100001</v>
      </c>
      <c r="K48" s="35">
        <v>100000</v>
      </c>
      <c r="L48" s="30" t="s">
        <v>1421</v>
      </c>
      <c r="M48" s="35">
        <v>23311238</v>
      </c>
      <c r="N48" s="35">
        <v>1</v>
      </c>
      <c r="O48" s="30" t="s">
        <v>1058</v>
      </c>
      <c r="P48" s="36">
        <f>IFERROR(INDEX(SailPatternColor!$A:$A,MATCH(O48,SailPatternColor!$B:$B,0)),"-")</f>
        <v>47300000</v>
      </c>
      <c r="Q48" s="30" t="s">
        <v>773</v>
      </c>
      <c r="R48" s="36">
        <f>IFERROR(INDEX(SailPatternColor!$A:$A,MATCH(Q48,SailPatternColor!$B:$B,0)),"-")</f>
        <v>47300011</v>
      </c>
      <c r="S48" s="30" t="s">
        <v>773</v>
      </c>
      <c r="T48" s="36">
        <f>IFERROR(INDEX(SailPatternColor!$A:$A,MATCH(S48,SailPatternColor!$B:$B,0)),"-")</f>
        <v>47300011</v>
      </c>
    </row>
    <row r="49" spans="1:20">
      <c r="A49" s="29">
        <v>47200040</v>
      </c>
      <c r="B49" s="30" t="s">
        <v>690</v>
      </c>
      <c r="C49" s="35" t="s">
        <v>691</v>
      </c>
      <c r="D49" s="35" t="s">
        <v>1705</v>
      </c>
      <c r="E49" s="88" t="b">
        <v>1</v>
      </c>
      <c r="F49" s="30" t="s">
        <v>757</v>
      </c>
      <c r="G49" s="35">
        <v>100001</v>
      </c>
      <c r="H49" s="35">
        <v>10000</v>
      </c>
      <c r="I49" s="30" t="s">
        <v>849</v>
      </c>
      <c r="J49" s="35">
        <v>100003</v>
      </c>
      <c r="K49" s="35">
        <v>1000</v>
      </c>
      <c r="L49" s="30" t="s">
        <v>1422</v>
      </c>
      <c r="M49" s="35">
        <v>23311239</v>
      </c>
      <c r="N49" s="35">
        <v>1</v>
      </c>
      <c r="O49" s="30" t="s">
        <v>1058</v>
      </c>
      <c r="P49" s="36">
        <f>IFERROR(INDEX(SailPatternColor!$A:$A,MATCH(O49,SailPatternColor!$B:$B,0)),"-")</f>
        <v>47300000</v>
      </c>
      <c r="Q49" s="30" t="s">
        <v>773</v>
      </c>
      <c r="R49" s="36">
        <f>IFERROR(INDEX(SailPatternColor!$A:$A,MATCH(Q49,SailPatternColor!$B:$B,0)),"-")</f>
        <v>47300011</v>
      </c>
      <c r="S49" s="30" t="s">
        <v>773</v>
      </c>
      <c r="T49" s="36">
        <f>IFERROR(INDEX(SailPatternColor!$A:$A,MATCH(S49,SailPatternColor!$B:$B,0)),"-")</f>
        <v>47300011</v>
      </c>
    </row>
    <row r="50" spans="1:20">
      <c r="A50" s="29">
        <v>47200041</v>
      </c>
      <c r="B50" s="30" t="s">
        <v>692</v>
      </c>
      <c r="C50" s="35" t="s">
        <v>693</v>
      </c>
      <c r="D50" s="35" t="s">
        <v>1706</v>
      </c>
      <c r="E50" s="88" t="b">
        <v>1</v>
      </c>
      <c r="F50" s="30" t="s">
        <v>757</v>
      </c>
      <c r="G50" s="35">
        <v>100001</v>
      </c>
      <c r="H50" s="35">
        <v>10000</v>
      </c>
      <c r="I50" s="30" t="s">
        <v>851</v>
      </c>
      <c r="J50" s="35" t="s">
        <v>830</v>
      </c>
      <c r="K50" s="35" t="s">
        <v>830</v>
      </c>
      <c r="L50" s="30" t="s">
        <v>1423</v>
      </c>
      <c r="M50" s="35">
        <v>23311240</v>
      </c>
      <c r="N50" s="35">
        <v>1</v>
      </c>
      <c r="O50" s="30" t="s">
        <v>773</v>
      </c>
      <c r="P50" s="36">
        <f>IFERROR(INDEX(SailPatternColor!$A:$A,MATCH(O50,SailPatternColor!$B:$B,0)),"-")</f>
        <v>47300011</v>
      </c>
      <c r="Q50" s="30" t="s">
        <v>773</v>
      </c>
      <c r="R50" s="36">
        <f>IFERROR(INDEX(SailPatternColor!$A:$A,MATCH(Q50,SailPatternColor!$B:$B,0)),"-")</f>
        <v>47300011</v>
      </c>
      <c r="S50" s="30" t="s">
        <v>773</v>
      </c>
      <c r="T50" s="36">
        <f>IFERROR(INDEX(SailPatternColor!$A:$A,MATCH(S50,SailPatternColor!$B:$B,0)),"-")</f>
        <v>47300011</v>
      </c>
    </row>
    <row r="51" spans="1:20">
      <c r="A51" s="29">
        <v>47200042</v>
      </c>
      <c r="B51" s="30" t="s">
        <v>694</v>
      </c>
      <c r="C51" s="35" t="s">
        <v>695</v>
      </c>
      <c r="D51" s="35" t="s">
        <v>1707</v>
      </c>
      <c r="E51" s="88" t="b">
        <v>1</v>
      </c>
      <c r="F51" s="30" t="s">
        <v>757</v>
      </c>
      <c r="G51" s="35">
        <v>100001</v>
      </c>
      <c r="H51" s="35">
        <v>10000</v>
      </c>
      <c r="I51" s="30" t="s">
        <v>848</v>
      </c>
      <c r="J51" s="35">
        <v>100001</v>
      </c>
      <c r="K51" s="35">
        <v>1000</v>
      </c>
      <c r="L51" s="30" t="s">
        <v>1405</v>
      </c>
      <c r="M51" s="35">
        <v>23311241</v>
      </c>
      <c r="N51" s="35">
        <v>1</v>
      </c>
      <c r="O51" s="30" t="s">
        <v>1058</v>
      </c>
      <c r="P51" s="36">
        <f>IFERROR(INDEX(SailPatternColor!$A:$A,MATCH(O51,SailPatternColor!$B:$B,0)),"-")</f>
        <v>47300000</v>
      </c>
      <c r="Q51" s="30" t="s">
        <v>773</v>
      </c>
      <c r="R51" s="36">
        <f>IFERROR(INDEX(SailPatternColor!$A:$A,MATCH(Q51,SailPatternColor!$B:$B,0)),"-")</f>
        <v>47300011</v>
      </c>
      <c r="S51" s="30" t="s">
        <v>773</v>
      </c>
      <c r="T51" s="36">
        <f>IFERROR(INDEX(SailPatternColor!$A:$A,MATCH(S51,SailPatternColor!$B:$B,0)),"-")</f>
        <v>47300011</v>
      </c>
    </row>
    <row r="52" spans="1:20">
      <c r="A52" s="29">
        <v>47200043</v>
      </c>
      <c r="B52" s="30" t="s">
        <v>696</v>
      </c>
      <c r="C52" s="35" t="s">
        <v>697</v>
      </c>
      <c r="D52" s="35" t="s">
        <v>1708</v>
      </c>
      <c r="E52" s="88" t="b">
        <v>1</v>
      </c>
      <c r="F52" s="30" t="s">
        <v>757</v>
      </c>
      <c r="G52" s="35">
        <v>100001</v>
      </c>
      <c r="H52" s="35">
        <v>10000</v>
      </c>
      <c r="I52" s="30" t="s">
        <v>849</v>
      </c>
      <c r="J52" s="35">
        <v>100003</v>
      </c>
      <c r="K52" s="35">
        <v>1000</v>
      </c>
      <c r="L52" s="30" t="s">
        <v>1424</v>
      </c>
      <c r="M52" s="35">
        <v>23311242</v>
      </c>
      <c r="N52" s="35">
        <v>1</v>
      </c>
      <c r="O52" s="30" t="s">
        <v>1058</v>
      </c>
      <c r="P52" s="36">
        <f>IFERROR(INDEX(SailPatternColor!$A:$A,MATCH(O52,SailPatternColor!$B:$B,0)),"-")</f>
        <v>47300000</v>
      </c>
      <c r="Q52" s="30" t="s">
        <v>773</v>
      </c>
      <c r="R52" s="36">
        <f>IFERROR(INDEX(SailPatternColor!$A:$A,MATCH(Q52,SailPatternColor!$B:$B,0)),"-")</f>
        <v>47300011</v>
      </c>
      <c r="S52" s="30" t="s">
        <v>773</v>
      </c>
      <c r="T52" s="36">
        <f>IFERROR(INDEX(SailPatternColor!$A:$A,MATCH(S52,SailPatternColor!$B:$B,0)),"-")</f>
        <v>47300011</v>
      </c>
    </row>
    <row r="53" spans="1:20">
      <c r="A53" s="29">
        <v>47200044</v>
      </c>
      <c r="B53" s="30" t="s">
        <v>698</v>
      </c>
      <c r="C53" s="35" t="s">
        <v>699</v>
      </c>
      <c r="D53" s="35" t="s">
        <v>1709</v>
      </c>
      <c r="E53" s="88" t="b">
        <v>1</v>
      </c>
      <c r="F53" s="30" t="s">
        <v>757</v>
      </c>
      <c r="G53" s="35">
        <v>100001</v>
      </c>
      <c r="H53" s="35">
        <v>10000</v>
      </c>
      <c r="I53" s="30" t="s">
        <v>849</v>
      </c>
      <c r="J53" s="35">
        <v>100003</v>
      </c>
      <c r="K53" s="35">
        <v>1000</v>
      </c>
      <c r="L53" s="30" t="s">
        <v>1425</v>
      </c>
      <c r="M53" s="35">
        <v>23311243</v>
      </c>
      <c r="N53" s="35">
        <v>1</v>
      </c>
      <c r="O53" s="30" t="s">
        <v>1058</v>
      </c>
      <c r="P53" s="36">
        <f>IFERROR(INDEX(SailPatternColor!$A:$A,MATCH(O53,SailPatternColor!$B:$B,0)),"-")</f>
        <v>47300000</v>
      </c>
      <c r="Q53" s="30" t="s">
        <v>773</v>
      </c>
      <c r="R53" s="36">
        <f>IFERROR(INDEX(SailPatternColor!$A:$A,MATCH(Q53,SailPatternColor!$B:$B,0)),"-")</f>
        <v>47300011</v>
      </c>
      <c r="S53" s="30" t="s">
        <v>773</v>
      </c>
      <c r="T53" s="36">
        <f>IFERROR(INDEX(SailPatternColor!$A:$A,MATCH(S53,SailPatternColor!$B:$B,0)),"-")</f>
        <v>47300011</v>
      </c>
    </row>
    <row r="54" spans="1:20">
      <c r="A54" s="29">
        <v>47200045</v>
      </c>
      <c r="B54" s="30" t="s">
        <v>700</v>
      </c>
      <c r="C54" s="35" t="s">
        <v>701</v>
      </c>
      <c r="D54" s="35" t="s">
        <v>1710</v>
      </c>
      <c r="E54" s="88" t="b">
        <v>1</v>
      </c>
      <c r="F54" s="30" t="s">
        <v>757</v>
      </c>
      <c r="G54" s="35">
        <v>100001</v>
      </c>
      <c r="H54" s="35">
        <v>10000</v>
      </c>
      <c r="I54" s="30" t="s">
        <v>848</v>
      </c>
      <c r="J54" s="35">
        <v>100001</v>
      </c>
      <c r="K54" s="35">
        <v>100000</v>
      </c>
      <c r="L54" s="30" t="s">
        <v>1420</v>
      </c>
      <c r="M54" s="35">
        <v>23311244</v>
      </c>
      <c r="N54" s="35">
        <v>1</v>
      </c>
      <c r="O54" s="30" t="s">
        <v>1058</v>
      </c>
      <c r="P54" s="36">
        <f>IFERROR(INDEX(SailPatternColor!$A:$A,MATCH(O54,SailPatternColor!$B:$B,0)),"-")</f>
        <v>47300000</v>
      </c>
      <c r="Q54" s="30" t="s">
        <v>773</v>
      </c>
      <c r="R54" s="36">
        <f>IFERROR(INDEX(SailPatternColor!$A:$A,MATCH(Q54,SailPatternColor!$B:$B,0)),"-")</f>
        <v>47300011</v>
      </c>
      <c r="S54" s="30" t="s">
        <v>773</v>
      </c>
      <c r="T54" s="36">
        <f>IFERROR(INDEX(SailPatternColor!$A:$A,MATCH(S54,SailPatternColor!$B:$B,0)),"-")</f>
        <v>47300011</v>
      </c>
    </row>
    <row r="55" spans="1:20">
      <c r="A55" s="29">
        <v>47200046</v>
      </c>
      <c r="B55" s="30" t="s">
        <v>702</v>
      </c>
      <c r="C55" s="35" t="s">
        <v>703</v>
      </c>
      <c r="D55" s="35" t="s">
        <v>1711</v>
      </c>
      <c r="E55" s="88" t="b">
        <v>1</v>
      </c>
      <c r="F55" s="30" t="s">
        <v>757</v>
      </c>
      <c r="G55" s="35">
        <v>100001</v>
      </c>
      <c r="H55" s="35">
        <v>10000</v>
      </c>
      <c r="I55" s="30" t="s">
        <v>848</v>
      </c>
      <c r="J55" s="35">
        <v>100001</v>
      </c>
      <c r="K55" s="35">
        <v>100000</v>
      </c>
      <c r="L55" s="30" t="s">
        <v>1426</v>
      </c>
      <c r="M55" s="35">
        <v>23311245</v>
      </c>
      <c r="N55" s="35">
        <v>1</v>
      </c>
      <c r="O55" s="30" t="s">
        <v>1058</v>
      </c>
      <c r="P55" s="36">
        <f>IFERROR(INDEX(SailPatternColor!$A:$A,MATCH(O55,SailPatternColor!$B:$B,0)),"-")</f>
        <v>47300000</v>
      </c>
      <c r="Q55" s="30" t="s">
        <v>773</v>
      </c>
      <c r="R55" s="36">
        <f>IFERROR(INDEX(SailPatternColor!$A:$A,MATCH(Q55,SailPatternColor!$B:$B,0)),"-")</f>
        <v>47300011</v>
      </c>
      <c r="S55" s="30" t="s">
        <v>773</v>
      </c>
      <c r="T55" s="36">
        <f>IFERROR(INDEX(SailPatternColor!$A:$A,MATCH(S55,SailPatternColor!$B:$B,0)),"-")</f>
        <v>47300011</v>
      </c>
    </row>
    <row r="56" spans="1:20">
      <c r="A56" s="29">
        <v>47200047</v>
      </c>
      <c r="B56" s="30" t="s">
        <v>704</v>
      </c>
      <c r="C56" s="35" t="s">
        <v>705</v>
      </c>
      <c r="D56" s="35" t="s">
        <v>1712</v>
      </c>
      <c r="E56" s="88" t="b">
        <v>1</v>
      </c>
      <c r="F56" s="30" t="s">
        <v>757</v>
      </c>
      <c r="G56" s="35">
        <v>100001</v>
      </c>
      <c r="H56" s="35">
        <v>10000</v>
      </c>
      <c r="I56" s="30" t="s">
        <v>848</v>
      </c>
      <c r="J56" s="35">
        <v>100001</v>
      </c>
      <c r="K56" s="35">
        <v>100000</v>
      </c>
      <c r="L56" s="30" t="s">
        <v>1427</v>
      </c>
      <c r="M56" s="35">
        <v>23311246</v>
      </c>
      <c r="N56" s="35">
        <v>1</v>
      </c>
      <c r="O56" s="30" t="s">
        <v>1058</v>
      </c>
      <c r="P56" s="36">
        <f>IFERROR(INDEX(SailPatternColor!$A:$A,MATCH(O56,SailPatternColor!$B:$B,0)),"-")</f>
        <v>47300000</v>
      </c>
      <c r="Q56" s="30" t="s">
        <v>773</v>
      </c>
      <c r="R56" s="36">
        <f>IFERROR(INDEX(SailPatternColor!$A:$A,MATCH(Q56,SailPatternColor!$B:$B,0)),"-")</f>
        <v>47300011</v>
      </c>
      <c r="S56" s="30" t="s">
        <v>773</v>
      </c>
      <c r="T56" s="36">
        <f>IFERROR(INDEX(SailPatternColor!$A:$A,MATCH(S56,SailPatternColor!$B:$B,0)),"-")</f>
        <v>47300011</v>
      </c>
    </row>
    <row r="57" spans="1:20">
      <c r="A57" s="29">
        <v>47200048</v>
      </c>
      <c r="B57" s="30" t="s">
        <v>706</v>
      </c>
      <c r="C57" s="35" t="s">
        <v>707</v>
      </c>
      <c r="D57" s="35" t="s">
        <v>1713</v>
      </c>
      <c r="E57" s="88" t="b">
        <v>1</v>
      </c>
      <c r="F57" s="30" t="s">
        <v>757</v>
      </c>
      <c r="G57" s="35">
        <v>100001</v>
      </c>
      <c r="H57" s="35">
        <v>10000</v>
      </c>
      <c r="I57" s="30" t="s">
        <v>848</v>
      </c>
      <c r="J57" s="35">
        <v>100001</v>
      </c>
      <c r="K57" s="35">
        <v>100000</v>
      </c>
      <c r="L57" s="30" t="s">
        <v>1428</v>
      </c>
      <c r="M57" s="35">
        <v>23311247</v>
      </c>
      <c r="N57" s="35">
        <v>1</v>
      </c>
      <c r="O57" s="30" t="s">
        <v>1058</v>
      </c>
      <c r="P57" s="36">
        <f>IFERROR(INDEX(SailPatternColor!$A:$A,MATCH(O57,SailPatternColor!$B:$B,0)),"-")</f>
        <v>47300000</v>
      </c>
      <c r="Q57" s="30" t="s">
        <v>773</v>
      </c>
      <c r="R57" s="36">
        <f>IFERROR(INDEX(SailPatternColor!$A:$A,MATCH(Q57,SailPatternColor!$B:$B,0)),"-")</f>
        <v>47300011</v>
      </c>
      <c r="S57" s="30" t="s">
        <v>773</v>
      </c>
      <c r="T57" s="36">
        <f>IFERROR(INDEX(SailPatternColor!$A:$A,MATCH(S57,SailPatternColor!$B:$B,0)),"-")</f>
        <v>47300011</v>
      </c>
    </row>
    <row r="58" spans="1:20">
      <c r="A58" s="29">
        <v>47200049</v>
      </c>
      <c r="B58" s="30" t="s">
        <v>708</v>
      </c>
      <c r="C58" s="35" t="s">
        <v>709</v>
      </c>
      <c r="D58" s="35" t="s">
        <v>1714</v>
      </c>
      <c r="E58" s="88" t="b">
        <v>1</v>
      </c>
      <c r="F58" s="30" t="s">
        <v>757</v>
      </c>
      <c r="G58" s="35">
        <v>100001</v>
      </c>
      <c r="H58" s="35">
        <v>10000</v>
      </c>
      <c r="I58" s="30" t="s">
        <v>848</v>
      </c>
      <c r="J58" s="35">
        <v>100001</v>
      </c>
      <c r="K58" s="35">
        <v>100000</v>
      </c>
      <c r="L58" s="30" t="s">
        <v>1426</v>
      </c>
      <c r="M58" s="35">
        <v>23311248</v>
      </c>
      <c r="N58" s="35">
        <v>1</v>
      </c>
      <c r="O58" s="30" t="s">
        <v>1058</v>
      </c>
      <c r="P58" s="36">
        <f>IFERROR(INDEX(SailPatternColor!$A:$A,MATCH(O58,SailPatternColor!$B:$B,0)),"-")</f>
        <v>47300000</v>
      </c>
      <c r="Q58" s="30" t="s">
        <v>773</v>
      </c>
      <c r="R58" s="36">
        <f>IFERROR(INDEX(SailPatternColor!$A:$A,MATCH(Q58,SailPatternColor!$B:$B,0)),"-")</f>
        <v>47300011</v>
      </c>
      <c r="S58" s="30" t="s">
        <v>773</v>
      </c>
      <c r="T58" s="36">
        <f>IFERROR(INDEX(SailPatternColor!$A:$A,MATCH(S58,SailPatternColor!$B:$B,0)),"-")</f>
        <v>47300011</v>
      </c>
    </row>
    <row r="59" spans="1:20">
      <c r="A59" s="29">
        <v>47200050</v>
      </c>
      <c r="B59" s="30" t="s">
        <v>710</v>
      </c>
      <c r="C59" s="35" t="s">
        <v>711</v>
      </c>
      <c r="D59" s="35" t="s">
        <v>1715</v>
      </c>
      <c r="E59" s="88" t="b">
        <v>1</v>
      </c>
      <c r="F59" s="30" t="s">
        <v>757</v>
      </c>
      <c r="G59" s="35">
        <v>100001</v>
      </c>
      <c r="H59" s="35">
        <v>10000</v>
      </c>
      <c r="I59" s="30" t="s">
        <v>848</v>
      </c>
      <c r="J59" s="35">
        <v>100001</v>
      </c>
      <c r="K59" s="35">
        <v>100000</v>
      </c>
      <c r="L59" s="30" t="s">
        <v>1426</v>
      </c>
      <c r="M59" s="35">
        <v>23311249</v>
      </c>
      <c r="N59" s="35">
        <v>1</v>
      </c>
      <c r="O59" s="30" t="s">
        <v>1058</v>
      </c>
      <c r="P59" s="36">
        <f>IFERROR(INDEX(SailPatternColor!$A:$A,MATCH(O59,SailPatternColor!$B:$B,0)),"-")</f>
        <v>47300000</v>
      </c>
      <c r="Q59" s="30" t="s">
        <v>773</v>
      </c>
      <c r="R59" s="36">
        <f>IFERROR(INDEX(SailPatternColor!$A:$A,MATCH(Q59,SailPatternColor!$B:$B,0)),"-")</f>
        <v>47300011</v>
      </c>
      <c r="S59" s="30" t="s">
        <v>773</v>
      </c>
      <c r="T59" s="36">
        <f>IFERROR(INDEX(SailPatternColor!$A:$A,MATCH(S59,SailPatternColor!$B:$B,0)),"-")</f>
        <v>47300011</v>
      </c>
    </row>
    <row r="60" spans="1:20">
      <c r="A60" s="29">
        <v>47200051</v>
      </c>
      <c r="B60" s="30" t="s">
        <v>712</v>
      </c>
      <c r="C60" s="35" t="s">
        <v>713</v>
      </c>
      <c r="D60" s="35" t="s">
        <v>1716</v>
      </c>
      <c r="E60" s="88" t="b">
        <v>1</v>
      </c>
      <c r="F60" s="30" t="s">
        <v>757</v>
      </c>
      <c r="G60" s="35">
        <v>100001</v>
      </c>
      <c r="H60" s="35">
        <v>10000</v>
      </c>
      <c r="I60" s="30" t="s">
        <v>851</v>
      </c>
      <c r="J60" s="35" t="s">
        <v>830</v>
      </c>
      <c r="K60" s="35" t="s">
        <v>830</v>
      </c>
      <c r="L60" s="30" t="s">
        <v>1429</v>
      </c>
      <c r="M60" s="35">
        <v>23311250</v>
      </c>
      <c r="N60" s="35">
        <v>1</v>
      </c>
      <c r="O60" s="30" t="s">
        <v>773</v>
      </c>
      <c r="P60" s="36">
        <f>IFERROR(INDEX(SailPatternColor!$A:$A,MATCH(O60,SailPatternColor!$B:$B,0)),"-")</f>
        <v>47300011</v>
      </c>
      <c r="Q60" s="30" t="s">
        <v>773</v>
      </c>
      <c r="R60" s="36">
        <f>IFERROR(INDEX(SailPatternColor!$A:$A,MATCH(Q60,SailPatternColor!$B:$B,0)),"-")</f>
        <v>47300011</v>
      </c>
      <c r="S60" s="30" t="s">
        <v>773</v>
      </c>
      <c r="T60" s="36">
        <f>IFERROR(INDEX(SailPatternColor!$A:$A,MATCH(S60,SailPatternColor!$B:$B,0)),"-")</f>
        <v>47300011</v>
      </c>
    </row>
    <row r="61" spans="1:20">
      <c r="A61" s="29">
        <v>47200052</v>
      </c>
      <c r="B61" s="30" t="s">
        <v>714</v>
      </c>
      <c r="C61" s="35" t="s">
        <v>715</v>
      </c>
      <c r="D61" s="35" t="s">
        <v>1717</v>
      </c>
      <c r="E61" s="88" t="b">
        <v>1</v>
      </c>
      <c r="F61" s="30" t="s">
        <v>757</v>
      </c>
      <c r="G61" s="35">
        <v>100001</v>
      </c>
      <c r="H61" s="35">
        <v>10000</v>
      </c>
      <c r="I61" s="30" t="s">
        <v>851</v>
      </c>
      <c r="J61" s="35" t="s">
        <v>830</v>
      </c>
      <c r="K61" s="35" t="s">
        <v>830</v>
      </c>
      <c r="L61" s="30" t="s">
        <v>1429</v>
      </c>
      <c r="M61" s="35">
        <v>23311251</v>
      </c>
      <c r="N61" s="35">
        <v>1</v>
      </c>
      <c r="O61" s="30" t="s">
        <v>773</v>
      </c>
      <c r="P61" s="36">
        <f>IFERROR(INDEX(SailPatternColor!$A:$A,MATCH(O61,SailPatternColor!$B:$B,0)),"-")</f>
        <v>47300011</v>
      </c>
      <c r="Q61" s="30" t="s">
        <v>773</v>
      </c>
      <c r="R61" s="36">
        <f>IFERROR(INDEX(SailPatternColor!$A:$A,MATCH(Q61,SailPatternColor!$B:$B,0)),"-")</f>
        <v>47300011</v>
      </c>
      <c r="S61" s="30" t="s">
        <v>773</v>
      </c>
      <c r="T61" s="36">
        <f>IFERROR(INDEX(SailPatternColor!$A:$A,MATCH(S61,SailPatternColor!$B:$B,0)),"-")</f>
        <v>47300011</v>
      </c>
    </row>
    <row r="62" spans="1:20">
      <c r="A62" s="29">
        <v>47200053</v>
      </c>
      <c r="B62" s="30" t="s">
        <v>716</v>
      </c>
      <c r="C62" s="35" t="s">
        <v>717</v>
      </c>
      <c r="D62" s="35" t="s">
        <v>1718</v>
      </c>
      <c r="E62" s="88" t="b">
        <v>1</v>
      </c>
      <c r="F62" s="30" t="s">
        <v>757</v>
      </c>
      <c r="G62" s="35">
        <v>100001</v>
      </c>
      <c r="H62" s="35">
        <v>10000</v>
      </c>
      <c r="I62" s="30" t="s">
        <v>851</v>
      </c>
      <c r="J62" s="35" t="s">
        <v>830</v>
      </c>
      <c r="K62" s="35" t="s">
        <v>830</v>
      </c>
      <c r="L62" s="30" t="s">
        <v>1429</v>
      </c>
      <c r="M62" s="35">
        <v>23311252</v>
      </c>
      <c r="N62" s="35">
        <v>1</v>
      </c>
      <c r="O62" s="30" t="s">
        <v>773</v>
      </c>
      <c r="P62" s="36">
        <f>IFERROR(INDEX(SailPatternColor!$A:$A,MATCH(O62,SailPatternColor!$B:$B,0)),"-")</f>
        <v>47300011</v>
      </c>
      <c r="Q62" s="30" t="s">
        <v>773</v>
      </c>
      <c r="R62" s="36">
        <f>IFERROR(INDEX(SailPatternColor!$A:$A,MATCH(Q62,SailPatternColor!$B:$B,0)),"-")</f>
        <v>47300011</v>
      </c>
      <c r="S62" s="30" t="s">
        <v>773</v>
      </c>
      <c r="T62" s="36">
        <f>IFERROR(INDEX(SailPatternColor!$A:$A,MATCH(S62,SailPatternColor!$B:$B,0)),"-")</f>
        <v>47300011</v>
      </c>
    </row>
    <row r="63" spans="1:20">
      <c r="A63" s="29">
        <v>47200054</v>
      </c>
      <c r="B63" s="30" t="s">
        <v>718</v>
      </c>
      <c r="C63" s="35" t="s">
        <v>719</v>
      </c>
      <c r="D63" s="35" t="s">
        <v>1719</v>
      </c>
      <c r="E63" s="88" t="b">
        <v>1</v>
      </c>
      <c r="F63" s="30" t="s">
        <v>757</v>
      </c>
      <c r="G63" s="35">
        <v>100001</v>
      </c>
      <c r="H63" s="35">
        <v>10000</v>
      </c>
      <c r="I63" s="30" t="s">
        <v>851</v>
      </c>
      <c r="J63" s="35" t="s">
        <v>830</v>
      </c>
      <c r="K63" s="35" t="s">
        <v>830</v>
      </c>
      <c r="L63" s="30" t="s">
        <v>1429</v>
      </c>
      <c r="M63" s="35">
        <v>23311253</v>
      </c>
      <c r="N63" s="35">
        <v>1</v>
      </c>
      <c r="O63" s="30" t="s">
        <v>773</v>
      </c>
      <c r="P63" s="36">
        <f>IFERROR(INDEX(SailPatternColor!$A:$A,MATCH(O63,SailPatternColor!$B:$B,0)),"-")</f>
        <v>47300011</v>
      </c>
      <c r="Q63" s="30" t="s">
        <v>773</v>
      </c>
      <c r="R63" s="36">
        <f>IFERROR(INDEX(SailPatternColor!$A:$A,MATCH(Q63,SailPatternColor!$B:$B,0)),"-")</f>
        <v>47300011</v>
      </c>
      <c r="S63" s="30" t="s">
        <v>773</v>
      </c>
      <c r="T63" s="36">
        <f>IFERROR(INDEX(SailPatternColor!$A:$A,MATCH(S63,SailPatternColor!$B:$B,0)),"-")</f>
        <v>47300011</v>
      </c>
    </row>
    <row r="64" spans="1:20">
      <c r="A64" s="29">
        <v>47200056</v>
      </c>
      <c r="B64" s="30" t="s">
        <v>720</v>
      </c>
      <c r="C64" s="35" t="s">
        <v>721</v>
      </c>
      <c r="D64" s="35" t="s">
        <v>1720</v>
      </c>
      <c r="E64" s="88" t="b">
        <v>1</v>
      </c>
      <c r="F64" s="30" t="s">
        <v>757</v>
      </c>
      <c r="G64" s="35">
        <v>100001</v>
      </c>
      <c r="H64" s="35">
        <v>10000</v>
      </c>
      <c r="I64" s="30" t="s">
        <v>851</v>
      </c>
      <c r="J64" s="35" t="s">
        <v>830</v>
      </c>
      <c r="K64" s="35" t="s">
        <v>830</v>
      </c>
      <c r="L64" s="30" t="s">
        <v>1429</v>
      </c>
      <c r="M64" s="35">
        <v>23311255</v>
      </c>
      <c r="N64" s="35">
        <v>1</v>
      </c>
      <c r="O64" s="30" t="s">
        <v>773</v>
      </c>
      <c r="P64" s="36">
        <f>IFERROR(INDEX(SailPatternColor!$A:$A,MATCH(O64,SailPatternColor!$B:$B,0)),"-")</f>
        <v>47300011</v>
      </c>
      <c r="Q64" s="30" t="s">
        <v>773</v>
      </c>
      <c r="R64" s="36">
        <f>IFERROR(INDEX(SailPatternColor!$A:$A,MATCH(Q64,SailPatternColor!$B:$B,0)),"-")</f>
        <v>47300011</v>
      </c>
      <c r="S64" s="30" t="s">
        <v>773</v>
      </c>
      <c r="T64" s="36">
        <f>IFERROR(INDEX(SailPatternColor!$A:$A,MATCH(S64,SailPatternColor!$B:$B,0)),"-")</f>
        <v>47300011</v>
      </c>
    </row>
    <row r="65" spans="1:21">
      <c r="A65" s="29">
        <v>47200057</v>
      </c>
      <c r="B65" s="30" t="s">
        <v>722</v>
      </c>
      <c r="C65" s="35" t="s">
        <v>723</v>
      </c>
      <c r="D65" s="35" t="s">
        <v>1721</v>
      </c>
      <c r="E65" s="88" t="b">
        <v>1</v>
      </c>
      <c r="F65" s="30" t="s">
        <v>757</v>
      </c>
      <c r="G65" s="35">
        <v>100001</v>
      </c>
      <c r="H65" s="35">
        <v>10000</v>
      </c>
      <c r="I65" s="30" t="s">
        <v>851</v>
      </c>
      <c r="J65" s="35" t="s">
        <v>830</v>
      </c>
      <c r="K65" s="35" t="s">
        <v>830</v>
      </c>
      <c r="L65" s="30" t="s">
        <v>1429</v>
      </c>
      <c r="M65" s="35">
        <v>23311256</v>
      </c>
      <c r="N65" s="35">
        <v>1</v>
      </c>
      <c r="O65" s="30" t="s">
        <v>773</v>
      </c>
      <c r="P65" s="36">
        <f>IFERROR(INDEX(SailPatternColor!$A:$A,MATCH(O65,SailPatternColor!$B:$B,0)),"-")</f>
        <v>47300011</v>
      </c>
      <c r="Q65" s="30" t="s">
        <v>773</v>
      </c>
      <c r="R65" s="36">
        <f>IFERROR(INDEX(SailPatternColor!$A:$A,MATCH(Q65,SailPatternColor!$B:$B,0)),"-")</f>
        <v>47300011</v>
      </c>
      <c r="S65" s="30" t="s">
        <v>773</v>
      </c>
      <c r="T65" s="36">
        <f>IFERROR(INDEX(SailPatternColor!$A:$A,MATCH(S65,SailPatternColor!$B:$B,0)),"-")</f>
        <v>47300011</v>
      </c>
    </row>
    <row r="66" spans="1:21">
      <c r="A66" s="29">
        <v>47290001</v>
      </c>
      <c r="B66" s="30" t="s">
        <v>813</v>
      </c>
      <c r="C66" s="35" t="s">
        <v>613</v>
      </c>
      <c r="D66" s="35" t="s">
        <v>1721</v>
      </c>
      <c r="E66" s="89" t="b">
        <v>0</v>
      </c>
      <c r="F66" s="30" t="s">
        <v>830</v>
      </c>
      <c r="G66" s="35" t="s">
        <v>850</v>
      </c>
      <c r="H66" s="35" t="s">
        <v>830</v>
      </c>
      <c r="I66" s="30" t="s">
        <v>830</v>
      </c>
      <c r="J66" s="35" t="s">
        <v>850</v>
      </c>
      <c r="K66" s="35" t="s">
        <v>830</v>
      </c>
      <c r="L66" s="30" t="s">
        <v>830</v>
      </c>
      <c r="M66" s="35" t="s">
        <v>830</v>
      </c>
      <c r="N66" s="35" t="s">
        <v>830</v>
      </c>
      <c r="O66" s="30" t="s">
        <v>821</v>
      </c>
      <c r="P66" s="36">
        <f>IFERROR(INDEX(SailPatternColor!$A:$A,MATCH(O66,SailPatternColor!$B:$B,0)),"-")</f>
        <v>47300002</v>
      </c>
      <c r="Q66" s="30" t="s">
        <v>765</v>
      </c>
      <c r="R66" s="36">
        <f>IFERROR(INDEX(SailPatternColor!$A:$A,MATCH(Q66,SailPatternColor!$B:$B,0)),"-")</f>
        <v>47300003</v>
      </c>
      <c r="S66" s="30" t="s">
        <v>767</v>
      </c>
      <c r="T66" s="36">
        <f>IFERROR(INDEX(SailPatternColor!$A:$A,MATCH(S66,SailPatternColor!$B:$B,0)),"-")</f>
        <v>47300005</v>
      </c>
    </row>
    <row r="67" spans="1:21">
      <c r="A67" s="29">
        <v>47290002</v>
      </c>
      <c r="B67" s="30" t="s">
        <v>814</v>
      </c>
      <c r="C67" s="35" t="s">
        <v>617</v>
      </c>
      <c r="D67" s="35" t="s">
        <v>1721</v>
      </c>
      <c r="E67" s="89" t="b">
        <v>0</v>
      </c>
      <c r="F67" s="30" t="s">
        <v>830</v>
      </c>
      <c r="G67" s="35" t="s">
        <v>850</v>
      </c>
      <c r="H67" s="35" t="s">
        <v>830</v>
      </c>
      <c r="I67" s="30" t="s">
        <v>830</v>
      </c>
      <c r="J67" s="35" t="s">
        <v>850</v>
      </c>
      <c r="K67" s="35" t="s">
        <v>830</v>
      </c>
      <c r="L67" s="30" t="s">
        <v>830</v>
      </c>
      <c r="M67" s="35" t="s">
        <v>830</v>
      </c>
      <c r="N67" s="35" t="s">
        <v>830</v>
      </c>
      <c r="O67" s="30" t="s">
        <v>821</v>
      </c>
      <c r="P67" s="36">
        <f>IFERROR(INDEX(SailPatternColor!$A:$A,MATCH(O67,SailPatternColor!$B:$B,0)),"-")</f>
        <v>47300002</v>
      </c>
      <c r="Q67" s="30" t="s">
        <v>766</v>
      </c>
      <c r="R67" s="36">
        <f>IFERROR(INDEX(SailPatternColor!$A:$A,MATCH(Q67,SailPatternColor!$B:$B,0)),"-")</f>
        <v>47300004</v>
      </c>
      <c r="S67" s="30" t="s">
        <v>770</v>
      </c>
      <c r="T67" s="36">
        <f>IFERROR(INDEX(SailPatternColor!$A:$A,MATCH(S67,SailPatternColor!$B:$B,0)),"-")</f>
        <v>47300008</v>
      </c>
    </row>
    <row r="68" spans="1:21">
      <c r="A68" s="29">
        <v>47290003</v>
      </c>
      <c r="B68" s="30" t="s">
        <v>815</v>
      </c>
      <c r="C68" s="35" t="s">
        <v>619</v>
      </c>
      <c r="D68" s="35" t="s">
        <v>1721</v>
      </c>
      <c r="E68" s="89" t="b">
        <v>0</v>
      </c>
      <c r="F68" s="30" t="s">
        <v>830</v>
      </c>
      <c r="G68" s="35" t="s">
        <v>850</v>
      </c>
      <c r="H68" s="35" t="s">
        <v>830</v>
      </c>
      <c r="I68" s="30" t="s">
        <v>830</v>
      </c>
      <c r="J68" s="35" t="s">
        <v>850</v>
      </c>
      <c r="K68" s="35" t="s">
        <v>830</v>
      </c>
      <c r="L68" s="30" t="s">
        <v>830</v>
      </c>
      <c r="M68" s="35" t="s">
        <v>830</v>
      </c>
      <c r="N68" s="35" t="s">
        <v>830</v>
      </c>
      <c r="O68" s="30" t="s">
        <v>821</v>
      </c>
      <c r="P68" s="36">
        <f>IFERROR(INDEX(SailPatternColor!$A:$A,MATCH(O68,SailPatternColor!$B:$B,0)),"-")</f>
        <v>47300002</v>
      </c>
      <c r="Q68" s="30" t="s">
        <v>767</v>
      </c>
      <c r="R68" s="36">
        <f>IFERROR(INDEX(SailPatternColor!$A:$A,MATCH(Q68,SailPatternColor!$B:$B,0)),"-")</f>
        <v>47300005</v>
      </c>
      <c r="S68" s="30" t="s">
        <v>765</v>
      </c>
      <c r="T68" s="36">
        <f>IFERROR(INDEX(SailPatternColor!$A:$A,MATCH(S68,SailPatternColor!$B:$B,0)),"-")</f>
        <v>47300003</v>
      </c>
    </row>
    <row r="69" spans="1:21">
      <c r="A69" s="29">
        <v>47290004</v>
      </c>
      <c r="B69" s="30" t="s">
        <v>816</v>
      </c>
      <c r="C69" s="35" t="s">
        <v>621</v>
      </c>
      <c r="D69" s="35" t="s">
        <v>1721</v>
      </c>
      <c r="E69" s="89" t="b">
        <v>0</v>
      </c>
      <c r="F69" s="30" t="s">
        <v>830</v>
      </c>
      <c r="G69" s="35" t="s">
        <v>850</v>
      </c>
      <c r="H69" s="35" t="s">
        <v>830</v>
      </c>
      <c r="I69" s="30" t="s">
        <v>830</v>
      </c>
      <c r="J69" s="35" t="s">
        <v>850</v>
      </c>
      <c r="K69" s="35" t="s">
        <v>830</v>
      </c>
      <c r="L69" s="30" t="s">
        <v>830</v>
      </c>
      <c r="M69" s="35" t="s">
        <v>830</v>
      </c>
      <c r="N69" s="35" t="s">
        <v>830</v>
      </c>
      <c r="O69" s="30" t="s">
        <v>821</v>
      </c>
      <c r="P69" s="36">
        <f>IFERROR(INDEX(SailPatternColor!$A:$A,MATCH(O69,SailPatternColor!$B:$B,0)),"-")</f>
        <v>47300002</v>
      </c>
      <c r="Q69" s="30" t="s">
        <v>770</v>
      </c>
      <c r="R69" s="36">
        <f>IFERROR(INDEX(SailPatternColor!$A:$A,MATCH(Q69,SailPatternColor!$B:$B,0)),"-")</f>
        <v>47300008</v>
      </c>
      <c r="S69" s="30" t="s">
        <v>766</v>
      </c>
      <c r="T69" s="36">
        <f>IFERROR(INDEX(SailPatternColor!$A:$A,MATCH(S69,SailPatternColor!$B:$B,0)),"-")</f>
        <v>47300004</v>
      </c>
    </row>
    <row r="70" spans="1:21">
      <c r="A70" s="29">
        <v>47290005</v>
      </c>
      <c r="B70" s="30" t="s">
        <v>817</v>
      </c>
      <c r="C70" s="35" t="s">
        <v>623</v>
      </c>
      <c r="D70" s="35" t="s">
        <v>1721</v>
      </c>
      <c r="E70" s="89" t="b">
        <v>0</v>
      </c>
      <c r="F70" s="30" t="s">
        <v>830</v>
      </c>
      <c r="G70" s="35" t="s">
        <v>850</v>
      </c>
      <c r="H70" s="35" t="s">
        <v>830</v>
      </c>
      <c r="I70" s="30" t="s">
        <v>830</v>
      </c>
      <c r="J70" s="35" t="s">
        <v>850</v>
      </c>
      <c r="K70" s="35" t="s">
        <v>830</v>
      </c>
      <c r="L70" s="30" t="s">
        <v>830</v>
      </c>
      <c r="M70" s="35" t="s">
        <v>830</v>
      </c>
      <c r="N70" s="35" t="s">
        <v>830</v>
      </c>
      <c r="O70" s="30" t="s">
        <v>821</v>
      </c>
      <c r="P70" s="36">
        <f>IFERROR(INDEX(SailPatternColor!$A:$A,MATCH(O70,SailPatternColor!$B:$B,0)),"-")</f>
        <v>47300002</v>
      </c>
      <c r="Q70" s="30" t="s">
        <v>765</v>
      </c>
      <c r="R70" s="36">
        <f>IFERROR(INDEX(SailPatternColor!$A:$A,MATCH(Q70,SailPatternColor!$B:$B,0)),"-")</f>
        <v>47300003</v>
      </c>
      <c r="S70" s="30" t="s">
        <v>767</v>
      </c>
      <c r="T70" s="36">
        <f>IFERROR(INDEX(SailPatternColor!$A:$A,MATCH(S70,SailPatternColor!$B:$B,0)),"-")</f>
        <v>47300005</v>
      </c>
    </row>
    <row r="71" spans="1:21">
      <c r="A71" s="29">
        <v>47290006</v>
      </c>
      <c r="B71" s="30" t="s">
        <v>818</v>
      </c>
      <c r="C71" s="35" t="s">
        <v>627</v>
      </c>
      <c r="D71" s="35" t="s">
        <v>1721</v>
      </c>
      <c r="E71" s="89" t="b">
        <v>0</v>
      </c>
      <c r="F71" s="30" t="s">
        <v>830</v>
      </c>
      <c r="G71" s="35" t="s">
        <v>850</v>
      </c>
      <c r="H71" s="35" t="s">
        <v>830</v>
      </c>
      <c r="I71" s="30" t="s">
        <v>830</v>
      </c>
      <c r="J71" s="35" t="s">
        <v>850</v>
      </c>
      <c r="K71" s="35" t="s">
        <v>830</v>
      </c>
      <c r="L71" s="30" t="s">
        <v>830</v>
      </c>
      <c r="M71" s="35" t="s">
        <v>830</v>
      </c>
      <c r="N71" s="35" t="s">
        <v>830</v>
      </c>
      <c r="O71" s="30" t="s">
        <v>821</v>
      </c>
      <c r="P71" s="36">
        <f>IFERROR(INDEX(SailPatternColor!$A:$A,MATCH(O71,SailPatternColor!$B:$B,0)),"-")</f>
        <v>47300002</v>
      </c>
      <c r="Q71" s="30" t="s">
        <v>766</v>
      </c>
      <c r="R71" s="36">
        <f>IFERROR(INDEX(SailPatternColor!$A:$A,MATCH(Q71,SailPatternColor!$B:$B,0)),"-")</f>
        <v>47300004</v>
      </c>
      <c r="S71" s="30" t="s">
        <v>770</v>
      </c>
      <c r="T71" s="36">
        <f>IFERROR(INDEX(SailPatternColor!$A:$A,MATCH(S71,SailPatternColor!$B:$B,0)),"-")</f>
        <v>47300008</v>
      </c>
    </row>
    <row r="72" spans="1:21">
      <c r="A72" s="29">
        <v>47290007</v>
      </c>
      <c r="B72" s="30" t="s">
        <v>819</v>
      </c>
      <c r="C72" s="35" t="s">
        <v>629</v>
      </c>
      <c r="D72" s="35" t="s">
        <v>1721</v>
      </c>
      <c r="E72" s="89" t="b">
        <v>0</v>
      </c>
      <c r="F72" s="30" t="s">
        <v>830</v>
      </c>
      <c r="G72" s="35" t="s">
        <v>850</v>
      </c>
      <c r="H72" s="35" t="s">
        <v>830</v>
      </c>
      <c r="I72" s="30" t="s">
        <v>830</v>
      </c>
      <c r="J72" s="35" t="s">
        <v>850</v>
      </c>
      <c r="K72" s="35" t="s">
        <v>830</v>
      </c>
      <c r="L72" s="30" t="s">
        <v>830</v>
      </c>
      <c r="M72" s="35" t="s">
        <v>830</v>
      </c>
      <c r="N72" s="35" t="s">
        <v>830</v>
      </c>
      <c r="O72" s="30" t="s">
        <v>821</v>
      </c>
      <c r="P72" s="36">
        <f>IFERROR(INDEX(SailPatternColor!$A:$A,MATCH(O72,SailPatternColor!$B:$B,0)),"-")</f>
        <v>47300002</v>
      </c>
      <c r="Q72" s="30" t="s">
        <v>767</v>
      </c>
      <c r="R72" s="36">
        <f>IFERROR(INDEX(SailPatternColor!$A:$A,MATCH(Q72,SailPatternColor!$B:$B,0)),"-")</f>
        <v>47300005</v>
      </c>
      <c r="S72" s="30" t="s">
        <v>765</v>
      </c>
      <c r="T72" s="36">
        <f>IFERROR(INDEX(SailPatternColor!$A:$A,MATCH(S72,SailPatternColor!$B:$B,0)),"-")</f>
        <v>47300003</v>
      </c>
    </row>
    <row r="73" spans="1:21">
      <c r="A73" s="29">
        <v>47290008</v>
      </c>
      <c r="B73" s="30" t="s">
        <v>820</v>
      </c>
      <c r="C73" s="35" t="s">
        <v>631</v>
      </c>
      <c r="D73" s="35" t="s">
        <v>1721</v>
      </c>
      <c r="E73" s="89" t="b">
        <v>0</v>
      </c>
      <c r="F73" s="30" t="s">
        <v>830</v>
      </c>
      <c r="G73" s="35" t="s">
        <v>850</v>
      </c>
      <c r="H73" s="35" t="s">
        <v>830</v>
      </c>
      <c r="I73" s="30" t="s">
        <v>830</v>
      </c>
      <c r="J73" s="35" t="s">
        <v>850</v>
      </c>
      <c r="K73" s="35" t="s">
        <v>830</v>
      </c>
      <c r="L73" s="30" t="s">
        <v>830</v>
      </c>
      <c r="M73" s="35" t="s">
        <v>830</v>
      </c>
      <c r="N73" s="35" t="s">
        <v>830</v>
      </c>
      <c r="O73" s="30" t="s">
        <v>821</v>
      </c>
      <c r="P73" s="36">
        <f>IFERROR(INDEX(SailPatternColor!$A:$A,MATCH(O73,SailPatternColor!$B:$B,0)),"-")</f>
        <v>47300002</v>
      </c>
      <c r="Q73" s="30" t="s">
        <v>770</v>
      </c>
      <c r="R73" s="36">
        <f>IFERROR(INDEX(SailPatternColor!$A:$A,MATCH(Q73,SailPatternColor!$B:$B,0)),"-")</f>
        <v>47300008</v>
      </c>
      <c r="S73" s="30" t="s">
        <v>766</v>
      </c>
      <c r="T73" s="36">
        <f>IFERROR(INDEX(SailPatternColor!$A:$A,MATCH(S73,SailPatternColor!$B:$B,0)),"-")</f>
        <v>47300004</v>
      </c>
    </row>
    <row r="74" spans="1:21">
      <c r="A74" s="33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27" t="s">
        <v>8</v>
      </c>
    </row>
  </sheetData>
  <phoneticPr fontId="5" type="noConversion"/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0000000}">
          <x14:formula1>
            <xm:f>SailPatternColor!$B$8:$B$18</xm:f>
          </x14:formula1>
          <xm:sqref>Q9:Q73 O9:O73 S9:S73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9"/>
  <sheetViews>
    <sheetView topLeftCell="A11" zoomScaleNormal="100" workbookViewId="0">
      <selection activeCell="J29" sqref="J29"/>
    </sheetView>
  </sheetViews>
  <sheetFormatPr defaultRowHeight="13.5"/>
  <cols>
    <col min="1" max="1" width="19" style="27" customWidth="1"/>
    <col min="2" max="3" width="20" style="27" bestFit="1" customWidth="1"/>
    <col min="4" max="4" width="20" style="27" customWidth="1"/>
    <col min="5" max="5" width="20" style="27" bestFit="1" customWidth="1"/>
    <col min="6" max="7" width="20" style="27" customWidth="1"/>
    <col min="8" max="8" width="20" style="27" bestFit="1" customWidth="1"/>
    <col min="9" max="10" width="20" style="27" customWidth="1"/>
    <col min="11" max="11" width="20" style="27" bestFit="1" customWidth="1"/>
    <col min="12" max="14" width="20" style="27" customWidth="1"/>
    <col min="15" max="15" width="31.42578125" style="27" customWidth="1"/>
    <col min="16" max="16" width="11" style="27" bestFit="1" customWidth="1"/>
    <col min="17" max="17" width="9.140625" style="27"/>
    <col min="18" max="18" width="24.7109375" style="27" customWidth="1"/>
    <col min="19" max="19" width="22.5703125" style="27" customWidth="1"/>
    <col min="20" max="16384" width="9.140625" style="27"/>
  </cols>
  <sheetData>
    <row r="1" spans="1:13">
      <c r="A1" s="6" t="s">
        <v>5</v>
      </c>
      <c r="B1" s="25"/>
      <c r="C1" s="26" t="s">
        <v>838</v>
      </c>
      <c r="D1" s="26" t="s">
        <v>1032</v>
      </c>
      <c r="E1" s="25"/>
      <c r="F1" s="26" t="s">
        <v>753</v>
      </c>
      <c r="G1" s="26" t="s">
        <v>754</v>
      </c>
      <c r="H1" s="25"/>
      <c r="I1" s="26" t="s">
        <v>755</v>
      </c>
      <c r="J1" s="26" t="s">
        <v>756</v>
      </c>
      <c r="K1" s="25"/>
      <c r="L1" s="26" t="s">
        <v>836</v>
      </c>
      <c r="M1" s="26" t="s">
        <v>837</v>
      </c>
    </row>
    <row r="2" spans="1:13" ht="27">
      <c r="A2" s="6" t="s">
        <v>762</v>
      </c>
      <c r="B2" s="25"/>
      <c r="C2" s="26" t="s">
        <v>7</v>
      </c>
      <c r="D2" s="26" t="s">
        <v>1033</v>
      </c>
      <c r="E2" s="25"/>
      <c r="F2" s="26" t="s">
        <v>7</v>
      </c>
      <c r="G2" s="26" t="s">
        <v>7</v>
      </c>
      <c r="H2" s="25"/>
      <c r="I2" s="26" t="s">
        <v>7</v>
      </c>
      <c r="J2" s="26" t="s">
        <v>7</v>
      </c>
      <c r="K2" s="25"/>
      <c r="L2" s="26" t="s">
        <v>7</v>
      </c>
      <c r="M2" s="26" t="s">
        <v>7</v>
      </c>
    </row>
    <row r="3" spans="1:13">
      <c r="A3" s="8" t="s">
        <v>1</v>
      </c>
      <c r="B3" s="25"/>
      <c r="C3" s="28" t="s">
        <v>0</v>
      </c>
      <c r="D3" s="28">
        <v>1</v>
      </c>
      <c r="E3" s="25"/>
      <c r="F3" s="28" t="s">
        <v>0</v>
      </c>
      <c r="G3" s="28" t="s">
        <v>0</v>
      </c>
      <c r="H3" s="25"/>
      <c r="I3" s="28" t="s">
        <v>0</v>
      </c>
      <c r="J3" s="28" t="s">
        <v>0</v>
      </c>
      <c r="K3" s="25"/>
      <c r="L3" s="28" t="s">
        <v>0</v>
      </c>
      <c r="M3" s="28" t="s">
        <v>0</v>
      </c>
    </row>
    <row r="4" spans="1:13">
      <c r="A4" s="8" t="s">
        <v>2</v>
      </c>
      <c r="B4" s="25"/>
      <c r="C4" s="28" t="s">
        <v>0</v>
      </c>
      <c r="D4" s="28" t="s">
        <v>830</v>
      </c>
      <c r="E4" s="25"/>
      <c r="F4" s="28" t="s">
        <v>0</v>
      </c>
      <c r="G4" s="28" t="s">
        <v>0</v>
      </c>
      <c r="H4" s="25"/>
      <c r="I4" s="28" t="s">
        <v>0</v>
      </c>
      <c r="J4" s="28" t="s">
        <v>0</v>
      </c>
      <c r="K4" s="25"/>
      <c r="L4" s="28" t="s">
        <v>0</v>
      </c>
      <c r="M4" s="28" t="s">
        <v>0</v>
      </c>
    </row>
    <row r="5" spans="1:13">
      <c r="A5" s="8" t="s">
        <v>3</v>
      </c>
      <c r="B5" s="25"/>
      <c r="C5" s="28" t="s">
        <v>0</v>
      </c>
      <c r="D5" s="28" t="s">
        <v>830</v>
      </c>
      <c r="E5" s="25"/>
      <c r="F5" s="28" t="s">
        <v>0</v>
      </c>
      <c r="G5" s="28" t="s">
        <v>0</v>
      </c>
      <c r="H5" s="25"/>
      <c r="I5" s="28" t="s">
        <v>0</v>
      </c>
      <c r="J5" s="28" t="s">
        <v>0</v>
      </c>
      <c r="K5" s="25"/>
      <c r="L5" s="28" t="s">
        <v>0</v>
      </c>
      <c r="M5" s="28" t="s">
        <v>0</v>
      </c>
    </row>
    <row r="6" spans="1:13">
      <c r="A6" s="8" t="s">
        <v>4</v>
      </c>
      <c r="B6" s="25"/>
      <c r="C6" s="28" t="s">
        <v>0</v>
      </c>
      <c r="D6" s="28" t="s">
        <v>830</v>
      </c>
      <c r="E6" s="25"/>
      <c r="F6" s="28" t="s">
        <v>0</v>
      </c>
      <c r="G6" s="28" t="s">
        <v>0</v>
      </c>
      <c r="H6" s="25"/>
      <c r="I6" s="28" t="s">
        <v>0</v>
      </c>
      <c r="J6" s="28" t="s">
        <v>0</v>
      </c>
      <c r="K6" s="25"/>
      <c r="L6" s="28" t="s">
        <v>0</v>
      </c>
      <c r="M6" s="28" t="s">
        <v>0</v>
      </c>
    </row>
    <row r="7" spans="1:13">
      <c r="A7" s="8" t="s">
        <v>10</v>
      </c>
      <c r="B7" s="25"/>
      <c r="C7" s="28" t="s">
        <v>0</v>
      </c>
      <c r="D7" s="28" t="s">
        <v>830</v>
      </c>
      <c r="E7" s="25"/>
      <c r="F7" s="28" t="s">
        <v>0</v>
      </c>
      <c r="G7" s="28" t="s">
        <v>0</v>
      </c>
      <c r="H7" s="25"/>
      <c r="I7" s="28" t="s">
        <v>0</v>
      </c>
      <c r="J7" s="28" t="s">
        <v>0</v>
      </c>
      <c r="K7" s="25"/>
      <c r="L7" s="28" t="s">
        <v>0</v>
      </c>
      <c r="M7" s="28" t="s">
        <v>0</v>
      </c>
    </row>
    <row r="8" spans="1:13">
      <c r="A8" s="29">
        <v>47300000</v>
      </c>
      <c r="B8" s="30" t="s">
        <v>944</v>
      </c>
      <c r="C8" s="39" t="s">
        <v>945</v>
      </c>
      <c r="D8" s="88" t="b">
        <v>1</v>
      </c>
      <c r="E8" s="30" t="s">
        <v>757</v>
      </c>
      <c r="F8" s="35">
        <v>100001</v>
      </c>
      <c r="G8" s="35">
        <v>10000</v>
      </c>
      <c r="H8" s="30" t="s">
        <v>757</v>
      </c>
      <c r="I8" s="35">
        <v>100001</v>
      </c>
      <c r="J8" s="35">
        <v>100000</v>
      </c>
      <c r="K8" s="30" t="s">
        <v>850</v>
      </c>
      <c r="L8" s="35" t="s">
        <v>830</v>
      </c>
      <c r="M8" s="35" t="s">
        <v>830</v>
      </c>
    </row>
    <row r="9" spans="1:13">
      <c r="A9" s="29">
        <v>47300001</v>
      </c>
      <c r="B9" s="30" t="s">
        <v>763</v>
      </c>
      <c r="C9" s="40" t="s">
        <v>946</v>
      </c>
      <c r="D9" s="88" t="b">
        <v>1</v>
      </c>
      <c r="E9" s="30" t="s">
        <v>757</v>
      </c>
      <c r="F9" s="35">
        <v>100001</v>
      </c>
      <c r="G9" s="35">
        <v>10000</v>
      </c>
      <c r="H9" s="30" t="s">
        <v>757</v>
      </c>
      <c r="I9" s="35">
        <v>100001</v>
      </c>
      <c r="J9" s="35">
        <v>100000</v>
      </c>
      <c r="K9" s="30" t="s">
        <v>850</v>
      </c>
      <c r="L9" s="35" t="s">
        <v>830</v>
      </c>
      <c r="M9" s="35" t="s">
        <v>830</v>
      </c>
    </row>
    <row r="10" spans="1:13">
      <c r="A10" s="29">
        <v>47300002</v>
      </c>
      <c r="B10" s="30" t="s">
        <v>764</v>
      </c>
      <c r="C10" s="41" t="s">
        <v>947</v>
      </c>
      <c r="D10" s="88" t="b">
        <v>1</v>
      </c>
      <c r="E10" s="30" t="s">
        <v>757</v>
      </c>
      <c r="F10" s="35">
        <v>100001</v>
      </c>
      <c r="G10" s="35">
        <v>10000</v>
      </c>
      <c r="H10" s="30" t="s">
        <v>757</v>
      </c>
      <c r="I10" s="35">
        <v>100001</v>
      </c>
      <c r="J10" s="35">
        <v>100000</v>
      </c>
      <c r="K10" s="30" t="s">
        <v>850</v>
      </c>
      <c r="L10" s="35" t="s">
        <v>830</v>
      </c>
      <c r="M10" s="35" t="s">
        <v>830</v>
      </c>
    </row>
    <row r="11" spans="1:13">
      <c r="A11" s="29">
        <v>47300003</v>
      </c>
      <c r="B11" s="30" t="s">
        <v>765</v>
      </c>
      <c r="C11" s="42" t="s">
        <v>948</v>
      </c>
      <c r="D11" s="88" t="b">
        <v>1</v>
      </c>
      <c r="E11" s="30" t="s">
        <v>757</v>
      </c>
      <c r="F11" s="35">
        <v>100001</v>
      </c>
      <c r="G11" s="35">
        <v>10000</v>
      </c>
      <c r="H11" s="30" t="s">
        <v>757</v>
      </c>
      <c r="I11" s="35">
        <v>100001</v>
      </c>
      <c r="J11" s="35">
        <v>100000</v>
      </c>
      <c r="K11" s="30" t="s">
        <v>850</v>
      </c>
      <c r="L11" s="35" t="s">
        <v>830</v>
      </c>
      <c r="M11" s="35" t="s">
        <v>830</v>
      </c>
    </row>
    <row r="12" spans="1:13">
      <c r="A12" s="29">
        <v>47300004</v>
      </c>
      <c r="B12" s="30" t="s">
        <v>766</v>
      </c>
      <c r="C12" s="43" t="s">
        <v>949</v>
      </c>
      <c r="D12" s="88" t="b">
        <v>1</v>
      </c>
      <c r="E12" s="30" t="s">
        <v>757</v>
      </c>
      <c r="F12" s="35">
        <v>100001</v>
      </c>
      <c r="G12" s="35">
        <v>10000</v>
      </c>
      <c r="H12" s="30" t="s">
        <v>757</v>
      </c>
      <c r="I12" s="35">
        <v>100001</v>
      </c>
      <c r="J12" s="35">
        <v>100000</v>
      </c>
      <c r="K12" s="30" t="s">
        <v>850</v>
      </c>
      <c r="L12" s="35" t="s">
        <v>830</v>
      </c>
      <c r="M12" s="35" t="s">
        <v>830</v>
      </c>
    </row>
    <row r="13" spans="1:13">
      <c r="A13" s="29">
        <v>47300005</v>
      </c>
      <c r="B13" s="30" t="s">
        <v>767</v>
      </c>
      <c r="C13" s="44" t="s">
        <v>950</v>
      </c>
      <c r="D13" s="88" t="b">
        <v>1</v>
      </c>
      <c r="E13" s="30" t="s">
        <v>757</v>
      </c>
      <c r="F13" s="35">
        <v>100001</v>
      </c>
      <c r="G13" s="35">
        <v>10000</v>
      </c>
      <c r="H13" s="30" t="s">
        <v>757</v>
      </c>
      <c r="I13" s="35">
        <v>100001</v>
      </c>
      <c r="J13" s="35">
        <v>100000</v>
      </c>
      <c r="K13" s="30" t="s">
        <v>850</v>
      </c>
      <c r="L13" s="35" t="s">
        <v>830</v>
      </c>
      <c r="M13" s="35" t="s">
        <v>830</v>
      </c>
    </row>
    <row r="14" spans="1:13">
      <c r="A14" s="29">
        <v>47300006</v>
      </c>
      <c r="B14" s="30" t="s">
        <v>768</v>
      </c>
      <c r="C14" s="45" t="s">
        <v>951</v>
      </c>
      <c r="D14" s="88" t="b">
        <v>1</v>
      </c>
      <c r="E14" s="30" t="s">
        <v>757</v>
      </c>
      <c r="F14" s="35">
        <v>100001</v>
      </c>
      <c r="G14" s="35">
        <v>10000</v>
      </c>
      <c r="H14" s="30" t="s">
        <v>757</v>
      </c>
      <c r="I14" s="35">
        <v>100001</v>
      </c>
      <c r="J14" s="35">
        <v>100000</v>
      </c>
      <c r="K14" s="30" t="s">
        <v>850</v>
      </c>
      <c r="L14" s="35" t="s">
        <v>830</v>
      </c>
      <c r="M14" s="35" t="s">
        <v>830</v>
      </c>
    </row>
    <row r="15" spans="1:13">
      <c r="A15" s="29">
        <v>47300007</v>
      </c>
      <c r="B15" s="30" t="s">
        <v>769</v>
      </c>
      <c r="C15" s="46" t="s">
        <v>952</v>
      </c>
      <c r="D15" s="88" t="b">
        <v>1</v>
      </c>
      <c r="E15" s="30" t="s">
        <v>757</v>
      </c>
      <c r="F15" s="35">
        <v>100001</v>
      </c>
      <c r="G15" s="35">
        <v>10000</v>
      </c>
      <c r="H15" s="30" t="s">
        <v>757</v>
      </c>
      <c r="I15" s="35">
        <v>100001</v>
      </c>
      <c r="J15" s="35">
        <v>100000</v>
      </c>
      <c r="K15" s="30" t="s">
        <v>850</v>
      </c>
      <c r="L15" s="35" t="s">
        <v>830</v>
      </c>
      <c r="M15" s="35" t="s">
        <v>830</v>
      </c>
    </row>
    <row r="16" spans="1:13">
      <c r="A16" s="29">
        <v>47300008</v>
      </c>
      <c r="B16" s="30" t="s">
        <v>770</v>
      </c>
      <c r="C16" s="47" t="s">
        <v>953</v>
      </c>
      <c r="D16" s="88" t="b">
        <v>1</v>
      </c>
      <c r="E16" s="30" t="s">
        <v>757</v>
      </c>
      <c r="F16" s="35">
        <v>100001</v>
      </c>
      <c r="G16" s="35">
        <v>10000</v>
      </c>
      <c r="H16" s="30" t="s">
        <v>757</v>
      </c>
      <c r="I16" s="35">
        <v>100001</v>
      </c>
      <c r="J16" s="35">
        <v>100000</v>
      </c>
      <c r="K16" s="30" t="s">
        <v>850</v>
      </c>
      <c r="L16" s="35" t="s">
        <v>830</v>
      </c>
      <c r="M16" s="35" t="s">
        <v>830</v>
      </c>
    </row>
    <row r="17" spans="1:13">
      <c r="A17" s="29">
        <v>47300009</v>
      </c>
      <c r="B17" s="30" t="s">
        <v>771</v>
      </c>
      <c r="C17" s="48" t="s">
        <v>954</v>
      </c>
      <c r="D17" s="88" t="b">
        <v>1</v>
      </c>
      <c r="E17" s="30" t="s">
        <v>757</v>
      </c>
      <c r="F17" s="35">
        <v>100001</v>
      </c>
      <c r="G17" s="35">
        <v>10000</v>
      </c>
      <c r="H17" s="30" t="s">
        <v>757</v>
      </c>
      <c r="I17" s="35">
        <v>100001</v>
      </c>
      <c r="J17" s="35">
        <v>100000</v>
      </c>
      <c r="K17" s="30" t="s">
        <v>850</v>
      </c>
      <c r="L17" s="35" t="s">
        <v>830</v>
      </c>
      <c r="M17" s="35" t="s">
        <v>830</v>
      </c>
    </row>
    <row r="18" spans="1:13">
      <c r="A18" s="29">
        <v>47300010</v>
      </c>
      <c r="B18" s="30" t="s">
        <v>772</v>
      </c>
      <c r="C18" s="49" t="s">
        <v>955</v>
      </c>
      <c r="D18" s="88" t="b">
        <v>1</v>
      </c>
      <c r="E18" s="30" t="s">
        <v>757</v>
      </c>
      <c r="F18" s="35">
        <v>100001</v>
      </c>
      <c r="G18" s="35">
        <v>10000</v>
      </c>
      <c r="H18" s="30" t="s">
        <v>757</v>
      </c>
      <c r="I18" s="35">
        <v>100001</v>
      </c>
      <c r="J18" s="35">
        <v>100000</v>
      </c>
      <c r="K18" s="30" t="s">
        <v>850</v>
      </c>
      <c r="L18" s="35" t="s">
        <v>830</v>
      </c>
      <c r="M18" s="35" t="s">
        <v>830</v>
      </c>
    </row>
    <row r="19" spans="1:13">
      <c r="A19" s="29">
        <v>47300011</v>
      </c>
      <c r="B19" s="30" t="s">
        <v>956</v>
      </c>
      <c r="C19" s="50" t="s">
        <v>957</v>
      </c>
      <c r="D19" s="88" t="b">
        <v>1</v>
      </c>
      <c r="E19" s="30" t="s">
        <v>757</v>
      </c>
      <c r="F19" s="35">
        <v>100001</v>
      </c>
      <c r="G19" s="35">
        <v>10000</v>
      </c>
      <c r="H19" s="30" t="s">
        <v>757</v>
      </c>
      <c r="I19" s="35">
        <v>100001</v>
      </c>
      <c r="J19" s="35">
        <v>100000</v>
      </c>
      <c r="K19" s="30" t="s">
        <v>850</v>
      </c>
      <c r="L19" s="35" t="s">
        <v>830</v>
      </c>
      <c r="M19" s="35" t="s">
        <v>830</v>
      </c>
    </row>
    <row r="20" spans="1:13">
      <c r="A20" s="29">
        <v>47300012</v>
      </c>
      <c r="B20" s="30" t="s">
        <v>958</v>
      </c>
      <c r="C20" s="51" t="s">
        <v>959</v>
      </c>
      <c r="D20" s="88" t="b">
        <v>1</v>
      </c>
      <c r="E20" s="30" t="s">
        <v>757</v>
      </c>
      <c r="F20" s="35">
        <v>100001</v>
      </c>
      <c r="G20" s="35">
        <v>10000</v>
      </c>
      <c r="H20" s="30" t="s">
        <v>757</v>
      </c>
      <c r="I20" s="35">
        <v>100001</v>
      </c>
      <c r="J20" s="35">
        <v>100000</v>
      </c>
      <c r="K20" s="30" t="s">
        <v>850</v>
      </c>
      <c r="L20" s="35" t="s">
        <v>830</v>
      </c>
      <c r="M20" s="35" t="s">
        <v>830</v>
      </c>
    </row>
    <row r="21" spans="1:13">
      <c r="A21" s="29">
        <v>47300013</v>
      </c>
      <c r="B21" s="30" t="s">
        <v>960</v>
      </c>
      <c r="C21" s="52" t="s">
        <v>961</v>
      </c>
      <c r="D21" s="88" t="b">
        <v>1</v>
      </c>
      <c r="E21" s="30" t="s">
        <v>757</v>
      </c>
      <c r="F21" s="35">
        <v>100001</v>
      </c>
      <c r="G21" s="35">
        <v>10000</v>
      </c>
      <c r="H21" s="30" t="s">
        <v>757</v>
      </c>
      <c r="I21" s="35">
        <v>100001</v>
      </c>
      <c r="J21" s="35">
        <v>100000</v>
      </c>
      <c r="K21" s="30" t="s">
        <v>850</v>
      </c>
      <c r="L21" s="35" t="s">
        <v>830</v>
      </c>
      <c r="M21" s="35" t="s">
        <v>830</v>
      </c>
    </row>
    <row r="22" spans="1:13">
      <c r="A22" s="29">
        <v>47300014</v>
      </c>
      <c r="B22" s="30" t="s">
        <v>962</v>
      </c>
      <c r="C22" s="53" t="s">
        <v>963</v>
      </c>
      <c r="D22" s="88" t="b">
        <v>1</v>
      </c>
      <c r="E22" s="30" t="s">
        <v>757</v>
      </c>
      <c r="F22" s="35">
        <v>100001</v>
      </c>
      <c r="G22" s="35">
        <v>10000</v>
      </c>
      <c r="H22" s="30" t="s">
        <v>757</v>
      </c>
      <c r="I22" s="35">
        <v>100001</v>
      </c>
      <c r="J22" s="35">
        <v>100000</v>
      </c>
      <c r="K22" s="30" t="s">
        <v>850</v>
      </c>
      <c r="L22" s="35" t="s">
        <v>830</v>
      </c>
      <c r="M22" s="35" t="s">
        <v>830</v>
      </c>
    </row>
    <row r="23" spans="1:13">
      <c r="A23" s="29">
        <v>47300015</v>
      </c>
      <c r="B23" s="30" t="s">
        <v>964</v>
      </c>
      <c r="C23" s="54" t="s">
        <v>965</v>
      </c>
      <c r="D23" s="88" t="b">
        <v>1</v>
      </c>
      <c r="E23" s="30" t="s">
        <v>757</v>
      </c>
      <c r="F23" s="35">
        <v>100001</v>
      </c>
      <c r="G23" s="35">
        <v>10000</v>
      </c>
      <c r="H23" s="30" t="s">
        <v>757</v>
      </c>
      <c r="I23" s="35">
        <v>100001</v>
      </c>
      <c r="J23" s="35">
        <v>100000</v>
      </c>
      <c r="K23" s="30" t="s">
        <v>850</v>
      </c>
      <c r="L23" s="35" t="s">
        <v>830</v>
      </c>
      <c r="M23" s="35" t="s">
        <v>830</v>
      </c>
    </row>
    <row r="24" spans="1:13">
      <c r="A24" s="29">
        <v>47300016</v>
      </c>
      <c r="B24" s="30" t="s">
        <v>966</v>
      </c>
      <c r="C24" s="55" t="s">
        <v>967</v>
      </c>
      <c r="D24" s="88" t="b">
        <v>1</v>
      </c>
      <c r="E24" s="30" t="s">
        <v>757</v>
      </c>
      <c r="F24" s="35">
        <v>100001</v>
      </c>
      <c r="G24" s="35">
        <v>10000</v>
      </c>
      <c r="H24" s="30" t="s">
        <v>757</v>
      </c>
      <c r="I24" s="35">
        <v>100001</v>
      </c>
      <c r="J24" s="35">
        <v>100000</v>
      </c>
      <c r="K24" s="30" t="s">
        <v>850</v>
      </c>
      <c r="L24" s="35" t="s">
        <v>830</v>
      </c>
      <c r="M24" s="35" t="s">
        <v>830</v>
      </c>
    </row>
    <row r="25" spans="1:13">
      <c r="A25" s="29">
        <v>47300017</v>
      </c>
      <c r="B25" s="30" t="s">
        <v>968</v>
      </c>
      <c r="C25" s="56" t="s">
        <v>969</v>
      </c>
      <c r="D25" s="88" t="b">
        <v>1</v>
      </c>
      <c r="E25" s="30" t="s">
        <v>757</v>
      </c>
      <c r="F25" s="35">
        <v>100001</v>
      </c>
      <c r="G25" s="35">
        <v>10000</v>
      </c>
      <c r="H25" s="30" t="s">
        <v>757</v>
      </c>
      <c r="I25" s="35">
        <v>100001</v>
      </c>
      <c r="J25" s="35">
        <v>100000</v>
      </c>
      <c r="K25" s="30" t="s">
        <v>850</v>
      </c>
      <c r="L25" s="35" t="s">
        <v>830</v>
      </c>
      <c r="M25" s="35" t="s">
        <v>830</v>
      </c>
    </row>
    <row r="26" spans="1:13">
      <c r="A26" s="29">
        <v>47300018</v>
      </c>
      <c r="B26" s="30" t="s">
        <v>970</v>
      </c>
      <c r="C26" s="57" t="s">
        <v>971</v>
      </c>
      <c r="D26" s="88" t="b">
        <v>1</v>
      </c>
      <c r="E26" s="30" t="s">
        <v>757</v>
      </c>
      <c r="F26" s="35">
        <v>100001</v>
      </c>
      <c r="G26" s="35">
        <v>10000</v>
      </c>
      <c r="H26" s="30" t="s">
        <v>757</v>
      </c>
      <c r="I26" s="35">
        <v>100001</v>
      </c>
      <c r="J26" s="35">
        <v>100000</v>
      </c>
      <c r="K26" s="30" t="s">
        <v>850</v>
      </c>
      <c r="L26" s="35" t="s">
        <v>830</v>
      </c>
      <c r="M26" s="35" t="s">
        <v>830</v>
      </c>
    </row>
    <row r="27" spans="1:13">
      <c r="A27" s="29">
        <v>47300019</v>
      </c>
      <c r="B27" s="30" t="s">
        <v>972</v>
      </c>
      <c r="C27" s="58" t="s">
        <v>973</v>
      </c>
      <c r="D27" s="88" t="b">
        <v>1</v>
      </c>
      <c r="E27" s="30" t="s">
        <v>757</v>
      </c>
      <c r="F27" s="35">
        <v>100001</v>
      </c>
      <c r="G27" s="35">
        <v>10000</v>
      </c>
      <c r="H27" s="30" t="s">
        <v>757</v>
      </c>
      <c r="I27" s="35">
        <v>100001</v>
      </c>
      <c r="J27" s="35">
        <v>100000</v>
      </c>
      <c r="K27" s="30" t="s">
        <v>850</v>
      </c>
      <c r="L27" s="35" t="s">
        <v>830</v>
      </c>
      <c r="M27" s="35" t="s">
        <v>830</v>
      </c>
    </row>
    <row r="28" spans="1:13">
      <c r="A28" s="29">
        <v>47300020</v>
      </c>
      <c r="B28" s="30" t="s">
        <v>974</v>
      </c>
      <c r="C28" s="59" t="s">
        <v>975</v>
      </c>
      <c r="D28" s="88" t="b">
        <v>1</v>
      </c>
      <c r="E28" s="30" t="s">
        <v>757</v>
      </c>
      <c r="F28" s="35">
        <v>100001</v>
      </c>
      <c r="G28" s="35">
        <v>10000</v>
      </c>
      <c r="H28" s="30" t="s">
        <v>757</v>
      </c>
      <c r="I28" s="35">
        <v>100001</v>
      </c>
      <c r="J28" s="35">
        <v>100000</v>
      </c>
      <c r="K28" s="30" t="s">
        <v>850</v>
      </c>
      <c r="L28" s="35" t="s">
        <v>830</v>
      </c>
      <c r="M28" s="35" t="s">
        <v>830</v>
      </c>
    </row>
    <row r="29" spans="1:13">
      <c r="A29" s="29">
        <v>47300021</v>
      </c>
      <c r="B29" s="30" t="s">
        <v>976</v>
      </c>
      <c r="C29" s="60" t="s">
        <v>977</v>
      </c>
      <c r="D29" s="88" t="b">
        <v>1</v>
      </c>
      <c r="E29" s="30" t="s">
        <v>757</v>
      </c>
      <c r="F29" s="35">
        <v>100001</v>
      </c>
      <c r="G29" s="35">
        <v>10000</v>
      </c>
      <c r="H29" s="30" t="s">
        <v>757</v>
      </c>
      <c r="I29" s="35">
        <v>100001</v>
      </c>
      <c r="J29" s="35">
        <v>100000</v>
      </c>
      <c r="K29" s="30" t="s">
        <v>850</v>
      </c>
      <c r="L29" s="35" t="s">
        <v>830</v>
      </c>
      <c r="M29" s="35" t="s">
        <v>830</v>
      </c>
    </row>
    <row r="30" spans="1:13">
      <c r="A30" s="29">
        <v>47300022</v>
      </c>
      <c r="B30" s="30" t="s">
        <v>978</v>
      </c>
      <c r="C30" s="61" t="s">
        <v>979</v>
      </c>
      <c r="D30" s="88" t="b">
        <v>1</v>
      </c>
      <c r="E30" s="30" t="s">
        <v>757</v>
      </c>
      <c r="F30" s="35">
        <v>100001</v>
      </c>
      <c r="G30" s="35">
        <v>10000</v>
      </c>
      <c r="H30" s="30" t="s">
        <v>757</v>
      </c>
      <c r="I30" s="35">
        <v>100001</v>
      </c>
      <c r="J30" s="35">
        <v>100000</v>
      </c>
      <c r="K30" s="30" t="s">
        <v>850</v>
      </c>
      <c r="L30" s="35" t="s">
        <v>830</v>
      </c>
      <c r="M30" s="35" t="s">
        <v>830</v>
      </c>
    </row>
    <row r="31" spans="1:13">
      <c r="A31" s="29">
        <v>47300023</v>
      </c>
      <c r="B31" s="30" t="s">
        <v>980</v>
      </c>
      <c r="C31" s="62" t="s">
        <v>981</v>
      </c>
      <c r="D31" s="88" t="b">
        <v>1</v>
      </c>
      <c r="E31" s="30" t="s">
        <v>757</v>
      </c>
      <c r="F31" s="35">
        <v>100001</v>
      </c>
      <c r="G31" s="35">
        <v>10000</v>
      </c>
      <c r="H31" s="30" t="s">
        <v>757</v>
      </c>
      <c r="I31" s="35">
        <v>100001</v>
      </c>
      <c r="J31" s="35">
        <v>100000</v>
      </c>
      <c r="K31" s="30" t="s">
        <v>850</v>
      </c>
      <c r="L31" s="35" t="s">
        <v>830</v>
      </c>
      <c r="M31" s="35" t="s">
        <v>830</v>
      </c>
    </row>
    <row r="32" spans="1:13">
      <c r="A32" s="29">
        <v>47300024</v>
      </c>
      <c r="B32" s="30" t="s">
        <v>982</v>
      </c>
      <c r="C32" s="63" t="s">
        <v>983</v>
      </c>
      <c r="D32" s="88" t="b">
        <v>1</v>
      </c>
      <c r="E32" s="30" t="s">
        <v>757</v>
      </c>
      <c r="F32" s="35">
        <v>100001</v>
      </c>
      <c r="G32" s="35">
        <v>10000</v>
      </c>
      <c r="H32" s="30" t="s">
        <v>757</v>
      </c>
      <c r="I32" s="35">
        <v>100001</v>
      </c>
      <c r="J32" s="35">
        <v>100000</v>
      </c>
      <c r="K32" s="30" t="s">
        <v>850</v>
      </c>
      <c r="L32" s="35" t="s">
        <v>830</v>
      </c>
      <c r="M32" s="35" t="s">
        <v>830</v>
      </c>
    </row>
    <row r="33" spans="1:13">
      <c r="A33" s="29">
        <v>47300025</v>
      </c>
      <c r="B33" s="30" t="s">
        <v>984</v>
      </c>
      <c r="C33" s="64" t="s">
        <v>985</v>
      </c>
      <c r="D33" s="88" t="b">
        <v>1</v>
      </c>
      <c r="E33" s="30" t="s">
        <v>757</v>
      </c>
      <c r="F33" s="35">
        <v>100001</v>
      </c>
      <c r="G33" s="35">
        <v>10000</v>
      </c>
      <c r="H33" s="30" t="s">
        <v>757</v>
      </c>
      <c r="I33" s="35">
        <v>100001</v>
      </c>
      <c r="J33" s="35">
        <v>100000</v>
      </c>
      <c r="K33" s="30" t="s">
        <v>850</v>
      </c>
      <c r="L33" s="35" t="s">
        <v>830</v>
      </c>
      <c r="M33" s="35" t="s">
        <v>830</v>
      </c>
    </row>
    <row r="34" spans="1:13">
      <c r="A34" s="29">
        <v>47300026</v>
      </c>
      <c r="B34" s="30" t="s">
        <v>986</v>
      </c>
      <c r="C34" s="65" t="s">
        <v>987</v>
      </c>
      <c r="D34" s="88" t="b">
        <v>1</v>
      </c>
      <c r="E34" s="30" t="s">
        <v>757</v>
      </c>
      <c r="F34" s="35">
        <v>100001</v>
      </c>
      <c r="G34" s="35">
        <v>10000</v>
      </c>
      <c r="H34" s="30" t="s">
        <v>757</v>
      </c>
      <c r="I34" s="35">
        <v>100001</v>
      </c>
      <c r="J34" s="35">
        <v>100000</v>
      </c>
      <c r="K34" s="30" t="s">
        <v>850</v>
      </c>
      <c r="L34" s="35" t="s">
        <v>830</v>
      </c>
      <c r="M34" s="35" t="s">
        <v>830</v>
      </c>
    </row>
    <row r="35" spans="1:13">
      <c r="A35" s="29">
        <v>47300027</v>
      </c>
      <c r="B35" s="30" t="s">
        <v>988</v>
      </c>
      <c r="C35" s="66" t="s">
        <v>989</v>
      </c>
      <c r="D35" s="88" t="b">
        <v>1</v>
      </c>
      <c r="E35" s="30" t="s">
        <v>757</v>
      </c>
      <c r="F35" s="35">
        <v>100001</v>
      </c>
      <c r="G35" s="35">
        <v>10000</v>
      </c>
      <c r="H35" s="30" t="s">
        <v>757</v>
      </c>
      <c r="I35" s="35">
        <v>100001</v>
      </c>
      <c r="J35" s="35">
        <v>100000</v>
      </c>
      <c r="K35" s="30" t="s">
        <v>850</v>
      </c>
      <c r="L35" s="35" t="s">
        <v>830</v>
      </c>
      <c r="M35" s="35" t="s">
        <v>830</v>
      </c>
    </row>
    <row r="36" spans="1:13">
      <c r="A36" s="29">
        <v>47300028</v>
      </c>
      <c r="B36" s="30" t="s">
        <v>990</v>
      </c>
      <c r="C36" s="67" t="s">
        <v>991</v>
      </c>
      <c r="D36" s="88" t="b">
        <v>1</v>
      </c>
      <c r="E36" s="30" t="s">
        <v>757</v>
      </c>
      <c r="F36" s="35">
        <v>100001</v>
      </c>
      <c r="G36" s="35">
        <v>10000</v>
      </c>
      <c r="H36" s="30" t="s">
        <v>757</v>
      </c>
      <c r="I36" s="35">
        <v>100001</v>
      </c>
      <c r="J36" s="35">
        <v>100000</v>
      </c>
      <c r="K36" s="30" t="s">
        <v>850</v>
      </c>
      <c r="L36" s="35" t="s">
        <v>830</v>
      </c>
      <c r="M36" s="35" t="s">
        <v>830</v>
      </c>
    </row>
    <row r="37" spans="1:13">
      <c r="A37" s="29">
        <v>47300029</v>
      </c>
      <c r="B37" s="30" t="s">
        <v>992</v>
      </c>
      <c r="C37" s="68" t="s">
        <v>993</v>
      </c>
      <c r="D37" s="88" t="b">
        <v>1</v>
      </c>
      <c r="E37" s="30" t="s">
        <v>757</v>
      </c>
      <c r="F37" s="35">
        <v>100001</v>
      </c>
      <c r="G37" s="35">
        <v>10000</v>
      </c>
      <c r="H37" s="30" t="s">
        <v>757</v>
      </c>
      <c r="I37" s="35">
        <v>100001</v>
      </c>
      <c r="J37" s="35">
        <v>100000</v>
      </c>
      <c r="K37" s="30" t="s">
        <v>850</v>
      </c>
      <c r="L37" s="35" t="s">
        <v>830</v>
      </c>
      <c r="M37" s="35" t="s">
        <v>830</v>
      </c>
    </row>
    <row r="38" spans="1:13">
      <c r="A38" s="29">
        <v>47300030</v>
      </c>
      <c r="B38" s="30" t="s">
        <v>994</v>
      </c>
      <c r="C38" s="69" t="s">
        <v>995</v>
      </c>
      <c r="D38" s="88" t="b">
        <v>1</v>
      </c>
      <c r="E38" s="30" t="s">
        <v>757</v>
      </c>
      <c r="F38" s="35">
        <v>100001</v>
      </c>
      <c r="G38" s="35">
        <v>10000</v>
      </c>
      <c r="H38" s="30" t="s">
        <v>757</v>
      </c>
      <c r="I38" s="35">
        <v>100001</v>
      </c>
      <c r="J38" s="35">
        <v>100000</v>
      </c>
      <c r="K38" s="30" t="s">
        <v>850</v>
      </c>
      <c r="L38" s="35" t="s">
        <v>830</v>
      </c>
      <c r="M38" s="35" t="s">
        <v>830</v>
      </c>
    </row>
    <row r="39" spans="1:13">
      <c r="A39" s="29">
        <v>47300031</v>
      </c>
      <c r="B39" s="30" t="s">
        <v>996</v>
      </c>
      <c r="C39" s="70" t="s">
        <v>997</v>
      </c>
      <c r="D39" s="88" t="b">
        <v>1</v>
      </c>
      <c r="E39" s="30" t="s">
        <v>757</v>
      </c>
      <c r="F39" s="35">
        <v>100001</v>
      </c>
      <c r="G39" s="35">
        <v>10000</v>
      </c>
      <c r="H39" s="30" t="s">
        <v>757</v>
      </c>
      <c r="I39" s="35">
        <v>100001</v>
      </c>
      <c r="J39" s="35">
        <v>100000</v>
      </c>
      <c r="K39" s="30" t="s">
        <v>850</v>
      </c>
      <c r="L39" s="35" t="s">
        <v>830</v>
      </c>
      <c r="M39" s="35" t="s">
        <v>830</v>
      </c>
    </row>
    <row r="40" spans="1:13">
      <c r="A40" s="29">
        <v>47300032</v>
      </c>
      <c r="B40" s="30" t="s">
        <v>998</v>
      </c>
      <c r="C40" s="71" t="s">
        <v>999</v>
      </c>
      <c r="D40" s="88" t="b">
        <v>1</v>
      </c>
      <c r="E40" s="30" t="s">
        <v>757</v>
      </c>
      <c r="F40" s="35">
        <v>100001</v>
      </c>
      <c r="G40" s="35">
        <v>10000</v>
      </c>
      <c r="H40" s="30" t="s">
        <v>757</v>
      </c>
      <c r="I40" s="35">
        <v>100001</v>
      </c>
      <c r="J40" s="35">
        <v>100000</v>
      </c>
      <c r="K40" s="30" t="s">
        <v>850</v>
      </c>
      <c r="L40" s="35" t="s">
        <v>830</v>
      </c>
      <c r="M40" s="35" t="s">
        <v>830</v>
      </c>
    </row>
    <row r="41" spans="1:13">
      <c r="A41" s="29">
        <v>47300033</v>
      </c>
      <c r="B41" s="30" t="s">
        <v>1000</v>
      </c>
      <c r="C41" s="72" t="s">
        <v>1001</v>
      </c>
      <c r="D41" s="88" t="b">
        <v>1</v>
      </c>
      <c r="E41" s="30" t="s">
        <v>757</v>
      </c>
      <c r="F41" s="35">
        <v>100001</v>
      </c>
      <c r="G41" s="35">
        <v>10000</v>
      </c>
      <c r="H41" s="30" t="s">
        <v>757</v>
      </c>
      <c r="I41" s="35">
        <v>100001</v>
      </c>
      <c r="J41" s="35">
        <v>100000</v>
      </c>
      <c r="K41" s="30" t="s">
        <v>850</v>
      </c>
      <c r="L41" s="35" t="s">
        <v>830</v>
      </c>
      <c r="M41" s="35" t="s">
        <v>830</v>
      </c>
    </row>
    <row r="42" spans="1:13">
      <c r="A42" s="29">
        <v>47300034</v>
      </c>
      <c r="B42" s="30" t="s">
        <v>1002</v>
      </c>
      <c r="C42" s="73" t="s">
        <v>1003</v>
      </c>
      <c r="D42" s="88" t="b">
        <v>1</v>
      </c>
      <c r="E42" s="30" t="s">
        <v>757</v>
      </c>
      <c r="F42" s="35">
        <v>100001</v>
      </c>
      <c r="G42" s="35">
        <v>10000</v>
      </c>
      <c r="H42" s="30" t="s">
        <v>757</v>
      </c>
      <c r="I42" s="35">
        <v>100001</v>
      </c>
      <c r="J42" s="35">
        <v>100000</v>
      </c>
      <c r="K42" s="30" t="s">
        <v>850</v>
      </c>
      <c r="L42" s="35" t="s">
        <v>830</v>
      </c>
      <c r="M42" s="35" t="s">
        <v>830</v>
      </c>
    </row>
    <row r="43" spans="1:13">
      <c r="A43" s="29">
        <v>47300035</v>
      </c>
      <c r="B43" s="30" t="s">
        <v>1004</v>
      </c>
      <c r="C43" s="74" t="s">
        <v>1005</v>
      </c>
      <c r="D43" s="88" t="b">
        <v>1</v>
      </c>
      <c r="E43" s="30" t="s">
        <v>757</v>
      </c>
      <c r="F43" s="35">
        <v>100001</v>
      </c>
      <c r="G43" s="35">
        <v>10000</v>
      </c>
      <c r="H43" s="30" t="s">
        <v>757</v>
      </c>
      <c r="I43" s="35">
        <v>100001</v>
      </c>
      <c r="J43" s="35">
        <v>100000</v>
      </c>
      <c r="K43" s="30" t="s">
        <v>850</v>
      </c>
      <c r="L43" s="35" t="s">
        <v>830</v>
      </c>
      <c r="M43" s="35" t="s">
        <v>830</v>
      </c>
    </row>
    <row r="44" spans="1:13">
      <c r="A44" s="29">
        <v>47300036</v>
      </c>
      <c r="B44" s="30" t="s">
        <v>1006</v>
      </c>
      <c r="C44" s="75" t="s">
        <v>1007</v>
      </c>
      <c r="D44" s="88" t="b">
        <v>1</v>
      </c>
      <c r="E44" s="30" t="s">
        <v>757</v>
      </c>
      <c r="F44" s="35">
        <v>100001</v>
      </c>
      <c r="G44" s="35">
        <v>10000</v>
      </c>
      <c r="H44" s="30" t="s">
        <v>757</v>
      </c>
      <c r="I44" s="35">
        <v>100001</v>
      </c>
      <c r="J44" s="35">
        <v>100000</v>
      </c>
      <c r="K44" s="30" t="s">
        <v>850</v>
      </c>
      <c r="L44" s="35" t="s">
        <v>830</v>
      </c>
      <c r="M44" s="35" t="s">
        <v>830</v>
      </c>
    </row>
    <row r="45" spans="1:13">
      <c r="A45" s="29">
        <v>47300037</v>
      </c>
      <c r="B45" s="30" t="s">
        <v>1008</v>
      </c>
      <c r="C45" s="76" t="s">
        <v>1009</v>
      </c>
      <c r="D45" s="88" t="b">
        <v>1</v>
      </c>
      <c r="E45" s="30" t="s">
        <v>757</v>
      </c>
      <c r="F45" s="35">
        <v>100001</v>
      </c>
      <c r="G45" s="35">
        <v>10000</v>
      </c>
      <c r="H45" s="30" t="s">
        <v>757</v>
      </c>
      <c r="I45" s="35">
        <v>100001</v>
      </c>
      <c r="J45" s="35">
        <v>100000</v>
      </c>
      <c r="K45" s="30" t="s">
        <v>850</v>
      </c>
      <c r="L45" s="35" t="s">
        <v>830</v>
      </c>
      <c r="M45" s="35" t="s">
        <v>830</v>
      </c>
    </row>
    <row r="46" spans="1:13">
      <c r="A46" s="29">
        <v>47300038</v>
      </c>
      <c r="B46" s="30" t="s">
        <v>1010</v>
      </c>
      <c r="C46" s="77" t="s">
        <v>1011</v>
      </c>
      <c r="D46" s="88" t="b">
        <v>1</v>
      </c>
      <c r="E46" s="30" t="s">
        <v>757</v>
      </c>
      <c r="F46" s="35">
        <v>100001</v>
      </c>
      <c r="G46" s="35">
        <v>10000</v>
      </c>
      <c r="H46" s="30" t="s">
        <v>757</v>
      </c>
      <c r="I46" s="35">
        <v>100001</v>
      </c>
      <c r="J46" s="35">
        <v>100000</v>
      </c>
      <c r="K46" s="30" t="s">
        <v>850</v>
      </c>
      <c r="L46" s="35" t="s">
        <v>830</v>
      </c>
      <c r="M46" s="35" t="s">
        <v>830</v>
      </c>
    </row>
    <row r="47" spans="1:13">
      <c r="A47" s="29">
        <v>47300039</v>
      </c>
      <c r="B47" s="30" t="s">
        <v>1012</v>
      </c>
      <c r="C47" s="78" t="s">
        <v>1013</v>
      </c>
      <c r="D47" s="88" t="b">
        <v>1</v>
      </c>
      <c r="E47" s="30" t="s">
        <v>757</v>
      </c>
      <c r="F47" s="35">
        <v>100001</v>
      </c>
      <c r="G47" s="35">
        <v>10000</v>
      </c>
      <c r="H47" s="30" t="s">
        <v>757</v>
      </c>
      <c r="I47" s="35">
        <v>100001</v>
      </c>
      <c r="J47" s="35">
        <v>100000</v>
      </c>
      <c r="K47" s="30" t="s">
        <v>850</v>
      </c>
      <c r="L47" s="35" t="s">
        <v>830</v>
      </c>
      <c r="M47" s="35" t="s">
        <v>830</v>
      </c>
    </row>
    <row r="48" spans="1:13">
      <c r="A48" s="29">
        <v>47300040</v>
      </c>
      <c r="B48" s="30" t="s">
        <v>1014</v>
      </c>
      <c r="C48" s="79" t="s">
        <v>1015</v>
      </c>
      <c r="D48" s="88" t="b">
        <v>1</v>
      </c>
      <c r="E48" s="30" t="s">
        <v>757</v>
      </c>
      <c r="F48" s="35">
        <v>100001</v>
      </c>
      <c r="G48" s="35">
        <v>10000</v>
      </c>
      <c r="H48" s="30" t="s">
        <v>757</v>
      </c>
      <c r="I48" s="35">
        <v>100001</v>
      </c>
      <c r="J48" s="35">
        <v>100000</v>
      </c>
      <c r="K48" s="30" t="s">
        <v>850</v>
      </c>
      <c r="L48" s="35" t="s">
        <v>830</v>
      </c>
      <c r="M48" s="35" t="s">
        <v>830</v>
      </c>
    </row>
    <row r="49" spans="1:14">
      <c r="A49" s="29">
        <v>47300041</v>
      </c>
      <c r="B49" s="30" t="s">
        <v>1016</v>
      </c>
      <c r="C49" s="80" t="s">
        <v>1017</v>
      </c>
      <c r="D49" s="88" t="b">
        <v>1</v>
      </c>
      <c r="E49" s="30" t="s">
        <v>757</v>
      </c>
      <c r="F49" s="35">
        <v>100001</v>
      </c>
      <c r="G49" s="35">
        <v>10000</v>
      </c>
      <c r="H49" s="30" t="s">
        <v>757</v>
      </c>
      <c r="I49" s="35">
        <v>100001</v>
      </c>
      <c r="J49" s="35">
        <v>100000</v>
      </c>
      <c r="K49" s="30" t="s">
        <v>850</v>
      </c>
      <c r="L49" s="35" t="s">
        <v>830</v>
      </c>
      <c r="M49" s="35" t="s">
        <v>830</v>
      </c>
    </row>
    <row r="50" spans="1:14">
      <c r="A50" s="29">
        <v>47300042</v>
      </c>
      <c r="B50" s="30" t="s">
        <v>1018</v>
      </c>
      <c r="C50" s="81" t="s">
        <v>1019</v>
      </c>
      <c r="D50" s="88" t="b">
        <v>1</v>
      </c>
      <c r="E50" s="30" t="s">
        <v>757</v>
      </c>
      <c r="F50" s="35">
        <v>100001</v>
      </c>
      <c r="G50" s="35">
        <v>10000</v>
      </c>
      <c r="H50" s="30" t="s">
        <v>757</v>
      </c>
      <c r="I50" s="35">
        <v>100001</v>
      </c>
      <c r="J50" s="35">
        <v>100000</v>
      </c>
      <c r="K50" s="30" t="s">
        <v>850</v>
      </c>
      <c r="L50" s="35" t="s">
        <v>830</v>
      </c>
      <c r="M50" s="35" t="s">
        <v>830</v>
      </c>
    </row>
    <row r="51" spans="1:14">
      <c r="A51" s="29">
        <v>47300043</v>
      </c>
      <c r="B51" s="30" t="s">
        <v>1020</v>
      </c>
      <c r="C51" s="82" t="s">
        <v>1021</v>
      </c>
      <c r="D51" s="88" t="b">
        <v>1</v>
      </c>
      <c r="E51" s="30" t="s">
        <v>757</v>
      </c>
      <c r="F51" s="35">
        <v>100001</v>
      </c>
      <c r="G51" s="35">
        <v>10000</v>
      </c>
      <c r="H51" s="30" t="s">
        <v>757</v>
      </c>
      <c r="I51" s="35">
        <v>100001</v>
      </c>
      <c r="J51" s="35">
        <v>100000</v>
      </c>
      <c r="K51" s="30" t="s">
        <v>850</v>
      </c>
      <c r="L51" s="35" t="s">
        <v>830</v>
      </c>
      <c r="M51" s="35" t="s">
        <v>830</v>
      </c>
    </row>
    <row r="52" spans="1:14">
      <c r="A52" s="29">
        <v>47300044</v>
      </c>
      <c r="B52" s="30" t="s">
        <v>1022</v>
      </c>
      <c r="C52" s="83" t="s">
        <v>1023</v>
      </c>
      <c r="D52" s="88" t="b">
        <v>1</v>
      </c>
      <c r="E52" s="30" t="s">
        <v>757</v>
      </c>
      <c r="F52" s="35">
        <v>100001</v>
      </c>
      <c r="G52" s="35">
        <v>10000</v>
      </c>
      <c r="H52" s="30" t="s">
        <v>757</v>
      </c>
      <c r="I52" s="35">
        <v>100001</v>
      </c>
      <c r="J52" s="35">
        <v>100000</v>
      </c>
      <c r="K52" s="30" t="s">
        <v>850</v>
      </c>
      <c r="L52" s="35" t="s">
        <v>830</v>
      </c>
      <c r="M52" s="35" t="s">
        <v>830</v>
      </c>
    </row>
    <row r="53" spans="1:14">
      <c r="A53" s="29">
        <v>47300045</v>
      </c>
      <c r="B53" s="30" t="s">
        <v>1024</v>
      </c>
      <c r="C53" s="84" t="s">
        <v>1025</v>
      </c>
      <c r="D53" s="88" t="b">
        <v>1</v>
      </c>
      <c r="E53" s="30" t="s">
        <v>757</v>
      </c>
      <c r="F53" s="35">
        <v>100001</v>
      </c>
      <c r="G53" s="35">
        <v>10000</v>
      </c>
      <c r="H53" s="30" t="s">
        <v>757</v>
      </c>
      <c r="I53" s="35">
        <v>100001</v>
      </c>
      <c r="J53" s="35">
        <v>100000</v>
      </c>
      <c r="K53" s="30" t="s">
        <v>850</v>
      </c>
      <c r="L53" s="35" t="s">
        <v>830</v>
      </c>
      <c r="M53" s="35" t="s">
        <v>830</v>
      </c>
    </row>
    <row r="54" spans="1:14">
      <c r="A54" s="29">
        <v>47301001</v>
      </c>
      <c r="B54" s="30" t="s">
        <v>1026</v>
      </c>
      <c r="C54" s="32" t="s">
        <v>524</v>
      </c>
      <c r="D54" s="89" t="b">
        <v>0</v>
      </c>
      <c r="E54" s="30" t="s">
        <v>850</v>
      </c>
      <c r="F54" s="35" t="s">
        <v>830</v>
      </c>
      <c r="G54" s="35" t="s">
        <v>830</v>
      </c>
      <c r="H54" s="30" t="s">
        <v>850</v>
      </c>
      <c r="I54" s="35" t="s">
        <v>830</v>
      </c>
      <c r="J54" s="35" t="s">
        <v>830</v>
      </c>
      <c r="K54" s="30" t="s">
        <v>850</v>
      </c>
      <c r="L54" s="35" t="s">
        <v>830</v>
      </c>
      <c r="M54" s="35" t="s">
        <v>830</v>
      </c>
    </row>
    <row r="55" spans="1:14">
      <c r="A55" s="29">
        <v>47301002</v>
      </c>
      <c r="B55" s="30" t="s">
        <v>1027</v>
      </c>
      <c r="C55" s="31" t="s">
        <v>523</v>
      </c>
      <c r="D55" s="89" t="b">
        <v>0</v>
      </c>
      <c r="E55" s="30" t="s">
        <v>850</v>
      </c>
      <c r="F55" s="35" t="s">
        <v>830</v>
      </c>
      <c r="G55" s="35" t="s">
        <v>830</v>
      </c>
      <c r="H55" s="30" t="s">
        <v>850</v>
      </c>
      <c r="I55" s="35" t="s">
        <v>830</v>
      </c>
      <c r="J55" s="35" t="s">
        <v>830</v>
      </c>
      <c r="K55" s="30" t="s">
        <v>850</v>
      </c>
      <c r="L55" s="35" t="s">
        <v>830</v>
      </c>
      <c r="M55" s="35" t="s">
        <v>830</v>
      </c>
    </row>
    <row r="56" spans="1:14">
      <c r="A56" s="29">
        <v>47301003</v>
      </c>
      <c r="B56" s="30" t="s">
        <v>1028</v>
      </c>
      <c r="C56" s="85" t="s">
        <v>525</v>
      </c>
      <c r="D56" s="89" t="b">
        <v>0</v>
      </c>
      <c r="E56" s="30" t="s">
        <v>850</v>
      </c>
      <c r="F56" s="35" t="s">
        <v>830</v>
      </c>
      <c r="G56" s="35" t="s">
        <v>830</v>
      </c>
      <c r="H56" s="30" t="s">
        <v>850</v>
      </c>
      <c r="I56" s="35" t="s">
        <v>830</v>
      </c>
      <c r="J56" s="35" t="s">
        <v>830</v>
      </c>
      <c r="K56" s="30" t="s">
        <v>850</v>
      </c>
      <c r="L56" s="35" t="s">
        <v>830</v>
      </c>
      <c r="M56" s="35" t="s">
        <v>830</v>
      </c>
    </row>
    <row r="57" spans="1:14">
      <c r="A57" s="29">
        <v>47301004</v>
      </c>
      <c r="B57" s="30" t="s">
        <v>1029</v>
      </c>
      <c r="C57" s="86" t="s">
        <v>526</v>
      </c>
      <c r="D57" s="89" t="b">
        <v>0</v>
      </c>
      <c r="E57" s="30" t="s">
        <v>850</v>
      </c>
      <c r="F57" s="35" t="s">
        <v>830</v>
      </c>
      <c r="G57" s="35" t="s">
        <v>830</v>
      </c>
      <c r="H57" s="30" t="s">
        <v>850</v>
      </c>
      <c r="I57" s="35" t="s">
        <v>830</v>
      </c>
      <c r="J57" s="35" t="s">
        <v>830</v>
      </c>
      <c r="K57" s="30" t="s">
        <v>850</v>
      </c>
      <c r="L57" s="35" t="s">
        <v>830</v>
      </c>
      <c r="M57" s="35" t="s">
        <v>830</v>
      </c>
    </row>
    <row r="58" spans="1:14">
      <c r="A58" s="29">
        <v>47301005</v>
      </c>
      <c r="B58" s="30" t="s">
        <v>1030</v>
      </c>
      <c r="C58" s="87" t="s">
        <v>527</v>
      </c>
      <c r="D58" s="89" t="b">
        <v>0</v>
      </c>
      <c r="E58" s="30" t="s">
        <v>850</v>
      </c>
      <c r="F58" s="35" t="s">
        <v>830</v>
      </c>
      <c r="G58" s="35" t="s">
        <v>830</v>
      </c>
      <c r="H58" s="30" t="s">
        <v>850</v>
      </c>
      <c r="I58" s="35" t="s">
        <v>830</v>
      </c>
      <c r="J58" s="35" t="s">
        <v>830</v>
      </c>
      <c r="K58" s="30" t="s">
        <v>850</v>
      </c>
      <c r="L58" s="35" t="s">
        <v>830</v>
      </c>
      <c r="M58" s="35" t="s">
        <v>830</v>
      </c>
    </row>
    <row r="59" spans="1:14">
      <c r="A59" s="33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27" t="s">
        <v>8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9"/>
  <sheetViews>
    <sheetView zoomScaleNormal="100" workbookViewId="0">
      <selection activeCell="F8" sqref="F8"/>
    </sheetView>
  </sheetViews>
  <sheetFormatPr defaultRowHeight="13.5"/>
  <cols>
    <col min="1" max="1" width="19" style="27" customWidth="1"/>
    <col min="2" max="3" width="20" style="27" bestFit="1" customWidth="1"/>
    <col min="4" max="4" width="15" style="27" customWidth="1"/>
    <col min="5" max="6" width="33.5703125" style="27" customWidth="1"/>
    <col min="7" max="7" width="14.42578125" style="27" customWidth="1"/>
    <col min="8" max="9" width="31.85546875" style="27" customWidth="1"/>
    <col min="10" max="10" width="14.42578125" style="27" customWidth="1"/>
    <col min="11" max="11" width="31.85546875" style="27" customWidth="1"/>
    <col min="12" max="12" width="36.28515625" style="27" customWidth="1"/>
    <col min="13" max="13" width="20" style="27" customWidth="1"/>
    <col min="14" max="14" width="31.42578125" style="27" customWidth="1"/>
    <col min="15" max="15" width="11" style="27" bestFit="1" customWidth="1"/>
    <col min="16" max="16" width="9.140625" style="27"/>
    <col min="17" max="17" width="24.7109375" style="27" customWidth="1"/>
    <col min="18" max="18" width="22.5703125" style="27" customWidth="1"/>
    <col min="19" max="16384" width="9.140625" style="27"/>
  </cols>
  <sheetData>
    <row r="1" spans="1:12">
      <c r="A1" s="6" t="s">
        <v>5</v>
      </c>
      <c r="B1" s="25"/>
      <c r="C1" s="26" t="s">
        <v>838</v>
      </c>
      <c r="D1" s="25"/>
      <c r="E1" s="26" t="s">
        <v>753</v>
      </c>
      <c r="F1" s="26" t="s">
        <v>754</v>
      </c>
      <c r="G1" s="25"/>
      <c r="H1" s="26" t="s">
        <v>755</v>
      </c>
      <c r="I1" s="26" t="s">
        <v>756</v>
      </c>
      <c r="J1" s="25"/>
      <c r="K1" s="26" t="s">
        <v>836</v>
      </c>
      <c r="L1" s="26" t="s">
        <v>837</v>
      </c>
    </row>
    <row r="2" spans="1:12" ht="27">
      <c r="A2" s="6" t="s">
        <v>774</v>
      </c>
      <c r="B2" s="25"/>
      <c r="C2" s="26" t="s">
        <v>7</v>
      </c>
      <c r="D2" s="25"/>
      <c r="E2" s="26" t="s">
        <v>7</v>
      </c>
      <c r="F2" s="26" t="s">
        <v>7</v>
      </c>
      <c r="G2" s="25"/>
      <c r="H2" s="26" t="s">
        <v>7</v>
      </c>
      <c r="I2" s="26" t="s">
        <v>7</v>
      </c>
      <c r="J2" s="25"/>
      <c r="K2" s="26" t="s">
        <v>7</v>
      </c>
      <c r="L2" s="26" t="s">
        <v>7</v>
      </c>
    </row>
    <row r="3" spans="1:12">
      <c r="A3" s="8" t="s">
        <v>1</v>
      </c>
      <c r="B3" s="25"/>
      <c r="C3" s="28" t="s">
        <v>0</v>
      </c>
      <c r="D3" s="25"/>
      <c r="E3" s="28" t="s">
        <v>0</v>
      </c>
      <c r="F3" s="28" t="s">
        <v>0</v>
      </c>
      <c r="G3" s="25"/>
      <c r="H3" s="28" t="s">
        <v>0</v>
      </c>
      <c r="I3" s="28" t="s">
        <v>0</v>
      </c>
      <c r="J3" s="25"/>
      <c r="K3" s="28" t="s">
        <v>0</v>
      </c>
      <c r="L3" s="28" t="s">
        <v>0</v>
      </c>
    </row>
    <row r="4" spans="1:12">
      <c r="A4" s="8" t="s">
        <v>2</v>
      </c>
      <c r="B4" s="25"/>
      <c r="C4" s="28" t="s">
        <v>0</v>
      </c>
      <c r="D4" s="25"/>
      <c r="E4" s="28" t="s">
        <v>0</v>
      </c>
      <c r="F4" s="28" t="s">
        <v>0</v>
      </c>
      <c r="G4" s="25"/>
      <c r="H4" s="28" t="s">
        <v>0</v>
      </c>
      <c r="I4" s="28" t="s">
        <v>0</v>
      </c>
      <c r="J4" s="25"/>
      <c r="K4" s="28" t="s">
        <v>0</v>
      </c>
      <c r="L4" s="28" t="s">
        <v>0</v>
      </c>
    </row>
    <row r="5" spans="1:12">
      <c r="A5" s="8" t="s">
        <v>3</v>
      </c>
      <c r="B5" s="25"/>
      <c r="C5" s="28" t="s">
        <v>0</v>
      </c>
      <c r="D5" s="25"/>
      <c r="E5" s="28" t="s">
        <v>0</v>
      </c>
      <c r="F5" s="28" t="s">
        <v>0</v>
      </c>
      <c r="G5" s="25"/>
      <c r="H5" s="28" t="s">
        <v>0</v>
      </c>
      <c r="I5" s="28" t="s">
        <v>0</v>
      </c>
      <c r="J5" s="25"/>
      <c r="K5" s="28" t="s">
        <v>0</v>
      </c>
      <c r="L5" s="28" t="s">
        <v>0</v>
      </c>
    </row>
    <row r="6" spans="1:12">
      <c r="A6" s="8" t="s">
        <v>4</v>
      </c>
      <c r="B6" s="25"/>
      <c r="C6" s="28" t="s">
        <v>0</v>
      </c>
      <c r="D6" s="25"/>
      <c r="E6" s="28" t="s">
        <v>0</v>
      </c>
      <c r="F6" s="28" t="s">
        <v>0</v>
      </c>
      <c r="G6" s="25"/>
      <c r="H6" s="28" t="s">
        <v>0</v>
      </c>
      <c r="I6" s="28" t="s">
        <v>0</v>
      </c>
      <c r="J6" s="25"/>
      <c r="K6" s="28" t="s">
        <v>0</v>
      </c>
      <c r="L6" s="28" t="s">
        <v>0</v>
      </c>
    </row>
    <row r="7" spans="1:12">
      <c r="A7" s="8" t="s">
        <v>10</v>
      </c>
      <c r="B7" s="25"/>
      <c r="C7" s="28" t="s">
        <v>0</v>
      </c>
      <c r="D7" s="25"/>
      <c r="E7" s="28" t="s">
        <v>0</v>
      </c>
      <c r="F7" s="28" t="s">
        <v>0</v>
      </c>
      <c r="G7" s="25"/>
      <c r="H7" s="28" t="s">
        <v>0</v>
      </c>
      <c r="I7" s="28" t="s">
        <v>0</v>
      </c>
      <c r="J7" s="25"/>
      <c r="K7" s="28" t="s">
        <v>0</v>
      </c>
      <c r="L7" s="28" t="s">
        <v>0</v>
      </c>
    </row>
    <row r="8" spans="1:12">
      <c r="A8" s="29">
        <v>47400000</v>
      </c>
      <c r="B8" s="30" t="s">
        <v>1031</v>
      </c>
      <c r="C8" s="39" t="s">
        <v>945</v>
      </c>
      <c r="D8" s="30" t="s">
        <v>757</v>
      </c>
      <c r="E8" s="35">
        <v>100001</v>
      </c>
      <c r="F8" s="35">
        <v>10000</v>
      </c>
      <c r="G8" s="30" t="s">
        <v>757</v>
      </c>
      <c r="H8" s="35">
        <v>100001</v>
      </c>
      <c r="I8" s="35">
        <v>100000</v>
      </c>
      <c r="J8" s="30"/>
      <c r="K8" s="35" t="s">
        <v>830</v>
      </c>
      <c r="L8" s="35" t="s">
        <v>830</v>
      </c>
    </row>
    <row r="9" spans="1:12">
      <c r="A9" s="29">
        <v>47400001</v>
      </c>
      <c r="B9" s="30" t="s">
        <v>763</v>
      </c>
      <c r="C9" s="40" t="s">
        <v>946</v>
      </c>
      <c r="D9" s="30" t="s">
        <v>757</v>
      </c>
      <c r="E9" s="35">
        <v>100001</v>
      </c>
      <c r="F9" s="35">
        <v>10000</v>
      </c>
      <c r="G9" s="30" t="s">
        <v>757</v>
      </c>
      <c r="H9" s="35">
        <v>100001</v>
      </c>
      <c r="I9" s="35">
        <v>100000</v>
      </c>
      <c r="J9" s="30"/>
      <c r="K9" s="35" t="s">
        <v>830</v>
      </c>
      <c r="L9" s="35" t="s">
        <v>830</v>
      </c>
    </row>
    <row r="10" spans="1:12">
      <c r="A10" s="29">
        <v>47400002</v>
      </c>
      <c r="B10" s="30" t="s">
        <v>764</v>
      </c>
      <c r="C10" s="41" t="s">
        <v>947</v>
      </c>
      <c r="D10" s="30" t="s">
        <v>757</v>
      </c>
      <c r="E10" s="35">
        <v>100001</v>
      </c>
      <c r="F10" s="35">
        <v>10000</v>
      </c>
      <c r="G10" s="30" t="s">
        <v>757</v>
      </c>
      <c r="H10" s="35">
        <v>100001</v>
      </c>
      <c r="I10" s="35">
        <v>100000</v>
      </c>
      <c r="J10" s="30"/>
      <c r="K10" s="35" t="s">
        <v>830</v>
      </c>
      <c r="L10" s="35" t="s">
        <v>830</v>
      </c>
    </row>
    <row r="11" spans="1:12">
      <c r="A11" s="29">
        <v>47400003</v>
      </c>
      <c r="B11" s="30" t="s">
        <v>765</v>
      </c>
      <c r="C11" s="42" t="s">
        <v>948</v>
      </c>
      <c r="D11" s="30" t="s">
        <v>757</v>
      </c>
      <c r="E11" s="35">
        <v>100001</v>
      </c>
      <c r="F11" s="35">
        <v>10000</v>
      </c>
      <c r="G11" s="30" t="s">
        <v>757</v>
      </c>
      <c r="H11" s="35">
        <v>100001</v>
      </c>
      <c r="I11" s="35">
        <v>100000</v>
      </c>
      <c r="J11" s="30"/>
      <c r="K11" s="35" t="s">
        <v>830</v>
      </c>
      <c r="L11" s="35" t="s">
        <v>830</v>
      </c>
    </row>
    <row r="12" spans="1:12">
      <c r="A12" s="29">
        <v>47400004</v>
      </c>
      <c r="B12" s="30" t="s">
        <v>766</v>
      </c>
      <c r="C12" s="43" t="s">
        <v>949</v>
      </c>
      <c r="D12" s="30" t="s">
        <v>757</v>
      </c>
      <c r="E12" s="35">
        <v>100001</v>
      </c>
      <c r="F12" s="35">
        <v>10000</v>
      </c>
      <c r="G12" s="30" t="s">
        <v>757</v>
      </c>
      <c r="H12" s="35">
        <v>100001</v>
      </c>
      <c r="I12" s="35">
        <v>100000</v>
      </c>
      <c r="J12" s="30"/>
      <c r="K12" s="35" t="s">
        <v>830</v>
      </c>
      <c r="L12" s="35" t="s">
        <v>830</v>
      </c>
    </row>
    <row r="13" spans="1:12">
      <c r="A13" s="29">
        <v>47400005</v>
      </c>
      <c r="B13" s="30" t="s">
        <v>767</v>
      </c>
      <c r="C13" s="44" t="s">
        <v>950</v>
      </c>
      <c r="D13" s="30" t="s">
        <v>757</v>
      </c>
      <c r="E13" s="35">
        <v>100001</v>
      </c>
      <c r="F13" s="35">
        <v>10000</v>
      </c>
      <c r="G13" s="30" t="s">
        <v>757</v>
      </c>
      <c r="H13" s="35">
        <v>100001</v>
      </c>
      <c r="I13" s="35">
        <v>100000</v>
      </c>
      <c r="J13" s="30"/>
      <c r="K13" s="35" t="s">
        <v>830</v>
      </c>
      <c r="L13" s="35" t="s">
        <v>830</v>
      </c>
    </row>
    <row r="14" spans="1:12">
      <c r="A14" s="29">
        <v>47400006</v>
      </c>
      <c r="B14" s="30" t="s">
        <v>768</v>
      </c>
      <c r="C14" s="45" t="s">
        <v>951</v>
      </c>
      <c r="D14" s="30" t="s">
        <v>757</v>
      </c>
      <c r="E14" s="35">
        <v>100001</v>
      </c>
      <c r="F14" s="35">
        <v>10000</v>
      </c>
      <c r="G14" s="30" t="s">
        <v>757</v>
      </c>
      <c r="H14" s="35">
        <v>100001</v>
      </c>
      <c r="I14" s="35">
        <v>100000</v>
      </c>
      <c r="J14" s="30"/>
      <c r="K14" s="35" t="s">
        <v>830</v>
      </c>
      <c r="L14" s="35" t="s">
        <v>830</v>
      </c>
    </row>
    <row r="15" spans="1:12">
      <c r="A15" s="29">
        <v>47400007</v>
      </c>
      <c r="B15" s="30" t="s">
        <v>769</v>
      </c>
      <c r="C15" s="46" t="s">
        <v>952</v>
      </c>
      <c r="D15" s="30" t="s">
        <v>757</v>
      </c>
      <c r="E15" s="35">
        <v>100001</v>
      </c>
      <c r="F15" s="35">
        <v>10000</v>
      </c>
      <c r="G15" s="30" t="s">
        <v>757</v>
      </c>
      <c r="H15" s="35">
        <v>100001</v>
      </c>
      <c r="I15" s="35">
        <v>100000</v>
      </c>
      <c r="J15" s="30"/>
      <c r="K15" s="35" t="s">
        <v>830</v>
      </c>
      <c r="L15" s="35" t="s">
        <v>830</v>
      </c>
    </row>
    <row r="16" spans="1:12">
      <c r="A16" s="29">
        <v>47400008</v>
      </c>
      <c r="B16" s="30" t="s">
        <v>770</v>
      </c>
      <c r="C16" s="47" t="s">
        <v>953</v>
      </c>
      <c r="D16" s="30" t="s">
        <v>757</v>
      </c>
      <c r="E16" s="35">
        <v>100001</v>
      </c>
      <c r="F16" s="35">
        <v>10000</v>
      </c>
      <c r="G16" s="30" t="s">
        <v>757</v>
      </c>
      <c r="H16" s="35">
        <v>100001</v>
      </c>
      <c r="I16" s="35">
        <v>100000</v>
      </c>
      <c r="J16" s="30"/>
      <c r="K16" s="35" t="s">
        <v>830</v>
      </c>
      <c r="L16" s="35" t="s">
        <v>830</v>
      </c>
    </row>
    <row r="17" spans="1:12">
      <c r="A17" s="29">
        <v>47400009</v>
      </c>
      <c r="B17" s="30" t="s">
        <v>771</v>
      </c>
      <c r="C17" s="48" t="s">
        <v>954</v>
      </c>
      <c r="D17" s="30" t="s">
        <v>757</v>
      </c>
      <c r="E17" s="35">
        <v>100001</v>
      </c>
      <c r="F17" s="35">
        <v>10000</v>
      </c>
      <c r="G17" s="30" t="s">
        <v>757</v>
      </c>
      <c r="H17" s="35">
        <v>100001</v>
      </c>
      <c r="I17" s="35">
        <v>100000</v>
      </c>
      <c r="J17" s="30"/>
      <c r="K17" s="35" t="s">
        <v>830</v>
      </c>
      <c r="L17" s="35" t="s">
        <v>830</v>
      </c>
    </row>
    <row r="18" spans="1:12">
      <c r="A18" s="29">
        <v>47400010</v>
      </c>
      <c r="B18" s="30" t="s">
        <v>772</v>
      </c>
      <c r="C18" s="49" t="s">
        <v>955</v>
      </c>
      <c r="D18" s="30" t="s">
        <v>757</v>
      </c>
      <c r="E18" s="35">
        <v>100001</v>
      </c>
      <c r="F18" s="35">
        <v>10000</v>
      </c>
      <c r="G18" s="30" t="s">
        <v>757</v>
      </c>
      <c r="H18" s="35">
        <v>100001</v>
      </c>
      <c r="I18" s="35">
        <v>100000</v>
      </c>
      <c r="J18" s="30"/>
      <c r="K18" s="35" t="s">
        <v>830</v>
      </c>
      <c r="L18" s="35" t="s">
        <v>830</v>
      </c>
    </row>
    <row r="19" spans="1:12">
      <c r="A19" s="29">
        <v>47400011</v>
      </c>
      <c r="B19" s="30" t="s">
        <v>956</v>
      </c>
      <c r="C19" s="50" t="s">
        <v>957</v>
      </c>
      <c r="D19" s="30" t="s">
        <v>757</v>
      </c>
      <c r="E19" s="35">
        <v>100001</v>
      </c>
      <c r="F19" s="35">
        <v>10000</v>
      </c>
      <c r="G19" s="30" t="s">
        <v>757</v>
      </c>
      <c r="H19" s="35">
        <v>100001</v>
      </c>
      <c r="I19" s="35">
        <v>100000</v>
      </c>
      <c r="J19" s="30"/>
      <c r="K19" s="35" t="s">
        <v>830</v>
      </c>
      <c r="L19" s="35" t="s">
        <v>830</v>
      </c>
    </row>
    <row r="20" spans="1:12">
      <c r="A20" s="29">
        <v>47400012</v>
      </c>
      <c r="B20" s="30" t="s">
        <v>958</v>
      </c>
      <c r="C20" s="51" t="s">
        <v>959</v>
      </c>
      <c r="D20" s="30" t="s">
        <v>757</v>
      </c>
      <c r="E20" s="35">
        <v>100001</v>
      </c>
      <c r="F20" s="35">
        <v>10000</v>
      </c>
      <c r="G20" s="30" t="s">
        <v>757</v>
      </c>
      <c r="H20" s="35">
        <v>100001</v>
      </c>
      <c r="I20" s="35">
        <v>100000</v>
      </c>
      <c r="J20" s="30"/>
      <c r="K20" s="35" t="s">
        <v>830</v>
      </c>
      <c r="L20" s="35" t="s">
        <v>830</v>
      </c>
    </row>
    <row r="21" spans="1:12">
      <c r="A21" s="29">
        <v>47400013</v>
      </c>
      <c r="B21" s="30" t="s">
        <v>960</v>
      </c>
      <c r="C21" s="52" t="s">
        <v>961</v>
      </c>
      <c r="D21" s="30" t="s">
        <v>757</v>
      </c>
      <c r="E21" s="35">
        <v>100001</v>
      </c>
      <c r="F21" s="35">
        <v>10000</v>
      </c>
      <c r="G21" s="30" t="s">
        <v>757</v>
      </c>
      <c r="H21" s="35">
        <v>100001</v>
      </c>
      <c r="I21" s="35">
        <v>100000</v>
      </c>
      <c r="J21" s="30"/>
      <c r="K21" s="35" t="s">
        <v>830</v>
      </c>
      <c r="L21" s="35" t="s">
        <v>830</v>
      </c>
    </row>
    <row r="22" spans="1:12">
      <c r="A22" s="29">
        <v>47400014</v>
      </c>
      <c r="B22" s="30" t="s">
        <v>962</v>
      </c>
      <c r="C22" s="53" t="s">
        <v>963</v>
      </c>
      <c r="D22" s="30" t="s">
        <v>757</v>
      </c>
      <c r="E22" s="35">
        <v>100001</v>
      </c>
      <c r="F22" s="35">
        <v>10000</v>
      </c>
      <c r="G22" s="30" t="s">
        <v>757</v>
      </c>
      <c r="H22" s="35">
        <v>100001</v>
      </c>
      <c r="I22" s="35">
        <v>100000</v>
      </c>
      <c r="J22" s="30"/>
      <c r="K22" s="35" t="s">
        <v>830</v>
      </c>
      <c r="L22" s="35" t="s">
        <v>830</v>
      </c>
    </row>
    <row r="23" spans="1:12">
      <c r="A23" s="29">
        <v>47400015</v>
      </c>
      <c r="B23" s="30" t="s">
        <v>964</v>
      </c>
      <c r="C23" s="54" t="s">
        <v>965</v>
      </c>
      <c r="D23" s="30" t="s">
        <v>757</v>
      </c>
      <c r="E23" s="35">
        <v>100001</v>
      </c>
      <c r="F23" s="35">
        <v>10000</v>
      </c>
      <c r="G23" s="30" t="s">
        <v>757</v>
      </c>
      <c r="H23" s="35">
        <v>100001</v>
      </c>
      <c r="I23" s="35">
        <v>100000</v>
      </c>
      <c r="J23" s="30"/>
      <c r="K23" s="35" t="s">
        <v>830</v>
      </c>
      <c r="L23" s="35" t="s">
        <v>830</v>
      </c>
    </row>
    <row r="24" spans="1:12">
      <c r="A24" s="29">
        <v>47400016</v>
      </c>
      <c r="B24" s="30" t="s">
        <v>966</v>
      </c>
      <c r="C24" s="55" t="s">
        <v>967</v>
      </c>
      <c r="D24" s="30" t="s">
        <v>757</v>
      </c>
      <c r="E24" s="35">
        <v>100001</v>
      </c>
      <c r="F24" s="35">
        <v>10000</v>
      </c>
      <c r="G24" s="30" t="s">
        <v>757</v>
      </c>
      <c r="H24" s="35">
        <v>100001</v>
      </c>
      <c r="I24" s="35">
        <v>100000</v>
      </c>
      <c r="J24" s="30"/>
      <c r="K24" s="35" t="s">
        <v>830</v>
      </c>
      <c r="L24" s="35" t="s">
        <v>830</v>
      </c>
    </row>
    <row r="25" spans="1:12">
      <c r="A25" s="29">
        <v>47400017</v>
      </c>
      <c r="B25" s="30" t="s">
        <v>968</v>
      </c>
      <c r="C25" s="56" t="s">
        <v>969</v>
      </c>
      <c r="D25" s="30" t="s">
        <v>757</v>
      </c>
      <c r="E25" s="35">
        <v>100001</v>
      </c>
      <c r="F25" s="35">
        <v>10000</v>
      </c>
      <c r="G25" s="30" t="s">
        <v>757</v>
      </c>
      <c r="H25" s="35">
        <v>100001</v>
      </c>
      <c r="I25" s="35">
        <v>100000</v>
      </c>
      <c r="J25" s="30"/>
      <c r="K25" s="35" t="s">
        <v>830</v>
      </c>
      <c r="L25" s="35" t="s">
        <v>830</v>
      </c>
    </row>
    <row r="26" spans="1:12">
      <c r="A26" s="29">
        <v>47400018</v>
      </c>
      <c r="B26" s="30" t="s">
        <v>970</v>
      </c>
      <c r="C26" s="57" t="s">
        <v>971</v>
      </c>
      <c r="D26" s="30" t="s">
        <v>757</v>
      </c>
      <c r="E26" s="35">
        <v>100001</v>
      </c>
      <c r="F26" s="35">
        <v>10000</v>
      </c>
      <c r="G26" s="30" t="s">
        <v>757</v>
      </c>
      <c r="H26" s="35">
        <v>100001</v>
      </c>
      <c r="I26" s="35">
        <v>100000</v>
      </c>
      <c r="J26" s="30"/>
      <c r="K26" s="35" t="s">
        <v>830</v>
      </c>
      <c r="L26" s="35" t="s">
        <v>830</v>
      </c>
    </row>
    <row r="27" spans="1:12">
      <c r="A27" s="29">
        <v>47400019</v>
      </c>
      <c r="B27" s="30" t="s">
        <v>972</v>
      </c>
      <c r="C27" s="58" t="s">
        <v>973</v>
      </c>
      <c r="D27" s="30" t="s">
        <v>757</v>
      </c>
      <c r="E27" s="35">
        <v>100001</v>
      </c>
      <c r="F27" s="35">
        <v>10000</v>
      </c>
      <c r="G27" s="30" t="s">
        <v>757</v>
      </c>
      <c r="H27" s="35">
        <v>100001</v>
      </c>
      <c r="I27" s="35">
        <v>100000</v>
      </c>
      <c r="J27" s="30"/>
      <c r="K27" s="35" t="s">
        <v>830</v>
      </c>
      <c r="L27" s="35" t="s">
        <v>830</v>
      </c>
    </row>
    <row r="28" spans="1:12">
      <c r="A28" s="29">
        <v>47400020</v>
      </c>
      <c r="B28" s="30" t="s">
        <v>974</v>
      </c>
      <c r="C28" s="59" t="s">
        <v>975</v>
      </c>
      <c r="D28" s="30" t="s">
        <v>757</v>
      </c>
      <c r="E28" s="35">
        <v>100001</v>
      </c>
      <c r="F28" s="35">
        <v>10000</v>
      </c>
      <c r="G28" s="30" t="s">
        <v>757</v>
      </c>
      <c r="H28" s="35">
        <v>100001</v>
      </c>
      <c r="I28" s="35">
        <v>100000</v>
      </c>
      <c r="J28" s="30"/>
      <c r="K28" s="35" t="s">
        <v>830</v>
      </c>
      <c r="L28" s="35" t="s">
        <v>830</v>
      </c>
    </row>
    <row r="29" spans="1:12">
      <c r="A29" s="29">
        <v>47400021</v>
      </c>
      <c r="B29" s="30" t="s">
        <v>976</v>
      </c>
      <c r="C29" s="60" t="s">
        <v>977</v>
      </c>
      <c r="D29" s="30" t="s">
        <v>757</v>
      </c>
      <c r="E29" s="35">
        <v>100001</v>
      </c>
      <c r="F29" s="35">
        <v>10000</v>
      </c>
      <c r="G29" s="30" t="s">
        <v>757</v>
      </c>
      <c r="H29" s="35">
        <v>100001</v>
      </c>
      <c r="I29" s="35">
        <v>100000</v>
      </c>
      <c r="J29" s="30"/>
      <c r="K29" s="35" t="s">
        <v>830</v>
      </c>
      <c r="L29" s="35" t="s">
        <v>830</v>
      </c>
    </row>
    <row r="30" spans="1:12">
      <c r="A30" s="29">
        <v>47400022</v>
      </c>
      <c r="B30" s="30" t="s">
        <v>978</v>
      </c>
      <c r="C30" s="61" t="s">
        <v>979</v>
      </c>
      <c r="D30" s="30" t="s">
        <v>757</v>
      </c>
      <c r="E30" s="35">
        <v>100001</v>
      </c>
      <c r="F30" s="35">
        <v>10000</v>
      </c>
      <c r="G30" s="30" t="s">
        <v>757</v>
      </c>
      <c r="H30" s="35">
        <v>100001</v>
      </c>
      <c r="I30" s="35">
        <v>100000</v>
      </c>
      <c r="J30" s="30"/>
      <c r="K30" s="35" t="s">
        <v>830</v>
      </c>
      <c r="L30" s="35" t="s">
        <v>830</v>
      </c>
    </row>
    <row r="31" spans="1:12">
      <c r="A31" s="29">
        <v>47400023</v>
      </c>
      <c r="B31" s="30" t="s">
        <v>980</v>
      </c>
      <c r="C31" s="62" t="s">
        <v>981</v>
      </c>
      <c r="D31" s="30" t="s">
        <v>757</v>
      </c>
      <c r="E31" s="35">
        <v>100001</v>
      </c>
      <c r="F31" s="35">
        <v>10000</v>
      </c>
      <c r="G31" s="30" t="s">
        <v>757</v>
      </c>
      <c r="H31" s="35">
        <v>100001</v>
      </c>
      <c r="I31" s="35">
        <v>100000</v>
      </c>
      <c r="J31" s="30"/>
      <c r="K31" s="35" t="s">
        <v>830</v>
      </c>
      <c r="L31" s="35" t="s">
        <v>830</v>
      </c>
    </row>
    <row r="32" spans="1:12">
      <c r="A32" s="29">
        <v>47400024</v>
      </c>
      <c r="B32" s="30" t="s">
        <v>982</v>
      </c>
      <c r="C32" s="64" t="s">
        <v>985</v>
      </c>
      <c r="D32" s="30" t="s">
        <v>757</v>
      </c>
      <c r="E32" s="35">
        <v>100001</v>
      </c>
      <c r="F32" s="35">
        <v>10000</v>
      </c>
      <c r="G32" s="30" t="s">
        <v>757</v>
      </c>
      <c r="H32" s="35">
        <v>100001</v>
      </c>
      <c r="I32" s="35">
        <v>100000</v>
      </c>
      <c r="J32" s="30"/>
      <c r="K32" s="35" t="s">
        <v>830</v>
      </c>
      <c r="L32" s="35" t="s">
        <v>830</v>
      </c>
    </row>
    <row r="33" spans="1:12">
      <c r="A33" s="29">
        <v>47400025</v>
      </c>
      <c r="B33" s="30" t="s">
        <v>984</v>
      </c>
      <c r="C33" s="65" t="s">
        <v>987</v>
      </c>
      <c r="D33" s="30" t="s">
        <v>757</v>
      </c>
      <c r="E33" s="35">
        <v>100001</v>
      </c>
      <c r="F33" s="35">
        <v>10000</v>
      </c>
      <c r="G33" s="30" t="s">
        <v>757</v>
      </c>
      <c r="H33" s="35">
        <v>100001</v>
      </c>
      <c r="I33" s="35">
        <v>100000</v>
      </c>
      <c r="J33" s="30"/>
      <c r="K33" s="35" t="s">
        <v>830</v>
      </c>
      <c r="L33" s="35" t="s">
        <v>830</v>
      </c>
    </row>
    <row r="34" spans="1:12">
      <c r="A34" s="29">
        <v>47400026</v>
      </c>
      <c r="B34" s="30" t="s">
        <v>986</v>
      </c>
      <c r="C34" s="66" t="s">
        <v>989</v>
      </c>
      <c r="D34" s="30" t="s">
        <v>757</v>
      </c>
      <c r="E34" s="35">
        <v>100001</v>
      </c>
      <c r="F34" s="35">
        <v>10000</v>
      </c>
      <c r="G34" s="30" t="s">
        <v>757</v>
      </c>
      <c r="H34" s="35">
        <v>100001</v>
      </c>
      <c r="I34" s="35">
        <v>100000</v>
      </c>
      <c r="J34" s="30"/>
      <c r="K34" s="35" t="s">
        <v>830</v>
      </c>
      <c r="L34" s="35" t="s">
        <v>830</v>
      </c>
    </row>
    <row r="35" spans="1:12">
      <c r="A35" s="29">
        <v>47400027</v>
      </c>
      <c r="B35" s="30" t="s">
        <v>988</v>
      </c>
      <c r="C35" s="67" t="s">
        <v>991</v>
      </c>
      <c r="D35" s="30" t="s">
        <v>757</v>
      </c>
      <c r="E35" s="35">
        <v>100001</v>
      </c>
      <c r="F35" s="35">
        <v>10000</v>
      </c>
      <c r="G35" s="30" t="s">
        <v>757</v>
      </c>
      <c r="H35" s="35">
        <v>100001</v>
      </c>
      <c r="I35" s="35">
        <v>100000</v>
      </c>
      <c r="J35" s="30"/>
      <c r="K35" s="35" t="s">
        <v>830</v>
      </c>
      <c r="L35" s="35" t="s">
        <v>830</v>
      </c>
    </row>
    <row r="36" spans="1:12">
      <c r="A36" s="29">
        <v>47400028</v>
      </c>
      <c r="B36" s="30" t="s">
        <v>990</v>
      </c>
      <c r="C36" s="68" t="s">
        <v>993</v>
      </c>
      <c r="D36" s="30" t="s">
        <v>757</v>
      </c>
      <c r="E36" s="35">
        <v>100001</v>
      </c>
      <c r="F36" s="35">
        <v>10000</v>
      </c>
      <c r="G36" s="30" t="s">
        <v>757</v>
      </c>
      <c r="H36" s="35">
        <v>100001</v>
      </c>
      <c r="I36" s="35">
        <v>100000</v>
      </c>
      <c r="J36" s="30"/>
      <c r="K36" s="35" t="s">
        <v>830</v>
      </c>
      <c r="L36" s="35" t="s">
        <v>830</v>
      </c>
    </row>
    <row r="37" spans="1:12">
      <c r="A37" s="29">
        <v>47400029</v>
      </c>
      <c r="B37" s="30" t="s">
        <v>992</v>
      </c>
      <c r="C37" s="69" t="s">
        <v>995</v>
      </c>
      <c r="D37" s="30" t="s">
        <v>757</v>
      </c>
      <c r="E37" s="35">
        <v>100001</v>
      </c>
      <c r="F37" s="35">
        <v>10000</v>
      </c>
      <c r="G37" s="30" t="s">
        <v>757</v>
      </c>
      <c r="H37" s="35">
        <v>100001</v>
      </c>
      <c r="I37" s="35">
        <v>100000</v>
      </c>
      <c r="J37" s="30"/>
      <c r="K37" s="35" t="s">
        <v>830</v>
      </c>
      <c r="L37" s="35" t="s">
        <v>830</v>
      </c>
    </row>
    <row r="38" spans="1:12">
      <c r="A38" s="29">
        <v>47400030</v>
      </c>
      <c r="B38" s="30" t="s">
        <v>994</v>
      </c>
      <c r="C38" s="70" t="s">
        <v>997</v>
      </c>
      <c r="D38" s="30" t="s">
        <v>757</v>
      </c>
      <c r="E38" s="35">
        <v>100001</v>
      </c>
      <c r="F38" s="35">
        <v>10000</v>
      </c>
      <c r="G38" s="30" t="s">
        <v>757</v>
      </c>
      <c r="H38" s="35">
        <v>100001</v>
      </c>
      <c r="I38" s="35">
        <v>100000</v>
      </c>
      <c r="J38" s="30"/>
      <c r="K38" s="35" t="s">
        <v>830</v>
      </c>
      <c r="L38" s="35" t="s">
        <v>830</v>
      </c>
    </row>
    <row r="39" spans="1:12">
      <c r="A39" s="29">
        <v>47400031</v>
      </c>
      <c r="B39" s="30" t="s">
        <v>996</v>
      </c>
      <c r="C39" s="71" t="s">
        <v>999</v>
      </c>
      <c r="D39" s="30" t="s">
        <v>757</v>
      </c>
      <c r="E39" s="35">
        <v>100001</v>
      </c>
      <c r="F39" s="35">
        <v>10000</v>
      </c>
      <c r="G39" s="30" t="s">
        <v>757</v>
      </c>
      <c r="H39" s="35">
        <v>100001</v>
      </c>
      <c r="I39" s="35">
        <v>100000</v>
      </c>
      <c r="J39" s="30"/>
      <c r="K39" s="35" t="s">
        <v>830</v>
      </c>
      <c r="L39" s="35" t="s">
        <v>830</v>
      </c>
    </row>
    <row r="40" spans="1:12">
      <c r="A40" s="29">
        <v>47400032</v>
      </c>
      <c r="B40" s="30" t="s">
        <v>998</v>
      </c>
      <c r="C40" s="72" t="s">
        <v>1001</v>
      </c>
      <c r="D40" s="30" t="s">
        <v>757</v>
      </c>
      <c r="E40" s="35">
        <v>100001</v>
      </c>
      <c r="F40" s="35">
        <v>10000</v>
      </c>
      <c r="G40" s="30" t="s">
        <v>757</v>
      </c>
      <c r="H40" s="35">
        <v>100001</v>
      </c>
      <c r="I40" s="35">
        <v>100000</v>
      </c>
      <c r="J40" s="30"/>
      <c r="K40" s="35" t="s">
        <v>830</v>
      </c>
      <c r="L40" s="35" t="s">
        <v>830</v>
      </c>
    </row>
    <row r="41" spans="1:12">
      <c r="A41" s="29">
        <v>47400033</v>
      </c>
      <c r="B41" s="30" t="s">
        <v>1000</v>
      </c>
      <c r="C41" s="73" t="s">
        <v>1003</v>
      </c>
      <c r="D41" s="30" t="s">
        <v>757</v>
      </c>
      <c r="E41" s="35">
        <v>100001</v>
      </c>
      <c r="F41" s="35">
        <v>10000</v>
      </c>
      <c r="G41" s="30" t="s">
        <v>757</v>
      </c>
      <c r="H41" s="35">
        <v>100001</v>
      </c>
      <c r="I41" s="35">
        <v>100000</v>
      </c>
      <c r="J41" s="30"/>
      <c r="K41" s="35" t="s">
        <v>830</v>
      </c>
      <c r="L41" s="35" t="s">
        <v>830</v>
      </c>
    </row>
    <row r="42" spans="1:12">
      <c r="A42" s="29">
        <v>47400034</v>
      </c>
      <c r="B42" s="30" t="s">
        <v>1002</v>
      </c>
      <c r="C42" s="75" t="s">
        <v>1007</v>
      </c>
      <c r="D42" s="30" t="s">
        <v>757</v>
      </c>
      <c r="E42" s="35">
        <v>100001</v>
      </c>
      <c r="F42" s="35">
        <v>10000</v>
      </c>
      <c r="G42" s="30" t="s">
        <v>757</v>
      </c>
      <c r="H42" s="35">
        <v>100001</v>
      </c>
      <c r="I42" s="35">
        <v>100000</v>
      </c>
      <c r="J42" s="30"/>
      <c r="K42" s="35" t="s">
        <v>830</v>
      </c>
      <c r="L42" s="35" t="s">
        <v>830</v>
      </c>
    </row>
    <row r="43" spans="1:12">
      <c r="A43" s="29">
        <v>47400035</v>
      </c>
      <c r="B43" s="30" t="s">
        <v>1004</v>
      </c>
      <c r="C43" s="76" t="s">
        <v>1009</v>
      </c>
      <c r="D43" s="30" t="s">
        <v>757</v>
      </c>
      <c r="E43" s="35">
        <v>100001</v>
      </c>
      <c r="F43" s="35">
        <v>10000</v>
      </c>
      <c r="G43" s="30" t="s">
        <v>757</v>
      </c>
      <c r="H43" s="35">
        <v>100001</v>
      </c>
      <c r="I43" s="35">
        <v>100000</v>
      </c>
      <c r="J43" s="30"/>
      <c r="K43" s="35" t="s">
        <v>830</v>
      </c>
      <c r="L43" s="35" t="s">
        <v>830</v>
      </c>
    </row>
    <row r="44" spans="1:12">
      <c r="A44" s="29">
        <v>47400036</v>
      </c>
      <c r="B44" s="30" t="s">
        <v>1006</v>
      </c>
      <c r="C44" s="77" t="s">
        <v>1011</v>
      </c>
      <c r="D44" s="30" t="s">
        <v>757</v>
      </c>
      <c r="E44" s="35">
        <v>100001</v>
      </c>
      <c r="F44" s="35">
        <v>10000</v>
      </c>
      <c r="G44" s="30" t="s">
        <v>757</v>
      </c>
      <c r="H44" s="35">
        <v>100001</v>
      </c>
      <c r="I44" s="35">
        <v>100000</v>
      </c>
      <c r="J44" s="30"/>
      <c r="K44" s="35" t="s">
        <v>830</v>
      </c>
      <c r="L44" s="35" t="s">
        <v>830</v>
      </c>
    </row>
    <row r="45" spans="1:12">
      <c r="A45" s="29">
        <v>47400037</v>
      </c>
      <c r="B45" s="30" t="s">
        <v>1008</v>
      </c>
      <c r="C45" s="78" t="s">
        <v>1013</v>
      </c>
      <c r="D45" s="30" t="s">
        <v>757</v>
      </c>
      <c r="E45" s="35">
        <v>100001</v>
      </c>
      <c r="F45" s="35">
        <v>10000</v>
      </c>
      <c r="G45" s="30" t="s">
        <v>757</v>
      </c>
      <c r="H45" s="35">
        <v>100001</v>
      </c>
      <c r="I45" s="35">
        <v>100000</v>
      </c>
      <c r="J45" s="30"/>
      <c r="K45" s="35" t="s">
        <v>830</v>
      </c>
      <c r="L45" s="35" t="s">
        <v>830</v>
      </c>
    </row>
    <row r="46" spans="1:12">
      <c r="A46" s="29">
        <v>47400038</v>
      </c>
      <c r="B46" s="30" t="s">
        <v>1010</v>
      </c>
      <c r="C46" s="82" t="s">
        <v>1021</v>
      </c>
      <c r="D46" s="30" t="s">
        <v>757</v>
      </c>
      <c r="E46" s="35">
        <v>100001</v>
      </c>
      <c r="F46" s="35">
        <v>10000</v>
      </c>
      <c r="G46" s="30" t="s">
        <v>757</v>
      </c>
      <c r="H46" s="35">
        <v>100001</v>
      </c>
      <c r="I46" s="35">
        <v>100000</v>
      </c>
      <c r="J46" s="30"/>
      <c r="K46" s="35" t="s">
        <v>830</v>
      </c>
      <c r="L46" s="35" t="s">
        <v>830</v>
      </c>
    </row>
    <row r="47" spans="1:12">
      <c r="A47" s="29">
        <v>47400039</v>
      </c>
      <c r="B47" s="30" t="s">
        <v>1012</v>
      </c>
      <c r="C47" s="83" t="s">
        <v>1023</v>
      </c>
      <c r="D47" s="30" t="s">
        <v>757</v>
      </c>
      <c r="E47" s="35">
        <v>100001</v>
      </c>
      <c r="F47" s="35">
        <v>10000</v>
      </c>
      <c r="G47" s="30" t="s">
        <v>757</v>
      </c>
      <c r="H47" s="35">
        <v>100001</v>
      </c>
      <c r="I47" s="35">
        <v>100000</v>
      </c>
      <c r="J47" s="30"/>
      <c r="K47" s="35" t="s">
        <v>830</v>
      </c>
      <c r="L47" s="35" t="s">
        <v>830</v>
      </c>
    </row>
    <row r="48" spans="1:12">
      <c r="A48" s="29">
        <v>47400040</v>
      </c>
      <c r="B48" s="30" t="s">
        <v>1014</v>
      </c>
      <c r="C48" s="84" t="s">
        <v>1025</v>
      </c>
      <c r="D48" s="30" t="s">
        <v>757</v>
      </c>
      <c r="E48" s="35">
        <v>100001</v>
      </c>
      <c r="F48" s="35">
        <v>10000</v>
      </c>
      <c r="G48" s="30" t="s">
        <v>757</v>
      </c>
      <c r="H48" s="35">
        <v>100001</v>
      </c>
      <c r="I48" s="35">
        <v>100000</v>
      </c>
      <c r="J48" s="30"/>
      <c r="K48" s="35" t="s">
        <v>830</v>
      </c>
      <c r="L48" s="35" t="s">
        <v>830</v>
      </c>
    </row>
    <row r="49" spans="1:13">
      <c r="A49" s="33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27" t="s">
        <v>8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9"/>
  <sheetViews>
    <sheetView topLeftCell="A7" zoomScaleNormal="100" workbookViewId="0">
      <selection activeCell="E8" sqref="E8"/>
    </sheetView>
  </sheetViews>
  <sheetFormatPr defaultRowHeight="13.5"/>
  <cols>
    <col min="1" max="1" width="19" style="27" customWidth="1"/>
    <col min="2" max="3" width="20" style="27" bestFit="1" customWidth="1"/>
    <col min="4" max="4" width="15" style="27" customWidth="1"/>
    <col min="5" max="6" width="33.5703125" style="27" customWidth="1"/>
    <col min="7" max="7" width="14.42578125" style="27" customWidth="1"/>
    <col min="8" max="9" width="31.85546875" style="27" customWidth="1"/>
    <col min="10" max="10" width="14.42578125" style="27" customWidth="1"/>
    <col min="11" max="11" width="31.85546875" style="27" customWidth="1"/>
    <col min="12" max="12" width="36.28515625" style="27" customWidth="1"/>
    <col min="13" max="13" width="20" style="27" customWidth="1"/>
    <col min="14" max="14" width="31.42578125" style="27" customWidth="1"/>
    <col min="15" max="15" width="11" style="27" bestFit="1" customWidth="1"/>
    <col min="16" max="16" width="9.140625" style="27"/>
    <col min="17" max="17" width="24.7109375" style="27" customWidth="1"/>
    <col min="18" max="18" width="22.5703125" style="27" customWidth="1"/>
    <col min="19" max="16384" width="9.140625" style="27"/>
  </cols>
  <sheetData>
    <row r="1" spans="1:12">
      <c r="A1" s="6" t="s">
        <v>5</v>
      </c>
      <c r="B1" s="25"/>
      <c r="C1" s="26" t="s">
        <v>838</v>
      </c>
      <c r="D1" s="25"/>
      <c r="E1" s="26" t="s">
        <v>753</v>
      </c>
      <c r="F1" s="26" t="s">
        <v>754</v>
      </c>
      <c r="G1" s="25"/>
      <c r="H1" s="26" t="s">
        <v>755</v>
      </c>
      <c r="I1" s="26" t="s">
        <v>756</v>
      </c>
      <c r="J1" s="25"/>
      <c r="K1" s="26" t="s">
        <v>836</v>
      </c>
      <c r="L1" s="26" t="s">
        <v>837</v>
      </c>
    </row>
    <row r="2" spans="1:12" ht="27">
      <c r="A2" s="6" t="s">
        <v>775</v>
      </c>
      <c r="B2" s="25"/>
      <c r="C2" s="26" t="s">
        <v>7</v>
      </c>
      <c r="D2" s="25"/>
      <c r="E2" s="26" t="s">
        <v>7</v>
      </c>
      <c r="F2" s="26" t="s">
        <v>7</v>
      </c>
      <c r="G2" s="25"/>
      <c r="H2" s="26" t="s">
        <v>7</v>
      </c>
      <c r="I2" s="26" t="s">
        <v>7</v>
      </c>
      <c r="J2" s="25"/>
      <c r="K2" s="26" t="s">
        <v>7</v>
      </c>
      <c r="L2" s="26" t="s">
        <v>7</v>
      </c>
    </row>
    <row r="3" spans="1:12">
      <c r="A3" s="8" t="s">
        <v>1</v>
      </c>
      <c r="B3" s="25"/>
      <c r="C3" s="28" t="s">
        <v>0</v>
      </c>
      <c r="D3" s="25"/>
      <c r="E3" s="28" t="s">
        <v>0</v>
      </c>
      <c r="F3" s="28" t="s">
        <v>0</v>
      </c>
      <c r="G3" s="25"/>
      <c r="H3" s="28" t="s">
        <v>0</v>
      </c>
      <c r="I3" s="28" t="s">
        <v>0</v>
      </c>
      <c r="J3" s="25"/>
      <c r="K3" s="28" t="s">
        <v>0</v>
      </c>
      <c r="L3" s="28" t="s">
        <v>0</v>
      </c>
    </row>
    <row r="4" spans="1:12">
      <c r="A4" s="8" t="s">
        <v>2</v>
      </c>
      <c r="B4" s="25"/>
      <c r="C4" s="28" t="s">
        <v>0</v>
      </c>
      <c r="D4" s="25"/>
      <c r="E4" s="28" t="s">
        <v>0</v>
      </c>
      <c r="F4" s="28" t="s">
        <v>0</v>
      </c>
      <c r="G4" s="25"/>
      <c r="H4" s="28" t="s">
        <v>0</v>
      </c>
      <c r="I4" s="28" t="s">
        <v>0</v>
      </c>
      <c r="J4" s="25"/>
      <c r="K4" s="28" t="s">
        <v>0</v>
      </c>
      <c r="L4" s="28" t="s">
        <v>0</v>
      </c>
    </row>
    <row r="5" spans="1:12">
      <c r="A5" s="8" t="s">
        <v>3</v>
      </c>
      <c r="B5" s="25"/>
      <c r="C5" s="28" t="s">
        <v>0</v>
      </c>
      <c r="D5" s="25"/>
      <c r="E5" s="28" t="s">
        <v>0</v>
      </c>
      <c r="F5" s="28" t="s">
        <v>0</v>
      </c>
      <c r="G5" s="25"/>
      <c r="H5" s="28" t="s">
        <v>0</v>
      </c>
      <c r="I5" s="28" t="s">
        <v>0</v>
      </c>
      <c r="J5" s="25"/>
      <c r="K5" s="28" t="s">
        <v>0</v>
      </c>
      <c r="L5" s="28" t="s">
        <v>0</v>
      </c>
    </row>
    <row r="6" spans="1:12">
      <c r="A6" s="8" t="s">
        <v>4</v>
      </c>
      <c r="B6" s="25"/>
      <c r="C6" s="28" t="s">
        <v>0</v>
      </c>
      <c r="D6" s="25"/>
      <c r="E6" s="28" t="s">
        <v>0</v>
      </c>
      <c r="F6" s="28" t="s">
        <v>0</v>
      </c>
      <c r="G6" s="25"/>
      <c r="H6" s="28" t="s">
        <v>0</v>
      </c>
      <c r="I6" s="28" t="s">
        <v>0</v>
      </c>
      <c r="J6" s="25"/>
      <c r="K6" s="28" t="s">
        <v>0</v>
      </c>
      <c r="L6" s="28" t="s">
        <v>0</v>
      </c>
    </row>
    <row r="7" spans="1:12">
      <c r="A7" s="8" t="s">
        <v>10</v>
      </c>
      <c r="B7" s="25"/>
      <c r="C7" s="28" t="s">
        <v>0</v>
      </c>
      <c r="D7" s="25"/>
      <c r="E7" s="28" t="s">
        <v>0</v>
      </c>
      <c r="F7" s="28" t="s">
        <v>0</v>
      </c>
      <c r="G7" s="25"/>
      <c r="H7" s="28" t="s">
        <v>0</v>
      </c>
      <c r="I7" s="28" t="s">
        <v>0</v>
      </c>
      <c r="J7" s="25"/>
      <c r="K7" s="28" t="s">
        <v>0</v>
      </c>
      <c r="L7" s="28" t="s">
        <v>0</v>
      </c>
    </row>
    <row r="8" spans="1:12">
      <c r="A8" s="29">
        <v>47500000</v>
      </c>
      <c r="B8" s="30" t="s">
        <v>1031</v>
      </c>
      <c r="C8" s="39" t="s">
        <v>945</v>
      </c>
      <c r="D8" s="30" t="s">
        <v>757</v>
      </c>
      <c r="E8" s="35">
        <v>100001</v>
      </c>
      <c r="F8" s="35">
        <v>10000</v>
      </c>
      <c r="G8" s="30" t="s">
        <v>757</v>
      </c>
      <c r="H8" s="35">
        <v>100001</v>
      </c>
      <c r="I8" s="35">
        <v>100000</v>
      </c>
      <c r="J8" s="30"/>
      <c r="K8" s="35" t="s">
        <v>830</v>
      </c>
      <c r="L8" s="35" t="s">
        <v>830</v>
      </c>
    </row>
    <row r="9" spans="1:12">
      <c r="A9" s="29">
        <v>47500001</v>
      </c>
      <c r="B9" s="30" t="s">
        <v>763</v>
      </c>
      <c r="C9" s="40" t="s">
        <v>946</v>
      </c>
      <c r="D9" s="30" t="s">
        <v>757</v>
      </c>
      <c r="E9" s="35">
        <v>100001</v>
      </c>
      <c r="F9" s="35">
        <v>10000</v>
      </c>
      <c r="G9" s="30" t="s">
        <v>757</v>
      </c>
      <c r="H9" s="35">
        <v>100001</v>
      </c>
      <c r="I9" s="35">
        <v>100000</v>
      </c>
      <c r="J9" s="30"/>
      <c r="K9" s="35" t="s">
        <v>830</v>
      </c>
      <c r="L9" s="35" t="s">
        <v>830</v>
      </c>
    </row>
    <row r="10" spans="1:12">
      <c r="A10" s="29">
        <v>47500002</v>
      </c>
      <c r="B10" s="30" t="s">
        <v>764</v>
      </c>
      <c r="C10" s="41" t="s">
        <v>947</v>
      </c>
      <c r="D10" s="30" t="s">
        <v>757</v>
      </c>
      <c r="E10" s="35">
        <v>100001</v>
      </c>
      <c r="F10" s="35">
        <v>10000</v>
      </c>
      <c r="G10" s="30" t="s">
        <v>757</v>
      </c>
      <c r="H10" s="35">
        <v>100001</v>
      </c>
      <c r="I10" s="35">
        <v>100000</v>
      </c>
      <c r="J10" s="30"/>
      <c r="K10" s="35" t="s">
        <v>830</v>
      </c>
      <c r="L10" s="35" t="s">
        <v>830</v>
      </c>
    </row>
    <row r="11" spans="1:12">
      <c r="A11" s="29">
        <v>47500003</v>
      </c>
      <c r="B11" s="30" t="s">
        <v>765</v>
      </c>
      <c r="C11" s="42" t="s">
        <v>948</v>
      </c>
      <c r="D11" s="30" t="s">
        <v>757</v>
      </c>
      <c r="E11" s="35">
        <v>100001</v>
      </c>
      <c r="F11" s="35">
        <v>10000</v>
      </c>
      <c r="G11" s="30" t="s">
        <v>757</v>
      </c>
      <c r="H11" s="35">
        <v>100001</v>
      </c>
      <c r="I11" s="35">
        <v>100000</v>
      </c>
      <c r="J11" s="30"/>
      <c r="K11" s="35" t="s">
        <v>830</v>
      </c>
      <c r="L11" s="35" t="s">
        <v>830</v>
      </c>
    </row>
    <row r="12" spans="1:12">
      <c r="A12" s="29">
        <v>47500004</v>
      </c>
      <c r="B12" s="30" t="s">
        <v>766</v>
      </c>
      <c r="C12" s="43" t="s">
        <v>949</v>
      </c>
      <c r="D12" s="30" t="s">
        <v>757</v>
      </c>
      <c r="E12" s="35">
        <v>100001</v>
      </c>
      <c r="F12" s="35">
        <v>10000</v>
      </c>
      <c r="G12" s="30" t="s">
        <v>757</v>
      </c>
      <c r="H12" s="35">
        <v>100001</v>
      </c>
      <c r="I12" s="35">
        <v>100000</v>
      </c>
      <c r="J12" s="30"/>
      <c r="K12" s="35" t="s">
        <v>830</v>
      </c>
      <c r="L12" s="35" t="s">
        <v>830</v>
      </c>
    </row>
    <row r="13" spans="1:12">
      <c r="A13" s="29">
        <v>47500005</v>
      </c>
      <c r="B13" s="30" t="s">
        <v>767</v>
      </c>
      <c r="C13" s="44" t="s">
        <v>950</v>
      </c>
      <c r="D13" s="30" t="s">
        <v>757</v>
      </c>
      <c r="E13" s="35">
        <v>100001</v>
      </c>
      <c r="F13" s="35">
        <v>10000</v>
      </c>
      <c r="G13" s="30" t="s">
        <v>757</v>
      </c>
      <c r="H13" s="35">
        <v>100001</v>
      </c>
      <c r="I13" s="35">
        <v>100000</v>
      </c>
      <c r="J13" s="30"/>
      <c r="K13" s="35" t="s">
        <v>830</v>
      </c>
      <c r="L13" s="35" t="s">
        <v>830</v>
      </c>
    </row>
    <row r="14" spans="1:12">
      <c r="A14" s="29">
        <v>47500006</v>
      </c>
      <c r="B14" s="30" t="s">
        <v>768</v>
      </c>
      <c r="C14" s="45" t="s">
        <v>951</v>
      </c>
      <c r="D14" s="30" t="s">
        <v>757</v>
      </c>
      <c r="E14" s="35">
        <v>100001</v>
      </c>
      <c r="F14" s="35">
        <v>10000</v>
      </c>
      <c r="G14" s="30" t="s">
        <v>757</v>
      </c>
      <c r="H14" s="35">
        <v>100001</v>
      </c>
      <c r="I14" s="35">
        <v>100000</v>
      </c>
      <c r="J14" s="30"/>
      <c r="K14" s="35" t="s">
        <v>830</v>
      </c>
      <c r="L14" s="35" t="s">
        <v>830</v>
      </c>
    </row>
    <row r="15" spans="1:12">
      <c r="A15" s="29">
        <v>47500007</v>
      </c>
      <c r="B15" s="30" t="s">
        <v>769</v>
      </c>
      <c r="C15" s="46" t="s">
        <v>952</v>
      </c>
      <c r="D15" s="30" t="s">
        <v>757</v>
      </c>
      <c r="E15" s="35">
        <v>100001</v>
      </c>
      <c r="F15" s="35">
        <v>10000</v>
      </c>
      <c r="G15" s="30" t="s">
        <v>757</v>
      </c>
      <c r="H15" s="35">
        <v>100001</v>
      </c>
      <c r="I15" s="35">
        <v>100000</v>
      </c>
      <c r="J15" s="30"/>
      <c r="K15" s="35" t="s">
        <v>830</v>
      </c>
      <c r="L15" s="35" t="s">
        <v>830</v>
      </c>
    </row>
    <row r="16" spans="1:12">
      <c r="A16" s="29">
        <v>47500008</v>
      </c>
      <c r="B16" s="30" t="s">
        <v>770</v>
      </c>
      <c r="C16" s="47" t="s">
        <v>953</v>
      </c>
      <c r="D16" s="30" t="s">
        <v>757</v>
      </c>
      <c r="E16" s="35">
        <v>100001</v>
      </c>
      <c r="F16" s="35">
        <v>10000</v>
      </c>
      <c r="G16" s="30" t="s">
        <v>757</v>
      </c>
      <c r="H16" s="35">
        <v>100001</v>
      </c>
      <c r="I16" s="35">
        <v>100000</v>
      </c>
      <c r="J16" s="30"/>
      <c r="K16" s="35" t="s">
        <v>830</v>
      </c>
      <c r="L16" s="35" t="s">
        <v>830</v>
      </c>
    </row>
    <row r="17" spans="1:12">
      <c r="A17" s="29">
        <v>47500009</v>
      </c>
      <c r="B17" s="30" t="s">
        <v>771</v>
      </c>
      <c r="C17" s="48" t="s">
        <v>954</v>
      </c>
      <c r="D17" s="30" t="s">
        <v>757</v>
      </c>
      <c r="E17" s="35">
        <v>100001</v>
      </c>
      <c r="F17" s="35">
        <v>10000</v>
      </c>
      <c r="G17" s="30" t="s">
        <v>757</v>
      </c>
      <c r="H17" s="35">
        <v>100001</v>
      </c>
      <c r="I17" s="35">
        <v>100000</v>
      </c>
      <c r="J17" s="30"/>
      <c r="K17" s="35" t="s">
        <v>830</v>
      </c>
      <c r="L17" s="35" t="s">
        <v>830</v>
      </c>
    </row>
    <row r="18" spans="1:12">
      <c r="A18" s="29">
        <v>47500010</v>
      </c>
      <c r="B18" s="30" t="s">
        <v>772</v>
      </c>
      <c r="C18" s="49" t="s">
        <v>955</v>
      </c>
      <c r="D18" s="30" t="s">
        <v>757</v>
      </c>
      <c r="E18" s="35">
        <v>100001</v>
      </c>
      <c r="F18" s="35">
        <v>10000</v>
      </c>
      <c r="G18" s="30" t="s">
        <v>757</v>
      </c>
      <c r="H18" s="35">
        <v>100001</v>
      </c>
      <c r="I18" s="35">
        <v>100000</v>
      </c>
      <c r="J18" s="30"/>
      <c r="K18" s="35" t="s">
        <v>830</v>
      </c>
      <c r="L18" s="35" t="s">
        <v>830</v>
      </c>
    </row>
    <row r="19" spans="1:12">
      <c r="A19" s="29">
        <v>47500011</v>
      </c>
      <c r="B19" s="30" t="s">
        <v>956</v>
      </c>
      <c r="C19" s="50" t="s">
        <v>957</v>
      </c>
      <c r="D19" s="30" t="s">
        <v>757</v>
      </c>
      <c r="E19" s="35">
        <v>100001</v>
      </c>
      <c r="F19" s="35">
        <v>10000</v>
      </c>
      <c r="G19" s="30" t="s">
        <v>757</v>
      </c>
      <c r="H19" s="35">
        <v>100001</v>
      </c>
      <c r="I19" s="35">
        <v>100000</v>
      </c>
      <c r="J19" s="30"/>
      <c r="K19" s="35" t="s">
        <v>830</v>
      </c>
      <c r="L19" s="35" t="s">
        <v>830</v>
      </c>
    </row>
    <row r="20" spans="1:12">
      <c r="A20" s="29">
        <v>47500012</v>
      </c>
      <c r="B20" s="30" t="s">
        <v>958</v>
      </c>
      <c r="C20" s="51" t="s">
        <v>959</v>
      </c>
      <c r="D20" s="30" t="s">
        <v>757</v>
      </c>
      <c r="E20" s="35">
        <v>100001</v>
      </c>
      <c r="F20" s="35">
        <v>10000</v>
      </c>
      <c r="G20" s="30" t="s">
        <v>757</v>
      </c>
      <c r="H20" s="35">
        <v>100001</v>
      </c>
      <c r="I20" s="35">
        <v>100000</v>
      </c>
      <c r="J20" s="30"/>
      <c r="K20" s="35" t="s">
        <v>830</v>
      </c>
      <c r="L20" s="35" t="s">
        <v>830</v>
      </c>
    </row>
    <row r="21" spans="1:12">
      <c r="A21" s="29">
        <v>47500013</v>
      </c>
      <c r="B21" s="30" t="s">
        <v>960</v>
      </c>
      <c r="C21" s="52" t="s">
        <v>961</v>
      </c>
      <c r="D21" s="30" t="s">
        <v>757</v>
      </c>
      <c r="E21" s="35">
        <v>100001</v>
      </c>
      <c r="F21" s="35">
        <v>10000</v>
      </c>
      <c r="G21" s="30" t="s">
        <v>757</v>
      </c>
      <c r="H21" s="35">
        <v>100001</v>
      </c>
      <c r="I21" s="35">
        <v>100000</v>
      </c>
      <c r="J21" s="30"/>
      <c r="K21" s="35" t="s">
        <v>830</v>
      </c>
      <c r="L21" s="35" t="s">
        <v>830</v>
      </c>
    </row>
    <row r="22" spans="1:12">
      <c r="A22" s="29">
        <v>47500014</v>
      </c>
      <c r="B22" s="30" t="s">
        <v>962</v>
      </c>
      <c r="C22" s="53" t="s">
        <v>963</v>
      </c>
      <c r="D22" s="30" t="s">
        <v>757</v>
      </c>
      <c r="E22" s="35">
        <v>100001</v>
      </c>
      <c r="F22" s="35">
        <v>10000</v>
      </c>
      <c r="G22" s="30" t="s">
        <v>757</v>
      </c>
      <c r="H22" s="35">
        <v>100001</v>
      </c>
      <c r="I22" s="35">
        <v>100000</v>
      </c>
      <c r="J22" s="30"/>
      <c r="K22" s="35" t="s">
        <v>830</v>
      </c>
      <c r="L22" s="35" t="s">
        <v>830</v>
      </c>
    </row>
    <row r="23" spans="1:12">
      <c r="A23" s="29">
        <v>47500015</v>
      </c>
      <c r="B23" s="30" t="s">
        <v>964</v>
      </c>
      <c r="C23" s="54" t="s">
        <v>965</v>
      </c>
      <c r="D23" s="30" t="s">
        <v>757</v>
      </c>
      <c r="E23" s="35">
        <v>100001</v>
      </c>
      <c r="F23" s="35">
        <v>10000</v>
      </c>
      <c r="G23" s="30" t="s">
        <v>757</v>
      </c>
      <c r="H23" s="35">
        <v>100001</v>
      </c>
      <c r="I23" s="35">
        <v>100000</v>
      </c>
      <c r="J23" s="30"/>
      <c r="K23" s="35" t="s">
        <v>830</v>
      </c>
      <c r="L23" s="35" t="s">
        <v>830</v>
      </c>
    </row>
    <row r="24" spans="1:12">
      <c r="A24" s="29">
        <v>47500016</v>
      </c>
      <c r="B24" s="30" t="s">
        <v>966</v>
      </c>
      <c r="C24" s="55" t="s">
        <v>967</v>
      </c>
      <c r="D24" s="30" t="s">
        <v>757</v>
      </c>
      <c r="E24" s="35">
        <v>100001</v>
      </c>
      <c r="F24" s="35">
        <v>10000</v>
      </c>
      <c r="G24" s="30" t="s">
        <v>757</v>
      </c>
      <c r="H24" s="35">
        <v>100001</v>
      </c>
      <c r="I24" s="35">
        <v>100000</v>
      </c>
      <c r="J24" s="30"/>
      <c r="K24" s="35" t="s">
        <v>830</v>
      </c>
      <c r="L24" s="35" t="s">
        <v>830</v>
      </c>
    </row>
    <row r="25" spans="1:12">
      <c r="A25" s="29">
        <v>47500017</v>
      </c>
      <c r="B25" s="30" t="s">
        <v>968</v>
      </c>
      <c r="C25" s="56" t="s">
        <v>969</v>
      </c>
      <c r="D25" s="30" t="s">
        <v>757</v>
      </c>
      <c r="E25" s="35">
        <v>100001</v>
      </c>
      <c r="F25" s="35">
        <v>10000</v>
      </c>
      <c r="G25" s="30" t="s">
        <v>757</v>
      </c>
      <c r="H25" s="35">
        <v>100001</v>
      </c>
      <c r="I25" s="35">
        <v>100000</v>
      </c>
      <c r="J25" s="30"/>
      <c r="K25" s="35" t="s">
        <v>830</v>
      </c>
      <c r="L25" s="35" t="s">
        <v>830</v>
      </c>
    </row>
    <row r="26" spans="1:12">
      <c r="A26" s="29">
        <v>47500018</v>
      </c>
      <c r="B26" s="30" t="s">
        <v>970</v>
      </c>
      <c r="C26" s="57" t="s">
        <v>971</v>
      </c>
      <c r="D26" s="30" t="s">
        <v>757</v>
      </c>
      <c r="E26" s="35">
        <v>100001</v>
      </c>
      <c r="F26" s="35">
        <v>10000</v>
      </c>
      <c r="G26" s="30" t="s">
        <v>757</v>
      </c>
      <c r="H26" s="35">
        <v>100001</v>
      </c>
      <c r="I26" s="35">
        <v>100000</v>
      </c>
      <c r="J26" s="30"/>
      <c r="K26" s="35" t="s">
        <v>830</v>
      </c>
      <c r="L26" s="35" t="s">
        <v>830</v>
      </c>
    </row>
    <row r="27" spans="1:12">
      <c r="A27" s="29">
        <v>47500019</v>
      </c>
      <c r="B27" s="30" t="s">
        <v>972</v>
      </c>
      <c r="C27" s="58" t="s">
        <v>973</v>
      </c>
      <c r="D27" s="30" t="s">
        <v>757</v>
      </c>
      <c r="E27" s="35">
        <v>100001</v>
      </c>
      <c r="F27" s="35">
        <v>10000</v>
      </c>
      <c r="G27" s="30" t="s">
        <v>757</v>
      </c>
      <c r="H27" s="35">
        <v>100001</v>
      </c>
      <c r="I27" s="35">
        <v>100000</v>
      </c>
      <c r="J27" s="30"/>
      <c r="K27" s="35" t="s">
        <v>830</v>
      </c>
      <c r="L27" s="35" t="s">
        <v>830</v>
      </c>
    </row>
    <row r="28" spans="1:12">
      <c r="A28" s="29">
        <v>47500020</v>
      </c>
      <c r="B28" s="30" t="s">
        <v>974</v>
      </c>
      <c r="C28" s="59" t="s">
        <v>975</v>
      </c>
      <c r="D28" s="30" t="s">
        <v>757</v>
      </c>
      <c r="E28" s="35">
        <v>100001</v>
      </c>
      <c r="F28" s="35">
        <v>10000</v>
      </c>
      <c r="G28" s="30" t="s">
        <v>757</v>
      </c>
      <c r="H28" s="35">
        <v>100001</v>
      </c>
      <c r="I28" s="35">
        <v>100000</v>
      </c>
      <c r="J28" s="30"/>
      <c r="K28" s="35" t="s">
        <v>830</v>
      </c>
      <c r="L28" s="35" t="s">
        <v>830</v>
      </c>
    </row>
    <row r="29" spans="1:12">
      <c r="A29" s="29">
        <v>47500021</v>
      </c>
      <c r="B29" s="30" t="s">
        <v>976</v>
      </c>
      <c r="C29" s="60" t="s">
        <v>977</v>
      </c>
      <c r="D29" s="30" t="s">
        <v>757</v>
      </c>
      <c r="E29" s="35">
        <v>100001</v>
      </c>
      <c r="F29" s="35">
        <v>10000</v>
      </c>
      <c r="G29" s="30" t="s">
        <v>757</v>
      </c>
      <c r="H29" s="35">
        <v>100001</v>
      </c>
      <c r="I29" s="35">
        <v>100000</v>
      </c>
      <c r="J29" s="30"/>
      <c r="K29" s="35" t="s">
        <v>830</v>
      </c>
      <c r="L29" s="35" t="s">
        <v>830</v>
      </c>
    </row>
    <row r="30" spans="1:12">
      <c r="A30" s="29">
        <v>47500022</v>
      </c>
      <c r="B30" s="30" t="s">
        <v>978</v>
      </c>
      <c r="C30" s="61" t="s">
        <v>979</v>
      </c>
      <c r="D30" s="30" t="s">
        <v>757</v>
      </c>
      <c r="E30" s="35">
        <v>100001</v>
      </c>
      <c r="F30" s="35">
        <v>10000</v>
      </c>
      <c r="G30" s="30" t="s">
        <v>757</v>
      </c>
      <c r="H30" s="35">
        <v>100001</v>
      </c>
      <c r="I30" s="35">
        <v>100000</v>
      </c>
      <c r="J30" s="30"/>
      <c r="K30" s="35" t="s">
        <v>830</v>
      </c>
      <c r="L30" s="35" t="s">
        <v>830</v>
      </c>
    </row>
    <row r="31" spans="1:12">
      <c r="A31" s="29">
        <v>47500023</v>
      </c>
      <c r="B31" s="30" t="s">
        <v>980</v>
      </c>
      <c r="C31" s="62" t="s">
        <v>981</v>
      </c>
      <c r="D31" s="30" t="s">
        <v>757</v>
      </c>
      <c r="E31" s="35">
        <v>100001</v>
      </c>
      <c r="F31" s="35">
        <v>10000</v>
      </c>
      <c r="G31" s="30" t="s">
        <v>757</v>
      </c>
      <c r="H31" s="35">
        <v>100001</v>
      </c>
      <c r="I31" s="35">
        <v>100000</v>
      </c>
      <c r="J31" s="30"/>
      <c r="K31" s="35" t="s">
        <v>830</v>
      </c>
      <c r="L31" s="35" t="s">
        <v>830</v>
      </c>
    </row>
    <row r="32" spans="1:12">
      <c r="A32" s="29">
        <v>47500024</v>
      </c>
      <c r="B32" s="30" t="s">
        <v>982</v>
      </c>
      <c r="C32" s="64" t="s">
        <v>985</v>
      </c>
      <c r="D32" s="30" t="s">
        <v>757</v>
      </c>
      <c r="E32" s="35">
        <v>100001</v>
      </c>
      <c r="F32" s="35">
        <v>10000</v>
      </c>
      <c r="G32" s="30" t="s">
        <v>757</v>
      </c>
      <c r="H32" s="35">
        <v>100001</v>
      </c>
      <c r="I32" s="35">
        <v>100000</v>
      </c>
      <c r="J32" s="30"/>
      <c r="K32" s="35" t="s">
        <v>830</v>
      </c>
      <c r="L32" s="35" t="s">
        <v>830</v>
      </c>
    </row>
    <row r="33" spans="1:12">
      <c r="A33" s="29">
        <v>47500025</v>
      </c>
      <c r="B33" s="30" t="s">
        <v>984</v>
      </c>
      <c r="C33" s="65" t="s">
        <v>987</v>
      </c>
      <c r="D33" s="30" t="s">
        <v>757</v>
      </c>
      <c r="E33" s="35">
        <v>100001</v>
      </c>
      <c r="F33" s="35">
        <v>10000</v>
      </c>
      <c r="G33" s="30" t="s">
        <v>757</v>
      </c>
      <c r="H33" s="35">
        <v>100001</v>
      </c>
      <c r="I33" s="35">
        <v>100000</v>
      </c>
      <c r="J33" s="30"/>
      <c r="K33" s="35" t="s">
        <v>830</v>
      </c>
      <c r="L33" s="35" t="s">
        <v>830</v>
      </c>
    </row>
    <row r="34" spans="1:12">
      <c r="A34" s="29">
        <v>47500026</v>
      </c>
      <c r="B34" s="30" t="s">
        <v>986</v>
      </c>
      <c r="C34" s="66" t="s">
        <v>989</v>
      </c>
      <c r="D34" s="30" t="s">
        <v>757</v>
      </c>
      <c r="E34" s="35">
        <v>100001</v>
      </c>
      <c r="F34" s="35">
        <v>10000</v>
      </c>
      <c r="G34" s="30" t="s">
        <v>757</v>
      </c>
      <c r="H34" s="35">
        <v>100001</v>
      </c>
      <c r="I34" s="35">
        <v>100000</v>
      </c>
      <c r="J34" s="30"/>
      <c r="K34" s="35" t="s">
        <v>830</v>
      </c>
      <c r="L34" s="35" t="s">
        <v>830</v>
      </c>
    </row>
    <row r="35" spans="1:12">
      <c r="A35" s="29">
        <v>47500027</v>
      </c>
      <c r="B35" s="30" t="s">
        <v>988</v>
      </c>
      <c r="C35" s="67" t="s">
        <v>991</v>
      </c>
      <c r="D35" s="30" t="s">
        <v>757</v>
      </c>
      <c r="E35" s="35">
        <v>100001</v>
      </c>
      <c r="F35" s="35">
        <v>10000</v>
      </c>
      <c r="G35" s="30" t="s">
        <v>757</v>
      </c>
      <c r="H35" s="35">
        <v>100001</v>
      </c>
      <c r="I35" s="35">
        <v>100000</v>
      </c>
      <c r="J35" s="30"/>
      <c r="K35" s="35" t="s">
        <v>830</v>
      </c>
      <c r="L35" s="35" t="s">
        <v>830</v>
      </c>
    </row>
    <row r="36" spans="1:12">
      <c r="A36" s="29">
        <v>47500028</v>
      </c>
      <c r="B36" s="30" t="s">
        <v>990</v>
      </c>
      <c r="C36" s="68" t="s">
        <v>993</v>
      </c>
      <c r="D36" s="30" t="s">
        <v>757</v>
      </c>
      <c r="E36" s="35">
        <v>100001</v>
      </c>
      <c r="F36" s="35">
        <v>10000</v>
      </c>
      <c r="G36" s="30" t="s">
        <v>757</v>
      </c>
      <c r="H36" s="35">
        <v>100001</v>
      </c>
      <c r="I36" s="35">
        <v>100000</v>
      </c>
      <c r="J36" s="30"/>
      <c r="K36" s="35" t="s">
        <v>830</v>
      </c>
      <c r="L36" s="35" t="s">
        <v>830</v>
      </c>
    </row>
    <row r="37" spans="1:12">
      <c r="A37" s="29">
        <v>47500029</v>
      </c>
      <c r="B37" s="30" t="s">
        <v>992</v>
      </c>
      <c r="C37" s="69" t="s">
        <v>995</v>
      </c>
      <c r="D37" s="30" t="s">
        <v>757</v>
      </c>
      <c r="E37" s="35">
        <v>100001</v>
      </c>
      <c r="F37" s="35">
        <v>10000</v>
      </c>
      <c r="G37" s="30" t="s">
        <v>757</v>
      </c>
      <c r="H37" s="35">
        <v>100001</v>
      </c>
      <c r="I37" s="35">
        <v>100000</v>
      </c>
      <c r="J37" s="30"/>
      <c r="K37" s="35" t="s">
        <v>830</v>
      </c>
      <c r="L37" s="35" t="s">
        <v>830</v>
      </c>
    </row>
    <row r="38" spans="1:12">
      <c r="A38" s="29">
        <v>47500030</v>
      </c>
      <c r="B38" s="30" t="s">
        <v>994</v>
      </c>
      <c r="C38" s="70" t="s">
        <v>997</v>
      </c>
      <c r="D38" s="30" t="s">
        <v>757</v>
      </c>
      <c r="E38" s="35">
        <v>100001</v>
      </c>
      <c r="F38" s="35">
        <v>10000</v>
      </c>
      <c r="G38" s="30" t="s">
        <v>757</v>
      </c>
      <c r="H38" s="35">
        <v>100001</v>
      </c>
      <c r="I38" s="35">
        <v>100000</v>
      </c>
      <c r="J38" s="30"/>
      <c r="K38" s="35" t="s">
        <v>830</v>
      </c>
      <c r="L38" s="35" t="s">
        <v>830</v>
      </c>
    </row>
    <row r="39" spans="1:12">
      <c r="A39" s="29">
        <v>47500031</v>
      </c>
      <c r="B39" s="30" t="s">
        <v>996</v>
      </c>
      <c r="C39" s="71" t="s">
        <v>999</v>
      </c>
      <c r="D39" s="30" t="s">
        <v>757</v>
      </c>
      <c r="E39" s="35">
        <v>100001</v>
      </c>
      <c r="F39" s="35">
        <v>10000</v>
      </c>
      <c r="G39" s="30" t="s">
        <v>757</v>
      </c>
      <c r="H39" s="35">
        <v>100001</v>
      </c>
      <c r="I39" s="35">
        <v>100000</v>
      </c>
      <c r="J39" s="30"/>
      <c r="K39" s="35" t="s">
        <v>830</v>
      </c>
      <c r="L39" s="35" t="s">
        <v>830</v>
      </c>
    </row>
    <row r="40" spans="1:12">
      <c r="A40" s="29">
        <v>47500032</v>
      </c>
      <c r="B40" s="30" t="s">
        <v>998</v>
      </c>
      <c r="C40" s="72" t="s">
        <v>1001</v>
      </c>
      <c r="D40" s="30" t="s">
        <v>757</v>
      </c>
      <c r="E40" s="35">
        <v>100001</v>
      </c>
      <c r="F40" s="35">
        <v>10000</v>
      </c>
      <c r="G40" s="30" t="s">
        <v>757</v>
      </c>
      <c r="H40" s="35">
        <v>100001</v>
      </c>
      <c r="I40" s="35">
        <v>100000</v>
      </c>
      <c r="J40" s="30"/>
      <c r="K40" s="35" t="s">
        <v>830</v>
      </c>
      <c r="L40" s="35" t="s">
        <v>830</v>
      </c>
    </row>
    <row r="41" spans="1:12">
      <c r="A41" s="29">
        <v>47500033</v>
      </c>
      <c r="B41" s="30" t="s">
        <v>1000</v>
      </c>
      <c r="C41" s="73" t="s">
        <v>1003</v>
      </c>
      <c r="D41" s="30" t="s">
        <v>757</v>
      </c>
      <c r="E41" s="35">
        <v>100001</v>
      </c>
      <c r="F41" s="35">
        <v>10000</v>
      </c>
      <c r="G41" s="30" t="s">
        <v>757</v>
      </c>
      <c r="H41" s="35">
        <v>100001</v>
      </c>
      <c r="I41" s="35">
        <v>100000</v>
      </c>
      <c r="J41" s="30"/>
      <c r="K41" s="35" t="s">
        <v>830</v>
      </c>
      <c r="L41" s="35" t="s">
        <v>830</v>
      </c>
    </row>
    <row r="42" spans="1:12">
      <c r="A42" s="29">
        <v>47500034</v>
      </c>
      <c r="B42" s="30" t="s">
        <v>1002</v>
      </c>
      <c r="C42" s="75" t="s">
        <v>1007</v>
      </c>
      <c r="D42" s="30" t="s">
        <v>757</v>
      </c>
      <c r="E42" s="35">
        <v>100001</v>
      </c>
      <c r="F42" s="35">
        <v>10000</v>
      </c>
      <c r="G42" s="30" t="s">
        <v>757</v>
      </c>
      <c r="H42" s="35">
        <v>100001</v>
      </c>
      <c r="I42" s="35">
        <v>100000</v>
      </c>
      <c r="J42" s="30"/>
      <c r="K42" s="35" t="s">
        <v>830</v>
      </c>
      <c r="L42" s="35" t="s">
        <v>830</v>
      </c>
    </row>
    <row r="43" spans="1:12">
      <c r="A43" s="29">
        <v>47500035</v>
      </c>
      <c r="B43" s="30" t="s">
        <v>1004</v>
      </c>
      <c r="C43" s="76" t="s">
        <v>1009</v>
      </c>
      <c r="D43" s="30" t="s">
        <v>757</v>
      </c>
      <c r="E43" s="35">
        <v>100001</v>
      </c>
      <c r="F43" s="35">
        <v>10000</v>
      </c>
      <c r="G43" s="30" t="s">
        <v>757</v>
      </c>
      <c r="H43" s="35">
        <v>100001</v>
      </c>
      <c r="I43" s="35">
        <v>100000</v>
      </c>
      <c r="J43" s="30"/>
      <c r="K43" s="35" t="s">
        <v>830</v>
      </c>
      <c r="L43" s="35" t="s">
        <v>830</v>
      </c>
    </row>
    <row r="44" spans="1:12">
      <c r="A44" s="29">
        <v>47500036</v>
      </c>
      <c r="B44" s="30" t="s">
        <v>1006</v>
      </c>
      <c r="C44" s="77" t="s">
        <v>1011</v>
      </c>
      <c r="D44" s="30" t="s">
        <v>757</v>
      </c>
      <c r="E44" s="35">
        <v>100001</v>
      </c>
      <c r="F44" s="35">
        <v>10000</v>
      </c>
      <c r="G44" s="30" t="s">
        <v>757</v>
      </c>
      <c r="H44" s="35">
        <v>100001</v>
      </c>
      <c r="I44" s="35">
        <v>100000</v>
      </c>
      <c r="J44" s="30"/>
      <c r="K44" s="35" t="s">
        <v>830</v>
      </c>
      <c r="L44" s="35" t="s">
        <v>830</v>
      </c>
    </row>
    <row r="45" spans="1:12">
      <c r="A45" s="29">
        <v>47500037</v>
      </c>
      <c r="B45" s="30" t="s">
        <v>1008</v>
      </c>
      <c r="C45" s="78" t="s">
        <v>1013</v>
      </c>
      <c r="D45" s="30" t="s">
        <v>757</v>
      </c>
      <c r="E45" s="35">
        <v>100001</v>
      </c>
      <c r="F45" s="35">
        <v>10000</v>
      </c>
      <c r="G45" s="30" t="s">
        <v>757</v>
      </c>
      <c r="H45" s="35">
        <v>100001</v>
      </c>
      <c r="I45" s="35">
        <v>100000</v>
      </c>
      <c r="J45" s="30"/>
      <c r="K45" s="35" t="s">
        <v>830</v>
      </c>
      <c r="L45" s="35" t="s">
        <v>830</v>
      </c>
    </row>
    <row r="46" spans="1:12">
      <c r="A46" s="29">
        <v>47500038</v>
      </c>
      <c r="B46" s="30" t="s">
        <v>1010</v>
      </c>
      <c r="C46" s="82" t="s">
        <v>1021</v>
      </c>
      <c r="D46" s="30" t="s">
        <v>757</v>
      </c>
      <c r="E46" s="35">
        <v>100001</v>
      </c>
      <c r="F46" s="35">
        <v>10000</v>
      </c>
      <c r="G46" s="30" t="s">
        <v>757</v>
      </c>
      <c r="H46" s="35">
        <v>100001</v>
      </c>
      <c r="I46" s="35">
        <v>100000</v>
      </c>
      <c r="J46" s="30"/>
      <c r="K46" s="35" t="s">
        <v>830</v>
      </c>
      <c r="L46" s="35" t="s">
        <v>830</v>
      </c>
    </row>
    <row r="47" spans="1:12">
      <c r="A47" s="29">
        <v>47500039</v>
      </c>
      <c r="B47" s="30" t="s">
        <v>1012</v>
      </c>
      <c r="C47" s="83" t="s">
        <v>1023</v>
      </c>
      <c r="D47" s="30" t="s">
        <v>757</v>
      </c>
      <c r="E47" s="35">
        <v>100001</v>
      </c>
      <c r="F47" s="35">
        <v>10000</v>
      </c>
      <c r="G47" s="30" t="s">
        <v>757</v>
      </c>
      <c r="H47" s="35">
        <v>100001</v>
      </c>
      <c r="I47" s="35">
        <v>100000</v>
      </c>
      <c r="J47" s="30"/>
      <c r="K47" s="35" t="s">
        <v>830</v>
      </c>
      <c r="L47" s="35" t="s">
        <v>830</v>
      </c>
    </row>
    <row r="48" spans="1:12">
      <c r="A48" s="29">
        <v>47500040</v>
      </c>
      <c r="B48" s="30" t="s">
        <v>1014</v>
      </c>
      <c r="C48" s="84" t="s">
        <v>1025</v>
      </c>
      <c r="D48" s="30" t="s">
        <v>757</v>
      </c>
      <c r="E48" s="35">
        <v>100001</v>
      </c>
      <c r="F48" s="35">
        <v>10000</v>
      </c>
      <c r="G48" s="30" t="s">
        <v>757</v>
      </c>
      <c r="H48" s="35">
        <v>100001</v>
      </c>
      <c r="I48" s="35">
        <v>100000</v>
      </c>
      <c r="J48" s="30"/>
      <c r="K48" s="35" t="s">
        <v>830</v>
      </c>
      <c r="L48" s="35" t="s">
        <v>830</v>
      </c>
    </row>
    <row r="49" spans="1:13">
      <c r="A49" s="33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27" t="s">
        <v>8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B1:J27"/>
  <sheetViews>
    <sheetView workbookViewId="0">
      <selection activeCell="G37" sqref="G37"/>
    </sheetView>
  </sheetViews>
  <sheetFormatPr defaultRowHeight="13.5"/>
  <cols>
    <col min="1" max="1" width="2.42578125" style="16" customWidth="1"/>
    <col min="2" max="2" width="22.42578125" style="16" customWidth="1"/>
    <col min="3" max="3" width="4.42578125" style="16" bestFit="1" customWidth="1"/>
    <col min="4" max="4" width="2.42578125" style="16" customWidth="1"/>
    <col min="5" max="5" width="22.42578125" style="16" customWidth="1"/>
    <col min="6" max="6" width="4.7109375" style="16" bestFit="1" customWidth="1"/>
    <col min="7" max="7" width="9.140625" style="16"/>
    <col min="8" max="8" width="19.5703125" style="16" customWidth="1"/>
    <col min="9" max="9" width="4.42578125" style="16" bestFit="1" customWidth="1"/>
    <col min="10" max="10" width="15.140625" style="16" customWidth="1"/>
    <col min="11" max="16384" width="9.140625" style="16"/>
  </cols>
  <sheetData>
    <row r="1" spans="2:10">
      <c r="B1" s="14" t="s">
        <v>11</v>
      </c>
      <c r="C1" s="14" t="s">
        <v>9</v>
      </c>
      <c r="E1" s="14" t="s">
        <v>304</v>
      </c>
      <c r="F1" s="14" t="s">
        <v>305</v>
      </c>
      <c r="H1" s="14" t="s">
        <v>42</v>
      </c>
      <c r="I1" s="14" t="s">
        <v>9</v>
      </c>
    </row>
    <row r="2" spans="2:10">
      <c r="B2" s="15" t="s">
        <v>15</v>
      </c>
      <c r="C2" s="15">
        <v>1</v>
      </c>
      <c r="E2" s="15" t="s">
        <v>306</v>
      </c>
      <c r="F2" s="15">
        <v>1</v>
      </c>
      <c r="H2" s="15" t="s">
        <v>43</v>
      </c>
      <c r="I2" s="15">
        <v>1</v>
      </c>
      <c r="J2" s="16" t="s">
        <v>46</v>
      </c>
    </row>
    <row r="3" spans="2:10">
      <c r="B3" s="15" t="s">
        <v>16</v>
      </c>
      <c r="C3" s="15">
        <v>2</v>
      </c>
      <c r="E3" s="15" t="s">
        <v>307</v>
      </c>
      <c r="F3" s="15">
        <v>2</v>
      </c>
      <c r="H3" s="15" t="s">
        <v>44</v>
      </c>
      <c r="I3" s="15">
        <v>2</v>
      </c>
      <c r="J3" s="16" t="s">
        <v>47</v>
      </c>
    </row>
    <row r="4" spans="2:10">
      <c r="B4" s="15" t="s">
        <v>17</v>
      </c>
      <c r="C4" s="15">
        <v>3</v>
      </c>
      <c r="E4" s="15" t="s">
        <v>308</v>
      </c>
      <c r="F4" s="15">
        <v>3</v>
      </c>
      <c r="H4" s="15" t="s">
        <v>45</v>
      </c>
      <c r="I4" s="15">
        <v>3</v>
      </c>
      <c r="J4" s="16" t="s">
        <v>48</v>
      </c>
    </row>
    <row r="5" spans="2:10">
      <c r="E5" s="15" t="s">
        <v>23</v>
      </c>
      <c r="F5" s="15">
        <v>4</v>
      </c>
    </row>
    <row r="6" spans="2:10">
      <c r="E6" s="15" t="s">
        <v>309</v>
      </c>
      <c r="F6" s="15">
        <v>5</v>
      </c>
    </row>
    <row r="7" spans="2:10">
      <c r="E7" s="15" t="s">
        <v>319</v>
      </c>
      <c r="F7" s="15">
        <v>6</v>
      </c>
      <c r="G7" s="16" t="s">
        <v>320</v>
      </c>
    </row>
    <row r="8" spans="2:10">
      <c r="E8" s="20" t="s">
        <v>248</v>
      </c>
      <c r="F8" s="20">
        <v>51</v>
      </c>
      <c r="G8" s="16" t="s">
        <v>310</v>
      </c>
    </row>
    <row r="9" spans="2:10">
      <c r="E9" s="20" t="s">
        <v>311</v>
      </c>
      <c r="F9" s="20">
        <v>52</v>
      </c>
    </row>
    <row r="10" spans="2:10">
      <c r="E10" s="20" t="s">
        <v>312</v>
      </c>
      <c r="F10" s="20">
        <v>53</v>
      </c>
    </row>
    <row r="11" spans="2:10">
      <c r="E11" s="20" t="s">
        <v>313</v>
      </c>
      <c r="F11" s="20">
        <v>54</v>
      </c>
    </row>
    <row r="12" spans="2:10">
      <c r="E12" s="20" t="s">
        <v>249</v>
      </c>
      <c r="F12" s="20">
        <v>55</v>
      </c>
    </row>
    <row r="13" spans="2:10">
      <c r="E13" s="17" t="s">
        <v>314</v>
      </c>
      <c r="F13" s="17">
        <v>91</v>
      </c>
      <c r="G13" s="16" t="s">
        <v>315</v>
      </c>
    </row>
    <row r="14" spans="2:10">
      <c r="E14" s="17" t="s">
        <v>316</v>
      </c>
      <c r="F14" s="17">
        <v>92</v>
      </c>
    </row>
    <row r="15" spans="2:10">
      <c r="E15" s="17" t="s">
        <v>36</v>
      </c>
      <c r="F15" s="17">
        <v>93</v>
      </c>
    </row>
    <row r="16" spans="2:10">
      <c r="E16" s="17" t="s">
        <v>317</v>
      </c>
      <c r="F16" s="17">
        <v>94</v>
      </c>
    </row>
    <row r="17" spans="5:6">
      <c r="E17" s="17" t="s">
        <v>318</v>
      </c>
      <c r="F17" s="17">
        <v>95</v>
      </c>
    </row>
    <row r="18" spans="5:6">
      <c r="E18" s="17" t="s">
        <v>1065</v>
      </c>
      <c r="F18" s="17">
        <v>96</v>
      </c>
    </row>
    <row r="19" spans="5:6">
      <c r="E19" s="17" t="s">
        <v>1066</v>
      </c>
      <c r="F19" s="17">
        <v>97</v>
      </c>
    </row>
    <row r="20" spans="5:6">
      <c r="E20" s="17" t="s">
        <v>1067</v>
      </c>
      <c r="F20" s="17">
        <v>98</v>
      </c>
    </row>
    <row r="21" spans="5:6">
      <c r="E21" s="17" t="s">
        <v>1068</v>
      </c>
      <c r="F21" s="17">
        <v>99</v>
      </c>
    </row>
    <row r="22" spans="5:6">
      <c r="E22" s="17" t="s">
        <v>1069</v>
      </c>
      <c r="F22" s="17">
        <v>100</v>
      </c>
    </row>
    <row r="23" spans="5:6">
      <c r="E23" s="17" t="s">
        <v>1070</v>
      </c>
      <c r="F23" s="17">
        <v>101</v>
      </c>
    </row>
    <row r="24" spans="5:6">
      <c r="E24" s="17" t="s">
        <v>1071</v>
      </c>
      <c r="F24" s="17">
        <v>102</v>
      </c>
    </row>
    <row r="25" spans="5:6">
      <c r="E25" s="17" t="s">
        <v>1072</v>
      </c>
      <c r="F25" s="17">
        <v>103</v>
      </c>
    </row>
    <row r="26" spans="5:6">
      <c r="E26" s="17" t="s">
        <v>1073</v>
      </c>
      <c r="F26" s="17">
        <v>104</v>
      </c>
    </row>
    <row r="27" spans="5:6">
      <c r="E27" s="17" t="s">
        <v>1074</v>
      </c>
      <c r="F27" s="17">
        <v>105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7</vt:i4>
      </vt:variant>
    </vt:vector>
  </HeadingPairs>
  <TitlesOfParts>
    <vt:vector size="15" baseType="lpstr">
      <vt:lpstr>ShipBodyShape</vt:lpstr>
      <vt:lpstr>ShipPartShape</vt:lpstr>
      <vt:lpstr>SailCrest</vt:lpstr>
      <vt:lpstr>SailPattern</vt:lpstr>
      <vt:lpstr>SailPatternColor</vt:lpstr>
      <vt:lpstr>ShipBodyFirstColor</vt:lpstr>
      <vt:lpstr>ShipBodySecondColor</vt:lpstr>
      <vt:lpstr>ShipShapeEnum</vt:lpstr>
      <vt:lpstr>SailCrest</vt:lpstr>
      <vt:lpstr>SailPattern</vt:lpstr>
      <vt:lpstr>SailPatternColor</vt:lpstr>
      <vt:lpstr>ShipBodyFirstColor</vt:lpstr>
      <vt:lpstr>ShipBodySecondColor</vt:lpstr>
      <vt:lpstr>ShipBodyShape</vt:lpstr>
      <vt:lpstr>ShipPartShape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</dc:creator>
  <cp:lastModifiedBy>Motif</cp:lastModifiedBy>
  <dcterms:created xsi:type="dcterms:W3CDTF">2015-06-29T10:25:24Z</dcterms:created>
  <dcterms:modified xsi:type="dcterms:W3CDTF">2020-10-23T02:10:05Z</dcterms:modified>
</cp:coreProperties>
</file>